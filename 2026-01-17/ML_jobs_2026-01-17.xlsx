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in-6f42a6ac217c9a59</t>
        </is>
      </c>
      <c r="B2" t="inlineStr">
        <is>
          <t>AIML Engineering Program Manager</t>
        </is>
      </c>
      <c r="C2" t="inlineStr">
        <is>
          <t>Apple</t>
        </is>
      </c>
      <c r="D2" t="inlineStr">
        <is>
          <t>indeed</t>
        </is>
      </c>
      <c r="E2" t="inlineStr"/>
      <c r="F2" t="inlineStr"/>
      <c r="G2" t="inlineStr">
        <is>
          <t>Cupertino, CA, US</t>
        </is>
      </c>
      <c r="H2" s="2" t="n">
        <v>46038</v>
      </c>
      <c r="I2"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develop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Apple's Retail Decision Automation team is looking for an outstanding and experienced AIML Engineering Program Manager who is passionate about delivering production\-grade machine learning and analytics solutions. You'll partner across technical and business teams to manage a wide range of machine learning solutions, each aligned to deliver to different goals, experiences and processes. Our work in decision automation and performance optimization powers a broad portfolio of Retail initiatives, all with the common goal of enriching and reimagining our customer experience.  
**Description**  
Technical Program Managers at Apple define, lead, and execute data\-driven solutions that have significant business impact. In this role, you will:  
* Own a diverse portfolio of agentic features and machine learning decision points, ensuring they are aligned with broader program objectives and delivering measurable value.
\- Drive strategy, prioritization, and delivery of ML\- and analytics\-powered solutions across multiple business areas.  
* Guide programs from inception through implementation by collaborating with data scientists, analysts, engineers, and business partners.
* Serve as a program leader who encourages accountability, high performance, and continuous improvement.","responsibilities":"Identify risks, resolve roadblocks, and keep teams focused and aligned on goals.
Translate business needs into clear requirements, project plans, and success metrics.  
Develop a culture of trust, collaboration, and inclusion across the program team.  
Communicate technical and analytical results clearly to both technical audiences and senior business partners.  
Bring structure and awareness of sophisticated programs with many parallel workstreams and moving parts.  
Establish and track business\-critical metrics and ensure data\-driven decisions at every stage.  
**Preferred Qualifications**  
Experience managing multiple ML or analytics decision points within a large\-scale or enterprise program.  
Familiarity with modern data and ML tooling (e.g., Airflow, Spark, Snowflake, model monitoring tools).  
Strong problem\-solving skills with an ability to balance short\-term urgency with long\-term strategy.  
Track record of influencing through metrics, vision, and collaborative leadership.  
Clear, confident communicator who can adapt between technical detail and executive\-level storytelling.  
Passion for building high\-performing teams and encouraging inclusive, purposeful program culture.  
**Minimum Qualifications**  
Bachelor’s degree in Computer Science, Engineering, Mathematics, or a related technical field.  
7\+ years of technical program or product management experience.  
Strong experience working with machine learning, analytics, or data science\-driven programs.  
Proven track record to lead high\-impact, cross\-functional initiatives with multiple decision points and success metrics.  
Skilled at translating ambiguous business needs into well\-scoped, data\-driven projects.  
Excellent organizational, prioritization, and communication skills.  
Comfortable operating in fast\-paced environments with evolving requirements.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in-a2401b3fdab01ce0</t>
        </is>
      </c>
      <c r="B3" t="inlineStr">
        <is>
          <t>Machine Learning Engineer IV</t>
        </is>
      </c>
      <c r="C3" t="inlineStr">
        <is>
          <t>Panasonic</t>
        </is>
      </c>
      <c r="D3" t="inlineStr">
        <is>
          <t>indeed</t>
        </is>
      </c>
      <c r="E3" t="inlineStr"/>
      <c r="F3" t="inlineStr"/>
      <c r="G3" t="inlineStr">
        <is>
          <t>Irvine, CA, US</t>
        </is>
      </c>
      <c r="H3" s="2" t="n">
        <v>46038</v>
      </c>
      <c r="I3"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Leads machine learning projects, providing technical guidance and mentorship to junior and mid\-level engineers. Design, develop, and implement data\-driven solutions, leveraging machine learning techniques to enhance our In\-Flight Entertainment \&amp; Connectivity (IFEC) systems. Collaborate with cross\-functional teams to drive innovation and elevate the passenger experience through advanced technological solutions.
 **What you will be doing:**
Technical Leadership
* Lead the design and implementation of complex, robust, scalable, and high\-performance data\-driven systems, integrating machine learning algorithms to improve content delivery, personalization, and connectivity services.
Algorithm Development \&amp; Implementation
* Develop and deploy machine learning models, predictive analytics, and data\-driven strategies to optimize user experiences and enhance IFEC functionalities.
* Develop machine learning frameworks, tools, and technologies. They often have expertise in specialized areas such as distributed computing, deep learning, or natural language processing. They may also have contributed to open\-source projects or developed custom tools and libraries.
Machine Learning Infrastructure \&amp; Engineering
* Plays a key role in architectural decisions related to machine learning infrastructure and deployment pipelines.
* Represent the team in discussions with stakeholders, articulating technical concepts and recommending strategical technical direction.
* Designs scalable and efficient machine learning pipelines, leveraging cloud\-based platforms and distributed computing frameworks.
Experimentation \&amp; Innovation
* Explore emerging trends and technologies in machine learning, conduct research, and propose innovative approaches to improve our IFEC offerings. Publish technical papers and submit patents.
Cross\-functional Collaboration
* Work collaboratively with data scientists, software engineers, product managers, and internal and external stakeholders, effectively communicating technical concepts and insights to drive project alignment and success.
Performance Optimization
* Continuously monitor and optimize the performance of machine learning models, identifying areas for improvement and implementing enhancements to achieve optimal results.
Mentorship \&amp; Knowledge Sharing
* Mentor engineers, provide technical guidance, and contribute to the development of a culture of excellence and continuous learning within the team.
The salary range of $138,000 – $231,000 annually is just one component of Panasonic’s total package. The final offer amount may vary based on factors including but not limited to individual’s knowledge, skills, experience, and location.
Qualifications:
**What we are looking for:**
* Bachelor’s degree in Computer Science, Data Science, Software Engineering, or a related field. Advanced degree preferred.
* 8\+ years of experience in software engineering, with a focus on data\-driven applications, machine learning, or AI, preferably in the aerospace or tech industry.
* Demonstrated proficiency in programming languages such as Python, Java, or similar, along with expertise in machine learning frameworks (e.g., TensorFlow, PyTorch) and data processing technologies.
* Demonstrated leadership skills with the ability to lead technical initiatives, collaborate effectively across teams, and drive projects to successful completion.
* Excellent problem\-solving abilities, critical thinking, and a passion for innovation and technology.
* Ability to write technical publications preferred.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\#LI\-WS1</t>
        </is>
      </c>
    </row>
    <row r="4">
      <c r="A4" t="inlineStr">
        <is>
          <t>in-336b65faced9c705</t>
        </is>
      </c>
      <c r="B4" t="inlineStr">
        <is>
          <t>Machine Learning Engineer</t>
        </is>
      </c>
      <c r="C4" t="inlineStr">
        <is>
          <t>Apple</t>
        </is>
      </c>
      <c r="D4" t="inlineStr">
        <is>
          <t>indeed</t>
        </is>
      </c>
      <c r="E4" t="inlineStr"/>
      <c r="F4" t="inlineStr"/>
      <c r="G4" t="inlineStr">
        <is>
          <t>Cupertino, CA, US</t>
        </is>
      </c>
      <c r="H4" s="2" t="n">
        <v>46038</v>
      </c>
      <c r="I4" t="inlineStr">
        <is>
          <t>Imagine what you could do here. At Apple, great ideas have a way of becoming great products, services, and customer experiences very quickly. Bring passion and dedication to your job and there's no telling what you could accomplish.  
Are you an enthusiastic Machine Learning Engineer eager to apply your expertise in a fast\-paced, innovative tech environment? Join our Global Sourcing \&amp; Supply Management (GSSM) Solutions team as a key player in revolutionizing our supply chain.  
As a Machine Learning Engineer on our core AI/ML team, you will design and build GenAI\-powered features and workflows leveraging LLMs and modern AI techniques. You will collaborate closely with business stakeholders, product teams, and data engineers to translate complex challenges into practical AI/ML solutions and effectively communicate insights to senior management. Your work will empower data\-driven decision\-making, optimize workflows, and drive measurable impact across the supply chain.  
If you thrive in a collaborative environment, are passionate about applying AI/ML to solve real\-world business problems, and are excited to work with cutting\-edge GenAI technologies, we want to hear from you!  
**Description**  
* Partner with business and product teams to identify high\-impact opportunities and translate ambiguous requirements into GenAI\-powered features and workflows delivered through a shared AI platform and embedded across products
* Design, build, and own end\-to\-end GenAI capabilities that support both a centralized AI platform and product teams, covering all aspects from prompt and tool design to agent orchestration, retrieval strategies, model selection, and system evaluation
* Develop reliable, scalable, and cost\-aware GenAI features in collaboration with platform, data, and application engineering teams, ensuring strong performance, observability, and maintainability in production environments
* Establish evaluation and monitoring strategies for GenAI\-driven features, focusing on output quality, correctness, safety, and business relevance through offline benchmarks, automated checks, and human\-in\-the\-loop review
* Develop Text\-to\-SQL and structured reasoning capabilities that enable natural\-language interaction with structured data, ensuring accuracy, security, and alignment with business semantics
* Leverage agentic AI patterns (multi\-step reasoning, tool use, planning, memory, feedback loops) to support complex workflows, while establishing guardrails for reliable and predictable behavior
* Communicate trade\-offs, system behavior, and limitations clearly to technical and non\-technical stakeholders, enabling informed product and business decisions
* Continuously research, prototype, and operationalize emerging GenAI techniques to improve platform capabilities and accelerate adoption across teams
**Preferred Qualifications**  
Strong problem\-solving skills and the ability to tackle ambiguous, real\-world challenges, along with clear communication and collaboration skills  
Experience with modern deep learning frameworks, such as PyTorch or TensorFlow  
Hands\-on experience working with transformer\-based models, including large language models (e.g., GPT style models or BERT\-like architectures)  
Practical experience leveraging LLMs or GenAI models via APIs to create reliable and user\-facing features or workflows  
Familiarity with common GenAI tools and frameworks, such as LangChain or similar, with the ability to learn and adapt as the ecosystem evolves  
Solid understanding of foundational ML concepts including supervised, unsupervised and reinforcement learning  
Solid understanding of core machine learning concepts, including supervised and unsupervised learning; exposure to reinforcement learning is a plus  
Experience with model deployment pipelines and serving GenAI models in production  
Experience applying modern ML or GenAI techniques in production workflows, including tasks such as Retrieval\-Augmented Generation (RAG), structured reasoning, or prompt\-based system design  
Experience working in Supply Chain, Operations, or a related field  
Ability to operate independently and lead without authority  
**Minimum Qualifications**  
Bachelors degree  
PhD/MS in Computer Science, Statistics, Applied Math or a related field  
5\+ years of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in-0ff6dff430a12c36</t>
        </is>
      </c>
      <c r="B5" t="inlineStr">
        <is>
          <t>Consulting Machine Learning Engineer</t>
        </is>
      </c>
      <c r="C5" t="inlineStr">
        <is>
          <t>HCA Healthcare</t>
        </is>
      </c>
      <c r="D5" t="inlineStr">
        <is>
          <t>indeed</t>
        </is>
      </c>
      <c r="E5" t="inlineStr"/>
      <c r="F5" t="inlineStr"/>
      <c r="G5" t="inlineStr">
        <is>
          <t>Nashville, TN, US</t>
        </is>
      </c>
      <c r="H5" s="2" t="n">
        <v>46038</v>
      </c>
      <c r="I5"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below:Consulting Machine Learning EngineerHCA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Consulting Machine Learning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Consulting Machine Learning Engineer is responsible for developing and integrating machine learning model and pre trained API with Parallon Data Engineering department large\-scale data ecosystems and business usecase, including data management and the integration of structured and unstructured data to generate insights to help Parallon unlock the value of enterprise technology and data platform investments.
The Parallon Data Engineering department serves multiple business units in the organization: From the coding and clinical data perspective and also from the Revenue Cycle side. The Consulting Machine Learning engineer requires strong knowledge regarding cloud and data/ML platforms, to identify the best practical applicable solutions to resolve the business needs. Considering multiple variables during proof of concept, including cost, long term functionality, company policies and procedures, organization vision and road maps for incoming technologies.
The Consulting Machine Learning engineer will report to the Manager of Data Engineering and will work closely with the data scientist, data engineer and collaborate with strong communication skills, and team work mentality.
This role is firmly customer facing, with an expectation of constant contact, communication and iteration with both clinical and business customers to define questions, explore solutions and present results.
**MAJOR RESPONSIBILITIES**
Understanding of NLP techniques for text representation, semantic extraction techniques, data structures and modeling , nature language understanding.
Design and develop NLP applications on Google cloud and data platform leveraging Vertex AI , LLM and Doc AI
Study and transform data science prototypes
Design and develop NLP applications on Google cloud and data platform leveraging Vertex AI , LLM and Doc AI
Select appropriate annotated datasets for Supervised Learning methods
Use effective text representations to transform natural language into useful features
Find and implement the right algorithms and tools for NLP tasks
Integrate with data platform and source thru API integration.
Train the developed model and run evaluation experiments
Perform statistical analysis of results and refine models
Extend ML libraries and frameworks to apply in NLP tasks
Remain updated in the rapidly changing field of machine learning
Deep understanding of text representation techniques (such as n\-grams, bag of words, sentiment analysis etc), statistics and classification algorithms
Knowledge and expertise of Python and SQL
Experience with machine learning frameworks and API
###### **What qualifications you will need:**
**EXPERIENCE**
7 or more years of experience in developing and integrating machine learning models and pre trained API in Cloud platforms
7 or more years of experience as a Data Engineer or NLP ML Engineer or similar role \- Preferred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If you find this opportunity compelling, we encourage you to apply for our Consulting Machine Learning Engineer opening. We promptly review all applications. Highly qualified candidates will be directly contacted by a member of our team. **We are interviewing apply today!**
*We are an equal opportunity employer. We do not discriminate on the basis of race, religion, color, national origin, gender, sexual orientation, age, marital status, veteran status, or disability status.*</t>
        </is>
      </c>
    </row>
    <row r="6">
      <c r="A6" t="inlineStr">
        <is>
          <t>in-a673c660e023844f</t>
        </is>
      </c>
      <c r="B6" t="inlineStr">
        <is>
          <t>ASE - Machine Learning Engineer, MLPT</t>
        </is>
      </c>
      <c r="C6" t="inlineStr">
        <is>
          <t>Apple</t>
        </is>
      </c>
      <c r="D6" t="inlineStr">
        <is>
          <t>indeed</t>
        </is>
      </c>
      <c r="E6" t="inlineStr"/>
      <c r="F6" t="inlineStr"/>
      <c r="G6" t="inlineStr">
        <is>
          <t>Santa Clara, CA, US</t>
        </is>
      </c>
      <c r="H6" s="2" t="n">
        <v>46038</v>
      </c>
      <c r="I6" t="inlineStr">
        <is>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
**Preferred Qualifications**  
Deep expertise in reinforcement learning\-based post\-training on LLM models, reward modeling, RLHF, RLAIF, Chain\-of\-thought, and agentic AI R\&amp;D.  
Deep understanding of cutting edge RL algorithms and large language model.  
Deep understanding in LLM pre\-training, post\-training.  
Strong product intuition and ownership  
Excellent communication skills  
**Minimum Qualifications**  
10\+ years of ML experiences in search, natural language processing/understanding. Conversational AI.  
Proven experience for LLM post training, including but not limited to SFT, RLHF, RLAIF, Reward Modeling, Chain\-of\-thought, agentic LLM.  
Hands\-on experience building RL pipelines and training agents in simulation or real\-world environments.  
Growth mindset and ability to learn new technologies  
MS or Ph.D. in Computer Science, Machine Learning with a specialty in reinforcement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in-bba518ada5c1f531</t>
        </is>
      </c>
      <c r="B7" t="inlineStr">
        <is>
          <t>ASE - Machine Learning Engineer, MLPT</t>
        </is>
      </c>
      <c r="C7" t="inlineStr">
        <is>
          <t>Apple</t>
        </is>
      </c>
      <c r="D7" t="inlineStr">
        <is>
          <t>indeed</t>
        </is>
      </c>
      <c r="E7" t="inlineStr"/>
      <c r="F7" t="inlineStr"/>
      <c r="G7" t="inlineStr">
        <is>
          <t>Santa Clara, CA, US</t>
        </is>
      </c>
      <c r="H7" s="2" t="n">
        <v>46038</v>
      </c>
      <c r="I7" t="inlineStr">
        <is>
          <t>Apple is where individual imaginations gather together, committing to the values that lead to great work. Every new product we build, service we create, or Apple Store experience we deliver is the result of us strengthening each other’s ideas. That happens because every one of us believes that we can make something wonderful and share it with the world, changing lives for the better!  
In this organization, we work hard to bring the best user experiences powered by Apple Intelligence. Our team is instrumental in powering and enhancing features across a range of Apple products, including Siri, Spotlight, Safari, Messages, and more. We are an Applied ML team pushing the limits of question answering, assistant response ranking, summarization, and search technologies, while also responsible for a production service.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In this role, you will work on LLM based question answering and Apple Intelligence features to provide concise, accurate, and grounded information to users to help them complete their tasks quickly on Apple devices.  
Your core responsibilities will include:  
* Designing and developing advanced Reinforcement Learning technologies in the post\-training of generative model, and delivering the end\-user experience.
* Driving cross\-functional technical initiatives, collaborating with research, engineering and production teams to translate theoretical advances into deployable systems.
* Developing novel and cutting\-edge RL algorithms and improving existing ones.
* Staying up to date with the latest RL research and integrate best practices into the team's workflow.
* Working on the end\-to\-end ML lifecycle: algorithm design and implementation, data collection, model training, evaluation, and deployment.
**Preferred Qualifications**  
Deep expertise in reinforcement learning\-based post\-training on LLM models, reward modeling, RLHF, RLAIF, Chain\-of\-thought, and agentic AI R\&amp;D.  
Deep understanding of cutting edge RL algorithms and large language model.  
Deep understanding in LLM pre\-training, post\-training.  
Strong product intuition and ownership  
Excellent communication skills  
**Minimum Qualifications**  
10\+ years of ML experiences in search, natural language processing/understanding. Conversational AI.  
Proven experience for LLM post training, including but not limited to SFT, RLHF, RLAIF, Reward Modeling, Chain\-of\-thought, agentic LLM.  
Hands\-on experience building RL pipelines and training agents in simulation or real\-world environments.  
Growth mindset and ability to learn new technologies  
MS or Ph.D. in Computer Science, Machine Learning with a specialty in reinforcement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in-e50e8ba6de3ec402</t>
        </is>
      </c>
      <c r="B8" t="inlineStr">
        <is>
          <t>Senior Applied Scientist - Apple Services Engineering</t>
        </is>
      </c>
      <c r="C8" t="inlineStr">
        <is>
          <t>Apple</t>
        </is>
      </c>
      <c r="D8" t="inlineStr">
        <is>
          <t>indeed</t>
        </is>
      </c>
      <c r="E8" t="inlineStr"/>
      <c r="F8" t="inlineStr"/>
      <c r="G8" t="inlineStr">
        <is>
          <t>Seattle, WA, US</t>
        </is>
      </c>
      <c r="H8" s="2" t="n">
        <v>46038</v>
      </c>
      <c r="I8" t="inlineStr">
        <is>
          <t>At Apple, we believe that technology should enrich people's lives in meaningful ways. Apple Services\-including the App Store, Apple Music, Apple TV\+, and Podcasts\-connect millions of users worldwide to the content and experiences they love. Behind these services are sophisticated AI and machine learning systems that power personalized recommendations, intelligent search, and content discovery. The quality of these experiences depends fundamentally on the integrity of the data that fuels them.  
Join the Human\-centered AI (HAI) organization within Apple Services Engineering as a Senior Applied Scientist on our Data Quality Operations team. This is your opportunity to shape the future of data quality at Apple, working at the intersection of cutting\-edge machine learning, large language models, and rigorous scientific methodology. You'll be at the forefront of designing and implementing novel, scalable quality control solutions which ensure our AI\-powered services meet Apple's exacting standards for a high\-quality user experience. If you're passionate about applying scientific rigor to real\-world problems, thrive on innovation, and want your work to impact hundreds of millions of users, this role offers an exceptional opportunity to make a lasting contribution to products people use every day.  
**Description**  
We are seeking a Senior Applied Scientist to lead the design and implementation of novel, scalable quality control solutions for Apple Services. In this role, you will develop AI or ML solutions for programatically generating gold standard datasets, create anomaly detection systems, and pioneer use of Large Language Models for automated quality control. You will work closely with cross\-functional teams to ensure the data powering our AI/ML systems meets the highest standards of accuracy, consistency, and relevance.  
","responsibilities":"Develop methodologies and systems to programatically generating gold standard datasets to measure and improve data quality across diverse content types.  
Build and validate LLM\-based grading systems that align with human judgment for tasks including content classification, quality assessment, and metadata validation.  
Create and deploy anomaly detection systems to proactively identify data inconsistencies, biases, and errors across production pipelines.  
Collaborate with AI/ML engineering, product, and data science teams to identify quality challenges and integrate solutions into production workflows.  
Stay abreast of the latest advancements in machine learning, AI, data quality, and LLM research, applying relevant techniques to enhance our capabilities.  
Mentor and guide junior team members, fostering technical excellence and innovation in data quality operations.  
Communicate findings and recommendations clearly to technical and non\-technical stakeholders, including senior leadership.  
**Preferred Qualifications**  
* PhD in Computer Science, Machine Learning, Statistics, Applied Mathematics, NLP or a related quantitative field with 3\+ years of relevant industry experience,
* Experience with data labeling operations, annotation quality frameworks, or human\-in\-the\-loop systems.
* Familiarity with prompt optimization frameworks or automated prompt engineering.
* Experience in natural language processing (NLP) or natural language understanding (NLU).
* Experience with MLOps practices and tools for deploying, monitoring, and managing ML models in production.
* Familiarity with cloud platforms (e.g., AWS, GCP, Azure) or large\-scale distributed infrastructure systems.
* Prior experience contributing to open\-source projects or publishing research in relevant academic conferences or journals.
**Minimum Qualifications**  
* 3\+ years of industry experience in an Applied Scientist, Machine Learning Engineer, or Data Scientist role with focus on data quality, evaluation, or related areas.
* Proven experience designing, building, and deploying scalable data quality or evaluation systems in production environments.
* Strong hands\-on experience with Large Language Models (LLMs) including prompt engineering, fine\-tuning, and applications such as grading, validation, or classification.
* Proficiency in Python, data science libraries (pandas, NumPy, scikit\-learn, PyTorch, TensorFlow), SQL, and distributed computing environments (Spark, Hadoop).
* MS in Computer Science, Machine Learning, Statistics, Applied Mathematics, NLP or a related quantitative field with 3\+ years of relevant industry experience, OR BS degree in a related quantitative field with 8\+ years of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
      <c r="A9" t="inlineStr">
        <is>
          <t>in-95cb769e82782231</t>
        </is>
      </c>
      <c r="B9" t="inlineStr">
        <is>
          <t>Health Sensing ML Engineer</t>
        </is>
      </c>
      <c r="C9" t="inlineStr">
        <is>
          <t>Apple</t>
        </is>
      </c>
      <c r="D9" t="inlineStr">
        <is>
          <t>indeed</t>
        </is>
      </c>
      <c r="E9" t="inlineStr"/>
      <c r="F9" t="inlineStr"/>
      <c r="G9" t="inlineStr">
        <is>
          <t>Cupertino, CA, US</t>
        </is>
      </c>
      <c r="H9" s="2" t="n">
        <v>46038</v>
      </c>
      <c r="I9" t="inlineStr">
        <is>
          <t>The Health Sensing team builds outstanding technologies to support our users in living their healthiest, the happiest lives by providing them with objective, accurate, and timely information about their health and well\-being. As part of the larger Sensor SW \&amp; Prototyping team, we develop algorithms for a variety of health sensors, including PPG, accelerometer, ECG.  
**Description**  
In this role, you will be at the forefront of developing ML algorithms for health sensing applications and ensuring the efficient evaluation of these models to be in production at scale. You will interact closely with ML engineers, clinicians, software and hardware engineers. You will deliver solutions on time and with high quality standing up to the standards of a customer facing product.","responsibilities":"Develop and implement machine learning and deep learning models using health sensing data  
Analyze large\-scale health data from wearable sensors to extract significant insights  
Work across the entire ML development cycle, from setting up data pipelines to model evaluation  
Analyze model behavior and finding weaknesses; drive design decisions with in\-depth failure analysis  
Build end\-to\-end pipelines that prioritize rapid iterations in support for reliability of a complex multi\-year projects  
Work multi\-functionally to bring algorithms to real\-world applications; this can span a wide range of partnerships with clinical authorities and engineering specialists across HW and SW  
**Preferred Qualifications**  
Interpersonal skills; comfortable in a collaborative and ground breaking research environments  
MS or PhD or equivalent experience  
**Minimum Qualifications**  
BS in Computer Science, Engineering, Information Systems, or related technical field and a minimum of 3 years of equivalent experience  
Proven experience in developing machine learning and deep learning models, preferably in the health domain  
Proficiency in Python and ML frameworks e.g. PyTorch, Tensorflow  
Experience with health data analysis, including time\-series data, sensor data, and biomedical signal processing  
Proven understanding of data preprocessing, feature extraction, and model evaluation techniques  
Familiar with software development standard methods/teamworks  
Sufficient SW skills to run large ML training jobs efficiently on a distributed backend with large volume of data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
      <c r="A10" t="inlineStr">
        <is>
          <t>in-939c7f23236ea13c</t>
        </is>
      </c>
      <c r="B10" t="inlineStr">
        <is>
          <t>Principal Applied Scientist, Amazon Special Projects</t>
        </is>
      </c>
      <c r="C10" t="inlineStr">
        <is>
          <t>Amazon.com</t>
        </is>
      </c>
      <c r="D10" t="inlineStr">
        <is>
          <t>indeed</t>
        </is>
      </c>
      <c r="E10">
        <f>HYPERLINK("https://www.indeed.com/viewjob?jk=939c7f23236ea13c", "https://www.indeed.com/viewjob?jk=939c7f23236ea13c")</f>
        <v/>
      </c>
      <c r="F10">
        <f>HYPERLINK("https://www.amazon.jobs/jobs/3132566/principal-applied-scientist-amazon-special-projects?cmpid=DA_INAD200785B", "https://www.amazon.jobs/jobs/3132566/principal-applied-scientist-amazon-special-projects?cmpid=DA_INAD200785B")</f>
        <v/>
      </c>
      <c r="G10" t="inlineStr">
        <is>
          <t>Seattle, WA, US</t>
        </is>
      </c>
      <c r="H10" s="3" t="n">
        <v>45982</v>
      </c>
      <c r="I1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in-8cc9fb4e4ecb08fe</t>
        </is>
      </c>
      <c r="B11" t="inlineStr">
        <is>
          <t>Principal Applied Scientist, Amazon Special Projects</t>
        </is>
      </c>
      <c r="C11" t="inlineStr">
        <is>
          <t>Amazon.com</t>
        </is>
      </c>
      <c r="D11" t="inlineStr">
        <is>
          <t>indeed</t>
        </is>
      </c>
      <c r="E11">
        <f>HYPERLINK("https://www.indeed.com/viewjob?jk=8cc9fb4e4ecb08fe", "https://www.indeed.com/viewjob?jk=8cc9fb4e4ecb08fe")</f>
        <v/>
      </c>
      <c r="F11">
        <f>HYPERLINK("https://www.amazon.jobs/jobs/3132566/principal-applied-scientist-amazon-special-projects?cmpid=DA_INAD200785B", "https://www.amazon.jobs/jobs/3132566/principal-applied-scientist-amazon-special-projects?cmpid=DA_INAD200785B")</f>
        <v/>
      </c>
      <c r="G11" t="inlineStr">
        <is>
          <t>Boston, MA, US</t>
        </is>
      </c>
      <c r="H11" s="3" t="n">
        <v>45982</v>
      </c>
      <c r="I1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in-da16a748f53ce66e</t>
        </is>
      </c>
      <c r="B12" t="inlineStr">
        <is>
          <t>Sr. Applied Scientist, AGI Foundations</t>
        </is>
      </c>
      <c r="C12" t="inlineStr">
        <is>
          <t>Amazon.com</t>
        </is>
      </c>
      <c r="D12" t="inlineStr">
        <is>
          <t>indeed</t>
        </is>
      </c>
      <c r="E12">
        <f>HYPERLINK("https://www.indeed.com/viewjob?jk=da16a748f53ce66e", "https://www.indeed.com/viewjob?jk=da16a748f53ce66e")</f>
        <v/>
      </c>
      <c r="F12">
        <f>HYPERLINK("https://www.amazon.jobs/jobs/3128807/sr-applied-scientist-agi-foundations?cmpid=DA_INAD200785B", "https://www.amazon.jobs/jobs/3128807/sr-applied-scientist-agi-foundations?cmpid=DA_INAD200785B")</f>
        <v/>
      </c>
      <c r="G12" t="inlineStr">
        <is>
          <t>New York, NY, US</t>
        </is>
      </c>
      <c r="H12" s="3" t="n">
        <v>45978</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in-2005a50a2f452110</t>
        </is>
      </c>
      <c r="B13" t="inlineStr">
        <is>
          <t>Sr. Applied Scientist, AGI Foundations</t>
        </is>
      </c>
      <c r="C13" t="inlineStr">
        <is>
          <t>Amazon.com</t>
        </is>
      </c>
      <c r="D13" t="inlineStr">
        <is>
          <t>indeed</t>
        </is>
      </c>
      <c r="E13">
        <f>HYPERLINK("https://www.indeed.com/viewjob?jk=2005a50a2f452110", "https://www.indeed.com/viewjob?jk=2005a50a2f452110")</f>
        <v/>
      </c>
      <c r="F13">
        <f>HYPERLINK("https://www.amazon.jobs/jobs/3128807/sr-applied-scientist-agi-foundations?cmpid=DA_INAD200785B", "https://www.amazon.jobs/jobs/3128807/sr-applied-scientist-agi-foundations?cmpid=DA_INAD200785B")</f>
        <v/>
      </c>
      <c r="G13" t="inlineStr">
        <is>
          <t>Bellevue, WA, US</t>
        </is>
      </c>
      <c r="H13" s="3" t="n">
        <v>45978</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in-7a4b74c5607fdc96</t>
        </is>
      </c>
      <c r="B14" t="inlineStr">
        <is>
          <t>Sr. Applied Scientist, AGI Foundations</t>
        </is>
      </c>
      <c r="C14" t="inlineStr">
        <is>
          <t>Amazon.com</t>
        </is>
      </c>
      <c r="D14" t="inlineStr">
        <is>
          <t>indeed</t>
        </is>
      </c>
      <c r="E14">
        <f>HYPERLINK("https://www.indeed.com/viewjob?jk=7a4b74c5607fdc96", "https://www.indeed.com/viewjob?jk=7a4b74c5607fdc96")</f>
        <v/>
      </c>
      <c r="F14">
        <f>HYPERLINK("https://www.amazon.jobs/jobs/3128807/sr-applied-scientist-agi-foundations?cmpid=DA_INAD200785B", "https://www.amazon.jobs/jobs/3128807/sr-applied-scientist-agi-foundations?cmpid=DA_INAD200785B")</f>
        <v/>
      </c>
      <c r="G14" t="inlineStr">
        <is>
          <t>Sunnyvale, CA, US</t>
        </is>
      </c>
      <c r="H14" s="3" t="n">
        <v>45978</v>
      </c>
      <c r="I1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in-fe09a7bdcb23a672</t>
        </is>
      </c>
      <c r="B15" t="inlineStr">
        <is>
          <t>Sr. Applied Scientist, AGI Foundations</t>
        </is>
      </c>
      <c r="C15" t="inlineStr">
        <is>
          <t>Amazon.com</t>
        </is>
      </c>
      <c r="D15" t="inlineStr">
        <is>
          <t>indeed</t>
        </is>
      </c>
      <c r="E15">
        <f>HYPERLINK("https://www.indeed.com/viewjob?jk=fe09a7bdcb23a672", "https://www.indeed.com/viewjob?jk=fe09a7bdcb23a672")</f>
        <v/>
      </c>
      <c r="F15">
        <f>HYPERLINK("https://www.amazon.jobs/jobs/3128807/sr-applied-scientist-agi-foundations?cmpid=DA_INAD200785B", "https://www.amazon.jobs/jobs/3128807/sr-applied-scientist-agi-foundations?cmpid=DA_INAD200785B")</f>
        <v/>
      </c>
      <c r="G15" t="inlineStr">
        <is>
          <t>Boston, MA, US</t>
        </is>
      </c>
      <c r="H15" s="3" t="n">
        <v>45978</v>
      </c>
      <c r="I1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in-cff2818a7551d43c</t>
        </is>
      </c>
      <c r="B16" t="inlineStr">
        <is>
          <t>Sr. Applied Scientist, AGI Foundations</t>
        </is>
      </c>
      <c r="C16" t="inlineStr">
        <is>
          <t>Amazon.com</t>
        </is>
      </c>
      <c r="D16" t="inlineStr">
        <is>
          <t>indeed</t>
        </is>
      </c>
      <c r="E16">
        <f>HYPERLINK("https://www.indeed.com/viewjob?jk=cff2818a7551d43c", "https://www.indeed.com/viewjob?jk=cff2818a7551d43c")</f>
        <v/>
      </c>
      <c r="F16">
        <f>HYPERLINK("https://www.amazon.jobs/jobs/3123268/sr-applied-scientist-agi-foundations?cmpid=DA_INAD200785B", "https://www.amazon.jobs/jobs/3123268/sr-applied-scientist-agi-foundations?cmpid=DA_INAD200785B")</f>
        <v/>
      </c>
      <c r="G16" t="inlineStr">
        <is>
          <t>New York, NY, US</t>
        </is>
      </c>
      <c r="H16" s="3" t="n">
        <v>45963</v>
      </c>
      <c r="I1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in-48dd78a104800eb5</t>
        </is>
      </c>
      <c r="B17" t="inlineStr">
        <is>
          <t>Sr. Applied Scientist, AGI Foundations</t>
        </is>
      </c>
      <c r="C17" t="inlineStr">
        <is>
          <t>Amazon.com</t>
        </is>
      </c>
      <c r="D17" t="inlineStr">
        <is>
          <t>indeed</t>
        </is>
      </c>
      <c r="E17">
        <f>HYPERLINK("https://www.indeed.com/viewjob?jk=48dd78a104800eb5", "https://www.indeed.com/viewjob?jk=48dd78a104800eb5")</f>
        <v/>
      </c>
      <c r="F17">
        <f>HYPERLINK("https://www.amazon.jobs/jobs/3123268/sr-applied-scientist-agi-foundations?cmpid=DA_INAD200785B", "https://www.amazon.jobs/jobs/3123268/sr-applied-scientist-agi-foundations?cmpid=DA_INAD200785B")</f>
        <v/>
      </c>
      <c r="G17" t="inlineStr">
        <is>
          <t>Boston, MA, US</t>
        </is>
      </c>
      <c r="H17" s="3" t="n">
        <v>45963</v>
      </c>
      <c r="I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in-89262cc8102150e9</t>
        </is>
      </c>
      <c r="B18" t="inlineStr">
        <is>
          <t>Sr. Applied Scientist, AGI Foundations</t>
        </is>
      </c>
      <c r="C18" t="inlineStr">
        <is>
          <t>Amazon.com</t>
        </is>
      </c>
      <c r="D18" t="inlineStr">
        <is>
          <t>indeed</t>
        </is>
      </c>
      <c r="E18">
        <f>HYPERLINK("https://www.indeed.com/viewjob?jk=89262cc8102150e9", "https://www.indeed.com/viewjob?jk=89262cc8102150e9")</f>
        <v/>
      </c>
      <c r="F18">
        <f>HYPERLINK("https://www.amazon.jobs/jobs/3123268/sr-applied-scientist-agi-foundations?cmpid=DA_INAD200785B", "https://www.amazon.jobs/jobs/3123268/sr-applied-scientist-agi-foundations?cmpid=DA_INAD200785B")</f>
        <v/>
      </c>
      <c r="G18" t="inlineStr">
        <is>
          <t>Bellevue, WA, US</t>
        </is>
      </c>
      <c r="H18" s="3" t="n">
        <v>45963</v>
      </c>
      <c r="I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in-4bc271b7f8f3563d</t>
        </is>
      </c>
      <c r="B19" t="inlineStr">
        <is>
          <t>Applied Scientist II, Prime Video - Personalization and Discovery Science, Personalization and Discovery Science</t>
        </is>
      </c>
      <c r="C19" t="inlineStr">
        <is>
          <t>Amazon.com</t>
        </is>
      </c>
      <c r="D19" t="inlineStr">
        <is>
          <t>indeed</t>
        </is>
      </c>
      <c r="E19">
        <f>HYPERLINK("https://www.indeed.com/viewjob?jk=4bc271b7f8f3563d", "https://www.indeed.com/viewjob?jk=4bc271b7f8f3563d")</f>
        <v/>
      </c>
      <c r="F1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 t="inlineStr">
        <is>
          <t>Sunnyvale, CA, US</t>
        </is>
      </c>
      <c r="H19" s="3"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in-a8abe73c360508f5</t>
        </is>
      </c>
      <c r="B20" t="inlineStr">
        <is>
          <t>Applied Scientist II, Prime Video - Personalization and Discovery Science, Personalization and Discovery Science</t>
        </is>
      </c>
      <c r="C20" t="inlineStr">
        <is>
          <t>Amazon.com</t>
        </is>
      </c>
      <c r="D20" t="inlineStr">
        <is>
          <t>indeed</t>
        </is>
      </c>
      <c r="E20">
        <f>HYPERLINK("https://www.indeed.com/viewjob?jk=a8abe73c360508f5", "https://www.indeed.com/viewjob?jk=a8abe73c360508f5")</f>
        <v/>
      </c>
      <c r="F2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 t="inlineStr">
        <is>
          <t>New York, NY, US</t>
        </is>
      </c>
      <c r="H20" s="3"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in-65c5fc8e3be4efdc</t>
        </is>
      </c>
      <c r="B21" t="inlineStr">
        <is>
          <t>Applied Scientist II, Prime Video - Personalization and Discovery Science, Personalization and Discovery Science</t>
        </is>
      </c>
      <c r="C21" t="inlineStr">
        <is>
          <t>Amazon.com</t>
        </is>
      </c>
      <c r="D21" t="inlineStr">
        <is>
          <t>indeed</t>
        </is>
      </c>
      <c r="E21">
        <f>HYPERLINK("https://www.indeed.com/viewjob?jk=65c5fc8e3be4efdc", "https://www.indeed.com/viewjob?jk=65c5fc8e3be4efdc")</f>
        <v/>
      </c>
      <c r="F2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 t="inlineStr">
        <is>
          <t>Seattle, WA, US</t>
        </is>
      </c>
      <c r="H21" s="3" t="n">
        <v>45930</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in-aab67c1537ee58f7</t>
        </is>
      </c>
      <c r="B22" t="inlineStr">
        <is>
          <t>Applied Scientist II, Prime Video - Personalization and Discovery Science</t>
        </is>
      </c>
      <c r="C22" t="inlineStr">
        <is>
          <t>Amazon.com</t>
        </is>
      </c>
      <c r="D22" t="inlineStr">
        <is>
          <t>indeed</t>
        </is>
      </c>
      <c r="E22">
        <f>HYPERLINK("https://www.indeed.com/viewjob?jk=aab67c1537ee58f7", "https://www.indeed.com/viewjob?jk=aab67c1537ee58f7")</f>
        <v/>
      </c>
      <c r="F22">
        <f>HYPERLINK("https://www.amazon.jobs/jobs/3086060/applied-scientist-ii-prime-video--personalization-and-discovery-science?cmpid=DA_INAD200785B", "https://www.amazon.jobs/jobs/3086060/applied-scientist-ii-prime-video--personalization-and-discovery-science?cmpid=DA_INAD200785B")</f>
        <v/>
      </c>
      <c r="G22" t="inlineStr">
        <is>
          <t>New York, NY, US</t>
        </is>
      </c>
      <c r="H22" s="3" t="n">
        <v>45915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in-37bfa2b92ed354b0</t>
        </is>
      </c>
      <c r="B23" t="inlineStr">
        <is>
          <t>Applied Scientist II, Prime Video - Personalization and Discovery Science</t>
        </is>
      </c>
      <c r="C23" t="inlineStr">
        <is>
          <t>Amazon.com</t>
        </is>
      </c>
      <c r="D23" t="inlineStr">
        <is>
          <t>indeed</t>
        </is>
      </c>
      <c r="E23">
        <f>HYPERLINK("https://www.indeed.com/viewjob?jk=37bfa2b92ed354b0", "https://www.indeed.com/viewjob?jk=37bfa2b92ed354b0")</f>
        <v/>
      </c>
      <c r="F23">
        <f>HYPERLINK("https://www.amazon.jobs/jobs/3086060/applied-scientist-ii-prime-video--personalization-and-discovery-science?cmpid=DA_INAD200785B", "https://www.amazon.jobs/jobs/3086060/applied-scientist-ii-prime-video--personalization-and-discovery-science?cmpid=DA_INAD200785B")</f>
        <v/>
      </c>
      <c r="G23" t="inlineStr">
        <is>
          <t>Sunnyvale, CA, US</t>
        </is>
      </c>
      <c r="H23" s="3" t="n">
        <v>45915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in-94f4d4b4635c7921</t>
        </is>
      </c>
      <c r="B24" t="inlineStr">
        <is>
          <t>Applied Scientist II, Prime Video - Personalization and Discovery Science</t>
        </is>
      </c>
      <c r="C24" t="inlineStr">
        <is>
          <t>Amazon.com</t>
        </is>
      </c>
      <c r="D24" t="inlineStr">
        <is>
          <t>indeed</t>
        </is>
      </c>
      <c r="E24">
        <f>HYPERLINK("https://www.indeed.com/viewjob?jk=94f4d4b4635c7921", "https://www.indeed.com/viewjob?jk=94f4d4b4635c7921")</f>
        <v/>
      </c>
      <c r="F24">
        <f>HYPERLINK("https://www.amazon.jobs/jobs/3086060/applied-scientist-ii-prime-video--personalization-and-discovery-science?cmpid=DA_INAD200785B", "https://www.amazon.jobs/jobs/3086060/applied-scientist-ii-prime-video--personalization-and-discovery-science?cmpid=DA_INAD200785B")</f>
        <v/>
      </c>
      <c r="G24" t="inlineStr">
        <is>
          <t>Seattle, WA, US</t>
        </is>
      </c>
      <c r="H24" s="3" t="n">
        <v>45915</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in-74160e21402b84b2</t>
        </is>
      </c>
      <c r="B25" t="inlineStr">
        <is>
          <t>Sr. Applied Scientist, Prime Video - Personalization and Discovery Science</t>
        </is>
      </c>
      <c r="C25" t="inlineStr">
        <is>
          <t>Amazon.com</t>
        </is>
      </c>
      <c r="D25" t="inlineStr">
        <is>
          <t>indeed</t>
        </is>
      </c>
      <c r="E25">
        <f>HYPERLINK("https://www.indeed.com/viewjob?jk=74160e21402b84b2", "https://www.indeed.com/viewjob?jk=74160e21402b84b2")</f>
        <v/>
      </c>
      <c r="F25">
        <f>HYPERLINK("https://www.amazon.jobs/jobs/3083564/sr-applied-scientist-prime-video--personalization-and-discovery-science?cmpid=DA_INAD200785B", "https://www.amazon.jobs/jobs/3083564/sr-applied-scientist-prime-video--personalization-and-discovery-science?cmpid=DA_INAD200785B")</f>
        <v/>
      </c>
      <c r="G25" t="inlineStr">
        <is>
          <t>New York, NY, US</t>
        </is>
      </c>
      <c r="H25" s="3" t="n">
        <v>45914</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in-b41bfea2fcff2ac4</t>
        </is>
      </c>
      <c r="B26" t="inlineStr">
        <is>
          <t>Sr. Applied Scientist, Prime Video - Personalization and Discovery Science</t>
        </is>
      </c>
      <c r="C26" t="inlineStr">
        <is>
          <t>Amazon.com</t>
        </is>
      </c>
      <c r="D26" t="inlineStr">
        <is>
          <t>indeed</t>
        </is>
      </c>
      <c r="E26">
        <f>HYPERLINK("https://www.indeed.com/viewjob?jk=b41bfea2fcff2ac4", "https://www.indeed.com/viewjob?jk=b41bfea2fcff2ac4")</f>
        <v/>
      </c>
      <c r="F26">
        <f>HYPERLINK("https://www.amazon.jobs/jobs/3083564/sr-applied-scientist-prime-video--personalization-and-discovery-science?cmpid=DA_INAD200785B", "https://www.amazon.jobs/jobs/3083564/sr-applied-scientist-prime-video--personalization-and-discovery-science?cmpid=DA_INAD200785B")</f>
        <v/>
      </c>
      <c r="G26" t="inlineStr">
        <is>
          <t>Sunnyvale, CA, US</t>
        </is>
      </c>
      <c r="H26" s="3" t="n">
        <v>45914</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in-eaf383dc2f9a9b77</t>
        </is>
      </c>
      <c r="B27" t="inlineStr">
        <is>
          <t>Sr. Applied Scientist, Prime Video - Personalization and Discovery Science</t>
        </is>
      </c>
      <c r="C27" t="inlineStr">
        <is>
          <t>Amazon.com</t>
        </is>
      </c>
      <c r="D27" t="inlineStr">
        <is>
          <t>indeed</t>
        </is>
      </c>
      <c r="E27">
        <f>HYPERLINK("https://www.indeed.com/viewjob?jk=eaf383dc2f9a9b77", "https://www.indeed.com/viewjob?jk=eaf383dc2f9a9b77")</f>
        <v/>
      </c>
      <c r="F27">
        <f>HYPERLINK("https://www.amazon.jobs/jobs/3083564/sr-applied-scientist-prime-video--personalization-and-discovery-science?cmpid=DA_INAD200785B", "https://www.amazon.jobs/jobs/3083564/sr-applied-scientist-prime-video--personalization-and-discovery-science?cmpid=DA_INAD200785B")</f>
        <v/>
      </c>
      <c r="G27" t="inlineStr">
        <is>
          <t>Seattle, WA, US</t>
        </is>
      </c>
      <c r="H27" s="3" t="n">
        <v>45914</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in-19ca21ef9a7f21a5</t>
        </is>
      </c>
      <c r="B28" t="inlineStr">
        <is>
          <t>Sr. Applied Scientist, Prime Video - Personalization and Discovery Science</t>
        </is>
      </c>
      <c r="C28" t="inlineStr">
        <is>
          <t>Amazon.com</t>
        </is>
      </c>
      <c r="D28" t="inlineStr">
        <is>
          <t>indeed</t>
        </is>
      </c>
      <c r="E28">
        <f>HYPERLINK("https://www.indeed.com/viewjob?jk=19ca21ef9a7f21a5", "https://www.indeed.com/viewjob?jk=19ca21ef9a7f21a5")</f>
        <v/>
      </c>
      <c r="F28">
        <f>HYPERLINK("https://www.amazon.jobs/jobs/3059256/sr-applied-scientist-prime-video--personalization-and-discovery-science?cmpid=DA_INAD200785B", "https://www.amazon.jobs/jobs/3059256/sr-applied-scientist-prime-video--personalization-and-discovery-science?cmpid=DA_INAD200785B")</f>
        <v/>
      </c>
      <c r="G28" t="inlineStr">
        <is>
          <t>Seattle, WA, US</t>
        </is>
      </c>
      <c r="H28" s="3"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in-fb948bd47e523830</t>
        </is>
      </c>
      <c r="B29" t="inlineStr">
        <is>
          <t>Applied Scientist II, Prime Video - Personalization and Discovery Science</t>
        </is>
      </c>
      <c r="C29" t="inlineStr">
        <is>
          <t>Amazon.com</t>
        </is>
      </c>
      <c r="D29" t="inlineStr">
        <is>
          <t>indeed</t>
        </is>
      </c>
      <c r="E29">
        <f>HYPERLINK("https://www.indeed.com/viewjob?jk=fb948bd47e523830", "https://www.indeed.com/viewjob?jk=fb948bd47e523830")</f>
        <v/>
      </c>
      <c r="F29">
        <f>HYPERLINK("https://www.amazon.jobs/jobs/3059253/applied-scientist-ii-prime-video--personalization-and-discovery-science?cmpid=DA_INAD200785B", "https://www.amazon.jobs/jobs/3059253/applied-scientist-ii-prime-video--personalization-and-discovery-science?cmpid=DA_INAD200785B")</f>
        <v/>
      </c>
      <c r="G29" t="inlineStr">
        <is>
          <t>New York, NY, US</t>
        </is>
      </c>
      <c r="H29" s="3"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in-9bb65d77da05eb55</t>
        </is>
      </c>
      <c r="B30" t="inlineStr">
        <is>
          <t>Sr. Applied Scientist, Prime Video - Personalization and Discovery Science</t>
        </is>
      </c>
      <c r="C30" t="inlineStr">
        <is>
          <t>Amazon.com</t>
        </is>
      </c>
      <c r="D30" t="inlineStr">
        <is>
          <t>indeed</t>
        </is>
      </c>
      <c r="E30">
        <f>HYPERLINK("https://www.indeed.com/viewjob?jk=9bb65d77da05eb55", "https://www.indeed.com/viewjob?jk=9bb65d77da05eb55")</f>
        <v/>
      </c>
      <c r="F30">
        <f>HYPERLINK("https://www.amazon.jobs/jobs/3059256/sr-applied-scientist-prime-video--personalization-and-discovery-science?cmpid=DA_INAD200785B", "https://www.amazon.jobs/jobs/3059256/sr-applied-scientist-prime-video--personalization-and-discovery-science?cmpid=DA_INAD200785B")</f>
        <v/>
      </c>
      <c r="G30" t="inlineStr">
        <is>
          <t>Sunnyvale, CA, US</t>
        </is>
      </c>
      <c r="H30" s="3"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in-1e8b415f943f9c1d</t>
        </is>
      </c>
      <c r="B31" t="inlineStr">
        <is>
          <t>Sr. Applied Scientist, Prime Video - Personalization and Discovery Science</t>
        </is>
      </c>
      <c r="C31" t="inlineStr">
        <is>
          <t>Amazon.com</t>
        </is>
      </c>
      <c r="D31" t="inlineStr">
        <is>
          <t>indeed</t>
        </is>
      </c>
      <c r="E31">
        <f>HYPERLINK("https://www.indeed.com/viewjob?jk=1e8b415f943f9c1d", "https://www.indeed.com/viewjob?jk=1e8b415f943f9c1d")</f>
        <v/>
      </c>
      <c r="F31">
        <f>HYPERLINK("https://www.amazon.jobs/jobs/3059256/sr-applied-scientist-prime-video--personalization-and-discovery-science?cmpid=DA_INAD200785B", "https://www.amazon.jobs/jobs/3059256/sr-applied-scientist-prime-video--personalization-and-discovery-science?cmpid=DA_INAD200785B")</f>
        <v/>
      </c>
      <c r="G31" t="inlineStr">
        <is>
          <t>New York, NY, US</t>
        </is>
      </c>
      <c r="H31" s="3"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in-9b9455028f650078</t>
        </is>
      </c>
      <c r="B32" t="inlineStr">
        <is>
          <t>Applied Scientist II, Prime Video - Personalization and Discovery Science</t>
        </is>
      </c>
      <c r="C32" t="inlineStr">
        <is>
          <t>Amazon.com</t>
        </is>
      </c>
      <c r="D32" t="inlineStr">
        <is>
          <t>indeed</t>
        </is>
      </c>
      <c r="E32">
        <f>HYPERLINK("https://www.indeed.com/viewjob?jk=9b9455028f650078", "https://www.indeed.com/viewjob?jk=9b9455028f650078")</f>
        <v/>
      </c>
      <c r="F32">
        <f>HYPERLINK("https://www.amazon.jobs/jobs/3059253/applied-scientist-ii-prime-video--personalization-and-discovery-science?cmpid=DA_INAD200785B", "https://www.amazon.jobs/jobs/3059253/applied-scientist-ii-prime-video--personalization-and-discovery-science?cmpid=DA_INAD200785B")</f>
        <v/>
      </c>
      <c r="G32" t="inlineStr">
        <is>
          <t>Sunnyvale, CA, US</t>
        </is>
      </c>
      <c r="H32" s="3"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in-c43dc8e910498484</t>
        </is>
      </c>
      <c r="B33" t="inlineStr">
        <is>
          <t>Applied Scientist II, Prime Video - Personalization and Discovery Science</t>
        </is>
      </c>
      <c r="C33" t="inlineStr">
        <is>
          <t>Amazon.com</t>
        </is>
      </c>
      <c r="D33" t="inlineStr">
        <is>
          <t>indeed</t>
        </is>
      </c>
      <c r="E33">
        <f>HYPERLINK("https://www.indeed.com/viewjob?jk=c43dc8e910498484", "https://www.indeed.com/viewjob?jk=c43dc8e910498484")</f>
        <v/>
      </c>
      <c r="F33">
        <f>HYPERLINK("https://www.amazon.jobs/jobs/3059253/applied-scientist-ii-prime-video--personalization-and-discovery-science?cmpid=DA_INAD200785B", "https://www.amazon.jobs/jobs/3059253/applied-scientist-ii-prime-video--personalization-and-discovery-science?cmpid=DA_INAD200785B")</f>
        <v/>
      </c>
      <c r="G33" t="inlineStr">
        <is>
          <t>Seattle, WA, US</t>
        </is>
      </c>
      <c r="H33" s="3"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in-0abf9b772b95d200</t>
        </is>
      </c>
      <c r="B34" t="inlineStr">
        <is>
          <t>Applied Scientist, Prime Video - Personalization and Discovery Science</t>
        </is>
      </c>
      <c r="C34" t="inlineStr">
        <is>
          <t>Amazon.com</t>
        </is>
      </c>
      <c r="D34" t="inlineStr">
        <is>
          <t>indeed</t>
        </is>
      </c>
      <c r="E34">
        <f>HYPERLINK("https://www.indeed.com/viewjob?jk=0abf9b772b95d200", "https://www.indeed.com/viewjob?jk=0abf9b772b95d200")</f>
        <v/>
      </c>
      <c r="F34">
        <f>HYPERLINK("https://www.amazon.jobs/jobs/3033050/applied-scientist-prime-video--personalization-and-discovery-science?cmpid=DA_INAD200785B", "https://www.amazon.jobs/jobs/3033050/applied-scientist-prime-video--personalization-and-discovery-science?cmpid=DA_INAD200785B")</f>
        <v/>
      </c>
      <c r="G34" t="inlineStr">
        <is>
          <t>Seattle, WA, US</t>
        </is>
      </c>
      <c r="H34" s="3" t="n">
        <v>45845</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in-48f271a8a5da52dc</t>
        </is>
      </c>
      <c r="B35" t="inlineStr">
        <is>
          <t>Applied Scientist, Prime Video - Personalization and Discovery Science</t>
        </is>
      </c>
      <c r="C35" t="inlineStr">
        <is>
          <t>Amazon.com</t>
        </is>
      </c>
      <c r="D35" t="inlineStr">
        <is>
          <t>indeed</t>
        </is>
      </c>
      <c r="E35">
        <f>HYPERLINK("https://www.indeed.com/viewjob?jk=48f271a8a5da52dc", "https://www.indeed.com/viewjob?jk=48f271a8a5da52dc")</f>
        <v/>
      </c>
      <c r="F35">
        <f>HYPERLINK("https://www.amazon.jobs/jobs/3033050/applied-scientist-prime-video--personalization-and-discovery-science?cmpid=DA_INAD200785B", "https://www.amazon.jobs/jobs/3033050/applied-scientist-prime-video--personalization-and-discovery-science?cmpid=DA_INAD200785B")</f>
        <v/>
      </c>
      <c r="G35" t="inlineStr">
        <is>
          <t>New York, NY, US</t>
        </is>
      </c>
      <c r="H35" s="3" t="n">
        <v>45845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in-2f5c9f5d1b2a0582</t>
        </is>
      </c>
      <c r="B36" t="inlineStr">
        <is>
          <t>Applied Scientist, Prime Video - Personalization and Discovery Science</t>
        </is>
      </c>
      <c r="C36" t="inlineStr">
        <is>
          <t>Amazon.com</t>
        </is>
      </c>
      <c r="D36" t="inlineStr">
        <is>
          <t>indeed</t>
        </is>
      </c>
      <c r="E36">
        <f>HYPERLINK("https://www.indeed.com/viewjob?jk=2f5c9f5d1b2a0582", "https://www.indeed.com/viewjob?jk=2f5c9f5d1b2a0582")</f>
        <v/>
      </c>
      <c r="F36">
        <f>HYPERLINK("https://www.amazon.jobs/jobs/3033050/applied-scientist-prime-video--personalization-and-discovery-science?cmpid=DA_INAD200785B", "https://www.amazon.jobs/jobs/3033050/applied-scientist-prime-video--personalization-and-discovery-science?cmpid=DA_INAD200785B")</f>
        <v/>
      </c>
      <c r="G36" t="inlineStr">
        <is>
          <t>Sunnyvale, CA, US</t>
        </is>
      </c>
      <c r="H36" s="3" t="n">
        <v>45845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in-f99d10957aadc785</t>
        </is>
      </c>
      <c r="B37" t="inlineStr">
        <is>
          <t>Applied Scientist, AGI</t>
        </is>
      </c>
      <c r="C37" t="inlineStr">
        <is>
          <t>Amazon.com</t>
        </is>
      </c>
      <c r="D37" t="inlineStr">
        <is>
          <t>indeed</t>
        </is>
      </c>
      <c r="E37">
        <f>HYPERLINK("https://www.indeed.com/viewjob?jk=f99d10957aadc785", "https://www.indeed.com/viewjob?jk=f99d10957aadc785")</f>
        <v/>
      </c>
      <c r="F37">
        <f>HYPERLINK("https://www.amazon.jobs/jobs/3139033/applied-scientist-agi?cmpid=DA_INAD200785B", "https://www.amazon.jobs/jobs/3139033/applied-scientist-agi?cmpid=DA_INAD200785B")</f>
        <v/>
      </c>
      <c r="G37" t="inlineStr">
        <is>
          <t>Cambridge, MA, US</t>
        </is>
      </c>
      <c r="H37" s="3" t="n">
        <v>45998</v>
      </c>
      <c r="I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in-8cd2cb92445b08d5</t>
        </is>
      </c>
      <c r="B38" t="inlineStr">
        <is>
          <t>Applied Scientist, AGI</t>
        </is>
      </c>
      <c r="C38" t="inlineStr">
        <is>
          <t>Amazon.com</t>
        </is>
      </c>
      <c r="D38" t="inlineStr">
        <is>
          <t>indeed</t>
        </is>
      </c>
      <c r="E38">
        <f>HYPERLINK("https://www.indeed.com/viewjob?jk=8cd2cb92445b08d5", "https://www.indeed.com/viewjob?jk=8cd2cb92445b08d5")</f>
        <v/>
      </c>
      <c r="F38">
        <f>HYPERLINK("https://www.amazon.jobs/jobs/3139033/applied-scientist-agi?cmpid=DA_INAD200785B", "https://www.amazon.jobs/jobs/3139033/applied-scientist-agi?cmpid=DA_INAD200785B")</f>
        <v/>
      </c>
      <c r="G38" t="inlineStr">
        <is>
          <t>New York, NY, US</t>
        </is>
      </c>
      <c r="H38" s="3" t="n">
        <v>45998</v>
      </c>
      <c r="I3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in-85fba7c4ecb270e4</t>
        </is>
      </c>
      <c r="B39" t="inlineStr">
        <is>
          <t>Applied Scientist, AGI</t>
        </is>
      </c>
      <c r="C39" t="inlineStr">
        <is>
          <t>Amazon.com</t>
        </is>
      </c>
      <c r="D39" t="inlineStr">
        <is>
          <t>indeed</t>
        </is>
      </c>
      <c r="E39">
        <f>HYPERLINK("https://www.indeed.com/viewjob?jk=85fba7c4ecb270e4", "https://www.indeed.com/viewjob?jk=85fba7c4ecb270e4")</f>
        <v/>
      </c>
      <c r="F39">
        <f>HYPERLINK("https://www.amazon.jobs/jobs/3139033/applied-scientist-agi?cmpid=DA_INAD200785B", "https://www.amazon.jobs/jobs/3139033/applied-scientist-agi?cmpid=DA_INAD200785B")</f>
        <v/>
      </c>
      <c r="G39" t="inlineStr">
        <is>
          <t>Sunnyvale, CA, US</t>
        </is>
      </c>
      <c r="H39" s="3" t="n">
        <v>45998</v>
      </c>
      <c r="I3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in-adf03081d0f72f73</t>
        </is>
      </c>
      <c r="B40" t="inlineStr">
        <is>
          <t>Applied Scientist, AGI</t>
        </is>
      </c>
      <c r="C40" t="inlineStr">
        <is>
          <t>Amazon.com</t>
        </is>
      </c>
      <c r="D40" t="inlineStr">
        <is>
          <t>indeed</t>
        </is>
      </c>
      <c r="E40">
        <f>HYPERLINK("https://www.indeed.com/viewjob?jk=adf03081d0f72f73", "https://www.indeed.com/viewjob?jk=adf03081d0f72f73")</f>
        <v/>
      </c>
      <c r="F40">
        <f>HYPERLINK("https://www.amazon.jobs/jobs/3139033/applied-scientist-agi?cmpid=DA_INAD200785B", "https://www.amazon.jobs/jobs/3139033/applied-scientist-agi?cmpid=DA_INAD200785B")</f>
        <v/>
      </c>
      <c r="G40" t="inlineStr">
        <is>
          <t>Bellevue, WA, US</t>
        </is>
      </c>
      <c r="H40" s="3" t="n">
        <v>45998</v>
      </c>
      <c r="I4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in-a332b9ec82d3a90c</t>
        </is>
      </c>
      <c r="B41" t="inlineStr">
        <is>
          <t>Sr. Applied Scientist, Amazon Ads</t>
        </is>
      </c>
      <c r="C41" t="inlineStr">
        <is>
          <t>Amazon.com</t>
        </is>
      </c>
      <c r="D41" t="inlineStr">
        <is>
          <t>indeed</t>
        </is>
      </c>
      <c r="E41">
        <f>HYPERLINK("https://www.indeed.com/viewjob?jk=a332b9ec82d3a90c", "https://www.indeed.com/viewjob?jk=a332b9ec82d3a90c")</f>
        <v/>
      </c>
      <c r="F41">
        <f>HYPERLINK("https://www.amazon.jobs/jobs/3139328/sr-applied-scientist-amazon-ads?cmpid=DA_INAD200785B", "https://www.amazon.jobs/jobs/3139328/sr-applied-scientist-amazon-ads?cmpid=DA_INAD200785B")</f>
        <v/>
      </c>
      <c r="G41" t="inlineStr">
        <is>
          <t>Tukwila, WA, US</t>
        </is>
      </c>
      <c r="H41" s="3"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in-a10a5f0501262e0c</t>
        </is>
      </c>
      <c r="B42" t="inlineStr">
        <is>
          <t>Sr. Applied Scientist, Amazon Ads</t>
        </is>
      </c>
      <c r="C42" t="inlineStr">
        <is>
          <t>Amazon.com</t>
        </is>
      </c>
      <c r="D42" t="inlineStr">
        <is>
          <t>indeed</t>
        </is>
      </c>
      <c r="E42">
        <f>HYPERLINK("https://www.indeed.com/viewjob?jk=a10a5f0501262e0c", "https://www.indeed.com/viewjob?jk=a10a5f0501262e0c")</f>
        <v/>
      </c>
      <c r="F42">
        <f>HYPERLINK("https://www.amazon.jobs/jobs/3139328/sr-applied-scientist-amazon-ads?cmpid=DA_INAD200785B", "https://www.amazon.jobs/jobs/3139328/sr-applied-scientist-amazon-ads?cmpid=DA_INAD200785B")</f>
        <v/>
      </c>
      <c r="G42" t="inlineStr">
        <is>
          <t>Seattle, WA, US</t>
        </is>
      </c>
      <c r="H42" s="3"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in-d9a365bee7a32d44</t>
        </is>
      </c>
      <c r="B43" t="inlineStr">
        <is>
          <t>Sr. Applied Scientist, Amazon Ads</t>
        </is>
      </c>
      <c r="C43" t="inlineStr">
        <is>
          <t>Amazon.com</t>
        </is>
      </c>
      <c r="D43" t="inlineStr">
        <is>
          <t>indeed</t>
        </is>
      </c>
      <c r="E43">
        <f>HYPERLINK("https://www.indeed.com/viewjob?jk=d9a365bee7a32d44", "https://www.indeed.com/viewjob?jk=d9a365bee7a32d44")</f>
        <v/>
      </c>
      <c r="F43">
        <f>HYPERLINK("https://www.amazon.jobs/jobs/3139328/sr-applied-scientist-amazon-ads?cmpid=DA_INAD200785B", "https://www.amazon.jobs/jobs/3139328/sr-applied-scientist-amazon-ads?cmpid=DA_INAD200785B")</f>
        <v/>
      </c>
      <c r="G43" t="inlineStr">
        <is>
          <t>Palo Alto, CA, US</t>
        </is>
      </c>
      <c r="H43" s="3"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in-44cb7c38a5e58a5e</t>
        </is>
      </c>
      <c r="B44" t="inlineStr">
        <is>
          <t>Sr. Applied Scientist, Amazon Ads</t>
        </is>
      </c>
      <c r="C44" t="inlineStr">
        <is>
          <t>Amazon.com</t>
        </is>
      </c>
      <c r="D44" t="inlineStr">
        <is>
          <t>indeed</t>
        </is>
      </c>
      <c r="E44">
        <f>HYPERLINK("https://www.indeed.com/viewjob?jk=44cb7c38a5e58a5e", "https://www.indeed.com/viewjob?jk=44cb7c38a5e58a5e")</f>
        <v/>
      </c>
      <c r="F44">
        <f>HYPERLINK("https://www.amazon.jobs/jobs/3139328/sr-applied-scientist-amazon-ads?cmpid=DA_INAD200785B", "https://www.amazon.jobs/jobs/3139328/sr-applied-scientist-amazon-ads?cmpid=DA_INAD200785B")</f>
        <v/>
      </c>
      <c r="G44" t="inlineStr">
        <is>
          <t>Brooklyn, NY, US</t>
        </is>
      </c>
      <c r="H44" s="3"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in-05b23b9b3c8729a4</t>
        </is>
      </c>
      <c r="B45" t="inlineStr">
        <is>
          <t>Sr. Applied Scientist, Amazon Ads</t>
        </is>
      </c>
      <c r="C45" t="inlineStr">
        <is>
          <t>Amazon.com</t>
        </is>
      </c>
      <c r="D45" t="inlineStr">
        <is>
          <t>indeed</t>
        </is>
      </c>
      <c r="E45">
        <f>HYPERLINK("https://www.indeed.com/viewjob?jk=05b23b9b3c8729a4", "https://www.indeed.com/viewjob?jk=05b23b9b3c8729a4")</f>
        <v/>
      </c>
      <c r="F45">
        <f>HYPERLINK("https://www.amazon.jobs/jobs/3139328/sr-applied-scientist-amazon-ads?cmpid=DA_INAD200785B", "https://www.amazon.jobs/jobs/3139328/sr-applied-scientist-amazon-ads?cmpid=DA_INAD200785B")</f>
        <v/>
      </c>
      <c r="G45" t="inlineStr">
        <is>
          <t>Santa Monica, CA, US</t>
        </is>
      </c>
      <c r="H45" s="3"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in-880c52a1146071bd</t>
        </is>
      </c>
      <c r="B46" t="inlineStr">
        <is>
          <t>Sr. Applied Scientist, Amazon Ads</t>
        </is>
      </c>
      <c r="C46" t="inlineStr">
        <is>
          <t>Amazon.com</t>
        </is>
      </c>
      <c r="D46" t="inlineStr">
        <is>
          <t>indeed</t>
        </is>
      </c>
      <c r="E46">
        <f>HYPERLINK("https://www.indeed.com/viewjob?jk=880c52a1146071bd", "https://www.indeed.com/viewjob?jk=880c52a1146071bd")</f>
        <v/>
      </c>
      <c r="F46">
        <f>HYPERLINK("https://www.amazon.jobs/jobs/3139328/sr-applied-scientist-amazon-ads?cmpid=DA_INAD200785B", "https://www.amazon.jobs/jobs/3139328/sr-applied-scientist-amazon-ads?cmpid=DA_INAD200785B")</f>
        <v/>
      </c>
      <c r="G46" t="inlineStr">
        <is>
          <t>Corvallis, OR, US</t>
        </is>
      </c>
      <c r="H46" s="3"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in-060c57bd82c96567</t>
        </is>
      </c>
      <c r="B47" t="inlineStr">
        <is>
          <t>Sr. Applied Scientist, Amazon Ads</t>
        </is>
      </c>
      <c r="C47" t="inlineStr">
        <is>
          <t>Amazon.com</t>
        </is>
      </c>
      <c r="D47" t="inlineStr">
        <is>
          <t>indeed</t>
        </is>
      </c>
      <c r="E47">
        <f>HYPERLINK("https://www.indeed.com/viewjob?jk=060c57bd82c96567", "https://www.indeed.com/viewjob?jk=060c57bd82c96567")</f>
        <v/>
      </c>
      <c r="F47">
        <f>HYPERLINK("https://www.amazon.jobs/jobs/3139328/sr-applied-scientist-amazon-ads?cmpid=DA_INAD200785B", "https://www.amazon.jobs/jobs/3139328/sr-applied-scientist-amazon-ads?cmpid=DA_INAD200785B")</f>
        <v/>
      </c>
      <c r="G47" t="inlineStr">
        <is>
          <t>Sunnyvale, CA, US</t>
        </is>
      </c>
      <c r="H47" s="3"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in-e064f5d617d9cc66</t>
        </is>
      </c>
      <c r="B48" t="inlineStr">
        <is>
          <t>Sr. Applied Scientist, Amazon Ads</t>
        </is>
      </c>
      <c r="C48" t="inlineStr">
        <is>
          <t>Amazon.com</t>
        </is>
      </c>
      <c r="D48" t="inlineStr">
        <is>
          <t>indeed</t>
        </is>
      </c>
      <c r="E48">
        <f>HYPERLINK("https://www.indeed.com/viewjob?jk=e064f5d617d9cc66", "https://www.indeed.com/viewjob?jk=e064f5d617d9cc66")</f>
        <v/>
      </c>
      <c r="F48">
        <f>HYPERLINK("https://www.amazon.jobs/jobs/3139328/sr-applied-scientist-amazon-ads?cmpid=DA_INAD200785B", "https://www.amazon.jobs/jobs/3139328/sr-applied-scientist-amazon-ads?cmpid=DA_INAD200785B")</f>
        <v/>
      </c>
      <c r="G48" t="inlineStr">
        <is>
          <t>Boston, MA, US</t>
        </is>
      </c>
      <c r="H48" s="3"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in-022bcf7d2b328908</t>
        </is>
      </c>
      <c r="B49" t="inlineStr">
        <is>
          <t>Sr. Applied Scientist, Amazon Ads</t>
        </is>
      </c>
      <c r="C49" t="inlineStr">
        <is>
          <t>Amazon.com</t>
        </is>
      </c>
      <c r="D49" t="inlineStr">
        <is>
          <t>indeed</t>
        </is>
      </c>
      <c r="E49">
        <f>HYPERLINK("https://www.indeed.com/viewjob?jk=022bcf7d2b328908", "https://www.indeed.com/viewjob?jk=022bcf7d2b328908")</f>
        <v/>
      </c>
      <c r="F49">
        <f>HYPERLINK("https://www.amazon.jobs/jobs/3139328/sr-applied-scientist-amazon-ads?cmpid=DA_INAD200785B", "https://www.amazon.jobs/jobs/3139328/sr-applied-scientist-amazon-ads?cmpid=DA_INAD200785B")</f>
        <v/>
      </c>
      <c r="G49" t="inlineStr">
        <is>
          <t>Boulder, CO, US</t>
        </is>
      </c>
      <c r="H49" s="3"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in-abd233732122a4f0</t>
        </is>
      </c>
      <c r="B50" t="inlineStr">
        <is>
          <t>Sr. Applied Scientist, Amazon Ads</t>
        </is>
      </c>
      <c r="C50" t="inlineStr">
        <is>
          <t>Amazon.com</t>
        </is>
      </c>
      <c r="D50" t="inlineStr">
        <is>
          <t>indeed</t>
        </is>
      </c>
      <c r="E50">
        <f>HYPERLINK("https://www.indeed.com/viewjob?jk=abd233732122a4f0", "https://www.indeed.com/viewjob?jk=abd233732122a4f0")</f>
        <v/>
      </c>
      <c r="F50">
        <f>HYPERLINK("https://www.amazon.jobs/jobs/3139328/sr-applied-scientist-amazon-ads?cmpid=DA_INAD200785B", "https://www.amazon.jobs/jobs/3139328/sr-applied-scientist-amazon-ads?cmpid=DA_INAD200785B")</f>
        <v/>
      </c>
      <c r="G50" t="inlineStr">
        <is>
          <t>New York, NY, US</t>
        </is>
      </c>
      <c r="H50" s="3"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in-1f3f7a9bc17f60f6</t>
        </is>
      </c>
      <c r="B51" t="inlineStr">
        <is>
          <t>Applied Scientist, ML Compiler</t>
        </is>
      </c>
      <c r="C51" t="inlineStr">
        <is>
          <t>Amazon Web Services</t>
        </is>
      </c>
      <c r="D51" t="inlineStr">
        <is>
          <t>indeed</t>
        </is>
      </c>
      <c r="E51">
        <f>HYPERLINK("https://www.indeed.com/viewjob?jk=1f3f7a9bc17f60f6", "https://www.indeed.com/viewjob?jk=1f3f7a9bc17f60f6")</f>
        <v/>
      </c>
      <c r="F51">
        <f>HYPERLINK("https://www.amazon.jobs/jobs/3136884/applied-scientist-ml-compiler?cmpid=DA_INAD200785B", "https://www.amazon.jobs/jobs/3136884/applied-scientist-ml-compiler?cmpid=DA_INAD200785B")</f>
        <v/>
      </c>
      <c r="G51" t="inlineStr">
        <is>
          <t>Cupertino, CA, US</t>
        </is>
      </c>
      <c r="H51" s="3" t="n">
        <v>45993</v>
      </c>
      <c r="I5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in-01bb957da174d172</t>
        </is>
      </c>
      <c r="B52" t="inlineStr">
        <is>
          <t>Applied Scientist, ML Compiler</t>
        </is>
      </c>
      <c r="C52" t="inlineStr">
        <is>
          <t>Amazon Web Services</t>
        </is>
      </c>
      <c r="D52" t="inlineStr">
        <is>
          <t>indeed</t>
        </is>
      </c>
      <c r="E52">
        <f>HYPERLINK("https://www.indeed.com/viewjob?jk=01bb957da174d172", "https://www.indeed.com/viewjob?jk=01bb957da174d172")</f>
        <v/>
      </c>
      <c r="F52">
        <f>HYPERLINK("https://www.amazon.jobs/jobs/3136884/applied-scientist-ml-compiler?cmpid=DA_INAD200785B", "https://www.amazon.jobs/jobs/3136884/applied-scientist-ml-compiler?cmpid=DA_INAD200785B")</f>
        <v/>
      </c>
      <c r="G52" t="inlineStr">
        <is>
          <t>Seattle, WA, US</t>
        </is>
      </c>
      <c r="H52" s="3" t="n">
        <v>45993</v>
      </c>
      <c r="I5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in-2073345e19384ed5</t>
        </is>
      </c>
      <c r="B53" t="inlineStr">
        <is>
          <t>Applied Scientist, Model Customization, Generative AI Innovation Center, Model Customization</t>
        </is>
      </c>
      <c r="C53" t="inlineStr">
        <is>
          <t>Amazon Web Services</t>
        </is>
      </c>
      <c r="D53" t="inlineStr">
        <is>
          <t>indeed</t>
        </is>
      </c>
      <c r="E53">
        <f>HYPERLINK("https://www.indeed.com/viewjob?jk=2073345e19384ed5", "https://www.indeed.com/viewjob?jk=2073345e19384ed5")</f>
        <v/>
      </c>
      <c r="F53">
        <f>HYPERLINK("https://www.amazon.jobs/jobs/3137793/applied-scientist-model-customization-generative-ai-innovation-center-model-customization?cmpid=DA_INAD200785B", "https://www.amazon.jobs/jobs/3137793/applied-scientist-model-customization-generative-ai-innovation-center-model-customization?cmpid=DA_INAD200785B")</f>
        <v/>
      </c>
      <c r="G53" t="inlineStr">
        <is>
          <t>Arlington, VA, US</t>
        </is>
      </c>
      <c r="H53" s="3" t="n">
        <v>45993</v>
      </c>
      <c r="I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in-9468873ed427c558</t>
        </is>
      </c>
      <c r="B54" t="inlineStr">
        <is>
          <t>Applied Scientist, Model Customization, Generative AI Innovation Center, Model Customization</t>
        </is>
      </c>
      <c r="C54" t="inlineStr">
        <is>
          <t>Amazon Web Services</t>
        </is>
      </c>
      <c r="D54" t="inlineStr">
        <is>
          <t>indeed</t>
        </is>
      </c>
      <c r="E54">
        <f>HYPERLINK("https://www.indeed.com/viewjob?jk=9468873ed427c558", "https://www.indeed.com/viewjob?jk=9468873ed427c558")</f>
        <v/>
      </c>
      <c r="F54">
        <f>HYPERLINK("https://www.amazon.jobs/jobs/3137793/applied-scientist-model-customization-generative-ai-innovation-center-model-customization?cmpid=DA_INAD200785B", "https://www.amazon.jobs/jobs/3137793/applied-scientist-model-customization-generative-ai-innovation-center-model-customization?cmpid=DA_INAD200785B")</f>
        <v/>
      </c>
      <c r="G54" t="inlineStr">
        <is>
          <t>New York, NY, US</t>
        </is>
      </c>
      <c r="H54" s="3" t="n">
        <v>45993</v>
      </c>
      <c r="I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in-38f1d519658c63a8</t>
        </is>
      </c>
      <c r="B55" t="inlineStr">
        <is>
          <t>Applied Scientist, Model Customization, Generative AI Innovation Center, Model Customization</t>
        </is>
      </c>
      <c r="C55" t="inlineStr">
        <is>
          <t>Amazon Web Services</t>
        </is>
      </c>
      <c r="D55" t="inlineStr">
        <is>
          <t>indeed</t>
        </is>
      </c>
      <c r="E55">
        <f>HYPERLINK("https://www.indeed.com/viewjob?jk=38f1d519658c63a8", "https://www.indeed.com/viewjob?jk=38f1d519658c63a8")</f>
        <v/>
      </c>
      <c r="F55">
        <f>HYPERLINK("https://www.amazon.jobs/jobs/3137793/applied-scientist-model-customization-generative-ai-innovation-center-model-customization?cmpid=DA_INAD200785B", "https://www.amazon.jobs/jobs/3137793/applied-scientist-model-customization-generative-ai-innovation-center-model-customization?cmpid=DA_INAD200785B")</f>
        <v/>
      </c>
      <c r="G55" t="inlineStr">
        <is>
          <t>Bellevue, WA, US</t>
        </is>
      </c>
      <c r="H55" s="3" t="n">
        <v>45993</v>
      </c>
      <c r="I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in-35c812689e0082f0</t>
        </is>
      </c>
      <c r="B56" t="inlineStr">
        <is>
          <t>Sr. Applied Scientist, Sponsored Products and Brands Off-Search</t>
        </is>
      </c>
      <c r="C56" t="inlineStr">
        <is>
          <t>Amazon.com</t>
        </is>
      </c>
      <c r="D56" t="inlineStr">
        <is>
          <t>indeed</t>
        </is>
      </c>
      <c r="E56">
        <f>HYPERLINK("https://www.indeed.com/viewjob?jk=35c812689e0082f0", "https://www.indeed.com/viewjob?jk=35c812689e0082f0")</f>
        <v/>
      </c>
      <c r="F56">
        <f>HYPERLINK("https://www.amazon.jobs/jobs/3136934/sr-applied-scientist-sponsored-products-and-brands-offsearch?cmpid=DA_INAD200785B", "https://www.amazon.jobs/jobs/3136934/sr-applied-scientist-sponsored-products-and-brands-offsearch?cmpid=DA_INAD200785B")</f>
        <v/>
      </c>
      <c r="G56" t="inlineStr">
        <is>
          <t>Seattle, WA, US</t>
        </is>
      </c>
      <c r="H56" s="3" t="n">
        <v>45993</v>
      </c>
      <c r="I5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in-4051116a2436b03c</t>
        </is>
      </c>
      <c r="B57" t="inlineStr">
        <is>
          <t>Sr. Applied Scientist, Sponsored Products and Brands Off-Search</t>
        </is>
      </c>
      <c r="C57" t="inlineStr">
        <is>
          <t>Amazon.com</t>
        </is>
      </c>
      <c r="D57" t="inlineStr">
        <is>
          <t>indeed</t>
        </is>
      </c>
      <c r="E57">
        <f>HYPERLINK("https://www.indeed.com/viewjob?jk=4051116a2436b03c", "https://www.indeed.com/viewjob?jk=4051116a2436b03c")</f>
        <v/>
      </c>
      <c r="F57">
        <f>HYPERLINK("https://www.amazon.jobs/jobs/3136934/sr-applied-scientist-sponsored-products-and-brands-offsearch?cmpid=DA_INAD200785B", "https://www.amazon.jobs/jobs/3136934/sr-applied-scientist-sponsored-products-and-brands-offsearch?cmpid=DA_INAD200785B")</f>
        <v/>
      </c>
      <c r="G57" t="inlineStr">
        <is>
          <t>New York, NY, US</t>
        </is>
      </c>
      <c r="H57" s="3" t="n">
        <v>45993</v>
      </c>
      <c r="I5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in-34d208cb49268116</t>
        </is>
      </c>
      <c r="B58" t="inlineStr">
        <is>
          <t>Senior Applied Scientist, Generative AI Innovation Center</t>
        </is>
      </c>
      <c r="C58" t="inlineStr">
        <is>
          <t>Amazon Web Services</t>
        </is>
      </c>
      <c r="D58" t="inlineStr">
        <is>
          <t>indeed</t>
        </is>
      </c>
      <c r="E58">
        <f>HYPERLINK("https://www.indeed.com/viewjob?jk=34d208cb49268116", "https://www.indeed.com/viewjob?jk=34d208cb49268116")</f>
        <v/>
      </c>
      <c r="F58">
        <f>HYPERLINK("https://www.amazon.jobs/jobs/3137791/senior-applied-scientist-generative-ai-innovation-center?cmpid=DA_INAD200785B", "https://www.amazon.jobs/jobs/3137791/senior-applied-scientist-generative-ai-innovation-center?cmpid=DA_INAD200785B")</f>
        <v/>
      </c>
      <c r="G58" t="inlineStr">
        <is>
          <t>Boston, MA, US</t>
        </is>
      </c>
      <c r="H58" s="3" t="n">
        <v>45981</v>
      </c>
      <c r="I5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in-467c49dd4d7fba5a</t>
        </is>
      </c>
      <c r="B59" t="inlineStr">
        <is>
          <t>Senior Applied Scientist, Generative AI Innovation Center</t>
        </is>
      </c>
      <c r="C59" t="inlineStr">
        <is>
          <t>Amazon Web Services</t>
        </is>
      </c>
      <c r="D59" t="inlineStr">
        <is>
          <t>indeed</t>
        </is>
      </c>
      <c r="E59">
        <f>HYPERLINK("https://www.indeed.com/viewjob?jk=467c49dd4d7fba5a", "https://www.indeed.com/viewjob?jk=467c49dd4d7fba5a")</f>
        <v/>
      </c>
      <c r="F59">
        <f>HYPERLINK("https://www.amazon.jobs/jobs/3137791/senior-applied-scientist-generative-ai-innovation-center?cmpid=DA_INAD200785B", "https://www.amazon.jobs/jobs/3137791/senior-applied-scientist-generative-ai-innovation-center?cmpid=DA_INAD200785B")</f>
        <v/>
      </c>
      <c r="G59" t="inlineStr">
        <is>
          <t>Houston, TX, US</t>
        </is>
      </c>
      <c r="H59" s="3" t="n">
        <v>45981</v>
      </c>
      <c r="I5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in-445f5b4f47c33121</t>
        </is>
      </c>
      <c r="B60" t="inlineStr">
        <is>
          <t>Senior Applied Scientist, Generative AI Innovation Center</t>
        </is>
      </c>
      <c r="C60" t="inlineStr">
        <is>
          <t>Amazon Web Services</t>
        </is>
      </c>
      <c r="D60" t="inlineStr">
        <is>
          <t>indeed</t>
        </is>
      </c>
      <c r="E60">
        <f>HYPERLINK("https://www.indeed.com/viewjob?jk=445f5b4f47c33121", "https://www.indeed.com/viewjob?jk=445f5b4f47c33121")</f>
        <v/>
      </c>
      <c r="F60">
        <f>HYPERLINK("https://www.amazon.jobs/jobs/3137791/senior-applied-scientist-generative-ai-innovation-center?cmpid=DA_INAD200785B", "https://www.amazon.jobs/jobs/3137791/senior-applied-scientist-generative-ai-innovation-center?cmpid=DA_INAD200785B")</f>
        <v/>
      </c>
      <c r="G60" t="inlineStr">
        <is>
          <t>Austin, TX, US</t>
        </is>
      </c>
      <c r="H60" s="3" t="n">
        <v>45981</v>
      </c>
      <c r="I6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in-010d214f80aabecb</t>
        </is>
      </c>
      <c r="B61" t="inlineStr">
        <is>
          <t>Senior Applied Scientist, Generative AI Innovation Center</t>
        </is>
      </c>
      <c r="C61" t="inlineStr">
        <is>
          <t>Amazon Web Services</t>
        </is>
      </c>
      <c r="D61" t="inlineStr">
        <is>
          <t>indeed</t>
        </is>
      </c>
      <c r="E61">
        <f>HYPERLINK("https://www.indeed.com/viewjob?jk=010d214f80aabecb", "https://www.indeed.com/viewjob?jk=010d214f80aabecb")</f>
        <v/>
      </c>
      <c r="F61">
        <f>HYPERLINK("https://www.amazon.jobs/jobs/3137791/senior-applied-scientist-generative-ai-innovation-center?cmpid=DA_INAD200785B", "https://www.amazon.jobs/jobs/3137791/senior-applied-scientist-generative-ai-innovation-center?cmpid=DA_INAD200785B")</f>
        <v/>
      </c>
      <c r="G61" t="inlineStr">
        <is>
          <t>Bellevue, WA, US</t>
        </is>
      </c>
      <c r="H61" s="3" t="n">
        <v>45981</v>
      </c>
      <c r="I6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in-15446d95907bf1fd</t>
        </is>
      </c>
      <c r="B62" t="inlineStr">
        <is>
          <t>Senior Applied Scientist, Generative AI Innovation Center</t>
        </is>
      </c>
      <c r="C62" t="inlineStr">
        <is>
          <t>Amazon Web Services</t>
        </is>
      </c>
      <c r="D62" t="inlineStr">
        <is>
          <t>indeed</t>
        </is>
      </c>
      <c r="E62">
        <f>HYPERLINK("https://www.indeed.com/viewjob?jk=15446d95907bf1fd", "https://www.indeed.com/viewjob?jk=15446d95907bf1fd")</f>
        <v/>
      </c>
      <c r="F62">
        <f>HYPERLINK("https://www.amazon.jobs/jobs/3137791/senior-applied-scientist-generative-ai-innovation-center?cmpid=DA_INAD200785B", "https://www.amazon.jobs/jobs/3137791/senior-applied-scientist-generative-ai-innovation-center?cmpid=DA_INAD200785B")</f>
        <v/>
      </c>
      <c r="G62" t="inlineStr">
        <is>
          <t>Seattle, WA, US</t>
        </is>
      </c>
      <c r="H62" s="3" t="n">
        <v>45981</v>
      </c>
      <c r="I6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in-92be733b4177e9b3</t>
        </is>
      </c>
      <c r="B63" t="inlineStr">
        <is>
          <t>Senior Applied Scientist, Generative AI Innovation Center</t>
        </is>
      </c>
      <c r="C63" t="inlineStr">
        <is>
          <t>Amazon Web Services</t>
        </is>
      </c>
      <c r="D63" t="inlineStr">
        <is>
          <t>indeed</t>
        </is>
      </c>
      <c r="E63">
        <f>HYPERLINK("https://www.indeed.com/viewjob?jk=92be733b4177e9b3", "https://www.indeed.com/viewjob?jk=92be733b4177e9b3")</f>
        <v/>
      </c>
      <c r="F63">
        <f>HYPERLINK("https://www.amazon.jobs/jobs/3137791/senior-applied-scientist-generative-ai-innovation-center?cmpid=DA_INAD200785B", "https://www.amazon.jobs/jobs/3137791/senior-applied-scientist-generative-ai-innovation-center?cmpid=DA_INAD200785B")</f>
        <v/>
      </c>
      <c r="G63" t="inlineStr">
        <is>
          <t>New York, NY, US</t>
        </is>
      </c>
      <c r="H63" s="3" t="n">
        <v>45981</v>
      </c>
      <c r="I6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in-88b5f9a4addb48c3</t>
        </is>
      </c>
      <c r="B64" t="inlineStr">
        <is>
          <t>Sr. Applied Scientist, SPB Advertiser Guidance</t>
        </is>
      </c>
      <c r="C64" t="inlineStr">
        <is>
          <t>Amazon.com</t>
        </is>
      </c>
      <c r="D64" t="inlineStr">
        <is>
          <t>indeed</t>
        </is>
      </c>
      <c r="E64">
        <f>HYPERLINK("https://www.indeed.com/viewjob?jk=88b5f9a4addb48c3", "https://www.indeed.com/viewjob?jk=88b5f9a4addb48c3")</f>
        <v/>
      </c>
      <c r="F64">
        <f>HYPERLINK("https://www.amazon.jobs/jobs/3132336/sr-applied-scientist-spb-advertiser-guidance?cmpid=DA_INAD200785B", "https://www.amazon.jobs/jobs/3132336/sr-applied-scientist-spb-advertiser-guidance?cmpid=DA_INAD200785B")</f>
        <v/>
      </c>
      <c r="G64" t="inlineStr">
        <is>
          <t>Seattle, WA, US</t>
        </is>
      </c>
      <c r="H64" s="3" t="n">
        <v>45981</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in-e136e3280f7ca4be</t>
        </is>
      </c>
      <c r="B65" t="inlineStr">
        <is>
          <t>Sr. Applied Scientist, SPB Advertiser Guidance</t>
        </is>
      </c>
      <c r="C65" t="inlineStr">
        <is>
          <t>Amazon.com</t>
        </is>
      </c>
      <c r="D65" t="inlineStr">
        <is>
          <t>indeed</t>
        </is>
      </c>
      <c r="E65">
        <f>HYPERLINK("https://www.indeed.com/viewjob?jk=e136e3280f7ca4be", "https://www.indeed.com/viewjob?jk=e136e3280f7ca4be")</f>
        <v/>
      </c>
      <c r="F65">
        <f>HYPERLINK("https://www.amazon.jobs/jobs/3132336/sr-applied-scientist-spb-advertiser-guidance?cmpid=DA_INAD200785B", "https://www.amazon.jobs/jobs/3132336/sr-applied-scientist-spb-advertiser-guidance?cmpid=DA_INAD200785B")</f>
        <v/>
      </c>
      <c r="G65" t="inlineStr">
        <is>
          <t>Palo Alto, CA, US</t>
        </is>
      </c>
      <c r="H65" s="3" t="n">
        <v>45981</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in-431a79ca4ae350b6</t>
        </is>
      </c>
      <c r="B66" t="inlineStr">
        <is>
          <t>Sr. Applied Scientist, SPB Advertiser Guidance</t>
        </is>
      </c>
      <c r="C66" t="inlineStr">
        <is>
          <t>Amazon.com</t>
        </is>
      </c>
      <c r="D66" t="inlineStr">
        <is>
          <t>indeed</t>
        </is>
      </c>
      <c r="E66">
        <f>HYPERLINK("https://www.indeed.com/viewjob?jk=431a79ca4ae350b6", "https://www.indeed.com/viewjob?jk=431a79ca4ae350b6")</f>
        <v/>
      </c>
      <c r="F66">
        <f>HYPERLINK("https://www.amazon.jobs/jobs/3132336/sr-applied-scientist-spb-advertiser-guidance?cmpid=DA_INAD200785B", "https://www.amazon.jobs/jobs/3132336/sr-applied-scientist-spb-advertiser-guidance?cmpid=DA_INAD200785B")</f>
        <v/>
      </c>
      <c r="G66" t="inlineStr">
        <is>
          <t>New York, NY, US</t>
        </is>
      </c>
      <c r="H66" s="3" t="n">
        <v>45981</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in-e00b75bc638f3292</t>
        </is>
      </c>
      <c r="B67" t="inlineStr">
        <is>
          <t>Senior Applied Scientist, Artificial General Intelligence</t>
        </is>
      </c>
      <c r="C67" t="inlineStr">
        <is>
          <t>Amazon.com</t>
        </is>
      </c>
      <c r="D67" t="inlineStr">
        <is>
          <t>indeed</t>
        </is>
      </c>
      <c r="E67">
        <f>HYPERLINK("https://www.indeed.com/viewjob?jk=e00b75bc638f3292", "https://www.indeed.com/viewjob?jk=e00b75bc638f3292")</f>
        <v/>
      </c>
      <c r="F67">
        <f>HYPERLINK("https://www.amazon.jobs/jobs/3131971/senior-applied-scientist-artificial-general-intelligence?cmpid=DA_INAD200785B", "https://www.amazon.jobs/jobs/3131971/senior-applied-scientist-artificial-general-intelligence?cmpid=DA_INAD200785B")</f>
        <v/>
      </c>
      <c r="G67" t="inlineStr">
        <is>
          <t>Seattle, WA, US</t>
        </is>
      </c>
      <c r="H67" s="3" t="n">
        <v>45980</v>
      </c>
      <c r="I6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in-52900ef7afec23ec</t>
        </is>
      </c>
      <c r="B68" t="inlineStr">
        <is>
          <t>Senior Applied Scientist, Artificial General Intelligence</t>
        </is>
      </c>
      <c r="C68" t="inlineStr">
        <is>
          <t>Amazon.com</t>
        </is>
      </c>
      <c r="D68" t="inlineStr">
        <is>
          <t>indeed</t>
        </is>
      </c>
      <c r="E68">
        <f>HYPERLINK("https://www.indeed.com/viewjob?jk=52900ef7afec23ec", "https://www.indeed.com/viewjob?jk=52900ef7afec23ec")</f>
        <v/>
      </c>
      <c r="F68">
        <f>HYPERLINK("https://www.amazon.jobs/jobs/3131971/senior-applied-scientist-artificial-general-intelligence?cmpid=DA_INAD200785B", "https://www.amazon.jobs/jobs/3131971/senior-applied-scientist-artificial-general-intelligence?cmpid=DA_INAD200785B")</f>
        <v/>
      </c>
      <c r="G68" t="inlineStr">
        <is>
          <t>Boston, MA, US</t>
        </is>
      </c>
      <c r="H68" s="3" t="n">
        <v>45980</v>
      </c>
      <c r="I6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in-67c8b72f6823a03a</t>
        </is>
      </c>
      <c r="B69" t="inlineStr">
        <is>
          <t>Senior Applied Scientist, Artificial General Intelligence</t>
        </is>
      </c>
      <c r="C69" t="inlineStr">
        <is>
          <t>Amazon.com</t>
        </is>
      </c>
      <c r="D69" t="inlineStr">
        <is>
          <t>indeed</t>
        </is>
      </c>
      <c r="E69">
        <f>HYPERLINK("https://www.indeed.com/viewjob?jk=67c8b72f6823a03a", "https://www.indeed.com/viewjob?jk=67c8b72f6823a03a")</f>
        <v/>
      </c>
      <c r="F69">
        <f>HYPERLINK("https://www.amazon.jobs/jobs/3131971/senior-applied-scientist-artificial-general-intelligence?cmpid=DA_INAD200785B", "https://www.amazon.jobs/jobs/3131971/senior-applied-scientist-artificial-general-intelligence?cmpid=DA_INAD200785B")</f>
        <v/>
      </c>
      <c r="G69" t="inlineStr">
        <is>
          <t>New York, NY, US</t>
        </is>
      </c>
      <c r="H69" s="3" t="n">
        <v>45980</v>
      </c>
      <c r="I6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in-facb28fbde4d879a</t>
        </is>
      </c>
      <c r="B70" t="inlineStr">
        <is>
          <t>Senior Applied Scientist, Artificial General Intelligence</t>
        </is>
      </c>
      <c r="C70" t="inlineStr">
        <is>
          <t>Amazon.com</t>
        </is>
      </c>
      <c r="D70" t="inlineStr">
        <is>
          <t>indeed</t>
        </is>
      </c>
      <c r="E70">
        <f>HYPERLINK("https://www.indeed.com/viewjob?jk=facb28fbde4d879a", "https://www.indeed.com/viewjob?jk=facb28fbde4d879a")</f>
        <v/>
      </c>
      <c r="F70">
        <f>HYPERLINK("https://www.amazon.jobs/jobs/3131971/senior-applied-scientist-artificial-general-intelligence?cmpid=DA_INAD200785B", "https://www.amazon.jobs/jobs/3131971/senior-applied-scientist-artificial-general-intelligence?cmpid=DA_INAD200785B")</f>
        <v/>
      </c>
      <c r="G70" t="inlineStr">
        <is>
          <t>Sunnyvale, CA, US</t>
        </is>
      </c>
      <c r="H70" s="3" t="n">
        <v>45980</v>
      </c>
      <c r="I7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in-5a847ea9b2592c39</t>
        </is>
      </c>
      <c r="B71" t="inlineStr">
        <is>
          <t>Applied Scientist II, SPB Advertiser Guidance</t>
        </is>
      </c>
      <c r="C71" t="inlineStr">
        <is>
          <t>Amazon.com</t>
        </is>
      </c>
      <c r="D71" t="inlineStr">
        <is>
          <t>indeed</t>
        </is>
      </c>
      <c r="E71">
        <f>HYPERLINK("https://www.indeed.com/viewjob?jk=5a847ea9b2592c39", "https://www.indeed.com/viewjob?jk=5a847ea9b2592c39")</f>
        <v/>
      </c>
      <c r="F71">
        <f>HYPERLINK("https://www.amazon.jobs/jobs/3131876/applied-scientist-ii-spb-advertiser-guidance?cmpid=DA_INAD200785B", "https://www.amazon.jobs/jobs/3131876/applied-scientist-ii-spb-advertiser-guidance?cmpid=DA_INAD200785B")</f>
        <v/>
      </c>
      <c r="G71" t="inlineStr">
        <is>
          <t>Palo Alto, CA, US</t>
        </is>
      </c>
      <c r="H71" s="3" t="n">
        <v>45980</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in-4f163b7d8fb92044</t>
        </is>
      </c>
      <c r="B72" t="inlineStr">
        <is>
          <t>Applied Scientist II, SPB Advertiser Guidance</t>
        </is>
      </c>
      <c r="C72" t="inlineStr">
        <is>
          <t>Amazon.com</t>
        </is>
      </c>
      <c r="D72" t="inlineStr">
        <is>
          <t>indeed</t>
        </is>
      </c>
      <c r="E72">
        <f>HYPERLINK("https://www.indeed.com/viewjob?jk=4f163b7d8fb92044", "https://www.indeed.com/viewjob?jk=4f163b7d8fb92044")</f>
        <v/>
      </c>
      <c r="F72">
        <f>HYPERLINK("https://www.amazon.jobs/jobs/3131876/applied-scientist-ii-spb-advertiser-guidance?cmpid=DA_INAD200785B", "https://www.amazon.jobs/jobs/3131876/applied-scientist-ii-spb-advertiser-guidance?cmpid=DA_INAD200785B")</f>
        <v/>
      </c>
      <c r="G72" t="inlineStr">
        <is>
          <t>Seattle, WA, US</t>
        </is>
      </c>
      <c r="H72" s="3" t="n">
        <v>45980</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in-e3cc22ff01de92a3</t>
        </is>
      </c>
      <c r="B73" t="inlineStr">
        <is>
          <t>Applied Scientist II, SPB Advertiser Guidance</t>
        </is>
      </c>
      <c r="C73" t="inlineStr">
        <is>
          <t>Amazon.com</t>
        </is>
      </c>
      <c r="D73" t="inlineStr">
        <is>
          <t>indeed</t>
        </is>
      </c>
      <c r="E73">
        <f>HYPERLINK("https://www.indeed.com/viewjob?jk=e3cc22ff01de92a3", "https://www.indeed.com/viewjob?jk=e3cc22ff01de92a3")</f>
        <v/>
      </c>
      <c r="F73">
        <f>HYPERLINK("https://www.amazon.jobs/jobs/3131876/applied-scientist-ii-spb-advertiser-guidance?cmpid=DA_INAD200785B", "https://www.amazon.jobs/jobs/3131876/applied-scientist-ii-spb-advertiser-guidance?cmpid=DA_INAD200785B")</f>
        <v/>
      </c>
      <c r="G73" t="inlineStr">
        <is>
          <t>New York, NY, US</t>
        </is>
      </c>
      <c r="H73" s="3" t="n">
        <v>45980</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in-4092313d3384fa3e</t>
        </is>
      </c>
      <c r="B74" t="inlineStr">
        <is>
          <t>Principal Applied Scientist, Sponsored Products and Brands</t>
        </is>
      </c>
      <c r="C74" t="inlineStr">
        <is>
          <t>Amazon.com</t>
        </is>
      </c>
      <c r="D74" t="inlineStr">
        <is>
          <t>indeed</t>
        </is>
      </c>
      <c r="E74">
        <f>HYPERLINK("https://www.indeed.com/viewjob?jk=4092313d3384fa3e", "https://www.indeed.com/viewjob?jk=4092313d3384fa3e")</f>
        <v/>
      </c>
      <c r="F74">
        <f>HYPERLINK("https://www.amazon.jobs/jobs/3130855/principal-applied-scientist-sponsored-products-and-brands?cmpid=DA_INAD200785B", "https://www.amazon.jobs/jobs/3130855/principal-applied-scientist-sponsored-products-and-brands?cmpid=DA_INAD200785B")</f>
        <v/>
      </c>
      <c r="G74" t="inlineStr">
        <is>
          <t>New York, NY, US</t>
        </is>
      </c>
      <c r="H74" s="3" t="n">
        <v>45979</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in-458024d1846b68a3</t>
        </is>
      </c>
      <c r="B75" t="inlineStr">
        <is>
          <t>Principal Applied Scientist, Sponsored Products and Brands</t>
        </is>
      </c>
      <c r="C75" t="inlineStr">
        <is>
          <t>Amazon.com</t>
        </is>
      </c>
      <c r="D75" t="inlineStr">
        <is>
          <t>indeed</t>
        </is>
      </c>
      <c r="E75">
        <f>HYPERLINK("https://www.indeed.com/viewjob?jk=458024d1846b68a3", "https://www.indeed.com/viewjob?jk=458024d1846b68a3")</f>
        <v/>
      </c>
      <c r="F75">
        <f>HYPERLINK("https://www.amazon.jobs/jobs/3130855/principal-applied-scientist-sponsored-products-and-brands?cmpid=DA_INAD200785B", "https://www.amazon.jobs/jobs/3130855/principal-applied-scientist-sponsored-products-and-brands?cmpid=DA_INAD200785B")</f>
        <v/>
      </c>
      <c r="G75" t="inlineStr">
        <is>
          <t>Seattle, WA, US</t>
        </is>
      </c>
      <c r="H75" s="3" t="n">
        <v>45979</v>
      </c>
      <c r="I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in-9a8e082f8b278db0</t>
        </is>
      </c>
      <c r="B76" t="inlineStr">
        <is>
          <t>Sr. Applied Scientist, Prime Video - Personalization and Discovery Science</t>
        </is>
      </c>
      <c r="C76" t="inlineStr">
        <is>
          <t>Amazon.com</t>
        </is>
      </c>
      <c r="D76" t="inlineStr">
        <is>
          <t>indeed</t>
        </is>
      </c>
      <c r="E76">
        <f>HYPERLINK("https://www.indeed.com/viewjob?jk=9a8e082f8b278db0", "https://www.indeed.com/viewjob?jk=9a8e082f8b278db0")</f>
        <v/>
      </c>
      <c r="F76">
        <f>HYPERLINK("https://www.amazon.jobs/jobs/3134486/sr-applied-scientist-prime-video--personalization-and-discovery-science?cmpid=DA_INAD200785B", "https://www.amazon.jobs/jobs/3134486/sr-applied-scientist-prime-video--personalization-and-discovery-science?cmpid=DA_INAD200785B")</f>
        <v/>
      </c>
      <c r="G76" t="inlineStr">
        <is>
          <t>Sunnyvale, CA, US</t>
        </is>
      </c>
      <c r="H76" s="3" t="n">
        <v>45969</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in-6e49792a62739aa1</t>
        </is>
      </c>
      <c r="B77" t="inlineStr">
        <is>
          <t>Sr. Applied Scientist, Prime Video - Personalization and Discovery Science</t>
        </is>
      </c>
      <c r="C77" t="inlineStr">
        <is>
          <t>Amazon.com</t>
        </is>
      </c>
      <c r="D77" t="inlineStr">
        <is>
          <t>indeed</t>
        </is>
      </c>
      <c r="E77">
        <f>HYPERLINK("https://www.indeed.com/viewjob?jk=6e49792a62739aa1", "https://www.indeed.com/viewjob?jk=6e49792a62739aa1")</f>
        <v/>
      </c>
      <c r="F77">
        <f>HYPERLINK("https://www.amazon.jobs/jobs/3134486/sr-applied-scientist-prime-video--personalization-and-discovery-science?cmpid=DA_INAD200785B", "https://www.amazon.jobs/jobs/3134486/sr-applied-scientist-prime-video--personalization-and-discovery-science?cmpid=DA_INAD200785B")</f>
        <v/>
      </c>
      <c r="G77" t="inlineStr">
        <is>
          <t>New York, NY, US</t>
        </is>
      </c>
      <c r="H77" s="3" t="n">
        <v>45969</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in-356faf7fba4bd339</t>
        </is>
      </c>
      <c r="B78" t="inlineStr">
        <is>
          <t>Sr. Applied Scientist, Prime Video - Personalization and Discovery Science</t>
        </is>
      </c>
      <c r="C78" t="inlineStr">
        <is>
          <t>Amazon.com</t>
        </is>
      </c>
      <c r="D78" t="inlineStr">
        <is>
          <t>indeed</t>
        </is>
      </c>
      <c r="E78">
        <f>HYPERLINK("https://www.indeed.com/viewjob?jk=356faf7fba4bd339", "https://www.indeed.com/viewjob?jk=356faf7fba4bd339")</f>
        <v/>
      </c>
      <c r="F78">
        <f>HYPERLINK("https://www.amazon.jobs/jobs/3134486/sr-applied-scientist-prime-video--personalization-and-discovery-science?cmpid=DA_INAD200785B", "https://www.amazon.jobs/jobs/3134486/sr-applied-scientist-prime-video--personalization-and-discovery-science?cmpid=DA_INAD200785B")</f>
        <v/>
      </c>
      <c r="G78" t="inlineStr">
        <is>
          <t>Seattle, WA, US</t>
        </is>
      </c>
      <c r="H78" s="3" t="n">
        <v>45969</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in-ede5ef8a7c8d143a</t>
        </is>
      </c>
      <c r="B79" t="inlineStr">
        <is>
          <t>Principal Applied Scientist, Amazon AGI</t>
        </is>
      </c>
      <c r="C79" t="inlineStr">
        <is>
          <t>Amazon.com</t>
        </is>
      </c>
      <c r="D79" t="inlineStr">
        <is>
          <t>indeed</t>
        </is>
      </c>
      <c r="E79">
        <f>HYPERLINK("https://www.indeed.com/viewjob?jk=ede5ef8a7c8d143a", "https://www.indeed.com/viewjob?jk=ede5ef8a7c8d143a")</f>
        <v/>
      </c>
      <c r="F79">
        <f>HYPERLINK("https://www.amazon.jobs/jobs/3128808/principal-applied-scientist-amazon-agi?cmpid=DA_INAD200785B", "https://www.amazon.jobs/jobs/3128808/principal-applied-scientist-amazon-agi?cmpid=DA_INAD200785B")</f>
        <v/>
      </c>
      <c r="G79" t="inlineStr">
        <is>
          <t>San Francisco, CA, US</t>
        </is>
      </c>
      <c r="H79" s="3" t="n">
        <v>45964</v>
      </c>
      <c r="I7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in-31d5509a8bb70e3c</t>
        </is>
      </c>
      <c r="B80" t="inlineStr">
        <is>
          <t>Principal Applied Scientist, Amazon AGI</t>
        </is>
      </c>
      <c r="C80" t="inlineStr">
        <is>
          <t>Amazon.com</t>
        </is>
      </c>
      <c r="D80" t="inlineStr">
        <is>
          <t>indeed</t>
        </is>
      </c>
      <c r="E80">
        <f>HYPERLINK("https://www.indeed.com/viewjob?jk=31d5509a8bb70e3c", "https://www.indeed.com/viewjob?jk=31d5509a8bb70e3c")</f>
        <v/>
      </c>
      <c r="F80">
        <f>HYPERLINK("https://www.amazon.jobs/jobs/3128808/principal-applied-scientist-amazon-agi?cmpid=DA_INAD200785B", "https://www.amazon.jobs/jobs/3128808/principal-applied-scientist-amazon-agi?cmpid=DA_INAD200785B")</f>
        <v/>
      </c>
      <c r="G80" t="inlineStr">
        <is>
          <t>Boston, MA, US</t>
        </is>
      </c>
      <c r="H80" s="3" t="n">
        <v>45964</v>
      </c>
      <c r="I8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in-438c6109fb2d93af</t>
        </is>
      </c>
      <c r="B81" t="inlineStr">
        <is>
          <t>Principal Applied Scientist, AWS Agentic AI Science</t>
        </is>
      </c>
      <c r="C81" t="inlineStr">
        <is>
          <t>Amazon Web Services</t>
        </is>
      </c>
      <c r="D81" t="inlineStr">
        <is>
          <t>indeed</t>
        </is>
      </c>
      <c r="E81">
        <f>HYPERLINK("https://www.indeed.com/viewjob?jk=438c6109fb2d93af", "https://www.indeed.com/viewjob?jk=438c6109fb2d93af")</f>
        <v/>
      </c>
      <c r="F81">
        <f>HYPERLINK("https://www.amazon.jobs/jobs/3132887/principal-applied-scientist-aws-agentic-ai-science?cmpid=DA_INAD200785B", "https://www.amazon.jobs/jobs/3132887/principal-applied-scientist-aws-agentic-ai-science?cmpid=DA_INAD200785B")</f>
        <v/>
      </c>
      <c r="G81" t="inlineStr">
        <is>
          <t>New York, NY, US</t>
        </is>
      </c>
      <c r="H81" s="3" t="n">
        <v>45963</v>
      </c>
      <c r="I8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in-57c62f36b51025b0</t>
        </is>
      </c>
      <c r="B82" t="inlineStr">
        <is>
          <t>Principal Applied Scientist, AWS Agentic AI Science</t>
        </is>
      </c>
      <c r="C82" t="inlineStr">
        <is>
          <t>Amazon Web Services</t>
        </is>
      </c>
      <c r="D82" t="inlineStr">
        <is>
          <t>indeed</t>
        </is>
      </c>
      <c r="E82">
        <f>HYPERLINK("https://www.indeed.com/viewjob?jk=57c62f36b51025b0", "https://www.indeed.com/viewjob?jk=57c62f36b51025b0")</f>
        <v/>
      </c>
      <c r="F82">
        <f>HYPERLINK("https://www.amazon.jobs/jobs/3132887/principal-applied-scientist-aws-agentic-ai-science?cmpid=DA_INAD200785B", "https://www.amazon.jobs/jobs/3132887/principal-applied-scientist-aws-agentic-ai-science?cmpid=DA_INAD200785B")</f>
        <v/>
      </c>
      <c r="G82" t="inlineStr">
        <is>
          <t>Santa Clara, CA, US</t>
        </is>
      </c>
      <c r="H82" s="3" t="n">
        <v>45963</v>
      </c>
      <c r="I8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in-afaf81d866b3ee1d</t>
        </is>
      </c>
      <c r="B83" t="inlineStr">
        <is>
          <t>Sr. Applied Scientist, Sponsored Product Off-Search</t>
        </is>
      </c>
      <c r="C83" t="inlineStr">
        <is>
          <t>Amazon.com</t>
        </is>
      </c>
      <c r="D83" t="inlineStr">
        <is>
          <t>indeed</t>
        </is>
      </c>
      <c r="E83">
        <f>HYPERLINK("https://www.indeed.com/viewjob?jk=afaf81d866b3ee1d", "https://www.indeed.com/viewjob?jk=afaf81d866b3ee1d")</f>
        <v/>
      </c>
      <c r="F83">
        <f>HYPERLINK("https://www.amazon.jobs/jobs/3120815/sr-applied-scientist-sponsored-product-offsearch-?cmpid=DA_INAD200785B", "https://www.amazon.jobs/jobs/3120815/sr-applied-scientist-sponsored-product-offsearch-?cmpid=DA_INAD200785B")</f>
        <v/>
      </c>
      <c r="G83" t="inlineStr">
        <is>
          <t>New York, NY, US</t>
        </is>
      </c>
      <c r="H83" s="3" t="n">
        <v>45963</v>
      </c>
      <c r="I8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in-4e7040e3050be73f</t>
        </is>
      </c>
      <c r="B84" t="inlineStr">
        <is>
          <t>Sr. Applied Scientist, Sponsored Product Off-Search</t>
        </is>
      </c>
      <c r="C84" t="inlineStr">
        <is>
          <t>Amazon.com</t>
        </is>
      </c>
      <c r="D84" t="inlineStr">
        <is>
          <t>indeed</t>
        </is>
      </c>
      <c r="E84">
        <f>HYPERLINK("https://www.indeed.com/viewjob?jk=4e7040e3050be73f", "https://www.indeed.com/viewjob?jk=4e7040e3050be73f")</f>
        <v/>
      </c>
      <c r="F84">
        <f>HYPERLINK("https://www.amazon.jobs/jobs/3120815/sr-applied-scientist-sponsored-product-offsearch-?cmpid=DA_INAD200785B", "https://www.amazon.jobs/jobs/3120815/sr-applied-scientist-sponsored-product-offsearch-?cmpid=DA_INAD200785B")</f>
        <v/>
      </c>
      <c r="G84" t="inlineStr">
        <is>
          <t>Seattle, WA, US</t>
        </is>
      </c>
      <c r="H84" s="3" t="n">
        <v>45963</v>
      </c>
      <c r="I8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in-a06d2f2f88aaa7c5</t>
        </is>
      </c>
      <c r="B85" t="inlineStr">
        <is>
          <t>Applied Scientist, AWS Agentic AI</t>
        </is>
      </c>
      <c r="C85" t="inlineStr">
        <is>
          <t>Amazon Web Services</t>
        </is>
      </c>
      <c r="D85" t="inlineStr">
        <is>
          <t>indeed</t>
        </is>
      </c>
      <c r="E85">
        <f>HYPERLINK("https://www.indeed.com/viewjob?jk=a06d2f2f88aaa7c5", "https://www.indeed.com/viewjob?jk=a06d2f2f88aaa7c5")</f>
        <v/>
      </c>
      <c r="F85">
        <f>HYPERLINK("https://www.amazon.jobs/jobs/3141517/applied-scientist-aws-agentic-ai-?cmpid=DA_INAD200785B", "https://www.amazon.jobs/jobs/3141517/applied-scientist-aws-agentic-ai-?cmpid=DA_INAD200785B")</f>
        <v/>
      </c>
      <c r="G85" t="inlineStr">
        <is>
          <t>Seattle, WA, US</t>
        </is>
      </c>
      <c r="H85" s="3"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in-f2446c588f6e55fe</t>
        </is>
      </c>
      <c r="B86" t="inlineStr">
        <is>
          <t>Applied Scientist, AWS Agentic AI</t>
        </is>
      </c>
      <c r="C86" t="inlineStr">
        <is>
          <t>Amazon Web Services</t>
        </is>
      </c>
      <c r="D86" t="inlineStr">
        <is>
          <t>indeed</t>
        </is>
      </c>
      <c r="E86">
        <f>HYPERLINK("https://www.indeed.com/viewjob?jk=f2446c588f6e55fe", "https://www.indeed.com/viewjob?jk=f2446c588f6e55fe")</f>
        <v/>
      </c>
      <c r="F86">
        <f>HYPERLINK("https://www.amazon.jobs/jobs/3141517/applied-scientist-aws-agentic-ai-?cmpid=DA_INAD200785B", "https://www.amazon.jobs/jobs/3141517/applied-scientist-aws-agentic-ai-?cmpid=DA_INAD200785B")</f>
        <v/>
      </c>
      <c r="G86" t="inlineStr">
        <is>
          <t>New York, NY, US</t>
        </is>
      </c>
      <c r="H86" s="3"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in-a244b98fdab60690</t>
        </is>
      </c>
      <c r="B87" t="inlineStr">
        <is>
          <t>Applied Scientist, AWS Agentic AI</t>
        </is>
      </c>
      <c r="C87" t="inlineStr">
        <is>
          <t>Amazon Web Services</t>
        </is>
      </c>
      <c r="D87" t="inlineStr">
        <is>
          <t>indeed</t>
        </is>
      </c>
      <c r="E87">
        <f>HYPERLINK("https://www.indeed.com/viewjob?jk=a244b98fdab60690", "https://www.indeed.com/viewjob?jk=a244b98fdab60690")</f>
        <v/>
      </c>
      <c r="F87">
        <f>HYPERLINK("https://www.amazon.jobs/jobs/3141517/applied-scientist-aws-agentic-ai-?cmpid=DA_INAD200785B", "https://www.amazon.jobs/jobs/3141517/applied-scientist-aws-agentic-ai-?cmpid=DA_INAD200785B")</f>
        <v/>
      </c>
      <c r="G87" t="inlineStr">
        <is>
          <t>Santa Clara, CA, US</t>
        </is>
      </c>
      <c r="H87" s="3"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in-c0e5f156fcd6c278</t>
        </is>
      </c>
      <c r="B88" t="inlineStr">
        <is>
          <t>Principal Applied Scientist, Advertiser Growth, Amazon Sponsored Products &amp; Brands</t>
        </is>
      </c>
      <c r="C88" t="inlineStr">
        <is>
          <t>Amazon.com</t>
        </is>
      </c>
      <c r="D88" t="inlineStr">
        <is>
          <t>indeed</t>
        </is>
      </c>
      <c r="E88">
        <f>HYPERLINK("https://www.indeed.com/viewjob?jk=c0e5f156fcd6c278", "https://www.indeed.com/viewjob?jk=c0e5f156fcd6c278")</f>
        <v/>
      </c>
      <c r="F88">
        <f>HYPERLINK("https://www.amazon.jobs/jobs/3115279/principal-applied-scientist-advertiser-growth-amazon-sponsored-products--brands?cmpid=DA_INAD200785B", "https://www.amazon.jobs/jobs/3115279/principal-applied-scientist-advertiser-growth-amazon-sponsored-products--brands?cmpid=DA_INAD200785B")</f>
        <v/>
      </c>
      <c r="G88" t="inlineStr">
        <is>
          <t>Palo Alto, CA, US</t>
        </is>
      </c>
      <c r="H88" s="3"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in-903a6f8b03220ccc</t>
        </is>
      </c>
      <c r="B89" t="inlineStr">
        <is>
          <t>Principal Applied Scientist, Advertiser Growth, Amazon Sponsored Products &amp; Brands</t>
        </is>
      </c>
      <c r="C89" t="inlineStr">
        <is>
          <t>Amazon.com</t>
        </is>
      </c>
      <c r="D89" t="inlineStr">
        <is>
          <t>indeed</t>
        </is>
      </c>
      <c r="E89">
        <f>HYPERLINK("https://www.indeed.com/viewjob?jk=903a6f8b03220ccc", "https://www.indeed.com/viewjob?jk=903a6f8b03220ccc")</f>
        <v/>
      </c>
      <c r="F89">
        <f>HYPERLINK("https://www.amazon.jobs/jobs/3115279/principal-applied-scientist-advertiser-growth-amazon-sponsored-products--brands?cmpid=DA_INAD200785B", "https://www.amazon.jobs/jobs/3115279/principal-applied-scientist-advertiser-growth-amazon-sponsored-products--brands?cmpid=DA_INAD200785B")</f>
        <v/>
      </c>
      <c r="G89" t="inlineStr">
        <is>
          <t>New York, NY, US</t>
        </is>
      </c>
      <c r="H89" s="3"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in-6ab3c5ca0ffd31de</t>
        </is>
      </c>
      <c r="B90" t="inlineStr">
        <is>
          <t>Principal Applied Scientist, Advertiser Growth, Amazon Sponsored Products &amp; Brands</t>
        </is>
      </c>
      <c r="C90" t="inlineStr">
        <is>
          <t>Amazon.com</t>
        </is>
      </c>
      <c r="D90" t="inlineStr">
        <is>
          <t>indeed</t>
        </is>
      </c>
      <c r="E90">
        <f>HYPERLINK("https://www.indeed.com/viewjob?jk=6ab3c5ca0ffd31de", "https://www.indeed.com/viewjob?jk=6ab3c5ca0ffd31de")</f>
        <v/>
      </c>
      <c r="F90">
        <f>HYPERLINK("https://www.amazon.jobs/jobs/3115279/principal-applied-scientist-advertiser-growth-amazon-sponsored-products--brands?cmpid=DA_INAD200785B", "https://www.amazon.jobs/jobs/3115279/principal-applied-scientist-advertiser-growth-amazon-sponsored-products--brands?cmpid=DA_INAD200785B")</f>
        <v/>
      </c>
      <c r="G90" t="inlineStr">
        <is>
          <t>Seattle, WA, US</t>
        </is>
      </c>
      <c r="H90" s="3"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in-a61ceb41ca921c5e</t>
        </is>
      </c>
      <c r="B91" t="inlineStr">
        <is>
          <t>Sr. Applied Scientist, SPB Advertiser Guidance</t>
        </is>
      </c>
      <c r="C91" t="inlineStr">
        <is>
          <t>Amazon.com</t>
        </is>
      </c>
      <c r="D91" t="inlineStr">
        <is>
          <t>indeed</t>
        </is>
      </c>
      <c r="E91">
        <f>HYPERLINK("https://www.indeed.com/viewjob?jk=a61ceb41ca921c5e", "https://www.indeed.com/viewjob?jk=a61ceb41ca921c5e")</f>
        <v/>
      </c>
      <c r="F91">
        <f>HYPERLINK("https://www.amazon.jobs/jobs/3106497/sr-applied-scientist-spb-advertiser-guidance?cmpid=DA_INAD200785B", "https://www.amazon.jobs/jobs/3106497/sr-applied-scientist-spb-advertiser-guidance?cmpid=DA_INAD200785B")</f>
        <v/>
      </c>
      <c r="G91" t="inlineStr">
        <is>
          <t>Palo Alto, CA, US</t>
        </is>
      </c>
      <c r="H91" s="3" t="n">
        <v>45939</v>
      </c>
      <c r="I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in-528332d7fe7f11d1</t>
        </is>
      </c>
      <c r="B92" t="inlineStr">
        <is>
          <t>Applied Scientist</t>
        </is>
      </c>
      <c r="C92" t="inlineStr">
        <is>
          <t>Amazon.com</t>
        </is>
      </c>
      <c r="D92" t="inlineStr">
        <is>
          <t>indeed</t>
        </is>
      </c>
      <c r="E92">
        <f>HYPERLINK("https://www.indeed.com/viewjob?jk=528332d7fe7f11d1", "https://www.indeed.com/viewjob?jk=528332d7fe7f11d1")</f>
        <v/>
      </c>
      <c r="F92">
        <f>HYPERLINK("https://www.amazon.jobs/jobs/3106501/applied-scientist?cmpid=DA_INAD200785B", "https://www.amazon.jobs/jobs/3106501/applied-scientist?cmpid=DA_INAD200785B")</f>
        <v/>
      </c>
      <c r="G92" t="inlineStr">
        <is>
          <t>Palo Alto, CA, US</t>
        </is>
      </c>
      <c r="H92" s="3" t="n">
        <v>45939</v>
      </c>
      <c r="I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in-3879ba4bd982cb2d</t>
        </is>
      </c>
      <c r="B93" t="inlineStr">
        <is>
          <t>Sr. Applied Scientist, SPB Advertiser Guidance</t>
        </is>
      </c>
      <c r="C93" t="inlineStr">
        <is>
          <t>Amazon.com</t>
        </is>
      </c>
      <c r="D93" t="inlineStr">
        <is>
          <t>indeed</t>
        </is>
      </c>
      <c r="E93">
        <f>HYPERLINK("https://www.indeed.com/viewjob?jk=3879ba4bd982cb2d", "https://www.indeed.com/viewjob?jk=3879ba4bd982cb2d")</f>
        <v/>
      </c>
      <c r="F93">
        <f>HYPERLINK("https://www.amazon.jobs/jobs/3106497/sr-applied-scientist-spb-advertiser-guidance?cmpid=DA_INAD200785B", "https://www.amazon.jobs/jobs/3106497/sr-applied-scientist-spb-advertiser-guidance?cmpid=DA_INAD200785B")</f>
        <v/>
      </c>
      <c r="G93" t="inlineStr">
        <is>
          <t>New York, NY, US</t>
        </is>
      </c>
      <c r="H93" s="3" t="n">
        <v>45939</v>
      </c>
      <c r="I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in-e12b194145ae6f03</t>
        </is>
      </c>
      <c r="B94" t="inlineStr">
        <is>
          <t>Applied Scientist</t>
        </is>
      </c>
      <c r="C94" t="inlineStr">
        <is>
          <t>Amazon.com</t>
        </is>
      </c>
      <c r="D94" t="inlineStr">
        <is>
          <t>indeed</t>
        </is>
      </c>
      <c r="E94">
        <f>HYPERLINK("https://www.indeed.com/viewjob?jk=e12b194145ae6f03", "https://www.indeed.com/viewjob?jk=e12b194145ae6f03")</f>
        <v/>
      </c>
      <c r="F94">
        <f>HYPERLINK("https://www.amazon.jobs/jobs/3106501/applied-scientist?cmpid=DA_INAD200785B", "https://www.amazon.jobs/jobs/3106501/applied-scientist?cmpid=DA_INAD200785B")</f>
        <v/>
      </c>
      <c r="G94" t="inlineStr">
        <is>
          <t>Seattle, WA, US</t>
        </is>
      </c>
      <c r="H94" s="3" t="n">
        <v>45939</v>
      </c>
      <c r="I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in-8ccfe25d9be7dca8</t>
        </is>
      </c>
      <c r="B95" t="inlineStr">
        <is>
          <t>Applied Scientist</t>
        </is>
      </c>
      <c r="C95" t="inlineStr">
        <is>
          <t>Amazon.com</t>
        </is>
      </c>
      <c r="D95" t="inlineStr">
        <is>
          <t>indeed</t>
        </is>
      </c>
      <c r="E95">
        <f>HYPERLINK("https://www.indeed.com/viewjob?jk=8ccfe25d9be7dca8", "https://www.indeed.com/viewjob?jk=8ccfe25d9be7dca8")</f>
        <v/>
      </c>
      <c r="F95">
        <f>HYPERLINK("https://www.amazon.jobs/jobs/3106501/applied-scientist?cmpid=DA_INAD200785B", "https://www.amazon.jobs/jobs/3106501/applied-scientist?cmpid=DA_INAD200785B")</f>
        <v/>
      </c>
      <c r="G95" t="inlineStr">
        <is>
          <t>New York, NY, US</t>
        </is>
      </c>
      <c r="H95" s="3" t="n">
        <v>45939</v>
      </c>
      <c r="I9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in-0747799d27729df4</t>
        </is>
      </c>
      <c r="B96" t="inlineStr">
        <is>
          <t>Sr. Applied Scientist, SPB Advertiser Guidance</t>
        </is>
      </c>
      <c r="C96" t="inlineStr">
        <is>
          <t>Amazon.com</t>
        </is>
      </c>
      <c r="D96" t="inlineStr">
        <is>
          <t>indeed</t>
        </is>
      </c>
      <c r="E96">
        <f>HYPERLINK("https://www.indeed.com/viewjob?jk=0747799d27729df4", "https://www.indeed.com/viewjob?jk=0747799d27729df4")</f>
        <v/>
      </c>
      <c r="F96">
        <f>HYPERLINK("https://www.amazon.jobs/jobs/3106497/sr-applied-scientist-spb-advertiser-guidance?cmpid=DA_INAD200785B", "https://www.amazon.jobs/jobs/3106497/sr-applied-scientist-spb-advertiser-guidance?cmpid=DA_INAD200785B")</f>
        <v/>
      </c>
      <c r="G96" t="inlineStr">
        <is>
          <t>Seattle, WA, US</t>
        </is>
      </c>
      <c r="H96" s="3" t="n">
        <v>45939</v>
      </c>
      <c r="I9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in-fa77bcf0062b4f05</t>
        </is>
      </c>
      <c r="B97" t="inlineStr">
        <is>
          <t>Principal Applied Scientist, Amazon - Sponsored Products</t>
        </is>
      </c>
      <c r="C97" t="inlineStr">
        <is>
          <t>Amazon.com</t>
        </is>
      </c>
      <c r="D97" t="inlineStr">
        <is>
          <t>indeed</t>
        </is>
      </c>
      <c r="E97">
        <f>HYPERLINK("https://www.indeed.com/viewjob?jk=fa77bcf0062b4f05", "https://www.indeed.com/viewjob?jk=fa77bcf0062b4f05")</f>
        <v/>
      </c>
      <c r="F97">
        <f>HYPERLINK("https://www.amazon.jobs/jobs/3094885/principal-applied-scientist-amazon--sponsored-products-?cmpid=DA_INAD200785B", "https://www.amazon.jobs/jobs/3094885/principal-applied-scientist-amazon--sponsored-products-?cmpid=DA_INAD200785B")</f>
        <v/>
      </c>
      <c r="G97" t="inlineStr">
        <is>
          <t>Seattle, WA, US</t>
        </is>
      </c>
      <c r="H97" s="3" t="n">
        <v>45924</v>
      </c>
      <c r="I9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in-70f249a8108ce984</t>
        </is>
      </c>
      <c r="B98" t="inlineStr">
        <is>
          <t>Principal Applied Scientist, Amazon - Sponsored Products</t>
        </is>
      </c>
      <c r="C98" t="inlineStr">
        <is>
          <t>Amazon.com</t>
        </is>
      </c>
      <c r="D98" t="inlineStr">
        <is>
          <t>indeed</t>
        </is>
      </c>
      <c r="E98">
        <f>HYPERLINK("https://www.indeed.com/viewjob?jk=70f249a8108ce984", "https://www.indeed.com/viewjob?jk=70f249a8108ce984")</f>
        <v/>
      </c>
      <c r="F98">
        <f>HYPERLINK("https://www.amazon.jobs/jobs/3094885/principal-applied-scientist-amazon--sponsored-products-?cmpid=DA_INAD200785B", "https://www.amazon.jobs/jobs/3094885/principal-applied-scientist-amazon--sponsored-products-?cmpid=DA_INAD200785B")</f>
        <v/>
      </c>
      <c r="G98" t="inlineStr">
        <is>
          <t>New York, NY, US</t>
        </is>
      </c>
      <c r="H98" s="3" t="n">
        <v>45924</v>
      </c>
      <c r="I98"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in-c747577052b07685</t>
        </is>
      </c>
      <c r="B99" t="inlineStr">
        <is>
          <t>Principal Applied Scientist, Amazon - Sponsored Products</t>
        </is>
      </c>
      <c r="C99" t="inlineStr">
        <is>
          <t>Amazon.com</t>
        </is>
      </c>
      <c r="D99" t="inlineStr">
        <is>
          <t>indeed</t>
        </is>
      </c>
      <c r="E99">
        <f>HYPERLINK("https://www.indeed.com/viewjob?jk=c747577052b07685", "https://www.indeed.com/viewjob?jk=c747577052b07685")</f>
        <v/>
      </c>
      <c r="F99">
        <f>HYPERLINK("https://www.amazon.jobs/jobs/3094885/principal-applied-scientist-amazon--sponsored-products-?cmpid=DA_INAD200785B", "https://www.amazon.jobs/jobs/3094885/principal-applied-scientist-amazon--sponsored-products-?cmpid=DA_INAD200785B")</f>
        <v/>
      </c>
      <c r="G99" t="inlineStr">
        <is>
          <t>Palo Alto, CA, US</t>
        </is>
      </c>
      <c r="H99" s="3" t="n">
        <v>45924</v>
      </c>
      <c r="I99"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in-ab43dd6128423035</t>
        </is>
      </c>
      <c r="B100" t="inlineStr">
        <is>
          <t>Senior Applied Scientist, Sponsored Products and Brands</t>
        </is>
      </c>
      <c r="C100" t="inlineStr">
        <is>
          <t>Amazon.com</t>
        </is>
      </c>
      <c r="D100" t="inlineStr">
        <is>
          <t>indeed</t>
        </is>
      </c>
      <c r="E100">
        <f>HYPERLINK("https://www.indeed.com/viewjob?jk=ab43dd6128423035", "https://www.indeed.com/viewjob?jk=ab43dd6128423035")</f>
        <v/>
      </c>
      <c r="F100">
        <f>HYPERLINK("https://www.amazon.jobs/jobs/3094886/senior-applied-scientist-sponsored-products-and-brands?cmpid=DA_INAD200785B", "https://www.amazon.jobs/jobs/3094886/senior-applied-scientist-sponsored-products-and-brands?cmpid=DA_INAD200785B")</f>
        <v/>
      </c>
      <c r="G100" t="inlineStr">
        <is>
          <t>Seattle, WA, US</t>
        </is>
      </c>
      <c r="H100" s="3" t="n">
        <v>45922</v>
      </c>
      <c r="I10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in-1eac04649e9afdda</t>
        </is>
      </c>
      <c r="B101" t="inlineStr">
        <is>
          <t>Senior Applied Scientist, Sponsored Products and Brands</t>
        </is>
      </c>
      <c r="C101" t="inlineStr">
        <is>
          <t>Amazon.com</t>
        </is>
      </c>
      <c r="D101" t="inlineStr">
        <is>
          <t>indeed</t>
        </is>
      </c>
      <c r="E101">
        <f>HYPERLINK("https://www.indeed.com/viewjob?jk=1eac04649e9afdda", "https://www.indeed.com/viewjob?jk=1eac04649e9afdda")</f>
        <v/>
      </c>
      <c r="F101">
        <f>HYPERLINK("https://www.amazon.jobs/jobs/3094886/senior-applied-scientist-sponsored-products-and-brands?cmpid=DA_INAD200785B", "https://www.amazon.jobs/jobs/3094886/senior-applied-scientist-sponsored-products-and-brands?cmpid=DA_INAD200785B")</f>
        <v/>
      </c>
      <c r="G101" t="inlineStr">
        <is>
          <t>New York, NY, US</t>
        </is>
      </c>
      <c r="H101" s="3" t="n">
        <v>45922</v>
      </c>
      <c r="I10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in-337a2fe23a649de4</t>
        </is>
      </c>
      <c r="B102" t="inlineStr">
        <is>
          <t>Applied Scientist, Workplace Health &amp; Safety</t>
        </is>
      </c>
      <c r="C102" t="inlineStr">
        <is>
          <t>Amazon.com</t>
        </is>
      </c>
      <c r="D102" t="inlineStr">
        <is>
          <t>indeed</t>
        </is>
      </c>
      <c r="E102">
        <f>HYPERLINK("https://www.indeed.com/viewjob?jk=337a2fe23a649de4", "https://www.indeed.com/viewjob?jk=337a2fe23a649de4")</f>
        <v/>
      </c>
      <c r="F102">
        <f>HYPERLINK("https://www.amazon.jobs/jobs/3144886/applied-scientist-workplace-health--safety-?cmpid=DA_INAD200785B", "https://www.amazon.jobs/jobs/3144886/applied-scientist-workplace-health--safety-?cmpid=DA_INAD200785B")</f>
        <v/>
      </c>
      <c r="G102" t="inlineStr">
        <is>
          <t>Nashville, TN, US</t>
        </is>
      </c>
      <c r="H102" s="3" t="n">
        <v>45917</v>
      </c>
      <c r="I10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in-c2d64fb867fe209c</t>
        </is>
      </c>
      <c r="B103" t="inlineStr">
        <is>
          <t>Applied Scientist, Workplace Health &amp; Safety</t>
        </is>
      </c>
      <c r="C103" t="inlineStr">
        <is>
          <t>Amazon.com</t>
        </is>
      </c>
      <c r="D103" t="inlineStr">
        <is>
          <t>indeed</t>
        </is>
      </c>
      <c r="E103">
        <f>HYPERLINK("https://www.indeed.com/viewjob?jk=c2d64fb867fe209c", "https://www.indeed.com/viewjob?jk=c2d64fb867fe209c")</f>
        <v/>
      </c>
      <c r="F103">
        <f>HYPERLINK("https://www.amazon.jobs/jobs/3144886/applied-scientist-workplace-health--safety-?cmpid=DA_INAD200785B", "https://www.amazon.jobs/jobs/3144886/applied-scientist-workplace-health--safety-?cmpid=DA_INAD200785B")</f>
        <v/>
      </c>
      <c r="G103" t="inlineStr">
        <is>
          <t>Bellevue, WA, US</t>
        </is>
      </c>
      <c r="H103" s="3" t="n">
        <v>45917</v>
      </c>
      <c r="I10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in-88fd221c22b5abee</t>
        </is>
      </c>
      <c r="B104" t="inlineStr">
        <is>
          <t>Applied Scientist II, Creative X - RAPID</t>
        </is>
      </c>
      <c r="C104" t="inlineStr">
        <is>
          <t>Amazon.com</t>
        </is>
      </c>
      <c r="D104" t="inlineStr">
        <is>
          <t>indeed</t>
        </is>
      </c>
      <c r="E104">
        <f>HYPERLINK("https://www.indeed.com/viewjob?jk=88fd221c22b5abee", "https://www.indeed.com/viewjob?jk=88fd221c22b5abee")</f>
        <v/>
      </c>
      <c r="F104">
        <f>HYPERLINK("https://www.amazon.jobs/jobs/3083576/applied-scientist-ii-creative-x--rapid?cmpid=DA_INAD200785B", "https://www.amazon.jobs/jobs/3083576/applied-scientist-ii-creative-x--rapid?cmpid=DA_INAD200785B")</f>
        <v/>
      </c>
      <c r="G104" t="inlineStr">
        <is>
          <t>New York, NY, US</t>
        </is>
      </c>
      <c r="H104" s="3" t="n">
        <v>45908</v>
      </c>
      <c r="I10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in-c7bf11f2fe31581d</t>
        </is>
      </c>
      <c r="B105" t="inlineStr">
        <is>
          <t>Applied Scientist II, Creative X - RAPID</t>
        </is>
      </c>
      <c r="C105" t="inlineStr">
        <is>
          <t>Amazon.com</t>
        </is>
      </c>
      <c r="D105" t="inlineStr">
        <is>
          <t>indeed</t>
        </is>
      </c>
      <c r="E105">
        <f>HYPERLINK("https://www.indeed.com/viewjob?jk=c7bf11f2fe31581d", "https://www.indeed.com/viewjob?jk=c7bf11f2fe31581d")</f>
        <v/>
      </c>
      <c r="F105">
        <f>HYPERLINK("https://www.amazon.jobs/jobs/3083576/applied-scientist-ii-creative-x--rapid?cmpid=DA_INAD200785B", "https://www.amazon.jobs/jobs/3083576/applied-scientist-ii-creative-x--rapid?cmpid=DA_INAD200785B")</f>
        <v/>
      </c>
      <c r="G105" t="inlineStr">
        <is>
          <t>Seattle, WA, US</t>
        </is>
      </c>
      <c r="H105" s="3" t="n">
        <v>45908</v>
      </c>
      <c r="I10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in-532578c5984439e2</t>
        </is>
      </c>
      <c r="B106" t="inlineStr">
        <is>
          <t>Senior Applied Scientist, Agentic AI for Data Analytics and Science, Speed Analytics and Science</t>
        </is>
      </c>
      <c r="C106" t="inlineStr">
        <is>
          <t>Amazon.com</t>
        </is>
      </c>
      <c r="D106" t="inlineStr">
        <is>
          <t>indeed</t>
        </is>
      </c>
      <c r="E106">
        <f>HYPERLINK("https://www.indeed.com/viewjob?jk=532578c5984439e2", "https://www.indeed.com/viewjob?jk=532578c5984439e2")</f>
        <v/>
      </c>
      <c r="F106">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106" t="inlineStr">
        <is>
          <t>Bellevue, WA, US</t>
        </is>
      </c>
      <c r="H106" s="3" t="n">
        <v>45880</v>
      </c>
      <c r="I106"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in-8b7f6ed7b32da586</t>
        </is>
      </c>
      <c r="B107" t="inlineStr">
        <is>
          <t>Senior Applied Scientist, Agentic AI for Data Analytics and Science, Speed Analytics and Science</t>
        </is>
      </c>
      <c r="C107" t="inlineStr">
        <is>
          <t>Amazon.com</t>
        </is>
      </c>
      <c r="D107" t="inlineStr">
        <is>
          <t>indeed</t>
        </is>
      </c>
      <c r="E107">
        <f>HYPERLINK("https://www.indeed.com/viewjob?jk=8b7f6ed7b32da586", "https://www.indeed.com/viewjob?jk=8b7f6ed7b32da586")</f>
        <v/>
      </c>
      <c r="F107">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107" t="inlineStr">
        <is>
          <t>Tempe, AZ, US</t>
        </is>
      </c>
      <c r="H107" s="3" t="n">
        <v>45880</v>
      </c>
      <c r="I107"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in-639e8081a097da74</t>
        </is>
      </c>
      <c r="B108" t="inlineStr">
        <is>
          <t>Sr. Applied Scientist, Amazon Advertising</t>
        </is>
      </c>
      <c r="C108" t="inlineStr">
        <is>
          <t>Amazon.com</t>
        </is>
      </c>
      <c r="D108" t="inlineStr">
        <is>
          <t>indeed</t>
        </is>
      </c>
      <c r="E108">
        <f>HYPERLINK("https://www.indeed.com/viewjob?jk=639e8081a097da74", "https://www.indeed.com/viewjob?jk=639e8081a097da74")</f>
        <v/>
      </c>
      <c r="F108">
        <f>HYPERLINK("https://www.amazon.jobs/jobs/3035686/sr-applied-scientist-amazon-advertising?cmpid=DA_INAD200785B", "https://www.amazon.jobs/jobs/3035686/sr-applied-scientist-amazon-advertising?cmpid=DA_INAD200785B")</f>
        <v/>
      </c>
      <c r="G108" t="inlineStr">
        <is>
          <t>Seattle, WA, US</t>
        </is>
      </c>
      <c r="H108" s="3"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in-e46048ed0aea925b</t>
        </is>
      </c>
      <c r="B109" t="inlineStr">
        <is>
          <t>Sr. Applied Scientist, Amazon Advertising</t>
        </is>
      </c>
      <c r="C109" t="inlineStr">
        <is>
          <t>Amazon.com</t>
        </is>
      </c>
      <c r="D109" t="inlineStr">
        <is>
          <t>indeed</t>
        </is>
      </c>
      <c r="E109">
        <f>HYPERLINK("https://www.indeed.com/viewjob?jk=e46048ed0aea925b", "https://www.indeed.com/viewjob?jk=e46048ed0aea925b")</f>
        <v/>
      </c>
      <c r="F109">
        <f>HYPERLINK("https://www.amazon.jobs/jobs/3035686/sr-applied-scientist-amazon-advertising?cmpid=DA_INAD200785B", "https://www.amazon.jobs/jobs/3035686/sr-applied-scientist-amazon-advertising?cmpid=DA_INAD200785B")</f>
        <v/>
      </c>
      <c r="G109" t="inlineStr">
        <is>
          <t>Palo Alto, CA, US</t>
        </is>
      </c>
      <c r="H109" s="3"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in-ec3a4a7a6afdad6b</t>
        </is>
      </c>
      <c r="B110" t="inlineStr">
        <is>
          <t>Sr. Applied Scientist, Amazon Advertising</t>
        </is>
      </c>
      <c r="C110" t="inlineStr">
        <is>
          <t>Amazon.com</t>
        </is>
      </c>
      <c r="D110" t="inlineStr">
        <is>
          <t>indeed</t>
        </is>
      </c>
      <c r="E110">
        <f>HYPERLINK("https://www.indeed.com/viewjob?jk=ec3a4a7a6afdad6b", "https://www.indeed.com/viewjob?jk=ec3a4a7a6afdad6b")</f>
        <v/>
      </c>
      <c r="F110">
        <f>HYPERLINK("https://www.amazon.jobs/jobs/3035686/sr-applied-scientist-amazon-advertising?cmpid=DA_INAD200785B", "https://www.amazon.jobs/jobs/3035686/sr-applied-scientist-amazon-advertising?cmpid=DA_INAD200785B")</f>
        <v/>
      </c>
      <c r="G110" t="inlineStr">
        <is>
          <t>Simi Valley, CA, US</t>
        </is>
      </c>
      <c r="H110" s="3"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in-0a1612949e7fe922</t>
        </is>
      </c>
      <c r="B111" t="inlineStr">
        <is>
          <t>Sr. Applied Scientist, Amazon Advertising</t>
        </is>
      </c>
      <c r="C111" t="inlineStr">
        <is>
          <t>Amazon.com</t>
        </is>
      </c>
      <c r="D111" t="inlineStr">
        <is>
          <t>indeed</t>
        </is>
      </c>
      <c r="E111">
        <f>HYPERLINK("https://www.indeed.com/viewjob?jk=0a1612949e7fe922", "https://www.indeed.com/viewjob?jk=0a1612949e7fe922")</f>
        <v/>
      </c>
      <c r="F111">
        <f>HYPERLINK("https://www.amazon.jobs/jobs/3035686/sr-applied-scientist-amazon-advertising?cmpid=DA_INAD200785B", "https://www.amazon.jobs/jobs/3035686/sr-applied-scientist-amazon-advertising?cmpid=DA_INAD200785B")</f>
        <v/>
      </c>
      <c r="G111" t="inlineStr">
        <is>
          <t>New York, NY, US</t>
        </is>
      </c>
      <c r="H111" s="3"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in-a412af1937e532c1</t>
        </is>
      </c>
      <c r="B112" t="inlineStr">
        <is>
          <t>Sr. Applied Scientist, Amazon Advertising</t>
        </is>
      </c>
      <c r="C112" t="inlineStr">
        <is>
          <t>Amazon.com</t>
        </is>
      </c>
      <c r="D112" t="inlineStr">
        <is>
          <t>indeed</t>
        </is>
      </c>
      <c r="E112">
        <f>HYPERLINK("https://www.indeed.com/viewjob?jk=a412af1937e532c1", "https://www.indeed.com/viewjob?jk=a412af1937e532c1")</f>
        <v/>
      </c>
      <c r="F112">
        <f>HYPERLINK("https://www.amazon.jobs/jobs/3035686/sr-applied-scientist-amazon-advertising?cmpid=DA_INAD200785B", "https://www.amazon.jobs/jobs/3035686/sr-applied-scientist-amazon-advertising?cmpid=DA_INAD200785B")</f>
        <v/>
      </c>
      <c r="G112" t="inlineStr">
        <is>
          <t>Los Angeles, CA, US</t>
        </is>
      </c>
      <c r="H112" s="3"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in-313ee93182f41d0b</t>
        </is>
      </c>
      <c r="B113" t="inlineStr">
        <is>
          <t>Sr. Applied Scientist, Amazon Advertising</t>
        </is>
      </c>
      <c r="C113" t="inlineStr">
        <is>
          <t>Amazon.com</t>
        </is>
      </c>
      <c r="D113" t="inlineStr">
        <is>
          <t>indeed</t>
        </is>
      </c>
      <c r="E113">
        <f>HYPERLINK("https://www.indeed.com/viewjob?jk=313ee93182f41d0b", "https://www.indeed.com/viewjob?jk=313ee93182f41d0b")</f>
        <v/>
      </c>
      <c r="F113">
        <f>HYPERLINK("https://www.amazon.jobs/jobs/3035686/sr-applied-scientist-amazon-advertising?cmpid=DA_INAD200785B", "https://www.amazon.jobs/jobs/3035686/sr-applied-scientist-amazon-advertising?cmpid=DA_INAD200785B")</f>
        <v/>
      </c>
      <c r="G113" t="inlineStr">
        <is>
          <t>West Hollywood, CA, US</t>
        </is>
      </c>
      <c r="H113" s="3"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in-16ea76ebf298b129</t>
        </is>
      </c>
      <c r="B114" t="inlineStr">
        <is>
          <t>Sr. Applied Scientist, Amazon Advertising</t>
        </is>
      </c>
      <c r="C114" t="inlineStr">
        <is>
          <t>Amazon.com</t>
        </is>
      </c>
      <c r="D114" t="inlineStr">
        <is>
          <t>indeed</t>
        </is>
      </c>
      <c r="E114">
        <f>HYPERLINK("https://www.indeed.com/viewjob?jk=16ea76ebf298b129", "https://www.indeed.com/viewjob?jk=16ea76ebf298b129")</f>
        <v/>
      </c>
      <c r="F114">
        <f>HYPERLINK("https://www.amazon.jobs/jobs/3035686/sr-applied-scientist-amazon-advertising?cmpid=DA_INAD200785B", "https://www.amazon.jobs/jobs/3035686/sr-applied-scientist-amazon-advertising?cmpid=DA_INAD200785B")</f>
        <v/>
      </c>
      <c r="G114" t="inlineStr">
        <is>
          <t>Austin, TX, US</t>
        </is>
      </c>
      <c r="H114" s="3"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in-47204aac83a13168</t>
        </is>
      </c>
      <c r="B115" t="inlineStr">
        <is>
          <t>Sr. Applied Scientist, Amazon Advertising</t>
        </is>
      </c>
      <c r="C115" t="inlineStr">
        <is>
          <t>Amazon.com</t>
        </is>
      </c>
      <c r="D115" t="inlineStr">
        <is>
          <t>indeed</t>
        </is>
      </c>
      <c r="E115">
        <f>HYPERLINK("https://www.indeed.com/viewjob?jk=47204aac83a13168", "https://www.indeed.com/viewjob?jk=47204aac83a13168")</f>
        <v/>
      </c>
      <c r="F115">
        <f>HYPERLINK("https://www.amazon.jobs/jobs/3035686/sr-applied-scientist-amazon-advertising?cmpid=DA_INAD200785B", "https://www.amazon.jobs/jobs/3035686/sr-applied-scientist-amazon-advertising?cmpid=DA_INAD200785B")</f>
        <v/>
      </c>
      <c r="G115" t="inlineStr">
        <is>
          <t>Arlington, VA, US</t>
        </is>
      </c>
      <c r="H115" s="3"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in-a8e87f96e0f7bcb5</t>
        </is>
      </c>
      <c r="B116" t="inlineStr">
        <is>
          <t>Senior Applied Scientist, Artificial General Intelligence</t>
        </is>
      </c>
      <c r="C116" t="inlineStr">
        <is>
          <t>Amazon.com</t>
        </is>
      </c>
      <c r="D116" t="inlineStr">
        <is>
          <t>indeed</t>
        </is>
      </c>
      <c r="E116">
        <f>HYPERLINK("https://www.indeed.com/viewjob?jk=a8e87f96e0f7bcb5", "https://www.indeed.com/viewjob?jk=a8e87f96e0f7bcb5")</f>
        <v/>
      </c>
      <c r="F116">
        <f>HYPERLINK("https://www.amazon.jobs/jobs/3032183/senior-applied-scientist-artificial-general-intelligence?cmpid=DA_INAD200785B", "https://www.amazon.jobs/jobs/3032183/senior-applied-scientist-artificial-general-intelligence?cmpid=DA_INAD200785B")</f>
        <v/>
      </c>
      <c r="G116" t="inlineStr">
        <is>
          <t>Sunnyvale, CA, US</t>
        </is>
      </c>
      <c r="H116" s="3" t="n">
        <v>45838</v>
      </c>
      <c r="I11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in-77d75291345a8b84</t>
        </is>
      </c>
      <c r="B117" t="inlineStr">
        <is>
          <t>Senior Applied Scientist, Artificial General Intelligence</t>
        </is>
      </c>
      <c r="C117" t="inlineStr">
        <is>
          <t>Amazon.com</t>
        </is>
      </c>
      <c r="D117" t="inlineStr">
        <is>
          <t>indeed</t>
        </is>
      </c>
      <c r="E117">
        <f>HYPERLINK("https://www.indeed.com/viewjob?jk=77d75291345a8b84", "https://www.indeed.com/viewjob?jk=77d75291345a8b84")</f>
        <v/>
      </c>
      <c r="F117">
        <f>HYPERLINK("https://www.amazon.jobs/jobs/3032183/senior-applied-scientist-artificial-general-intelligence?cmpid=DA_INAD200785B", "https://www.amazon.jobs/jobs/3032183/senior-applied-scientist-artificial-general-intelligence?cmpid=DA_INAD200785B")</f>
        <v/>
      </c>
      <c r="G117" t="inlineStr">
        <is>
          <t>Boston, MA, US</t>
        </is>
      </c>
      <c r="H117" s="3" t="n">
        <v>45838</v>
      </c>
      <c r="I11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in-13694ebb0a0542c8</t>
        </is>
      </c>
      <c r="B118" t="inlineStr">
        <is>
          <t>Senior Applied Scientist, Artificial General Intelligence</t>
        </is>
      </c>
      <c r="C118" t="inlineStr">
        <is>
          <t>Amazon.com</t>
        </is>
      </c>
      <c r="D118" t="inlineStr">
        <is>
          <t>indeed</t>
        </is>
      </c>
      <c r="E118">
        <f>HYPERLINK("https://www.indeed.com/viewjob?jk=13694ebb0a0542c8", "https://www.indeed.com/viewjob?jk=13694ebb0a0542c8")</f>
        <v/>
      </c>
      <c r="F118">
        <f>HYPERLINK("https://www.amazon.jobs/jobs/3032183/senior-applied-scientist-artificial-general-intelligence?cmpid=DA_INAD200785B", "https://www.amazon.jobs/jobs/3032183/senior-applied-scientist-artificial-general-intelligence?cmpid=DA_INAD200785B")</f>
        <v/>
      </c>
      <c r="G118" t="inlineStr">
        <is>
          <t>New York, NY, US</t>
        </is>
      </c>
      <c r="H118" s="3" t="n">
        <v>45838</v>
      </c>
      <c r="I1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in-2e23f6e6e15ac149</t>
        </is>
      </c>
      <c r="B119" t="inlineStr">
        <is>
          <t>Sr. Applied Scientist, Sales AI</t>
        </is>
      </c>
      <c r="C119" t="inlineStr">
        <is>
          <t>Amazon.com</t>
        </is>
      </c>
      <c r="D119" t="inlineStr">
        <is>
          <t>indeed</t>
        </is>
      </c>
      <c r="E119">
        <f>HYPERLINK("https://www.indeed.com/viewjob?jk=2e23f6e6e15ac149", "https://www.indeed.com/viewjob?jk=2e23f6e6e15ac149")</f>
        <v/>
      </c>
      <c r="F119">
        <f>HYPERLINK("https://www.amazon.jobs/jobs/3020528/sr-applied-scientist-sales-ai?cmpid=DA_INAD200785B", "https://www.amazon.jobs/jobs/3020528/sr-applied-scientist-sales-ai?cmpid=DA_INAD200785B")</f>
        <v/>
      </c>
      <c r="G119" t="inlineStr">
        <is>
          <t>New York, NY, US</t>
        </is>
      </c>
      <c r="H119" s="3" t="n">
        <v>45830</v>
      </c>
      <c r="I11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in-d6e0ebb2fea1d4e8</t>
        </is>
      </c>
      <c r="B120" t="inlineStr">
        <is>
          <t>Sr. Applied Scientist, Sales AI</t>
        </is>
      </c>
      <c r="C120" t="inlineStr">
        <is>
          <t>Amazon.com</t>
        </is>
      </c>
      <c r="D120" t="inlineStr">
        <is>
          <t>indeed</t>
        </is>
      </c>
      <c r="E120">
        <f>HYPERLINK("https://www.indeed.com/viewjob?jk=d6e0ebb2fea1d4e8", "https://www.indeed.com/viewjob?jk=d6e0ebb2fea1d4e8")</f>
        <v/>
      </c>
      <c r="F120">
        <f>HYPERLINK("https://www.amazon.jobs/jobs/3020528/sr-applied-scientist-sales-ai?cmpid=DA_INAD200785B", "https://www.amazon.jobs/jobs/3020528/sr-applied-scientist-sales-ai?cmpid=DA_INAD200785B")</f>
        <v/>
      </c>
      <c r="G120" t="inlineStr">
        <is>
          <t>Sunnyvale, CA, US</t>
        </is>
      </c>
      <c r="H120" s="3"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in-f3705708b2c58353</t>
        </is>
      </c>
      <c r="B121" t="inlineStr">
        <is>
          <t>Sr. Applied Scientist, Sales AI</t>
        </is>
      </c>
      <c r="C121" t="inlineStr">
        <is>
          <t>Amazon.com</t>
        </is>
      </c>
      <c r="D121" t="inlineStr">
        <is>
          <t>indeed</t>
        </is>
      </c>
      <c r="E121">
        <f>HYPERLINK("https://www.indeed.com/viewjob?jk=f3705708b2c58353", "https://www.indeed.com/viewjob?jk=f3705708b2c58353")</f>
        <v/>
      </c>
      <c r="F121">
        <f>HYPERLINK("https://www.amazon.jobs/jobs/3020528/sr-applied-scientist-sales-ai?cmpid=DA_INAD200785B", "https://www.amazon.jobs/jobs/3020528/sr-applied-scientist-sales-ai?cmpid=DA_INAD200785B")</f>
        <v/>
      </c>
      <c r="G121" t="inlineStr">
        <is>
          <t>Seattle, WA, US</t>
        </is>
      </c>
      <c r="H121" s="3"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in-7ff3ebbbab111319</t>
        </is>
      </c>
      <c r="B122" t="inlineStr">
        <is>
          <t>Sr. Applied Scientist, AGI Info</t>
        </is>
      </c>
      <c r="C122" t="inlineStr">
        <is>
          <t>Amazon.com</t>
        </is>
      </c>
      <c r="D122" t="inlineStr">
        <is>
          <t>indeed</t>
        </is>
      </c>
      <c r="E122">
        <f>HYPERLINK("https://www.indeed.com/viewjob?jk=7ff3ebbbab111319", "https://www.indeed.com/viewjob?jk=7ff3ebbbab111319")</f>
        <v/>
      </c>
      <c r="F122">
        <f>HYPERLINK("https://www.amazon.jobs/jobs/2999351/sr-applied-scientist-agi-info?cmpid=DA_INAD200785B", "https://www.amazon.jobs/jobs/2999351/sr-applied-scientist-agi-info?cmpid=DA_INAD200785B")</f>
        <v/>
      </c>
      <c r="G122" t="inlineStr">
        <is>
          <t>Bellevue, WA, US</t>
        </is>
      </c>
      <c r="H122" s="3" t="n">
        <v>45811</v>
      </c>
      <c r="I12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in-3f6ad0ee30ed75c5</t>
        </is>
      </c>
      <c r="B123" t="inlineStr">
        <is>
          <t>Sr. Applied Scientist, AGI Info</t>
        </is>
      </c>
      <c r="C123" t="inlineStr">
        <is>
          <t>Amazon.com</t>
        </is>
      </c>
      <c r="D123" t="inlineStr">
        <is>
          <t>indeed</t>
        </is>
      </c>
      <c r="E123">
        <f>HYPERLINK("https://www.indeed.com/viewjob?jk=3f6ad0ee30ed75c5", "https://www.indeed.com/viewjob?jk=3f6ad0ee30ed75c5")</f>
        <v/>
      </c>
      <c r="F123">
        <f>HYPERLINK("https://www.amazon.jobs/jobs/2999351/sr-applied-scientist-agi-info?cmpid=DA_INAD200785B", "https://www.amazon.jobs/jobs/2999351/sr-applied-scientist-agi-info?cmpid=DA_INAD200785B")</f>
        <v/>
      </c>
      <c r="G123" t="inlineStr">
        <is>
          <t>Sunnyvale, CA, US</t>
        </is>
      </c>
      <c r="H123" s="3" t="n">
        <v>45811</v>
      </c>
      <c r="I12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in-6bbd4cd9bb521375</t>
        </is>
      </c>
      <c r="B124" t="inlineStr">
        <is>
          <t>Principal Applied Scientist, Delivery Foundation Model</t>
        </is>
      </c>
      <c r="C124" t="inlineStr">
        <is>
          <t>Amazon.com</t>
        </is>
      </c>
      <c r="D124" t="inlineStr">
        <is>
          <t>indeed</t>
        </is>
      </c>
      <c r="E124">
        <f>HYPERLINK("https://www.indeed.com/viewjob?jk=6bbd4cd9bb521375", "https://www.indeed.com/viewjob?jk=6bbd4cd9bb521375")</f>
        <v/>
      </c>
      <c r="F124">
        <f>HYPERLINK("https://www.amazon.jobs/jobs/3006938/principal-applied-scientist-delivery-foundation-model-?cmpid=DA_INAD200785B", "https://www.amazon.jobs/jobs/3006938/principal-applied-scientist-delivery-foundation-model-?cmpid=DA_INAD200785B")</f>
        <v/>
      </c>
      <c r="G124" t="inlineStr">
        <is>
          <t>New York, NY, US</t>
        </is>
      </c>
      <c r="H124" s="3" t="n">
        <v>45810</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in-7d05c015648be882</t>
        </is>
      </c>
      <c r="B125" t="inlineStr">
        <is>
          <t>Principal Applied Scientist, Delivery Foundation Model</t>
        </is>
      </c>
      <c r="C125" t="inlineStr">
        <is>
          <t>Amazon.com</t>
        </is>
      </c>
      <c r="D125" t="inlineStr">
        <is>
          <t>indeed</t>
        </is>
      </c>
      <c r="E125">
        <f>HYPERLINK("https://www.indeed.com/viewjob?jk=7d05c015648be882", "https://www.indeed.com/viewjob?jk=7d05c015648be882")</f>
        <v/>
      </c>
      <c r="F125">
        <f>HYPERLINK("https://www.amazon.jobs/jobs/3006938/principal-applied-scientist-delivery-foundation-model-?cmpid=DA_INAD200785B", "https://www.amazon.jobs/jobs/3006938/principal-applied-scientist-delivery-foundation-model-?cmpid=DA_INAD200785B")</f>
        <v/>
      </c>
      <c r="G125" t="inlineStr">
        <is>
          <t>Bellevue, WA, US</t>
        </is>
      </c>
      <c r="H125" s="3"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in-53ae0315f3fb28a0</t>
        </is>
      </c>
      <c r="B126" t="inlineStr">
        <is>
          <t>Principal Applied Scientist, Delivery Foundation Model</t>
        </is>
      </c>
      <c r="C126" t="inlineStr">
        <is>
          <t>Amazon.com</t>
        </is>
      </c>
      <c r="D126" t="inlineStr">
        <is>
          <t>indeed</t>
        </is>
      </c>
      <c r="E126">
        <f>HYPERLINK("https://www.indeed.com/viewjob?jk=53ae0315f3fb28a0", "https://www.indeed.com/viewjob?jk=53ae0315f3fb28a0")</f>
        <v/>
      </c>
      <c r="F126">
        <f>HYPERLINK("https://www.amazon.jobs/jobs/3006938/principal-applied-scientist-delivery-foundation-model-?cmpid=DA_INAD200785B", "https://www.amazon.jobs/jobs/3006938/principal-applied-scientist-delivery-foundation-model-?cmpid=DA_INAD200785B")</f>
        <v/>
      </c>
      <c r="G126" t="inlineStr">
        <is>
          <t>Santa Clara, CA, US</t>
        </is>
      </c>
      <c r="H126" s="3" t="n">
        <v>45810</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in-5058b82542acc4ed</t>
        </is>
      </c>
      <c r="B127" t="inlineStr">
        <is>
          <t>Principal Applied Scientist, Delivery Foundation Model</t>
        </is>
      </c>
      <c r="C127" t="inlineStr">
        <is>
          <t>Amazon.com</t>
        </is>
      </c>
      <c r="D127" t="inlineStr">
        <is>
          <t>indeed</t>
        </is>
      </c>
      <c r="E127">
        <f>HYPERLINK("https://www.indeed.com/viewjob?jk=5058b82542acc4ed", "https://www.indeed.com/viewjob?jk=5058b82542acc4ed")</f>
        <v/>
      </c>
      <c r="F127">
        <f>HYPERLINK("https://www.amazon.jobs/jobs/3006938/principal-applied-scientist-delivery-foundation-model-?cmpid=DA_INAD200785B", "https://www.amazon.jobs/jobs/3006938/principal-applied-scientist-delivery-foundation-model-?cmpid=DA_INAD200785B")</f>
        <v/>
      </c>
      <c r="G127" t="inlineStr">
        <is>
          <t>Austin, TX, US</t>
        </is>
      </c>
      <c r="H127" s="3" t="n">
        <v>45810</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in-04a95cef39b72186</t>
        </is>
      </c>
      <c r="B128" t="inlineStr">
        <is>
          <t>Principal Applied Scientist, Delivery Foundation Model</t>
        </is>
      </c>
      <c r="C128" t="inlineStr">
        <is>
          <t>Amazon.com</t>
        </is>
      </c>
      <c r="D128" t="inlineStr">
        <is>
          <t>indeed</t>
        </is>
      </c>
      <c r="E128">
        <f>HYPERLINK("https://www.indeed.com/viewjob?jk=04a95cef39b72186", "https://www.indeed.com/viewjob?jk=04a95cef39b72186")</f>
        <v/>
      </c>
      <c r="F128">
        <f>HYPERLINK("https://www.amazon.jobs/jobs/2998635/principal-applied-scientist-delivery-foundation-model-?cmpid=DA_INAD200785B", "https://www.amazon.jobs/jobs/2998635/principal-applied-scientist-delivery-foundation-model-?cmpid=DA_INAD200785B")</f>
        <v/>
      </c>
      <c r="G128" t="inlineStr">
        <is>
          <t>Bellevue, WA, US</t>
        </is>
      </c>
      <c r="H128" s="3" t="n">
        <v>45757</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in-b4918be544a00626</t>
        </is>
      </c>
      <c r="B129" t="inlineStr">
        <is>
          <t>Principal Applied Scientist, Delivery Foundation Model</t>
        </is>
      </c>
      <c r="C129" t="inlineStr">
        <is>
          <t>Amazon.com</t>
        </is>
      </c>
      <c r="D129" t="inlineStr">
        <is>
          <t>indeed</t>
        </is>
      </c>
      <c r="E129">
        <f>HYPERLINK("https://www.indeed.com/viewjob?jk=b4918be544a00626", "https://www.indeed.com/viewjob?jk=b4918be544a00626")</f>
        <v/>
      </c>
      <c r="F129">
        <f>HYPERLINK("https://www.amazon.jobs/jobs/2998635/principal-applied-scientist-delivery-foundation-model-?cmpid=DA_INAD200785B", "https://www.amazon.jobs/jobs/2998635/principal-applied-scientist-delivery-foundation-model-?cmpid=DA_INAD200785B")</f>
        <v/>
      </c>
      <c r="G129" t="inlineStr">
        <is>
          <t>Santa Clara, CA, US</t>
        </is>
      </c>
      <c r="H129" s="3" t="n">
        <v>45757</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in-397d5d997ac6a8bd</t>
        </is>
      </c>
      <c r="B130" t="inlineStr">
        <is>
          <t>Principal Applied Scientist, Delivery Foundation Model</t>
        </is>
      </c>
      <c r="C130" t="inlineStr">
        <is>
          <t>Amazon.com</t>
        </is>
      </c>
      <c r="D130" t="inlineStr">
        <is>
          <t>indeed</t>
        </is>
      </c>
      <c r="E130">
        <f>HYPERLINK("https://www.indeed.com/viewjob?jk=397d5d997ac6a8bd", "https://www.indeed.com/viewjob?jk=397d5d997ac6a8bd")</f>
        <v/>
      </c>
      <c r="F130">
        <f>HYPERLINK("https://www.amazon.jobs/jobs/2998635/principal-applied-scientist-delivery-foundation-model-?cmpid=DA_INAD200785B", "https://www.amazon.jobs/jobs/2998635/principal-applied-scientist-delivery-foundation-model-?cmpid=DA_INAD200785B")</f>
        <v/>
      </c>
      <c r="G130" t="inlineStr">
        <is>
          <t>New York, NY, US</t>
        </is>
      </c>
      <c r="H130" s="3" t="n">
        <v>45757</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in-ba3211b8492a9639</t>
        </is>
      </c>
      <c r="B131" t="inlineStr">
        <is>
          <t>Principal Applied Scientist, FAR (Frontier AI &amp; Robotics)</t>
        </is>
      </c>
      <c r="C131" t="inlineStr">
        <is>
          <t>Amazon.com</t>
        </is>
      </c>
      <c r="D131" t="inlineStr">
        <is>
          <t>indeed</t>
        </is>
      </c>
      <c r="E131">
        <f>HYPERLINK("https://www.indeed.com/viewjob?jk=ba3211b8492a9639", "https://www.indeed.com/viewjob?jk=ba3211b8492a9639")</f>
        <v/>
      </c>
      <c r="F131">
        <f>HYPERLINK("https://www.amazon.jobs/jobs/2938625/principal-applied-scientist-far-frontier-ai--robotics?cmpid=DA_INAD200785B", "https://www.amazon.jobs/jobs/2938625/principal-applied-scientist-far-frontier-ai--robotics?cmpid=DA_INAD200785B")</f>
        <v/>
      </c>
      <c r="G131" t="inlineStr">
        <is>
          <t>Seattle, WA, US</t>
        </is>
      </c>
      <c r="H131" s="3" t="n">
        <v>45740</v>
      </c>
      <c r="I13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in-9210c802d6cf3331</t>
        </is>
      </c>
      <c r="B132" t="inlineStr">
        <is>
          <t>Principal Applied Scientist, FAR (Frontier AI &amp; Robotics)</t>
        </is>
      </c>
      <c r="C132" t="inlineStr">
        <is>
          <t>Amazon.com</t>
        </is>
      </c>
      <c r="D132" t="inlineStr">
        <is>
          <t>indeed</t>
        </is>
      </c>
      <c r="E132">
        <f>HYPERLINK("https://www.indeed.com/viewjob?jk=9210c802d6cf3331", "https://www.indeed.com/viewjob?jk=9210c802d6cf3331")</f>
        <v/>
      </c>
      <c r="F132">
        <f>HYPERLINK("https://www.amazon.jobs/jobs/2938625/principal-applied-scientist-far-frontier-ai--robotics?cmpid=DA_INAD200785B", "https://www.amazon.jobs/jobs/2938625/principal-applied-scientist-far-frontier-ai--robotics?cmpid=DA_INAD200785B")</f>
        <v/>
      </c>
      <c r="G132" t="inlineStr">
        <is>
          <t>San Francisco, CA, US</t>
        </is>
      </c>
      <c r="H132" s="3"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in-35ba840bfcb39d16</t>
        </is>
      </c>
      <c r="B133" t="inlineStr">
        <is>
          <t>Machine Learning Engineer</t>
        </is>
      </c>
      <c r="C133" t="inlineStr">
        <is>
          <t>Verita AI</t>
        </is>
      </c>
      <c r="D133" t="inlineStr">
        <is>
          <t>indeed</t>
        </is>
      </c>
      <c r="E133">
        <f>HYPERLINK("https://www.indeed.com/viewjob?jk=35ba840bfcb39d16", "https://www.indeed.com/viewjob?jk=35ba840bfcb39d16")</f>
        <v/>
      </c>
      <c r="F133">
        <f>HYPERLINK("http://www.indeed.com/job/machine-learning-engineer-35ba840bfcb39d16", "http://www.indeed.com/job/machine-learning-engineer-35ba840bfcb39d16")</f>
        <v/>
      </c>
      <c r="G133" t="inlineStr">
        <is>
          <t>Remote, US</t>
        </is>
      </c>
      <c r="H133" s="3" t="n">
        <v>46039</v>
      </c>
      <c r="I133" t="inlineStr">
        <is>
          <t>**Verita AI** is at the forefront of next\-generation artificial intelligence, emphasizing nuance, multimodal reasoning, and human judgment. We are dedicated to building high\-trust data pipelines for training and evaluating models.
Our founding team comes from Mercor, Stanford, HRT, Citadel, Stripe and Yale. We partner with world\-class researchers and engineers to advance experimentation, rigor, and reliability in the field of AI.
https://www.verita\-ai.com/
**Brief Description:**
We’re hiring RL Environments Engineers to design and build MLE environments. The goal is to teach LLMs advanced concepts from modern AI/ML.
**Compensation:**
* $50–$150 USD per hour(dependent on the expertise level and quality of take\-home assignment).
* $500 bonus for the take\-home assignment if offered a job.
**Technical Evaluation:**
If you are interested in exploring this role, please complete:
Verita AI \| RL Environment Engineer Technical Screening
https://form.typeform.com/to/OFHwbf2E
**Requirements:**
* Master’s degree in Computer Science, Artificial Intelligence, Machine Learning, or a related technical field.
* Strong Python skills (engineering\-quality, not notebook\-only).
* Production mindset including debugging, reliability, and iteration speed.
* Clear understanding of LLMs and their current limitations.
* Advanced English proficiency (C1/C2\).
* Ability to meet throughput expectations and respond quickly to feedback.
* Complete an average of two tasks each week.
* Turn the take\-home assignment into a complete task using company tools and guidelines upon onboarding.
**You may be a good fit if:**
* You have a deep understanding of transformer internals, training/inference of modern LLMs, or experience with inference libraries (vLLM, SGLang, etc).
* Expertise in **CUDA** or **Pallas** kernel development optimizing non\-trivial neural modules to specific hardware
* Expert knowledge in an active DL/ML research area, with publications or public code to show for it.
* You have **strong fundamentals** and **broad research interests**, you read many papers, understand them deeply and have **creativity** to translate them into RLVR problems
* You have built **complex interactive RL environments** and have strong insights into **open\-ended** RL\-based learning systems
**Additional Details**
* Time Commitment: At least 4 hours overlap to UTC\-8 (PST 9am–5pm).
* Process: Includes a HackerRank take\-home assignment (2–5 hours average) with a one\-week turnaround.
* “Any questions, reach out to or
Job Type: Contract
Pay: $50\.00 \- $150\.00 per hour
Expected hours: No less than 20 per week
Work Location: Remote</t>
        </is>
      </c>
    </row>
    <row r="134">
      <c r="A134" t="inlineStr">
        <is>
          <t>in-df6eab7816e1c7f8</t>
        </is>
      </c>
      <c r="B134" t="inlineStr">
        <is>
          <t>Sr. Machine Learning Engineer, AGIF | Finetuning</t>
        </is>
      </c>
      <c r="C134" t="inlineStr">
        <is>
          <t>Amazon.com</t>
        </is>
      </c>
      <c r="D134" t="inlineStr">
        <is>
          <t>indeed</t>
        </is>
      </c>
      <c r="E134">
        <f>HYPERLINK("https://www.indeed.com/viewjob?jk=df6eab7816e1c7f8", "https://www.indeed.com/viewjob?jk=df6eab7816e1c7f8")</f>
        <v/>
      </c>
      <c r="F134">
        <f>HYPERLINK("https://www.amazon.jobs/jobs/3145989/sr-machine-learning-engineer-agif--finetuning?cmpid=DA_INAD200785B", "https://www.amazon.jobs/jobs/3145989/sr-machine-learning-engineer-agif--finetuning?cmpid=DA_INAD200785B")</f>
        <v/>
      </c>
      <c r="G134" t="inlineStr">
        <is>
          <t>Sunnyvale, CA, US</t>
        </is>
      </c>
      <c r="H134" s="3" t="n">
        <v>45984</v>
      </c>
      <c r="I13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in-fab3622813644249</t>
        </is>
      </c>
      <c r="B135" t="inlineStr">
        <is>
          <t>Sr. Machine Learning Engineer, AGIF | Finetuning</t>
        </is>
      </c>
      <c r="C135" t="inlineStr">
        <is>
          <t>Amazon.com</t>
        </is>
      </c>
      <c r="D135" t="inlineStr">
        <is>
          <t>indeed</t>
        </is>
      </c>
      <c r="E135">
        <f>HYPERLINK("https://www.indeed.com/viewjob?jk=fab3622813644249", "https://www.indeed.com/viewjob?jk=fab3622813644249")</f>
        <v/>
      </c>
      <c r="F135">
        <f>HYPERLINK("https://www.amazon.jobs/jobs/3145989/sr-machine-learning-engineer-agif--finetuning?cmpid=DA_INAD200785B", "https://www.amazon.jobs/jobs/3145989/sr-machine-learning-engineer-agif--finetuning?cmpid=DA_INAD200785B")</f>
        <v/>
      </c>
      <c r="G135" t="inlineStr">
        <is>
          <t>Bellevue, WA, US</t>
        </is>
      </c>
      <c r="H135" s="3" t="n">
        <v>45984</v>
      </c>
      <c r="I13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in-89366a1eda4ea35f</t>
        </is>
      </c>
      <c r="B136" t="inlineStr">
        <is>
          <t>Sr. Machine Learning Engineer, AGIF | Finetuning</t>
        </is>
      </c>
      <c r="C136" t="inlineStr">
        <is>
          <t>Amazon.com</t>
        </is>
      </c>
      <c r="D136" t="inlineStr">
        <is>
          <t>indeed</t>
        </is>
      </c>
      <c r="E136">
        <f>HYPERLINK("https://www.indeed.com/viewjob?jk=89366a1eda4ea35f", "https://www.indeed.com/viewjob?jk=89366a1eda4ea35f")</f>
        <v/>
      </c>
      <c r="F136">
        <f>HYPERLINK("https://www.amazon.jobs/jobs/3145989/sr-machine-learning-engineer-agif--finetuning?cmpid=DA_INAD200785B", "https://www.amazon.jobs/jobs/3145989/sr-machine-learning-engineer-agif--finetuning?cmpid=DA_INAD200785B")</f>
        <v/>
      </c>
      <c r="G136" t="inlineStr">
        <is>
          <t>New York, NY, US</t>
        </is>
      </c>
      <c r="H136" s="3" t="n">
        <v>45984</v>
      </c>
      <c r="I13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li-4353770220</t>
        </is>
      </c>
      <c r="B2" t="inlineStr">
        <is>
          <t>Applied Scientist, Safety ML</t>
        </is>
      </c>
      <c r="C2" t="inlineStr">
        <is>
          <t>myGwork - LGBTQ+ Business Community</t>
        </is>
      </c>
      <c r="D2" t="inlineStr">
        <is>
          <t>linkedin</t>
        </is>
      </c>
      <c r="E2" t="inlineStr"/>
      <c r="F2" t="inlineStr"/>
      <c r="G2" t="inlineStr">
        <is>
          <t>San Francisco, CA</t>
        </is>
      </c>
      <c r="H2" t="inlineStr"/>
      <c r="I2" t="inlineStr">
        <is>
          <t>**This job is with Amazon, an inclusive employer and a member of myGwork – the largest global platform for the LGBTQ\+ business community. Please do not contact the recruiter directly.**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 Francisco \- 171,600\.00 \- 222,200\.00 USD annually
 USA, WA, SEATTLE \- 142,800\.00 \- 193,200\.00 USD annually
 USA, WA, Seattle \- 142,800\.00 \- 193,200\.00 USD annually]]\&gt;</t>
        </is>
      </c>
    </row>
    <row r="3">
      <c r="A3" t="inlineStr">
        <is>
          <t>li-4363817359</t>
        </is>
      </c>
      <c r="B3" t="inlineStr">
        <is>
          <t>Principal Applied Scientist</t>
        </is>
      </c>
      <c r="C3" t="inlineStr">
        <is>
          <t>Microsoft</t>
        </is>
      </c>
      <c r="D3" t="inlineStr">
        <is>
          <t>linkedin</t>
        </is>
      </c>
      <c r="E3" t="inlineStr"/>
      <c r="F3" t="inlineStr"/>
      <c r="G3" t="inlineStr">
        <is>
          <t>Mountain View, CA</t>
        </is>
      </c>
      <c r="H3" t="inlineStr"/>
      <c r="I3" t="inlineStr">
        <is>
          <t>**Overview**
 We seek a Principal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\#MicrosoftAI \#ML \#AI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li-4363787399</t>
        </is>
      </c>
      <c r="B4" t="inlineStr">
        <is>
          <t>Senior Applied Scientist</t>
        </is>
      </c>
      <c r="C4" t="inlineStr">
        <is>
          <t>Microsoft</t>
        </is>
      </c>
      <c r="D4" t="inlineStr">
        <is>
          <t>linkedin</t>
        </is>
      </c>
      <c r="E4" t="inlineStr"/>
      <c r="F4" t="inlineStr"/>
      <c r="G4" t="inlineStr">
        <is>
          <t>Redmond, WA</t>
        </is>
      </c>
      <c r="H4" t="inlineStr"/>
      <c r="I4" t="inlineStr">
        <is>
          <t>**Overview**
 Do you want to be part of a team which delivers innovative products and machine learning solutions across Microsoft to hundreds of millions of users every month? Does the opportunity to join a fast\-paced, high\-visibility, diverse team in a highly competitive market sound exciting to you? If so, this Senior Applied Scientist role with the Microsoft Turing team may be a great fit for you!
 The Microsoft Turing team is an innovative research and engineering team working on state\-of\-the\-art deep learning models to power end user experiences across the company. Senior Applied Scientists and software engineers in the Turing team work together to push the boundaries of large\-scale deep learning models on Turing’s world class distributed training infrastructure. The team is pioneering search and the core copilot experiences across Microsoft’s ecosystem.
 In addition to ensuring that Microsoft is pushing the state\-of\-the\-art large\-scale models, the Turing team also works on improving experiences across Microsoft’s products and services by working on high value scenarios. The Turing team has shipped capabilities across all of many Microsoft scenarios including M365 Copilots, Bing Chat,  semantic search for enterprise and knowledge management, quick reply on Outlook, Smart Compose features in Word, image enhancement models, image search models,  as well as many other features across Office, Bing, and Xbox.  Most recently, the Turing team launched Analyst Agent in M365 Copilot—one of the first reasoning\-powered agents of its kind.
 If you share our passion for building innovative products and utilizing the power of machine learning in large\-scale real\-world situations for the benefit of our customers, we would love to consider your application.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be proficient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3\+ years of experience coding in C\+\+, C\#, C, Java or Python.
* 3\+ years experience in applying deep learning techniques and drive end\-to\-end AI product development (Search, Recommendation, NLP, Document Understanding, etc).
* 3\+ years of experience with common machine learning, deep learning frameworks like Pytorch/Tensorflow.
* 3\+ years communicating technical details clearly across organizational boundaries.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 Proficient ability and effectiveness working end\-to\-end in a challenging technical problem domain (plan, design, execution, continuous release, and service operation).
* Experience with shipping internet scale, low latency and high throughput systems AI products.
* Self\-driven, results oriented, high integrity, ability to work collaboratively, solve problems with groups, find win/win solutions and celebrate successes.
* Customer/End\-result/Metrics driven in design and development.
* Keen ability and motivation to learn, enter new domains, and manage through ambiguity.
* Proficient publication track records at top conferences like ACL, EMNLP, SIGKDD, AAAI, WSDM, COLING, WWW, NIPS, ICASSP, etc.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\#msturingjobs \#msai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li-4353770229</t>
        </is>
      </c>
      <c r="B5" t="inlineStr">
        <is>
          <t>Principal Applied Scientist, Kiro Science</t>
        </is>
      </c>
      <c r="C5" t="inlineStr">
        <is>
          <t>myGwork - LGBTQ+ Business Community</t>
        </is>
      </c>
      <c r="D5" t="inlineStr">
        <is>
          <t>linkedin</t>
        </is>
      </c>
      <c r="E5" t="inlineStr"/>
      <c r="F5" t="inlineStr"/>
      <c r="G5" t="inlineStr">
        <is>
          <t>Santa Clara, CA</t>
        </is>
      </c>
      <c r="H5" t="inlineStr"/>
      <c r="I5" t="inlineStr">
        <is>
          <t>**This job is with Amazon, an inclusive employer and a member of myGwork – the largest global platform for the LGBTQ\+ business community. Please do not contact the recruiter directly.**
**Description**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\- 228,700\.00 \- 309,400\.00 USD annually
 USA, NY, New York \- 218,800\.00 \- 295,900\.00 USD annually]]\&gt;</t>
        </is>
      </c>
    </row>
    <row r="6">
      <c r="A6" t="inlineStr">
        <is>
          <t>li-4353790273</t>
        </is>
      </c>
      <c r="B6" t="inlineStr">
        <is>
          <t>Applied Scientist, LLM Code Agents, Kiro Science</t>
        </is>
      </c>
      <c r="C6" t="inlineStr">
        <is>
          <t>myGwork - LGBTQ+ Business Community</t>
        </is>
      </c>
      <c r="D6" t="inlineStr">
        <is>
          <t>linkedin</t>
        </is>
      </c>
      <c r="E6" t="inlineStr"/>
      <c r="F6" t="inlineStr"/>
      <c r="G6" t="inlineStr">
        <is>
          <t>Santa Clara, CA</t>
        </is>
      </c>
      <c r="H6" t="inlineStr"/>
      <c r="I6"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\- 171,600\.00 \- 222,200\.00 USD annually
 USA, WA, Seattle \- 142,800\.00 \- 193,200\.00 USD annually]]\&gt;</t>
        </is>
      </c>
    </row>
    <row r="7">
      <c r="A7" t="inlineStr">
        <is>
          <t>li-4353790274</t>
        </is>
      </c>
      <c r="B7" t="inlineStr">
        <is>
          <t>Applied Scientist, LLM Code Agents, Kiro Science</t>
        </is>
      </c>
      <c r="C7" t="inlineStr">
        <is>
          <t>myGwork - LGBTQ+ Business Community</t>
        </is>
      </c>
      <c r="D7" t="inlineStr">
        <is>
          <t>linkedin</t>
        </is>
      </c>
      <c r="E7" t="inlineStr"/>
      <c r="F7" t="inlineStr"/>
      <c r="G7" t="inlineStr">
        <is>
          <t>Santa Clara, CA</t>
        </is>
      </c>
      <c r="H7" t="inlineStr"/>
      <c r="I7"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\- 171,600\.00 \- 222,200\.00 USD annually]]\&gt;</t>
        </is>
      </c>
    </row>
    <row r="8">
      <c r="A8" t="inlineStr">
        <is>
          <t>li-4363877073</t>
        </is>
      </c>
      <c r="B8" t="inlineStr">
        <is>
          <t>Senior ML Engineer</t>
        </is>
      </c>
      <c r="C8" t="inlineStr">
        <is>
          <t>Uber</t>
        </is>
      </c>
      <c r="D8" t="inlineStr">
        <is>
          <t>linkedin</t>
        </is>
      </c>
      <c r="E8" t="inlineStr"/>
      <c r="F8" t="inlineStr"/>
      <c r="G8" t="inlineStr">
        <is>
          <t>Seattle, WA</t>
        </is>
      </c>
      <c r="H8" t="inlineStr"/>
      <c r="I8"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without slowing them down.
 As a Senior ML Engineer, you'll translate ambiguous business and security needs into concrete ML problems, design and iterate on solutions, and take them end\-to\-end into production. This is greenfield work at the intersection of ML, security, and infrastructure, shaping how Uber secures AI at scale.
**What The Candidate Will Need / Bonus Points**
 \-\-\-\- What the Candidate Will Do \-\-\-\-
* Translate business and security needs into well\-defined ML problems.
* Develop, iterate, and productionize ML models that drive risk\-adaptive decisions in real\-time.
* Engineer features from Uber's risk systems, logs, and contextual signals.
* Integrate ML systems into Uber's critical access pathways (containers, APIs, gateways, data).
* Collaborate across Security, Risk, and Infra teams to deliver scalable, production\-ready solutions.
* Provide leadership by mentoring junior engineers, evangelize ML best practices, and help shape ML strategy within AI Security.
**Basic Qualifications**
* 5\+ years experience in formulating ML problems from ambiguous business requirements, especially in risk, fraud, or security contexts.
* Proficiency across a broad range of ML algorithms: tree\-based models (XGBoost, LightGBM), classical statistical models (logistic regression, SVMs), and deep learning architectures (CNNs, RNNs, Transformers), with the ability to select and apply the right approach based on context and data characteristics.
* Hands\-on experience with feature engineering, model development, and productionization of ML pipelines.
* Proficiency in PyTorch, TensorFlow, or similar ML frameworks, and in Python or comparable languages for scalable, production\-grade systems.
**Preferred Qualifications**
* Proven ability to own ML systems end\-to\-end: from requirement discovery → feature design → modeling → deployment.
* Deep experience with advanced ML techniques, including ensemble methods, neural networks, graph\-based models, and handling challenges like imbalanced data, feedback loops, and iterative retraining.
* Familiarity with large\-scale data/infra systems (Kafka, Pinot, Hive, Cassandra, Spark, Flink).
* Background in access control, authentication, or enterprise security systems.
* Track record of technical leadership: mentoring engineers, driving cross\-functional initiatives, or shaping ML/security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li-4363877055</t>
        </is>
      </c>
      <c r="B9" t="inlineStr">
        <is>
          <t>Machine Learning Engineer</t>
        </is>
      </c>
      <c r="C9" t="inlineStr">
        <is>
          <t>James Search Group</t>
        </is>
      </c>
      <c r="D9" t="inlineStr">
        <is>
          <t>linkedin</t>
        </is>
      </c>
      <c r="E9" t="inlineStr"/>
      <c r="F9" t="inlineStr"/>
      <c r="G9" t="inlineStr">
        <is>
          <t>New York, NY</t>
        </is>
      </c>
      <c r="H9" t="inlineStr"/>
      <c r="I9"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0">
      <c r="A10" t="inlineStr">
        <is>
          <t>li-4360131382</t>
        </is>
      </c>
      <c r="B10" t="inlineStr">
        <is>
          <t>ML Engineer</t>
        </is>
      </c>
      <c r="C10" t="inlineStr">
        <is>
          <t>Zillow</t>
        </is>
      </c>
      <c r="D10" t="inlineStr">
        <is>
          <t>linkedin</t>
        </is>
      </c>
      <c r="E10" t="inlineStr"/>
      <c r="F10" t="inlineStr"/>
      <c r="G10" t="inlineStr"/>
      <c r="H10" t="inlineStr"/>
      <c r="I10" t="inlineStr">
        <is>
          <t>**About The Company**
 Zillow is a leading real estate platform dedicated to transforming how people buy, sell, finance, and rent homes. As the most\-visited real estate website in the United States, Zillow leverages innovative technology to simplify the homeownership journey for millions of users. The company prides itself on fostering a dynamic, inclusive, and forward\-thinking culture that encourages innovation and excellence. Recognized among the best workplaces nationwide, Zillow is committed to creating an environment where employees can grow, contribute meaningfully, and make a lasting impact on the industry.
**About The Role**
 We are seeking a highly skilled Principal Machine Learning Engineer to join our Agentic AI team remotely. In this strategic role, you will spearhead the development of advanced multimodal foundational AI technologies that redefine the real estate experience. Your expertise will be instrumental in prototyping, evaluating, and deploying sophisticated models on Zillow’s scalable infrastructure. You will focus on perception, language understanding, deep reasoning, and reinforcement learning to enhance AI agent decision\-making capabilities.
 The ideal candidate will have a passion for building innovative solutions, a strong background in large\-scale AI systems, and a collaborative mindset to mentor team members. You will be responsible for translating complex research into actionable product features, driving product innovation, and ensuring the reliability and responsible deployment of AI solutions. This remote role provides flexibility to work from any location within the United States, with competitive compensation aligned with experience and location.
**Qualifications**
* Master’s degree or higher in Computer Science, Electrical Engineering, or related field
* 7\+ years of hands\-on experience in developing large\-scale AI solutions
* Proficiency in foundational large language models, agentic AI, reinforcement learning, and natural language processing
* Experience with multi\-agent systems, dialogue systems, and multi\-step reasoning
* Strong background in deploying and scaling AI services with high availability and low latency
* Familiarity with frameworks such as AgentSDK, LangChain, and LangGraph
* Proven track record of publishing impactful research in top AI/ML venues (preferred)
* Excellent problem\-solving, communication, and leadership skills
**Responsibilities**
* Design, prototype, and develop multi\-agent systems capable of autonomous, context\-aware interactions
* Leverage advanced Generative AI models to build agentic prototypes and convert them into scalable product features
* Mentor and guide engineering teams in adopting appropriate technologies for agentic AI solutions
* Translate complex research findings into practical insights for diverse audiences, including executives
* Drive product innovation by staying abreast of emerging paradigms in agentic AI
* Lead applied science projects, ensuring alignment on timelines and priorities
* Refine processes for experimentation, A/B testing, and production deployment to balance innovation with stability
* Collaborate across teams to integrate AI solutions seamlessly into Zillow’s infrastructure
**Benefits**
* Competitive salary aligned with experience and location
* Eligibility for equity awards based on performance and tenure
* Comprehensive health, dental, and vision insurance plans
* Flexible remote work environment with work\-from\-anywhere flexibility within the U.S.
* Generous paid time off and holiday leave
* Professional development opportunities and continuous learning support
* Inclusive and innovative company culture that values diversity and collaboration
 Equal Opportunity
 Zillow is an equal opportunity employer committed to fostering an inclusive, diverse, and equitable workplace. We welcome applicants regardless of race, color, religion, sex, sexual orientation, gender identity, national origin, age, disability, or veteran status. We are dedicated to providing accommodations for qualified individuals with disabilities or special needs throughout the application process.</t>
        </is>
      </c>
    </row>
    <row r="11">
      <c r="A11" t="inlineStr">
        <is>
          <t>li-4360220365</t>
        </is>
      </c>
      <c r="B11" t="inlineStr">
        <is>
          <t>Machine Learning Engineer</t>
        </is>
      </c>
      <c r="C11" t="inlineStr">
        <is>
          <t>Talent Zone Consultant</t>
        </is>
      </c>
      <c r="D11" t="inlineStr">
        <is>
          <t>linkedin</t>
        </is>
      </c>
      <c r="E11" t="inlineStr"/>
      <c r="F11" t="inlineStr"/>
      <c r="G11" t="inlineStr">
        <is>
          <t>Santa Clara, CA</t>
        </is>
      </c>
      <c r="H11" t="inlineStr"/>
      <c r="I11" t="inlineStr">
        <is>
          <t>Strong foundations in machine learning, statistics, and optimization.Hands\-on experience with deep learning frameworks such as PyTorch or TensorFlow.Proven record of deploying ML models to production at scale.Strong experience with LLMs, embeddings, vector databases, or agentic workflows is expected.Solid understanding of data engineering concepts including batch and streaming pipelines.Comfort with cloud\-native stacks on AWS, GCP, or Azure.Ability to write clean, reviewable code and reason about system trade\-offs.
 Architect\-Level ExpectationsAbility to choose models based on cost, latency, and failure modes rather than novelty.Experience designing ML systems that evolve over time rather than one\-off models.Clear thinking under uncertainty and incomplete data.Strong opinions backed by evidence and a willingness to revise them.</t>
        </is>
      </c>
    </row>
    <row r="12">
      <c r="A12" t="inlineStr">
        <is>
          <t>li-4363857444</t>
        </is>
      </c>
      <c r="B12" t="inlineStr">
        <is>
          <t>Senior ML Engineer</t>
        </is>
      </c>
      <c r="C12" t="inlineStr">
        <is>
          <t>Uber</t>
        </is>
      </c>
      <c r="D12" t="inlineStr">
        <is>
          <t>linkedin</t>
        </is>
      </c>
      <c r="E12" t="inlineStr"/>
      <c r="F12" t="inlineStr"/>
      <c r="G12" t="inlineStr">
        <is>
          <t>San Francisco, CA</t>
        </is>
      </c>
      <c r="H12" t="inlineStr"/>
      <c r="I12"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without slowing them down.
 As a Senior ML Engineer, you'll translate ambiguous business and security needs into concrete ML problems, design and iterate on solutions, and take them end\-to\-end into production. This is greenfield work at the intersection of ML, security, and infrastructure, shaping how Uber secures AI at scale.
**What The Candidate Will Need / Bonus Points**
 \-\-\-\- What the Candidate Will Do \-\-\-\-
* Translate business and security needs into well\-defined ML problems.
* Develop, iterate, and productionize ML models that drive risk\-adaptive decisions in real\-time.
* Engineer features from Uber's risk systems, logs, and contextual signals.
* Integrate ML systems into Uber's critical access pathways (containers, APIs, gateways, data).
* Collaborate across Security, Risk, and Infra teams to deliver scalable, production\-ready solutions.
* Provide leadership by mentoring junior engineers, evangelize ML best practices, and help shape ML strategy within AI Security.
**Basic Qualifications**
* 5\+ years experience in formulating ML problems from ambiguous business requirements, especially in risk, fraud, or security contexts.
* Proficiency across a broad range of ML algorithms: tree\-based models (XGBoost, LightGBM), classical statistical models (logistic regression, SVMs), and deep learning architectures (CNNs, RNNs, Transformers), with the ability to select and apply the right approach based on context and data characteristics.
* Hands\-on experience with feature engineering, model development, and productionization of ML pipelines.
* Proficiency in PyTorch, TensorFlow, or similar ML frameworks, and in Python or comparable languages for scalable, production\-grade systems.
**Preferred Qualifications**
* Proven ability to own ML systems end\-to\-end: from requirement discovery → feature design → modeling → deployment.
* Deep experience with advanced ML techniques, including ensemble methods, neural networks, graph\-based models, and handling challenges like imbalanced data, feedback loops, and iterative retraining.
* Familiarity with large\-scale data/infra systems (Kafka, Pinot, Hive, Cassandra, Spark, Flink).
* Background in access control, authentication, or enterprise security systems.
* Track record of technical leadership: mentoring engineers, driving cross\-functional initiatives, or shaping ML/security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
      <c r="A13" t="inlineStr">
        <is>
          <t>li-4364007420</t>
        </is>
      </c>
      <c r="B13" t="inlineStr">
        <is>
          <t>AI Engineer</t>
        </is>
      </c>
      <c r="C13" t="inlineStr">
        <is>
          <t>Inherent Technologies</t>
        </is>
      </c>
      <c r="D13" t="inlineStr">
        <is>
          <t>linkedin</t>
        </is>
      </c>
      <c r="E13" t="inlineStr"/>
      <c r="F13" t="inlineStr"/>
      <c r="G13" t="inlineStr">
        <is>
          <t>Waukesha, WI</t>
        </is>
      </c>
      <c r="H13" t="inlineStr"/>
      <c r="I13" t="inlineStr">
        <is>
          <t>Role Descriptions: Experience with LLMs (e.g.\| GPT\| Claude)\| LangChain\| AutoGen\| or similar frameworks.Proficiency in Python and cloud platforms (AWS\| Azure\| GCP).Familiarity with prompt engineering\| agent memory\| and orchestration tools.
 Essential Skills: AI Engineer
 Skills: Digital : Artificial Intelligence(AI)
 Experience Required: 6\-8</t>
        </is>
      </c>
    </row>
    <row r="14">
      <c r="A14" t="inlineStr">
        <is>
          <t>li-4363817447</t>
        </is>
      </c>
      <c r="B14" t="inlineStr">
        <is>
          <t>Machine Learning Engineer</t>
        </is>
      </c>
      <c r="C14" t="inlineStr">
        <is>
          <t>Dark Wolf</t>
        </is>
      </c>
      <c r="D14" t="inlineStr">
        <is>
          <t>linkedin</t>
        </is>
      </c>
      <c r="E14" t="inlineStr"/>
      <c r="F14" t="inlineStr"/>
      <c r="G14" t="inlineStr">
        <is>
          <t>Herndon, VA</t>
        </is>
      </c>
      <c r="H14" t="inlineStr"/>
      <c r="I14" t="inlineStr">
        <is>
          <t>**Dark Wolf** 
 constructs and deploys data management and analytics solutions for the defense and intelligence communities. We’re proud to boast a world\-class engineering team that thrives on rolling up their sleeves to solve your mission’s biggest challenges.
**Dark Wolf** 
 is seeking a highly motivated and self\-directed professional to fill the role of
 **Machine Learning (ML) Engineer** 
 to support our team in Northern Virginia.
**Responsibilities**
* Design, develop, and implement machine learning models and algorithms to solve specific business problems.
* Build and maintain scalable and robust machine learning pipelines for data ingestion, preprocessing, feature engineering, model training, evaluation, and deployment.
* Transform machine learning models into deployable APIs and integrate them with existing applications and infrastructure.
* Collaborate closely with data scientists, software engineers, and product managers to understand requirements and translate them into practical ML solutions.
* Experiment with different machine learning techniques and algorithms to identify the most effective approaches for given problems.
* Evaluate model performance using appropriate metrics and iterate on models to improve accuracy, efficiency, and scalability.
* Monitor and maintain deployed models, ensuring their reliability and performance in production environments.
* Troubleshoot and resolve issues related to machine learning models and pipelines.
* Stay up\-to\-date with the latest advancements in machine learning, deep learning, and related fields.
* Contribute to the development of best practices and standards for machine learning development and deployment within the team.
* Document machine learning models, experiments, and deployment processes.
* Potentially work with large datasets and big data technologies.
* Optimize machine learning models for performance and efficiency.
**Qualifications**
* Master’s in computer science, Machine Learning, or higher level degree is preferred with of 3\+ years of related industry experience in Machine Learning, Computer Science, Data Science or related fields.
* Demonstrated hands\-on experience in developing and deploying machine learning models in a production environment.
* Strong programming skills in Python and experience with relevant machine learning libraries and frameworks such as TensorFlow, Keras, PyTorch, scikit\-learn, etc.
* Solid understanding of machine learning algorithms (e.g., regression, classification, clusting, dimensionality reduction, deep learning architectures).
* Experience with data preprocessing, feature engineering, and data visualization techniques.
* Familiarity with data storage and processing technologies (e.g., SQL, NoSQL databases, Spark, Hadoop).
* Experience with cloud platforms (e.g., AWS, Azure, GCP) and their machine learning services.
* Understanding of software development principles, version control (e.g., Git), and CI/CD pipelines.
* Strong analytical and problem\-solving skills with the ability to interpret data and draw meaningful conclusions.
* Excellent communication and collaboration skills to effectively communicate technical concepts to both technical and non\-technical audiences.
**Preferred Skills**
* Experience with specific areas of machine learning such as Natural Language Processing (NLP), Computer Vision, or Recommender Systems.
* Experience with MLOps practices and tools for automating and monitoring machine learning workflows.
* Knowledge of containerization technologies like Docker and orchestration tools like Kubernetes.
* Experience with building and deploying RESTful APIs.
* Familiarity with big data technologies and distributed computing.
* Experience with statistical modeling and inference.
**Position Clearance Requirement**
 TS/SCI with Full\-Scope Polygraph
 This position is located in Chantilly/Herndon, VA.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row>
    <row r="15">
      <c r="A15" t="inlineStr">
        <is>
          <t>li-4363867855</t>
        </is>
      </c>
      <c r="B15" t="inlineStr">
        <is>
          <t>Senior Machine Learning Engineer - Marketplace Pricing</t>
        </is>
      </c>
      <c r="C15" t="inlineStr">
        <is>
          <t>Uber</t>
        </is>
      </c>
      <c r="D15" t="inlineStr">
        <is>
          <t>linkedin</t>
        </is>
      </c>
      <c r="E15" t="inlineStr"/>
      <c r="F15" t="inlineStr"/>
      <c r="G15" t="inlineStr">
        <is>
          <t>New York, NY</t>
        </is>
      </c>
      <c r="H15" t="inlineStr"/>
      <c r="I15"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
      <c r="A16" t="inlineStr">
        <is>
          <t>li-4363797070</t>
        </is>
      </c>
      <c r="B16" t="inlineStr">
        <is>
          <t>Senior Machine Learning Engineer</t>
        </is>
      </c>
      <c r="C16" t="inlineStr">
        <is>
          <t>James Search Group</t>
        </is>
      </c>
      <c r="D16" t="inlineStr">
        <is>
          <t>linkedin</t>
        </is>
      </c>
      <c r="E16" t="inlineStr"/>
      <c r="F16" t="inlineStr"/>
      <c r="G16" t="inlineStr">
        <is>
          <t>New York, NY</t>
        </is>
      </c>
      <c r="H16" t="inlineStr"/>
      <c r="I16" t="inlineStr">
        <is>
          <t>**Senior AI/ML Engineer** 
**Location:** 
 New York, NY
**Compensation:** 
 $180,000 – $225,000 base \+ bonus \+ comprehensive benefits (including pension, 401(k), and more)
**Industry:** 
 Global P\&amp;C Insurance
**About the role and client** 
 James Search Group is excited to partner with a leading global property and casualty insurance carrier to identify a
 **Senior AI/ML Engineer** 
 to join a high\-impact enterprise data and artificial intelligence team. This group is at the forefront of transforming how the insurance industry leverages data, analytics, and emerging AI technologies to enhance decision\-making and drive profitability across the organization.
 As a key contributor, you will design and implement scalable machine learning and AI\-driven solutions to solve complex business challenges. This role is ideal for a hands\-on, innovative professional passionate about delivering real\-world business impact through advanced data modeling and machine learning strategies.
**Key Responsibilities:** 
* Develop and deploy end\-to\-end AI/ML models—including classification, forecasting, uplift modeling, and fine\-tuning of foundational models.
* Identify use cases for AI across areas such as underwriting, claims, risk evaluation, and customer experience.
* Work cross\-functionally with technical and business stakeholders to deliver actionable insights and scalable solutions.
* Translate sophisticated AI/ML outputs into clear business recommendations for non\-technical stakeholders.
* Stay current with the latest trends in AI/ML, incorporating new tools and methodologies to enhance the organization’s data capabilities.
**Required Qualifications:** 
* Master’s degree in Computer Science, Data Science, Mathematics, Statistics, Operations Research, or a related field.
* Minimum of 5 years of hands\-on experience in data science and machine learning, including techniques like regression, decision trees, neural networks, and ensemble models.
* At least 2 years of experience working with large language models (LLMs) and foundational AI systems.
* Strong programming skills in Python and SQL, with experience using popular data science libraries and frameworks.
* Background in building and deploying ML models in cloud environments (e.g., Azure, AWS).
* Proficient in handling and integrating large structured and unstructured datasets.
* Strong analytical skills with a demonstrated ability to extract actionable insights from complex data.
* Excellent verbal and written communication skills; capable of simplifying complex technical concepts for business audiences.
**Preferred Qualifications:** 
* Expertise in natural language processing (NLP) and natural language understanding (NLU).
* Experience leading multi\-functional AI projects or initiatives.
* Background in insurance, particularly within claims, underwriting, or risk analytics.
* Familiarity with actuarial data, insurance KPIs, or related industry\-specific datasets.
* Collaborative mindset with the ability to drive change and build consensus.
**Apply now** 
 to take the next step in a high\-impact, forward\-thinking role within a dynamic and innovative insurance environment.</t>
        </is>
      </c>
    </row>
    <row r="17">
      <c r="A17" t="inlineStr">
        <is>
          <t>li-4363757027</t>
        </is>
      </c>
      <c r="B17" t="inlineStr">
        <is>
          <t>Machine Learning Engineer</t>
        </is>
      </c>
      <c r="C17" t="inlineStr">
        <is>
          <t>Capital One</t>
        </is>
      </c>
      <c r="D17" t="inlineStr">
        <is>
          <t>linkedin</t>
        </is>
      </c>
      <c r="E17" t="inlineStr"/>
      <c r="F17" t="inlineStr"/>
      <c r="G17" t="inlineStr"/>
      <c r="H17" t="inlineStr"/>
      <c r="I17" t="inlineStr">
        <is>
          <t>**About The Company** 
 Capital One Software is a leading provider of cloud\-based data management solutions, dedicated to transforming how businesses handle data publishing, consumption, governance, and infrastructure management at scale. Committed to innovation, Capital One Software continuously explores new opportunities to bring cutting\-edge solutions to market, empowering organizations to optimize their data operations and unlock valuable insights. With a focus on leveraging modern technologies and fostering a culture of engineering excellence, the company strives to deliver impactful tools that address complex data challenges faced by enterprises in the digital age.
**About The Role** 
 We are seeking a highly skilled and experienced Distinguished Machine Learning Engineer to join our remote team at Capital One Software. In this pivotal role, you will be at the forefront of developing advanced machine learning systems, deploying models in production environments, and driving technological innovation across the organization. You will collaborate with cross\-functional teams to solve complex business problems, promote best practices in machine learning and data engineering, and mentor emerging talent. This role offers an exciting opportunity to influence the future of data management solutions, leveraging your expertise to shape scalable, efficient, and innovative AI\-driven products that impact both internal stakeholders and our customers.
**Qualifications** 
* Bachelor’s Degree in Computer Science, Engineering, or related field
* Masters’ Degree preferred
* Minimum of 7 years of experience in Software Engineering
* At least 5 years of experience in Machine Learning Systems and Infrastructure
* 7\+ years of proficiency in Python, Java, Go, and SQL
* 6\+ years of experience deploying machine learning models in production
* Strong understanding of deploying ML models at scale in production environments
* Experience with Large Language Models (LLMs), including prompt engineering, fine\-tuning, evaluation, and alignment
* Hands\-on experience with Kafka, Airflow, Spark, AWS Glue/Kinesis (3\+ years)
* Experience with Databricks or Snowflake (3\+ years)
* Knowledge of LLM Ops tooling, including model versioning, deployment, cost optimization, and latency reduction
* Excellent communication and stakeholder management skills
**Responsibilities** 
* Build awareness, increase knowledge, and promote adoption of modern machine learning and data management technologies across the organization
* Collaborate with teams to address complex business challenges, delivering innovative AI solutions that directly impact customers and internal stakeholders
* Foster an inclusive environment by encouraging diverse ideas, sharing expertise, and championing team growth
* Promote a culture of engineering excellence through reuse of solutions and inner sourcing practices
* Effectively communicate technical concepts and influence decision\-making at all organizational levels
* Operate as a trusted advisor for specific technology domains, shaping use cases and implementation strategies
* Lead initiatives to develop next\-generation tech talent by mentoring internal staff and recruiting external experts
* Stay abreast of the latest advancements in machine learning, LLMs, and data engineering, integrating best practices into projects
**Benefits** 
* Competitive salary range, with potential performance\-based incentives
* Comprehensive health, dental, and vision insurance plans
* Financial wellness programs and retirement savings options
* Generous paid time off and holiday leave
* Professional development opportunities and continuous learning support
* Inclusive and diverse workplace culture
* Remote work flexibility and work\-life balance initiatives
 Equal Opportunity
 Capital One is an equal opportunity employer committed to fostering an inclusive environment. We welcome applications from all qualified individuals regardless of race, ethnicity, gender, sexual orientation, disability, veteran status, or any other protected characteristic. We ensure non\-discrimination in employment practices and provide reasonable accommodations to applicants with disabilities.</t>
        </is>
      </c>
    </row>
    <row r="18">
      <c r="A18" t="inlineStr">
        <is>
          <t>li-4360049906</t>
        </is>
      </c>
      <c r="B18" t="inlineStr">
        <is>
          <t>Senior AI Engineer</t>
        </is>
      </c>
      <c r="C18" t="inlineStr">
        <is>
          <t>Millennium</t>
        </is>
      </c>
      <c r="D18" t="inlineStr">
        <is>
          <t>linkedin</t>
        </is>
      </c>
      <c r="E18" t="inlineStr"/>
      <c r="F18" t="inlineStr"/>
      <c r="G18" t="inlineStr">
        <is>
          <t>New York, NY</t>
        </is>
      </c>
      <c r="H18" t="inlineStr"/>
      <c r="I18" t="inlineStr">
        <is>
          <t>We are seeking a senior AI engineer to join our Core AI team. As part of the team you will help solve complex business problems by developing viable cutting\-edge AI/ML solutions. You will develop and implement creative solutions that fundamentally transform business processes, delivering breakthrough improvements rather than incremental changes. You will work closely with other AI/ML engineers, SWEs, product owners/managers, and business stakeholders, and participate in full lifecycle of solution development including requirements gathering with business, experimentation and algorithmic exploration, development and assistance with productization.
**Key Responsibilities**
* Work independently or as part of a team to help design and implement high accuracy \&amp; user experience solutions to business problems in the NLP, GenAI, Agentic, and/or ML space.
* Participate in all aspects of solution development including ideation and requirement gathering with business stakeholders, experimentation and exploration to identify strong solution approaches, solution development, etc.
* Prototype, test, and iterate on novel AI models and approaches to solve complex business challenges.
* Collaborate with cross\-functional teams to identify opportunities where AI can create significant business value, and transition solutions into production systems.
* Research and stay updated with the latest advancements in machine learning and AI technologies.
* Participate in code reviews, technical discussions, and knowledge sharing sessions.
* Communicate technical concepts and transformative ideas effectively to both technical and non\-technical stakeholders.
**Required Skills \&amp; Qualifications**
* Bachelor’s with 7\+ years, Master’s with 5\+ years, or PhD with 2\+ years in Computer Science, Data Science, Machine Learning, or related field.
* Deep expertise and proven ability in developing high accuracy/value solutions to business problems in the NLP, Generative AI, Agentic AI, and/or ML space.
* Hands\-on experience with data processing, experimentation, and exploration.
* Strong programming skills in Python.
* Experience with cloud platforms (AWS, Azure, GCP) for deploying ML solutions.
* Excellent problem\-solving skills and attention to detail.
* Strong communication skills to collaborate with technical and non\-technical stakeholders.
* Ability to work independently and collaboratively.
**Additional Preferred Skills \&amp; Qualifications**
* Understanding of the financial markets including experience with financial datasets.
* Experience with ML frameworks such as PyTorch, TensorFlow.
* Familiarity with MLOps practices and tools such as SageMaker, MLflow, or Airflow.
* Previous experience working in an Agile environment.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19">
      <c r="A19" t="inlineStr">
        <is>
          <t>li-4353489997</t>
        </is>
      </c>
      <c r="B19" t="inlineStr">
        <is>
          <t>Machine Learning Engineer IV</t>
        </is>
      </c>
      <c r="C19" t="inlineStr">
        <is>
          <t>Panasonic Avionics Corporation</t>
        </is>
      </c>
      <c r="D19" t="inlineStr">
        <is>
          <t>linkedin</t>
        </is>
      </c>
      <c r="E19" t="inlineStr"/>
      <c r="F19" t="inlineStr"/>
      <c r="G19" t="inlineStr">
        <is>
          <t>Irvine, CA</t>
        </is>
      </c>
      <c r="H19" t="inlineStr"/>
      <c r="I19"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Leads machine learning projects, providing technical guidance and mentorship to junior and mid\-level engineers. Design, develop, and implement data\-driven solutions, leveraging machine learning techniques to enhance our In\-Flight Entertainment \&amp; Connectivity (IFEC) systems. Collaborate with cross\-functional teams to drive innovation and elevate the passenger experience through advanced technological solutions.
**What You Will Be Doing**
 Technical Leadership
* Lead the design and implementation of complex, robust, scalable, and high\-performance data\-driven systems, integrating machine learning algorithms to improve content delivery, personalization, and connectivity services.
 Algorithm Development \&amp; Implementation
* Develop and deploy machine learning models, predictive analytics, and data\-driven strategies to optimize user experiences and enhance IFEC functionalities.
* Develop machine learning frameworks, tools, and technologies. They often have expertise in specialized areas such as distributed computing, deep learning, or natural language processing. They may also have contributed to open\-source projects or developed custom tools and libraries.
 Machine Learning Infrastructure \&amp; Engineering
* Plays a key role in architectural decisions related to machine learning infrastructure and deployment pipelines.
* Represent the team in discussions with stakeholders, articulating technical concepts and recommending strategical technical direction.
* Designs scalable and efficient machine learning pipelines, leveraging cloud\-based platforms and distributed computing frameworks.
 Experimentation \&amp; Innovation
* Explore emerging trends and technologies in machine learning, conduct research, and propose innovative approaches to improve our IFEC offerings. Publish technical papers and submit patents.
 Cross\-functional Collaboration
* Work collaboratively with data scientists, software engineers, product managers, and internal and external stakeholders, effectively communicating technical concepts and insights to drive project alignment and success.
 Performance Optimization
* Continuously monitor and optimize the performance of machine learning models, identifying areas for improvement and implementing enhancements to achieve optimal results.
 Mentorship \&amp; Knowledge Sharing
* Mentor engineers, provide technical guidance, and contribute to the development of a culture of excellence and continuous learning within the team.
 The salary range of $138,000 \- $231,000 annually is just one component of Panasonic’s total package. The final offer amount may vary based on factors including but not limited to individual’s knowledge, skills, experience, and location.
**Qualifications**
**What we are looking for:**
* Bachelor’s degree in Computer Science, Data Science, Software Engineering, or a related field. Advanced degree preferred.
* 8\+ years of experience in software engineering, with a focus on data\-driven applications, machine learning, or AI, preferably in the aerospace or tech industry.
* Demonstrated proficiency in programming languages such as Python, Java, or similar, along with expertise in machine learning frameworks (e.g., TensorFlow, PyTorch) and data processing technologies.
* Demonstrated leadership skills with the ability to lead technical initiatives, collaborate effectively across teams, and drive projects to successful completion.
* Excellent problem\-solving abilities, critical thinking, and a passion for innovation and technology.
* Ability to write technical publications preferred.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REQ\-153681</t>
        </is>
      </c>
    </row>
    <row r="20">
      <c r="A20" t="inlineStr">
        <is>
          <t>li-4353030384</t>
        </is>
      </c>
      <c r="B20" t="inlineStr">
        <is>
          <t>Sr. AI Engineer (Customer Facing)</t>
        </is>
      </c>
      <c r="C20" t="inlineStr">
        <is>
          <t>RapidCanvas</t>
        </is>
      </c>
      <c r="D20" t="inlineStr">
        <is>
          <t>linkedin</t>
        </is>
      </c>
      <c r="E20" t="inlineStr"/>
      <c r="F20" t="inlineStr"/>
      <c r="G20" t="inlineStr"/>
      <c r="H20" t="inlineStr"/>
      <c r="I20" t="inlineStr">
        <is>
          <t>RapidCanvas is a pioneer in hybrid enterprise AI. We combine autonomous agents with human expertise to make enterprise\-grade AI accessible. We are the trusted partner for transforming businesses by unlocking the hidden value in data. We deliver measurable outcomes 10X faster and at 80% lower cost. We partner with industry leaders in manufacturing, retail, financial services, and infrastructure.
**Who We Are Looking For** 
 We are seeking a highly motivated and skilled AI Engineer. You will have strong fundamentals in applied machine learning. You will have a passion for building and deploying production\-grade AI solutions for enterprise clients. You will be a key technical expert and the face of our company. You will directly interface with customers to design, build, and deliver cutting\-edge AI applications. This is a customer\-facing role. It requires a balance of deep technical expertise and excellent communication skills.
**Roles \&amp; Responsibilities** 
 Design \&amp; Deliver AI Solutions
* Interact directly with customers.
* Understand their business requirements.
* Translate them into robust, production\-ready AI solutions.
* Manage AI projects with the customer's vision in mind.
* Build long\-term, trusted relationships with clients.
**Build \&amp; Integrate Agents** 
* Architect, build, and integrate intelligent agent systems.
* Automate IT functions and solve specific client problems.
* Use expertise in frameworks like LangChain or LangGraph to build multi\-step tasks.
* Integrate these custom agents directly into the RapidCanvas platform.
**Implement LLM \&amp; RAG Pipelines** 
* Develop grounding pipelines with retrieval\-augmented generation (RAG).
* Contextualize LLM behavior with client\-specific knowledge.
* Build and integrate agents with infrastructure signals like logs and APIs.
**Collaborate \&amp; Enable** 
* Work with customer data science teams.
* Collaborate with other internal Solutions Architects, Engineering, and Product teams.
* Ensure seamless integration of AI solutions.
* Serve as an expert on the RapidCanvas platform.
* Enable and support customers in building their own applications.
* Act as a Product Champion, providing crucial feedback to the product team to drive innovation.
**Data \&amp; Model Management** 
* Oversee the entire AI project lifecycle.
* Start from data preprocessing and model development.
* Finish with deployment, monitoring, and optimization.
**Champion Best Practices** 
* Write clean, maintainable Python code.
* Champion engineering best practices.
* Ensure high performance, accuracy, and scalability.
**Key Skills Required** 
 Experience
* Minimum 5\-10 years of hands\-on experience in AI/ML engineering or backend systems.
* Recent exposure to LLMs or intelligent agents is a must.
**Technical Expertise** 
* Proficiency in Python.
* Proven track record of building scalable backend services or APIs.
* Expertise in machine learning, deep learning, and Generative AI concepts.
* Hands\-on experience with LLM platforms (e.g., GPT, Gemini).
* Deep understanding of and hands\-on experience with agentic frameworks like LangChain, LangGraph, or CrewAI.
* Experience with vector databases (e.g., Pinecone, Weaviate, FAISS).
**Customer \&amp; Communication Skills** 
* Proven ability to partner with enterprise stakeholders.
* Excellent presentation skills.
* Comfortable working independently.
* Manage multiple projects simultaneously.
**Preferred Skills** 
* Experience with cloud platforms (e.g., AWS, Azure, Google Cloud).
* Knowledge of MLOps practices.
* Experience in the AI services industry or startup environments.
**Why Join us** 
* High\-impact opportunity: Play a pivotal role in building a new business vertical within a rapidly growing AI company.
* Strong leadership \&amp; funding: Backed by top\-tier investors, our leadership team has deep experience scaling AI\-driven businesses.
* Recognized as a top 5 Data Science and Machine Learning platform by independent research firm G2 for customer satisfaction.</t>
        </is>
      </c>
    </row>
    <row r="21">
      <c r="A21" t="inlineStr">
        <is>
          <t>li-4363737509</t>
        </is>
      </c>
      <c r="B21" t="inlineStr">
        <is>
          <t>AI Engineer - Lead</t>
        </is>
      </c>
      <c r="C21" t="inlineStr">
        <is>
          <t>Dark Wolf</t>
        </is>
      </c>
      <c r="D21" t="inlineStr">
        <is>
          <t>linkedin</t>
        </is>
      </c>
      <c r="E21" t="inlineStr"/>
      <c r="F21" t="inlineStr"/>
      <c r="G21" t="inlineStr">
        <is>
          <t>Herndon, VA</t>
        </is>
      </c>
      <c r="H21" t="inlineStr"/>
      <c r="I21" t="inlineStr">
        <is>
          <t>**Dark Wolf** 
 constructs and deploys data management and analytics solutions for the defense and intelligence communities. We’re proud to boast a world\-class engineering team that thrives on rolling up their sleeves to solve your mission’s biggest challenges.
**Dark Wolf** 
 is seeking a highly motivated and self\-directed professional to fill the role of
 **Artificial Intelligence (AI) Engineer** 
 to support our team in Northern Virginia. There are two available roles to be filled. Mid\-Level and Senior Principal level.
**Responsibilities**
* Design, develop, and implement scalable AI/ML computing infrastructures and application stacks.
* Build and deploy machine learning models and AI solutions from scratch.
* Transform machine learning models into APIs for integration with other applications.
* Collaborate with data scientists, software engineers, and business stakeholders to understand requirements and deliver AI solutions.
* Conduct statistical analysis and interpret results to guide and optimize decision\-making.
* Manage data ingestion, preprocessing, and feature engineering to ensure data quality for model training.
* Optimize AI algorithms for performance, scalability, and efficiency.
* Stay up\-to\-date with the latest AI and machine learning advancements, research, and tools.
* Troubleshoot and resolve AI\-related issues, ensuring the reliability and accuracy of AI applications.
* Document architecture roadmaps, reference architectures, and standard operating procedures for AI solutions.
* Potentially lead cross\-functional teams in identifying and prioritizing areas where AI can provide business benefits.
* Advise stakeholders on AI strategy, technology, and policy issues.
* Automate AI infrastructures for the data science team.
* Evaluate and implement best practices in AI/ML, data mining, and analytics.
**Qualifications**
* Master’s in Computer Vision, Computer Science, Electrical Engineering, Mathematics or related field.
* 10\+ years experience with 3\+ years of demonstrated and related industry experience
* Strong programming skills in languages such as Python, Java, and/or R.
* Experience with machine learning frameworks such as TensorFlow, Keras, and/or PyTorch.
* Solid understanding of machine learning algorithms (supervised, unsupervised, reinforcement learning), deep learning, and neural networks.
* Experience with data preprocessing, feature engineering, and model evaluation techniques.\\Familiarity with data management and big data technologies (e.g., Spark, Hadoop, SQL, NoSQL databases).
* Knowledge of cloud platforms (e.g., AWS, Azure, GCP) and their AI/ML services.
* Strong analytical and problem\-solving skills.
* Excellent communication and collaboration skills to articulate technical solutions to both technical and non\-technical audiences.
* Understanding of basic algorithms, object\-oriented and functional design principles.
* Experience with version control systems like Git.
**Position Clearance Requirement**
 TS/SCI with Full\-Scope Polygraph
 This position is located in Chantilly/Herndon, VA.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row>
    <row r="22">
      <c r="A22" t="inlineStr">
        <is>
          <t>li-4364037274</t>
        </is>
      </c>
      <c r="B22" t="inlineStr">
        <is>
          <t>Machine Learning Engineer</t>
        </is>
      </c>
      <c r="C22" t="inlineStr">
        <is>
          <t>Capital One</t>
        </is>
      </c>
      <c r="D22" t="inlineStr">
        <is>
          <t>linkedin</t>
        </is>
      </c>
      <c r="E22" t="inlineStr"/>
      <c r="F22" t="inlineStr"/>
      <c r="G22" t="inlineStr">
        <is>
          <t>McLean, VA</t>
        </is>
      </c>
      <c r="H22" t="inlineStr"/>
      <c r="I22"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li-4363877220</t>
        </is>
      </c>
      <c r="B23" t="inlineStr">
        <is>
          <t>Machine Learning Engineer</t>
        </is>
      </c>
      <c r="C23" t="inlineStr">
        <is>
          <t>Capital One</t>
        </is>
      </c>
      <c r="D23" t="inlineStr">
        <is>
          <t>linkedin</t>
        </is>
      </c>
      <c r="E23" t="inlineStr"/>
      <c r="F23" t="inlineStr"/>
      <c r="G23" t="inlineStr">
        <is>
          <t>Richmond, VA</t>
        </is>
      </c>
      <c r="H23" t="inlineStr"/>
      <c r="I23"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li-4353710366</t>
        </is>
      </c>
      <c r="B24" t="inlineStr">
        <is>
          <t>Machine Learning Engineer II, Sponsored Products and Brands</t>
        </is>
      </c>
      <c r="C24" t="inlineStr">
        <is>
          <t>myGwork - LGBTQ+ Business Community</t>
        </is>
      </c>
      <c r="D24" t="inlineStr">
        <is>
          <t>linkedin</t>
        </is>
      </c>
      <c r="E24" t="inlineStr"/>
      <c r="F24" t="inlineStr"/>
      <c r="G24" t="inlineStr">
        <is>
          <t>Palo Alto, CA</t>
        </is>
      </c>
      <c r="H24" t="inlineStr"/>
      <c r="I24" t="inlineStr">
        <is>
          <t>**This job is with Amazon, an inclusive employer and a member of myGwork – the largest global platform for the LGBTQ\+ business community. Please do not contact the recruiter directly.**
**Description**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 Experience developing, deploying and managing AI products at scale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Palo Alto \- 165,200\.00 \- 223,600\.00 USD annually]]\&gt;</t>
        </is>
      </c>
    </row>
    <row r="25">
      <c r="A25" t="inlineStr">
        <is>
          <t>li-4351341505</t>
        </is>
      </c>
      <c r="B25" t="inlineStr">
        <is>
          <t>Machine Learning Engineer - NYC- Leading Global Prop Trading Firm</t>
        </is>
      </c>
      <c r="C25" t="inlineStr">
        <is>
          <t>Jobs via eFinancialCareers</t>
        </is>
      </c>
      <c r="D25" t="inlineStr">
        <is>
          <t>linkedin</t>
        </is>
      </c>
      <c r="E25" t="inlineStr"/>
      <c r="F25" t="inlineStr"/>
      <c r="G25" t="inlineStr">
        <is>
          <t>New York, NY</t>
        </is>
      </c>
      <c r="H25" t="inlineStr"/>
      <c r="I25"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26">
      <c r="A26" t="inlineStr">
        <is>
          <t>li-4360290131</t>
        </is>
      </c>
      <c r="B26" t="inlineStr">
        <is>
          <t>Azure AI Engineer</t>
        </is>
      </c>
      <c r="C26" t="inlineStr">
        <is>
          <t>Jobs via Dice</t>
        </is>
      </c>
      <c r="D26" t="inlineStr">
        <is>
          <t>linkedin</t>
        </is>
      </c>
      <c r="E26" t="inlineStr"/>
      <c r="F26" t="inlineStr"/>
      <c r="G26" t="inlineStr">
        <is>
          <t>Jersey City, NJ</t>
        </is>
      </c>
      <c r="H26" t="inlineStr"/>
      <c r="I26" t="inlineStr">
        <is>
          <t>****Azure AI Engineer \- Build the Future With Us****
 Step into a role where your ideas shape real\-world innovation. We're looking for a passionate Azure AI Engineer who's excited to design intelligent systems, push the boundaries of what's possible with AI, and help build solutions that scale across the globe. If you thrive at the intersection of creativity, engineering, and cutting\-edge cloud technology, you'll feel right at home here.
**What You'll Do**
* Design and launch next\-generation conversational AI experiences powered by Azure's most advanced technologies.
* Build, test, and deploy AI models using VS Code and Azure AI Studio, transforming concepts into production\-ready solutions.
* Collaborate with cross\-functional teams to craft intuitive conversational flows and deliver seamless multi\-channel AI integrations.
* Continuously monitor, refine, and optimize AI models to ensure top\-tier performance, reliability, and accuracy.
* Create reusable components and pipelines in Azure AI Foundry to accelerate future development and drive engineering excellence.
* Champion data privacy and security, ensuring every solution meets the highest compliance standards.
**What You Bring**
* BS or MS in Computer Science, Engineering, or a related field.
* Hands\-on experience with Azure AI services such as Azure OpenAI, Azure Bot Service, and Cognitive Services.
* Strong understanding of NLP, LLMs, and RESTful API integration.
* Familiarity with Microsoft Copilot, GitHub Copilot, Azure Machine Learning, and Azure OpenAI.
* Solid experience evaluating AI/ML models and working with machine learning algorithms and data processing pipelines.
* Expertise in MLOps, including secure model deployment, model registry management, and runtime security monitoring.
* Intermediate Python skills with a focus on building secure, scalable AI solutions.
****Bonus Points If You Have****
* Microsoft Certified: Azure AI Engineer Associate or equivalent credentials.
* Experience with prompt engineering and end\-to\-end AI lifecycle management.
* Knowledge of DevOps practices for AI deployment on Azure.
* Familiarity with agile methodologies and CI/CD pipelines in Azure DevOps.
****Why You'll Love Working With Us****
 You'll join a team that values innovation, experimentation, and continuous learning. You'll work with the latest Azure AI tools, collaborate with brilliant minds, and build solutions that make a real impact. If you're driven by curiosity and energized by challenge, this is where you can do your best work.
**Job Type \&amp; Location**
 This is a Contract position based out of Jersey City, NJ.
**Pay And Benefits**
 The pay range for this position is $86\.00 \- $98\.00/hr.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Jersey City,NJ.
**Application Deadline**
 This position is anticipated to close on Jan 29,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7">
      <c r="A27" t="inlineStr">
        <is>
          <t>li-4359113125</t>
        </is>
      </c>
      <c r="B27" t="inlineStr">
        <is>
          <t>Senior AI Engineer</t>
        </is>
      </c>
      <c r="C27" t="inlineStr">
        <is>
          <t>Jobs via Dice</t>
        </is>
      </c>
      <c r="D27" t="inlineStr">
        <is>
          <t>linkedin</t>
        </is>
      </c>
      <c r="E27" t="inlineStr"/>
      <c r="F27" t="inlineStr"/>
      <c r="G27" t="inlineStr">
        <is>
          <t>Redmond, WA</t>
        </is>
      </c>
      <c r="H27" t="inlineStr"/>
      <c r="I27" t="inlineStr">
        <is>
          <t>**Overview**
 As a Senior AI Engineer in the Office AI team, you will help lead the evolution of Office productivity through AI\-driven experiences and services across key applications. The team builds the core platforms and experiences that bring large language models (LLMs) and real\-time intelligence into Office applications, combining the power of LLMs with enterprise data and native integration to streamline content creation, navigation and comprehension.
 We are looking for a creative
 **Senior AI Engineer** 
 who will collaborate with software engineers, researchers, and product managers to express product needs as well\-defined machine learning problems, push the state of the art in LLMs and bring prototypes all the way to planet scale production. Help drive the culture shift to AI first development and mentor junior engineers on the team. You'll build the engineering that makes AI work in production: you will build APIs, platforms and services around AI features; design data pipelines and feedback loops; deploy and finetune state of the art deep learning models; orchestrate prompts and tools; and monitor AI specific signals\-such as drift, hallucinations, safety and cost\-alongside traditional service reliability metrics.
 Join us to empower people through AI, bringing cutting edge deep learning into everyday work at scale. At Microsoft, our mission is to empower every person and every organization to achieve more; we show up with a growth mindset, innovate to empower others, and collaborate to realize shared goals. Rooted in respect, integrity, and accountability, we foster an inclusive culture where everyone can thrive. If you are passionate about applying state of the art AI to positively impact millions,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Leadership and cross\-functional collaboration. Partner with product management and engineering teams to define vision and roadmap, co\-own scenario goals, and translate complex product requirements into scientific plans and production\-ready AI solutions. Lead technical design reviews and ensure alignment with quality, latency, and cost objectives.
* Generative AI and advanced technologies. Apply knowledge of generative AI, large language models, and modern frameworks to develop intelligent features and automation within the service.
* Architecture and cloud integration. Design and implement scalable, reliable, and secure AI services on Azure, optimizing performance, cost and compliance.
* Technical innovation and strategy. Identify and evaluate emerging AI technologies, frameworks and methodologies. Pioneer new approaches to retrieval\-augmented generation, prompt engineering and continuous learning to deliver adaptive and resilient AI systems.
* Mentoring and inclusive culture. Provide mentorship, technical guidance, and peer coaching to other engineers, fostering a culture of innovation, continuous learning, and inclusion. Encourage best practices in code quality, security and responsible AI while elevating the skills of fellow team members.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7\+ years of technical leadership with a track record of delivering mission\-critical AI solutions at global scale, including model deployment, evaluation and lifecycle management.
* AI and machine learning mastery, Hands\-on experience with state\-of\-the\-art generative AI and ML frameworks (e.g., PyTorch, TensorFlow, Hugging Face) and deep understanding of large language models, embeddings, prompt engineering and model fine\-tuning.
* Distributed systems and cloud scale, Proven ability to design, implement and operate scalable, fault\-tolerant microservices and distributed storage on cloud platforms such as Azure; experience building APIs and services, designing data pipelines and feedback loops, and implementing secure, compliant solutions.
* Technical leadership, demonstrated experience leading complex AI/ML initiatives from concept to production, mentoring engineers, and driving technical decision\-making while working with cross\-functional teams.
* Security and compliance, ability to meet Microsoft's and customers' security and background requirements and to ensure that AI solutions adhere to responsible AI and data privacy standards.
* Experience with retrieval\-augmented generation, multimodal architectures, prompt orchestration, model alignment and safety evaluation, and emerging AI methodologies.
* Hands\-on experience with Azure Machine Learning, MLOps pipelines, and large\-scale data systems (e.g., Cosmos DB, Spark, Data Lake) and establishing robust telemetry and evaluation frameworks.
* Demonstrated passion for mentoring, fostering an inclusive team culture, and collaborating closely with product, research and design partners to drive strategy and deliver user value.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li-4359013081</t>
        </is>
      </c>
      <c r="B28" t="inlineStr">
        <is>
          <t>Sr Principal Machine Learning Engineer (Prisma AIRS)</t>
        </is>
      </c>
      <c r="C28" t="inlineStr">
        <is>
          <t>Jobs via Dice</t>
        </is>
      </c>
      <c r="D28" t="inlineStr">
        <is>
          <t>linkedin</t>
        </is>
      </c>
      <c r="E28" t="inlineStr"/>
      <c r="F28" t="inlineStr"/>
      <c r="G28" t="inlineStr">
        <is>
          <t>Santa Clara, CA</t>
        </is>
      </c>
      <c r="H28" t="inlineStr"/>
      <c r="I28"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With Prisma AIRS, Palo Alto Networks is building the world's most comprehensive AI security platform. Organizations are increasingly building complex ecosystems of AI models, applications, and agents, creating dynamic new attack surfaces with risks that traditional security approaches cannot address. In response,Prisma AIRS delivers model security, posture management, AI red teaming, and runtime protection. Our customers can confidently deploy AI\-driven innovation while ensuring a formidable security posture from development through runtime.
 As a Senior Principal Machine Learning Engineer, you will drive research on cutting\-edge areas, including AI\-Native Security (LLM, AI Agent, Model Supply\-Chain, Runtime AI) and the broader LLM ecosystem security. You will leverage this research to identify and bring up new product opportunities. You will collaborate closely with engineering teams to deploy models, ensuring maximum product impact. Furthermore, you will foster cross\-functional collaboration and serve as an AI thought leader both within the company and in the security/LLM community. Beyond individual contribution, you will lead complex technical projects, mentor senior engineers, and set the standard for performance, scalability, and engineering excellence across the organization. Your decisions will have a profound and lasting impact on our ability to deliver cutting\-edge AI security solutions at a massive scale.
**Your Impact**
* Lead the architectural design of a highly scalable, low\-latency, and resilient ML inference platform capable of serving a diverse range of models for real\-time security applications.
* Define technical approaches to less\-defined product requirements, ensuring the best fit between product features and technical implementation. Explore new product opportunities by maintaining a deep understanding of LLM and Generative AI research trends.
* Technical Leadership: Provide technical leadership and mentorship to the team, driving best practices in MLOps, software engineering, and system design.
* Strategic Optimization: Drive the strategy for model and system performance, guiding research and implementation of advanced optimization techniques like custom kernels, hardware acceleration, and novel serving frameworks.
* Set The Standard: Establish and enforce engineering standards for automated model deployment, robust monitoring, and operational excellence for all production ML systems.
* Cross\-Functional Vision: Act as a key technical liaison to other principal engineers, architects, and product leaders to shape the future of the Prisma AIRS platform and ensure end\-to\-end system cohesion.
* Solve the Hardest Problems: Tackle the most ambiguous and challenging technical problems in large\-scale inference, from mitigating novel security threats to achieving unprecedented performance goals.
**Qualifications**
**Your Experience**
* BS/MS or Ph.D. in Computer Science, a related technical field, or equivalent practical experience.
* Extensive professional experience in software engineering with a deep focus on MLOps, ML systems, or productionizing machine learning models at scale.
* Expert\-level programming skills in Python are required; experience in a systems language like Go, Java, or C\+\+ is nice to have.
* Deep, hands\-on experience designing and building large\-scale distributed systems on a major cloud platform (Google Cloud Platform, AWS, Azure, or OCI).
* Proven track record of leading the architecture of complex ML systems and MLOps pipelines using technologies like Kubernetes and Docker.
* Mastery of ML frameworks (TensorFlow, PyTorch) and extensive experience with advanced inference optimization tools (ONNX, TensorRT).
* A strong understanding of popular model architectures (e.g., Transformers, CNNs, GNNs) is a must. A deeper understanding of attention mechanisms and related knowledge is a plus.
* Demonstrated expertise with modern LLM inference engines (e.g., vLLM, SGLang, TensorRT\-LLM) is required. Open\-source contributions in these areas are a significant plus.
* Experience with low\-level performance optimization, such as custom CUDA kernel development or using Triton Language, is a plus.
* Experience with data infrastructure technologies (e.g., Kafka, Spark, Flink) is great to have.
* Familiarity with CI/CD pipelines and automation tools (e.g., Jenkins, GitLab CI, Tekton) is a plus.
**Additional Information**
**The Team**
 Our Prisma AIRS team is a group of highly motivated and innovative engineers and researchers dedicated to solving the most challenging problems in AI security. We thrive in a collaborative environment where we value creativity, ownership, and a commitment to excellence. You will have the opportunity to work with cutting\-edge technology and make a significant impact on the future of cybersecurity.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$185,200 \- $299,450/YR.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9">
      <c r="A29" t="inlineStr">
        <is>
          <t>li-4363727214</t>
        </is>
      </c>
      <c r="B29" t="inlineStr">
        <is>
          <t>Lead AI Engineer</t>
        </is>
      </c>
      <c r="C29" t="inlineStr">
        <is>
          <t>Capital One</t>
        </is>
      </c>
      <c r="D29" t="inlineStr">
        <is>
          <t>linkedin</t>
        </is>
      </c>
      <c r="E29" t="inlineStr"/>
      <c r="F29" t="inlineStr"/>
      <c r="G29" t="inlineStr">
        <is>
          <t>McLean, VA</t>
        </is>
      </c>
      <c r="H29" t="inlineStr"/>
      <c r="I2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li-4363897039</t>
        </is>
      </c>
      <c r="B30" t="inlineStr">
        <is>
          <t>Lead AI Engineer</t>
        </is>
      </c>
      <c r="C30" t="inlineStr">
        <is>
          <t>Capital One</t>
        </is>
      </c>
      <c r="D30" t="inlineStr">
        <is>
          <t>linkedin</t>
        </is>
      </c>
      <c r="E30" t="inlineStr"/>
      <c r="F30" t="inlineStr"/>
      <c r="G30" t="inlineStr">
        <is>
          <t>Cambridge, MA</t>
        </is>
      </c>
      <c r="H30" t="inlineStr"/>
      <c r="I3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li-4352362431</t>
        </is>
      </c>
      <c r="B31" t="inlineStr">
        <is>
          <t>Lead DevOps ML Engineer, Cloud Products and Patterns</t>
        </is>
      </c>
      <c r="C31" t="inlineStr">
        <is>
          <t>Jobs via eFinancialCareers</t>
        </is>
      </c>
      <c r="D31" t="inlineStr">
        <is>
          <t>linkedin</t>
        </is>
      </c>
      <c r="E31" t="inlineStr"/>
      <c r="F31" t="inlineStr"/>
      <c r="G31" t="inlineStr">
        <is>
          <t>St Louis, MO</t>
        </is>
      </c>
      <c r="H31" t="inlineStr"/>
      <c r="I31"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a Machine Learning DevOPS Engineer for Cloud Products Framework group within our Infrastructure \&amp; Cloud team, you will play a crucial role in evangelizing and developing cloud product strategies, solutions, and best practices across the organization primarily to support machine learning capabilities. You will leverage your expertise to ensure strategic alignment, foster innovation, and drive the adoption of cutting\-edge cloud technologies. Your leadership and vision will empower developers within LSEG to achieve seamless and efficient cloud infrastructure deployments, ensuring robust, secure and scalable cloud solutions
**What you'll be doing:**
* Demonstrates an extensive knowledge of technologies and/or thought leadership level of a technology, providing direction, mentoring and advising others on design, development and / or implementation best practice and processes
* Creates and implements technical solution designs and resolves issues
* Continues to build and demonstrates a breadth of knowledge of various domains within technology, understanding the linkages and dependencies of projects/work and the key senior stakeholders
* Supports technical roadmaps for the timely implementation of a technical solution strategy
* Develop technical strategy and research to enhance and scale machine learning related cloud product capabilities on Azure and AWS
* Design, build, and/or deliver ML models and components that tackle internal use cases
* Inform your ML infrastructure decisions using your understanding of ML modeling techniques and issues, including choice of model, data, and feature selection, model training, and validation.
* Evaluates how new technology or techniques may better implement the strategy, proposes patterns for its use and leads the development of reference code to set a standard
* Builds strong relationships with internal and external customers, growing own network and collaborating with other teams.
* Communicates complex / technical information clearly and concisely in an audience appropriate format.
**What you'll bring:**
* Must have a degree in Computer Science Engineering or equivalent work experience
* Solid understanding of IAC concepts
* Experience with Azure and AWS cloud platform
* Experience in leading or developing ML solutions
* Experience in DevOps practices, especially in machine learning model deployment.
* Hands\-on experience with CI/CD pipelines, code scanning tools, secrets management, Docker, and programming languages (Java/JavaScript, C\#, Python)
* Experience on any one of \- GitHub, GitLab
* Deep understanding of architecture principles and design methodologies
* Proven ability to adapt to new technologies and learn quickly
* Good communication skills and presentation skills
* Experience in Agile/Scrum methodology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32">
      <c r="A32" t="inlineStr">
        <is>
          <t>li-4364008306</t>
        </is>
      </c>
      <c r="B32" t="inlineStr">
        <is>
          <t>AI Engineer</t>
        </is>
      </c>
      <c r="C32" t="inlineStr">
        <is>
          <t>9 Mothers</t>
        </is>
      </c>
      <c r="D32" t="inlineStr">
        <is>
          <t>linkedin</t>
        </is>
      </c>
      <c r="E32">
        <f>HYPERLINK("https://www.linkedin.com/jobs/view/4364008306", "https://www.linkedin.com/jobs/view/4364008306")</f>
        <v/>
      </c>
      <c r="F32">
        <f>HYPERLINK("https://jobs.ashbyhq.com/9-mothers/ecaa9700-c840-4f6b-a310-7c2b6c422f9b/application?utm_source=RprJNpZNa0&amp;urlHash=k36R", "https://jobs.ashbyhq.com/9-mothers/ecaa9700-c840-4f6b-a310-7c2b6c422f9b/application?utm_source=RprJNpZNa0&amp;urlHash=k36R")</f>
        <v/>
      </c>
      <c r="G32" t="inlineStr">
        <is>
          <t>Austin, TX</t>
        </is>
      </c>
      <c r="H32" t="inlineStr"/>
      <c r="I32" t="inlineStr">
        <is>
          <t>***Location***
 On\-site \- Austin, TX
***Employment Type***
 Full‑Time
***Job Title***
 AI Engineer (Junior, Senior, Lead/Principal)
**Company Overview**
 We are a funded startup building autonomous machines for defense markets. Our first product is designed to counter small, fast FPV suicide drones — also known as Group 1 / sUAS, similar to those seen in the Russia‑Ukraine conflict. Our robots require world‑class perception and decision‑making. If you love turning cutting‑edge machine learning into field‑ready capability, this is your playground.
 We are currently focused on defensive systems, with the potential to expand into lethal systems in the future.
**Position Summary**
 We are seeking a
 **AI Engineer** 
 to join a small, experienced team. You will be the computational “brain” behind our next‑generation counter‑small unmanned aerial systems (c‑sUAS). You will design, develop, and deploy low‑latency machine learning models essential for real‑time detection, tracking, and classification of hostile FPV suicide drones.
 This role requires technical mastery to create resilient, autonomous systems that operate under strict size, weight, and power (SWaP) constraints at the defense edge. You should be capable of building models from scratch and have a fundamental understanding of the problem space. We are currently using imitation learning to build a transformer‑based control system, as well as for sensing.
**Essential Duties**
* Design, train, and optimize novel neural network architectures specifically for rapid threat classification (e.g., differentiating hostile drones from environmental clutter).
* Implement robust sensor fusion techniques to combine and interpret disparate data streams (radar, RF, acoustic, and optical sensors).
* Drive MLOps and edge deployment strategies, ensuring machine learning models are efficiently deployed, monitored, and updated in the field on low‑SWaP hardware.
* Apply advanced machine learning techniques, particularly anomaly detection (AD), to ensure the system can adapt to and identify new, custom‑built drone threats not present in the training data.
* Collaborate with the robotics and computer vision teams to ensure model output seamlessly translates into real‑time trajectory predictions for interceptor guidance.
**Requirements**
* Programming/frameworks: Non‑negotiable proficiency in Python. Extensive experience with deep learning frameworks such as PyTorch and TensorFlow.
* Modeling: Deep understanding of classification models, neural network architectures, and demonstrated experience with sensor fusion.
* Lifecycle: Practical experience with the entire machine learning lifecycle, including model optimization for edge deployment and resource‑constrained environments.
* Foundations: Strong knowledge of linear algebra, calculus, and statistics necessary for debugging, optimizing, and writing core machine learning algorithms.
* Compliance: This position requires access to export‑controlled information under ITAR. Only U.S. persons are permitted to access such information.
* Must be willing to submit to a background check.
**Nice‑to‑Have**
* Prior defense startup experience
* Security clearance or ability to obtain one
* Passion for building robots or engineering projects as a hobby
**Benefits**
* Competitive salary \+ early equity
* Opportunity to build systems the Department of Defense actively needs
* New lab equipped with Jetsons, scopes, and 3‑D printers
* Direct influence on product and technology roadmap
**About The Interview**
* Application screen phone call (30\+ min)
* Chat with founders (2 x 30 min)
* Paid take\-home ($500, usually \~4\-8 hours)
* Review work
* Offer
 Compensation Range: $100K \- $400K</t>
        </is>
      </c>
    </row>
    <row r="33">
      <c r="A33" t="inlineStr">
        <is>
          <t>li-4363728089</t>
        </is>
      </c>
      <c r="B33" t="inlineStr">
        <is>
          <t>AI/ML Engineer</t>
        </is>
      </c>
      <c r="C33" t="inlineStr">
        <is>
          <t>Lensa</t>
        </is>
      </c>
      <c r="D33" t="inlineStr">
        <is>
          <t>linkedin</t>
        </is>
      </c>
      <c r="E33">
        <f>HYPERLINK("https://www.linkedin.com/jobs/view/4363728089", "https://www.linkedin.com/jobs/view/4363728089")</f>
        <v/>
      </c>
      <c r="F33" t="inlineStr"/>
      <c r="G33" t="inlineStr">
        <is>
          <t>Dallas, TX</t>
        </is>
      </c>
      <c r="H33" t="inlineStr"/>
      <c r="I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Frontier Technology. Clicking "Apply Now" or "Read more" on Lensa redirects you to the job board/employer site. Any information collected there is subject to their terms and privacy notice.
**Overview**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4–6 years of professional experience developing and deploying AI/ML solutions in production environments.
* Professional experience within the Department of Defense AI assurance, security, and deployment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isrequired.
 ID2025\-6899
 CategoryEngineering
 TypeRegular Full\-Time
 Location : LocationUS\-TX\-Dallas
 TelecommuteYes
 Clearance RequirementsNo clearance
 If you have questions about this posting, please contact support@lensa.com</t>
        </is>
      </c>
    </row>
    <row r="34">
      <c r="A34" t="inlineStr">
        <is>
          <t>li-4363898025</t>
        </is>
      </c>
      <c r="B34" t="inlineStr">
        <is>
          <t>AI/ML Engineer</t>
        </is>
      </c>
      <c r="C34" t="inlineStr">
        <is>
          <t>Lensa</t>
        </is>
      </c>
      <c r="D34" t="inlineStr">
        <is>
          <t>linkedin</t>
        </is>
      </c>
      <c r="E34">
        <f>HYPERLINK("https://www.linkedin.com/jobs/view/4363898025", "https://www.linkedin.com/jobs/view/4363898025")</f>
        <v/>
      </c>
      <c r="F34">
        <f>HYPERLINK("https://lensa.com/cgw/5aa9029211e948aa8827cbfe6ccded2btjo1?jpsi=directemployers_no_redirect&amp;publisher_preference=easier_apply&amp;utm_campaign=Computer%20Occupations&amp;utm_medium=slot&amp;utm_source=linkedin&amp;utm_term=jse&amp;urlHash=b8C8", "https://lensa.com/cgw/5aa9029211e948aa8827cbfe6ccded2btjo1?jpsi=directemployers_no_redirect&amp;publisher_preference=easier_apply&amp;utm_campaign=Computer%20Occupations&amp;utm_medium=slot&amp;utm_source=linkedin&amp;utm_term=jse&amp;urlHash=b8C8")</f>
        <v/>
      </c>
      <c r="G34" t="inlineStr">
        <is>
          <t>Boise, ID</t>
        </is>
      </c>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Nelnet. Clicking "Apply Now" or "Read more" on Lensa redirects you to the job board/employer site. Any information collected there is subject to their terms and privacy notice.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The AI/ML Engineer will act as a technical subject matter expert (SME) in Agentic AI, supporting the IT Director of Agentic AI. This role is critical for driving the adoption of Agentic AI across Nelnet.
 Co\-develop advanced AI workflows and build custom Agentic AI platforms and applications at an enterprise level.
**Key Responsibilities**
* Agentic AI Expertise: Design, build, and optimize AI Agents using advanced methods (e.g., Naïve Bayes, Random Forests) and understand their impact on agent performance.
* AI Communication: Explain AI concepts to both technical and non\-technical audiences; facilitate training and pilot projects.
* IT Infrastructure: Work across multi\-cloud and on\-premises environments, selecting appropriate cloud\-native resources (e.g., AWS Bedrock, GCP Vertex AI, Docker, Kubernetes, MongoDB, BigQuery) to support AI initiatives.
* Use Case Evaluation: Assess and recommend AI technologies and techniques (e.g., GPT\-4\.0, Anthropic Claude, RAG, Neo4j, GraphRAG, multimodal AI, IBM Bee\-Hive) for various business needs.
* Education \&amp; Advocacy: Serve as an AI advocate, coaching and empowering teams to develop and deploy AI Agents.
* Responsible AI: Apply best practices in AI governance, security, and compliance (e.g., NIST, OWASP, ATLAS\-MITRE, GDPR).
* Full Stack Development: Build AI Agents end\-to\-end using tools such as VS Code, Python, JavaScript, React.js, Node.js, pyspark, scikit\-learn, Jupyter, SQL.
* Model Development: Develop, train, and fine\-tune machine learning models and large language models (LLMs).
**Required Qualifications**
* Bachelor's degree in AI/ML Engineering, Computer Science, Data Science, or a related field (or equivalent experience).
* 1\+ years experience creating end\-to\-end agentic workflows.
* Ability to obtain a U.S. 6C Security Clearance.
**Preferred Qualifications**
* Master's or PhD in AI/ML Engineering, Computer Science, Data Science, or related fields.
* 2\-4 years of industry and/or full stack development experience.
* Experience in product development, ownership, and delivery.
* Experience building multi\-agent ecosystems and agent\-to\-agent connections.
**Salary range for this role is: $70k\-$135k**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**We are unable to provide visa sponsorship for this position. To be considered, candidates must already be authorized to work in the United States without the need for current or future sponsorship.**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(http://nelnetinc.com/careers/benefits/) .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
 Nelnet is a Drug Free and Tobacco Free Workplace.
 You may know Nelnet as the nation's largest student loan servicer \- but we do more than that.
 *A lot more.* 
 We're also a professional services company, consumer loan originator and servicer, payment processor, renewable energy innovator, and K\-12 and higher education expert (and that's just a shortlist). For over 40 years, we've been serving our customers, associates, and communities to make dreams possible.
 EEO Info (https://nelnetinc.com/wp\-content/uploads/EEO\-poster.pdf) \| EEO Letter (https://nelnetinc.com/wp\-content/uploads/EEO\-Jeffs\-Letter.pdf) \| EPPA Info (https://nelnetinc.com/wp\-content/uploads/Employee\-Polygraph\-Protection\-Act\-Poster.pdf) \| FMLA Info (https://nelnetinc.com/wp\-content/uploads/FMLA\-Leave.pdf)
 If you have questions about this posting, please contact support@lensa.com</t>
        </is>
      </c>
    </row>
    <row r="35">
      <c r="A35" t="inlineStr">
        <is>
          <t>li-4364008308</t>
        </is>
      </c>
      <c r="B35" t="inlineStr">
        <is>
          <t>Applied Machine Learning Engineer (Acoustic)</t>
        </is>
      </c>
      <c r="C35" t="inlineStr">
        <is>
          <t>9 Mothers</t>
        </is>
      </c>
      <c r="D35" t="inlineStr">
        <is>
          <t>linkedin</t>
        </is>
      </c>
      <c r="E35">
        <f>HYPERLINK("https://www.linkedin.com/jobs/view/4364008308", "https://www.linkedin.com/jobs/view/4364008308")</f>
        <v/>
      </c>
      <c r="F35" t="inlineStr"/>
      <c r="G35" t="inlineStr">
        <is>
          <t>Austin, TX</t>
        </is>
      </c>
      <c r="H35" t="inlineStr"/>
      <c r="I35" t="inlineStr">
        <is>
          <t>**Location:** 
 Onsite — Austin, TX
**Employment Type:** 
 Full\-Time
**Job Title:** 
 Senior Applied Acoustic ML Engineer
**Company Overview**
 We are a funded startup building autonomous machines for defense markets. Our first product is designed to counter small, fast FPV suicide drones. Our robots require world\-class perception and decision\-making. We turn cutting\-edge machine learning into field\-ready capability.
**Position Summary**
 We are seeking a
 **Senior Applied Acoustic ML Engineer** 
 to use machine learning to make our systems reliably detect, classify, and track acoustic targets. You will bridge the gap between traditional DSP and modern ML, ensuring our interceptors can identify threats under extreme domain shift and outdoor noise.
**Essential Duties**
* Build Hybrid Approaches: Develop models that combine beamformed channels and multichannel features for robust detection and classification.
* Own the Data Loop: Define labeling strategies, build training/eval pipelines, and implement hard\-negative mining to handle diverse outdoor conditions.
* Ensure Robustness: Directly reduce false alarms caused by wind, rain, and reflections across different terrains and sensor units.
* Ship Edge Inference: Deploy models to edge runtimes with strict latency constraints, integrating diagnostics so the system is operable in real time.
* Cross\-Functional Collaboration: Work closely with Hardware and DSP teams to align data, calibration, and performance metrics.
**Requirements**
* Experience: You have shipped ML for audio (or similar noisy sensors) into real usage with measurable operational metrics (precision/recall, false alarms).
* Engineering Rigor: Disciplined approach to ML engineering, including reproducible experiments, deep ablations, and systematic error analysis.
* Foundations: Practical understanding of mic\-array fundamentals (SNR, aliasing, sync) enough to debug failures and design robust tests.
* Programming: High proficiency in Python; experience with Rust for runtime integration is a significant plus.
* Compliance: This position requires access to export\-controlled information under ITAR. Only U.S. persons are permitted to access such information.
* Background: Must be willing to submit to a background check.
**Nice\-to\-Have**
* On\-device inference optimization (TensorRT, ONNX, quantization)
* Weak/self\-supervised learning and domain adaptation
* Fusion/tracking experience (temporal models, confidence calibration)
* Passion for building robots as a hobby
 Compensation Range: $150K \- $250K</t>
        </is>
      </c>
    </row>
    <row r="36">
      <c r="A36" t="inlineStr">
        <is>
          <t>li-4363818170</t>
        </is>
      </c>
      <c r="B36" t="inlineStr">
        <is>
          <t>AI Engineer (Remote)</t>
        </is>
      </c>
      <c r="C36" t="inlineStr">
        <is>
          <t>Lensa</t>
        </is>
      </c>
      <c r="D36" t="inlineStr">
        <is>
          <t>linkedin</t>
        </is>
      </c>
      <c r="E36">
        <f>HYPERLINK("https://www.linkedin.com/jobs/view/4363818170", "https://www.linkedin.com/jobs/view/4363818170")</f>
        <v/>
      </c>
      <c r="F36" t="inlineStr"/>
      <c r="G36" t="inlineStr"/>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Front Door LLC. Clicking "Apply Now" or "Read more" on Lensa redirects you to the job board/employer site. Any information collected there is subject to their terms and privacy notice.
****Overview****
 Frontdoor is reimagining how homeowners maintain and repair their most valuable asset – their home. As the parent company of two leading brands, we bring over 50 years of experience in providing our members with comprehensive options to protect their homes from costly and unexpected breakdowns through our extensive network of pre\-qualified professional contractors. American Home Shield, the category leader in home service plans with approximately two million members, gives homeowners budget protection and convenience, covering up to 23 essential home systems and appliances. Frontdoor is a cutting edge, one\-stop app for home repair and maintenance. Enabled by our Streem technology, the app empowers homeowners by connecting them in real time through video chat with pre\-qualified experts to diagnose and solve their problems. The Frontdoor app also offers homeowners a range of other benefits including DIY tips, discounts and more. For more information about American Home Shield and Frontdoor, please visit frontdoorhome.com .
****Responsibilities****
**Summary** 
 :
 The AI Platform Engineer is a technical lead responsible for building and optimizing the platform that supports data science and AI/ML initiatives. This individual will drive the adoption of DataOps, MLOps, and AIOps practices, focusing on using the Snowflake Data Cloud to streamline data pipelines, manage ML models, and automate IT operations. The role includes designing and implementing scalable solutions for data ingestion, processing, model training, deployment, and monitoring, ensuring high performance, reliability, and security of AI/ML systems.
****Responsibilities:****
* Architect, build, and maintain the AI platform infrastructure, using cloud\-native services and Snowflake's capabilities to support the entire ML lifecycle.
* Implement and manage MLOps pipelines for model training, testing, deployment, and monitoring, ensuring smooth integration with Snowflake data sources.
* Apply machine learning techniques to automate data operations, including monitoring, anomaly detection, incident response, and performance optimization.
* Configure and manage model registries (e.g., Snowflake Model Registry, MLflow) for versioning, tracking, and governance of ML models.
* Implement CI/CD pipelines for automating the deployment and updates of ML models.
* Integrate AIOps platforms with existing application infrastructure, cloud services, and observability tools (e.g., Splunk), using Snowflake as a central data repository.
* Champion data governance and observability frameworks to uphold data integrity, compliance, and security across all platforms.
* Lead the adoption of business\-focused domain architectures, effectively marrying technology solutions with business goals.
* Master and apply various data modeling techniques, including dimensional modeling, with emphasis on Star and other related analytical modeling techniques.
* Engage with internal stakeholders to gain a deep understanding of data needs, delivering solutions that drive strategic business objectives.
* Offer leadership and mentorship to the data engineering team, cultivating a culture of innovation and continuous learning.
****Qualifications****
**Minimum Education, Licensure and Professional Certification requirements:** 
 Bachelor’s or MS in Computer Science, Software Engineering, Data Science, or a related field
**Minimum Experience required** 
*(number of years necessary to perform role)* 
 : 5\+ years of experience in a relevant field
****Required Skills:****
* 5\+ years of experience in data engineering, MLOps, AIOps, or AI Platform roles.
* Expertise in the Snowflake Data Cloud, including data warehousing, data engineering features, and ML capabilities using Cortex AI features
* Proficiency in Python and SQL for data manipulation, scripting, and automation.
* Experience with AWS cloud platforms and their data and AI/ML services.
* Experience with MLOps frameworks and tools (e.g., MLflow, Kubeflow, Snowflake Model Registry).
* Solid understanding of DevOps principles and CI/CD practices for data and AI/ML workflows.
* Experience with observability tools (monitoring, logging, alerting) and setting up automated incident response.
****Other/State Specific****
*This role pays between $* 
*165k* 
*to $* 
*180k* 
*, and your actual base pay will depend on your skills, qualifications, responsibilities, experience, and location.*
*At Frontdoor certain roles are eligible for additional rewards and incentives. Speak directly to your recruiter to learn more.*
*Our approach to benefits is holistic, and includes health, wellbeing and financial components including: insurance for medical/pharmacy, dental, vision, life, and disability, weight loss and smoking cessation programs, matching 401(k) and ability to participate in our employee stock purchase plan.*
**Need help finding the right job?**
 We can recommend jobs specifically for you!
**Job Locations** 
 US
**ID** 
 2025\-3908
**Category** 
 Engineering
**Type** 
 Full Time
**Company** 
 AHS American Home Shield Corp
 If you have questions about this posting, please contact support@lensa.com</t>
        </is>
      </c>
    </row>
    <row r="37">
      <c r="A37" t="inlineStr">
        <is>
          <t>li-4363867855</t>
        </is>
      </c>
      <c r="B37" t="inlineStr">
        <is>
          <t>Senior Machine Learning Engineer - Marketplace Pricing</t>
        </is>
      </c>
      <c r="C37" t="inlineStr">
        <is>
          <t>Uber</t>
        </is>
      </c>
      <c r="D37" t="inlineStr">
        <is>
          <t>linkedin</t>
        </is>
      </c>
      <c r="E37">
        <f>HYPERLINK("https://www.linkedin.com/jobs/view/4363867855", "https://www.linkedin.com/jobs/view/4363867855")</f>
        <v/>
      </c>
      <c r="F37" t="inlineStr"/>
      <c r="G37" t="inlineStr">
        <is>
          <t>New York, NY</t>
        </is>
      </c>
      <c r="H37" t="inlineStr"/>
      <c r="I37"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8">
      <c r="A38" t="inlineStr">
        <is>
          <t>li-4363757027</t>
        </is>
      </c>
      <c r="B38" t="inlineStr">
        <is>
          <t>Machine Learning Engineer</t>
        </is>
      </c>
      <c r="C38" t="inlineStr">
        <is>
          <t>Capital One</t>
        </is>
      </c>
      <c r="D38" t="inlineStr">
        <is>
          <t>linkedin</t>
        </is>
      </c>
      <c r="E38">
        <f>HYPERLINK("https://www.linkedin.com/jobs/view/4363757027", "https://www.linkedin.com/jobs/view/4363757027")</f>
        <v/>
      </c>
      <c r="F38" t="inlineStr"/>
      <c r="G38" t="inlineStr"/>
      <c r="H38" t="inlineStr"/>
      <c r="I38" t="inlineStr">
        <is>
          <t>**About The Company** 
 Capital One Software is a leading provider of cloud\-based data management solutions, dedicated to transforming how businesses handle data publishing, consumption, governance, and infrastructure management at scale. Committed to innovation, Capital One Software continuously explores new opportunities to bring cutting\-edge solutions to market, empowering organizations to optimize their data operations and unlock valuable insights. With a focus on leveraging modern technologies and fostering a culture of engineering excellence, the company strives to deliver impactful tools that address complex data challenges faced by enterprises in the digital age.
**About The Role** 
 We are seeking a highly skilled and experienced Distinguished Machine Learning Engineer to join our remote team at Capital One Software. In this pivotal role, you will be at the forefront of developing advanced machine learning systems, deploying models in production environments, and driving technological innovation across the organization. You will collaborate with cross\-functional teams to solve complex business problems, promote best practices in machine learning and data engineering, and mentor emerging talent. This role offers an exciting opportunity to influence the future of data management solutions, leveraging your expertise to shape scalable, efficient, and innovative AI\-driven products that impact both internal stakeholders and our customers.
**Qualifications** 
* Bachelor’s Degree in Computer Science, Engineering, or related field
* Masters’ Degree preferred
* Minimum of 7 years of experience in Software Engineering
* At least 5 years of experience in Machine Learning Systems and Infrastructure
* 7\+ years of proficiency in Python, Java, Go, and SQL
* 6\+ years of experience deploying machine learning models in production
* Strong understanding of deploying ML models at scale in production environments
* Experience with Large Language Models (LLMs), including prompt engineering, fine\-tuning, evaluation, and alignment
* Hands\-on experience with Kafka, Airflow, Spark, AWS Glue/Kinesis (3\+ years)
* Experience with Databricks or Snowflake (3\+ years)
* Knowledge of LLM Ops tooling, including model versioning, deployment, cost optimization, and latency reduction
* Excellent communication and stakeholder management skills
**Responsibilities** 
* Build awareness, increase knowledge, and promote adoption of modern machine learning and data management technologies across the organization
* Collaborate with teams to address complex business challenges, delivering innovative AI solutions that directly impact customers and internal stakeholders
* Foster an inclusive environment by encouraging diverse ideas, sharing expertise, and championing team growth
* Promote a culture of engineering excellence through reuse of solutions and inner sourcing practices
* Effectively communicate technical concepts and influence decision\-making at all organizational levels
* Operate as a trusted advisor for specific technology domains, shaping use cases and implementation strategies
* Lead initiatives to develop next\-generation tech talent by mentoring internal staff and recruiting external experts
* Stay abreast of the latest advancements in machine learning, LLMs, and data engineering, integrating best practices into projects
**Benefits** 
* Competitive salary range, with potential performance\-based incentives
* Comprehensive health, dental, and vision insurance plans
* Financial wellness programs and retirement savings options
* Generous paid time off and holiday leave
* Professional development opportunities and continuous learning support
* Inclusive and diverse workplace culture
* Remote work flexibility and work\-life balance initiatives
 Equal Opportunity
 Capital One is an equal opportunity employer committed to fostering an inclusive environment. We welcome applications from all qualified individuals regardless of race, ethnicity, gender, sexual orientation, disability, veteran status, or any other protected characteristic. We ensure non\-discrimination in employment practices and provide reasonable accommodations to applicants with disabilities.</t>
        </is>
      </c>
    </row>
    <row r="39">
      <c r="A39" t="inlineStr">
        <is>
          <t>li-4363848094</t>
        </is>
      </c>
      <c r="B39" t="inlineStr">
        <is>
          <t>Video AI Engineer</t>
        </is>
      </c>
      <c r="C39" t="inlineStr">
        <is>
          <t>Lensa</t>
        </is>
      </c>
      <c r="D39" t="inlineStr">
        <is>
          <t>linkedin</t>
        </is>
      </c>
      <c r="E39">
        <f>HYPERLINK("https://www.linkedin.com/jobs/view/4363848094", "https://www.linkedin.com/jobs/view/4363848094")</f>
        <v/>
      </c>
      <c r="F39" t="inlineStr"/>
      <c r="G39" t="inlineStr">
        <is>
          <t>San Jose, CA</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Zoom. Clicking "Apply Now" or "Read more" on Lensa redirects you to the job board/employer site. Any information collected there is subject to their terms and privacy notice.
 What you can expect
 As a Video AI Engineer, you’ll enhance video codecs, video generation, and real\-time 3D reconstruction to improve video quality, immersion, and performance in Zoom products. You will work across our stack, developing software ranging from Web Server to business application layers for our distributed, cloud\-hosted backend. Working alongside leading experts in the field, you’ll deliver happiness to our users and grow your knowledge base every day.
**About The Team**
 Our global team, including members in China and Singapore, focuses on improving video quality, generative video capabilities, and real\-time 3D reconstruction in Zoom products. As a Video AI Engineer, you’ll work with experts to advance video rendering, 3D reconstruction, and AI\-powered communications while growing your skills.
**Responsibilities**
* Building and developing video and generative video processing applications on both desktop and mobile systems
* Participating in research and performance evaluation of video processing, video generation, and 3D reconstruction algorithms
* Designing and developing algorithms in Zoom’s video and 3D reconstruction processing pipelines at both module and system levels
* Implementing video, neural rendering, and 3D Gaussian Splatting algorithms with modular, well\-organized, and production\-ready code
* Optimizing video, generative, and 3D reconstruction algorithms to achieve real\-time performance on corresponding platforms
* Customizing, integrating, and shipping deep learning models—including video generative models and 3D neural rendering models—across Mac, Windows, iOS, and Android
* Setting up test environments, developing test tools, and designing unit tests for runtime verification of video and 3D pipeline components
 What we’re looking for
* Hold either a PhD or Master in Electrical Engineering, Computer Science, Applied Mathematics, or related fields
* Have experience with C/C\+\+ or Objective\-C, and Python, talking avatar/head/portrait(with released projects and top conference papers)
* Have hands\-on experience with video generation or video diffusion models, neural rendering techniques (e.g., NeRF, 3D Gaussian Splatting), and 3D reconstruction systems.
* Have hands\-on experience with machine learning techniques such as generative models, diffusion models, discriminative models, or transfer learning.
* Have excellent communication, oral, written, and interpersonal(in both Mandarin and English), analytical and troubleshooting skills.
* Have familiarity with multi\-threaded programming and communication mechanisms
* Have understanding of multimedia stream data processing flows, ideally including 3D scene or point cloud pipelines
* Have experience with deepfake detection
* Must be fluent in Mandarin
**Minimum**
 Salary Range or On Target Earnings:
 $127 700,00
**Maximum**
 $255 400,00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02/27/26
 Ways of WorkingOur structured hybrid approach is centered around our offices and remote work environments. The work style of each role, Hybrid, Remote, or In\-Person is indicated in the job description/posting.
 BenefitsAs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(https://careers.zoom.us/benefits) for more information.
 About UsZoomies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(https://form.asana.com/?k\=OIuqpO5Tv9XQTWp1bNYd8w\&amp;d\=1127274756253361\) and someone from our team will reach out soon. This form is solely for applicants who require an accommodation due to a qualifying medical disability. Non\-accommodation\-related requests, such as application follow\-ups or technical issues, will not be addressed.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If you have questions about this posting, please contact support@lensa.com</t>
        </is>
      </c>
    </row>
    <row r="40">
      <c r="A40" t="inlineStr">
        <is>
          <t>li-4364058068</t>
        </is>
      </c>
      <c r="B40" t="inlineStr">
        <is>
          <t>Sr AI Engineer</t>
        </is>
      </c>
      <c r="C40" t="inlineStr">
        <is>
          <t>Lensa</t>
        </is>
      </c>
      <c r="D40" t="inlineStr">
        <is>
          <t>linkedin</t>
        </is>
      </c>
      <c r="E40">
        <f>HYPERLINK("https://www.linkedin.com/jobs/view/4364058068", "https://www.linkedin.com/jobs/view/4364058068")</f>
        <v/>
      </c>
      <c r="F40" t="inlineStr"/>
      <c r="G40" t="inlineStr">
        <is>
          <t>Oklahoma City, OK</t>
        </is>
      </c>
      <c r="H40" t="inlineStr"/>
      <c r="I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Paycom Online. Clicking "Apply Now" or "Read more" on Lensa redirects you to the job board/employer site. Any information collected there is subject to their terms and privacy notice.
 Paycom is seeking a motivated AI Engineer with a passion for building practical, innovative solutions. In this role, you will work closely with software engineers to design and implement AI features that enhance our products and improve client experience. You will contribute to the development of AI applications, collaborate with a team of skilled technologists, and gain hands\-on experience in applying AI strategies to real\-world challenges.
**Responsibilities**
* Develop, maintain, and improve AI/ML codebases, services and APIs with a focus on reliability and scalability.
* Collaborate with cross\-functional teams including engineers, data scientists, and domain experts to deliver impactful AI solutions.
* Implement and support AI/ML pipelines for deployment, monitoring and lifecycle management.
* Automate batch inference workflows and integrate AI features into both internal tools and customer\-facing products.
* Collaborate with engineers, data scientists, and domain experts to deliver impactful AI solutions.
* Write, clean, testable, and well\-documented code to help the team build AI\-integrated solutions with confidence.
* Define architectural changes that can be implemented incrementally, while minimizing risk.
* Define and evolve model governance, monitoring, drift detection and re\-training workflows.
* Advocate for security and ethical AI practices in compliance with OWASP ML Top 10 and relevant standards.
**Qualifications**
* Bachelor's degree in Computer Science, Machine Learning, Artificial Intelligence, or related field
**Experience**
* Hands\-on software engineering experience working with AI/ML systems or data\-driven applications.
* Experience developing software utilizing various languages, including Python, SQL and/or the ability to pick up new languages quickly.
* Strong knowledge and experience using data platforms, machine learning frameworks and generative AI tooling.
* Experience designing and deploying ML models to production and optimizing MLOps practices
* Experience with the full lifecycle of software and AI/ML development, including version control, build management, unit testing, CI/CD, API paradigms and model versioning.
* Experience in deploying and scaling containerized, distributed software and AI systems using tools such as Kubernetes.
* Depth in using LLMs, including training, fine\-tuning, and evaluation. Historical background in "traditional" NLP tools
* Experience in SOA, Modular Monolith Architecture, and distributed systems for AI training and inference
* Familiarity with static analysis, code scanning, and ML\-specific monitoring tools
* Knowledgeable in responsible AI and security best practices, including OWASP Top 10 and OWASP ML Top 10
* Strong collaboration, communication, and problem\-solving skills in cross\-functional environments.
**Education/Certification**
**PREFERRED QUALIFICATIONS**
* Master's degree in Computer Science, Machine Learning, Artificial Intelligence, or related field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and fingers to handle, type, or feel; reach with hands and arms; and talk or hear. The employee may occasionally lift and/or move up to 25 pounds. Specific vision abilities required by this job include close vision and ability to adjust focus.
**WORK ENVIRONMENT AND ENVIRONMENTAL** 
**CONDITIONS**
**The work environment characteristics described here are representative of those an employee encounters while performing the essential functions of this job.**
**No hazardous or significantly unpleasant conditions. (Such as in a** 
**typical** 
**office). The noise level in the work environment is usually moderate.**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2026-01-18T03:03:25Z</dcterms:created>
  <dcterms:modified xsi:type="dcterms:W3CDTF">2026-01-18T03:03:25Z</dcterms:modified>
</cp:coreProperties>
</file>