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in-615ee6e0d0a3b540</t>
        </is>
      </c>
      <c r="B2" t="inlineStr">
        <is>
          <t>Senior Data Engineer - Databricks</t>
        </is>
      </c>
      <c r="C2" t="inlineStr">
        <is>
          <t>Sumitomo Group</t>
        </is>
      </c>
      <c r="D2" t="inlineStr">
        <is>
          <t>indeed</t>
        </is>
      </c>
      <c r="E2" t="inlineStr"/>
      <c r="F2" t="inlineStr"/>
      <c r="G2" t="inlineStr">
        <is>
          <t>Charlotte, NC, US</t>
        </is>
      </c>
      <c r="H2" s="2" t="n">
        <v>46038</v>
      </c>
      <c r="I2"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
The Databricks Developer is responsible for implementing, supporting, and enhancing the internal fraud detection platform by developing scalable data pipelines, integrating batch processing methods, and ensuring the platform aligns with the bank’s risk management, legal, and regulatory requirements for fraud detection and prevention.  
This role requires deep functional and technical expertise in databricks development, including strong development skills in PySpark and the Azure cloud ecosystem. Proven expertise in designing and managing CI/CD pipelines using tools such as Azure DevOps, GitHub, or similar.  
The developer will work closely with business units and support teams to deliver the initial application, system enhancements, perform upgrades, and provide on\-call user support. The ideal candidate holds a degree in Computer Science or a related field and has at least 5 years of professional experience in data engineering and cloud\-based development.  
Key Responsibilities:
**Role Objectives: Delivery**
-----------------------------
* Design, develop, and optimize large\-scale batch data pipelines using Databricks and PySpark on the Azure cloud platform.
* Lead technical architecture and implementation of Azure\-based solutions, supporting cloud migration and consolidation initiatives.
* Build and maintain ETL processes, ensuring seamless data integration and high data quality across diverse sources.
* Develop orchestration workflows using Azure Functions, Azure Data Factory (ADF), Logic Apps, and other Azure services.
* Proven expertise in designing and managing CI/CD pipelines using tools such as Azure DevOps, GitHub, or similar
* Implement secure and scalable solutions leveraging Blob Storage, Key Vault, Managed Identities, and Azure DevOps.
* Provide technical guidance and support for architectural decisions and platform enhancements.
* Own end\-to\-end project delivery, working closely with business stakeholders, IT teams, and third\-party vendors.
* Incorporating a variety of data processing techniques—including batch and streaming workflows—while exposing and integrating APIs and external services into Databricks pipelines to enhance platform functionality and enable seamless data exchange across systems.
* Review and contribute to core code changes, ensuring best practices and supporting production deployments.
* Experience in developing and implementing disaster recovery strategies for cloud\-based applications
**Qualifications and Skills**
-----------------------------
Required Qualifications:  
* Bachelor’s degree in Computer Science, Information Systems, or a related technical field.
* Minimum 5 years of experience in data engineering, with a focus on Databricks, PySpark, and Azure.
* Strong understanding of data integration, transformation, and migration strategies.
* Experience with CI/CD pipelines and version control using Azure DevOps or githib.
* Excellent problem\-solving skills and ability to resolve moderately complex technical challenges.
* Strong communication and collaboration skills;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3">
      <c r="A3" t="inlineStr">
        <is>
          <t>in-97914479f06f4c14</t>
        </is>
      </c>
      <c r="B3" t="inlineStr">
        <is>
          <t>AppleCare Finance Data Engineer</t>
        </is>
      </c>
      <c r="C3" t="inlineStr">
        <is>
          <t>Apple</t>
        </is>
      </c>
      <c r="D3" t="inlineStr">
        <is>
          <t>indeed</t>
        </is>
      </c>
      <c r="E3" t="inlineStr"/>
      <c r="F3" t="inlineStr"/>
      <c r="G3" t="inlineStr">
        <is>
          <t>Austin, TX, US</t>
        </is>
      </c>
      <c r="H3" s="2" t="n">
        <v>46038</v>
      </c>
      <c r="I3" t="inlineStr">
        <is>
          <t>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essential to upholding our global commitment to excellence, and it is directly responsible for shaping the company’s future. Join us, and you’ll have a meaningful role in continuing Apple’s legacy of efficiency and success.  
**Description**  
We are looking for a skilled Data Engineer with a proven track record in building and troubleshooting issues in complex data sets from multiple data sources. This role requires candidate with hands\-on expertise in advanced SQL scripting, ETL methodologies, data visualization, data validations, and problem\-solving skills to uncover insights and drive business decisions.","responsibilities":"Design and implement advanced analytical models and pipelines using SQL and R/Python.  
Develop and optimize data extraction and transformation processes to improve accessibility and performance.  
Build intuitive visualizations and dashboards to communicate insights effectively to technical and business audiences.  
Document methodologies and share analytical best practices to strengthen data culture across teams.  
Lead end\-to\-end analytics initiatives, from scoping and exploration to analysis, interpretation, and executive presentations.  
Support backend SQL database of a WebApp, redesign it and convert it into a Dataiku solution  
Collaborate with India based Tech Support invoicing team in rebuilding the WebApp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engineering, business analytics, or business intelligence roles.  
Strong proficiency in SQL and R/Python (pandas, NumPy, scikit\-learn).  
Hands\-on experience in Dataiku Data Modeling platform.  
Experience with data modeling, transformation, and analytics frameworks such as Snowflake.  
Skilled in building data visualizations using Tableau, and presenting insights to diverse audiences.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
      <c r="A4" t="inlineStr">
        <is>
          <t>in-5c4dc4e9d031e755</t>
        </is>
      </c>
      <c r="B4" t="inlineStr">
        <is>
          <t>Staff Data Engineer - AI Tooling</t>
        </is>
      </c>
      <c r="C4" t="inlineStr">
        <is>
          <t>HCA Healthcare</t>
        </is>
      </c>
      <c r="D4" t="inlineStr">
        <is>
          <t>indeed</t>
        </is>
      </c>
      <c r="E4" t="inlineStr"/>
      <c r="F4" t="inlineStr"/>
      <c r="G4" t="inlineStr">
        <is>
          <t>Nashville, TN, US</t>
        </is>
      </c>
      <c r="H4" s="2" t="n">
        <v>46038</v>
      </c>
      <c r="I4"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 Staff Data Engineer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Staff Data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Staff Data Engineer serves as a primary development resource for design, writing code, test, implementation, document functionality, and maintain of NextGen solutions for the GCP Cloud enterprise data initiatives. The role requires working closely with data teams, frequently in a matrixed environment as part of a broader project team. This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As a Staff Data Engineer, you will collaborate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In addition, the Staff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What you will do:
At HCA DT\&amp;I, your deliverables will influence patient care. Every process, technology, and decision matters.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Work with data engineers, data architects, data scientists, and other internal stakeholders to understand product requirements and then design, build, and monitor data platforms and pipelines that meet today's requirements but can gracefully scale.
* Implement automated workflows that lower manual/operational costs, define and uphold SLAs for timely delivery of data, and move the company closer to democratizing data.
* Enable a self\-service data architecture supporting query exploration, dashboards, data catalog, and rich data discovery.
* Promote a collaborative team environment that prioritizes effective communication, team member growth, and success of the team over success of the individual.
* Design and create real\-time data pipelines that accelerate the time from idea to insight.
* Adheres to and supports data engineering best practices, processes, and standards.
* Produce high quality, modular, reusable code that incorporates best practices and serves as an example for less experienced engineers.
* Helps promote and support data security best practices that align with industry standards and regulatory and legal requirements.
* Help mentor team members on complex data projects and following the Agile process.
* Help lead data analysis efforts and solution proposals to data related and data architecture problems.
* Help lead implementation of unit and integration tests and promote and conduct performance testing where appropriate.
* Be a leader in the HCA data community. Evangelize data engineering best practices and standards, participate, or present at community events, and encourage the continual growth and development of others.
* Be curious. Be growth minded. Encourage and enable this in others.
* Demonstrate professional and personal maturity through self\-leadership.
* Build productive and healthy relationships within the department and other teams to foster growth of our culture, our people, and our platforms.
* Practices and adheres to the “Code of Conduct” philosophy and “Mission and Value Statement.”
* Perform other duties as assigned.
* Responsible for building and supporting a GCP based ecosystem designed for enterprise\-wide analysis of structured, semi\-structured, and unstructured data.
* Work independently, and complete tasks on\-schedule by exercising strong judgment and problem\-solving skills.
* Analyze requirements, design AI/ML based solutions, and integrate those solutions for customer environments.
* Proven experience effectively prioritizing workload to meet deadlines and work objectives.
* Works in an environment with rapidly changing business requirements and priorities
* Shares knowledge and experience to contribute to growth of overall team capabilities.
* Actively participate in technical group discussions and adopt any modern technologies to improve the development and operations.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**What you will need to have:**
* Bachelor's degree in computer science, related technical field, or equivalent experience required
* Master's degree in computer science or related field preferred
* 5\+ years of experience as a Data Engineer required
* 1\+ year(s) of experience in healthcare preferred
* 7\+ years of experience in information technology required
* Demonstrates an empathetic and growth mindset with a willingness to learn new skills, technologies, and methodologies. required
* Strong knowledge of public cloud best practices and design patterns used in creating, automating, and supporting data pipelines. required
* Strong ability to assemble large, complex sets of data that meet functional and non\-functional product requirements. required
* Strong ability to identify, design, and implement internal process improvements including redesigning data platforms for greater scalability, optimized data delivery, and automating manual processes. required
* Strong ability to create and use analytical tools to monitor data pipeline metrics and provide actionable intelligence to increase operational efficiency and valuable data outcomes. required
* Strong ability to present and facilitate technical ideas. required
* Expert ability using source control management tools such as Git/GitHub. required
* Expert ability using CI/CD automation tools. required
* Strong understanding of SQL and analytical data warehouses. required
* Strong understanding of Agile methodologies and how to apply Agile within the team. required
* Helps coach and mentor junior team members and others external to the team. required
* Proven ability to complete work, make sound decisions, and plan and accomplish goals without explicit direction/guidance from leadership. required
* Builds and nurtures healthy relationships with all colleagues. required
* Stays abreast of public cloud technologies, capabilities, and industry use of public cloud to help guide HCA’s strategy and adoption. required
* Demonstrates productive and inclusive communication skills with all colleagues. required
* Excellent problem\-solving and analytical skills. required
* Experience applying prompt engineering techniques to improve accuracy and efficiency of AI\-assisted solutions. required
* Strong ability to prototype and iterate using AI\-assisted development tools (e.g., Copilot, ChatGPT, or equivalent). required
* 2\+ years hands\-on experience with GCP platform and experience with many of the following components:
Cloud Run, GKE, Cloud Functions
Pub/Sub,Bigtable, Cloud SQL, Cloud Spanner
BigQuery, Dataflow, Data Fusion
Cloud Composer, DataProc, CI/CD, Cloud Logging
Vertex AI, NLP, GitHub
* 4\+ Years of hands\-on experience with many of the following components:
Spark Streaming, Kafka
SQL, JSON, Avro, Parquet
Java, Python, or Scala
* 18\+ months of hands\-on experience with many of the following components: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GCP Cloud Professional Data Engineer
"There is so much good to do in the world and so many different ways to do it."\- Dr. Thomas Frist, Sr.  
HCA Healthcare Co\-Founder
If you find this opportunity compelling, we encourage you to apply for our Staff Data Engineer opening. We promptly review all applications. Highly qualified candidates will be directly contacted by a member of our team.We are interviewing apply today!
*We are an equal opportunity employer. We do not discriminate on the basis of race, religion, color, national origin, gender, sexual orientation, age, marital status, veteran status, or disability status.*</t>
        </is>
      </c>
    </row>
    <row r="5">
      <c r="A5" t="inlineStr">
        <is>
          <t>in-50086c199be9d4c2</t>
        </is>
      </c>
      <c r="B5" t="inlineStr">
        <is>
          <t>Associate Data Engineer</t>
        </is>
      </c>
      <c r="C5" t="inlineStr">
        <is>
          <t>RR Donnelley</t>
        </is>
      </c>
      <c r="D5" t="inlineStr">
        <is>
          <t>indeed</t>
        </is>
      </c>
      <c r="E5">
        <f>HYPERLINK("https://www.indeed.com/viewjob?jk=50086c199be9d4c2", "https://www.indeed.com/viewjob?jk=50086c199be9d4c2")</f>
        <v/>
      </c>
      <c r="F5">
        <f>HYPERLINK("https://jobs.smartrecruiters.com/RRDonnelley/744000104083284-associate-data-engineer-", "https://jobs.smartrecruiters.com/RRDonnelley/744000104083284-associate-data-engineer-")</f>
        <v/>
      </c>
      <c r="G5" t="inlineStr">
        <is>
          <t>Warrenville, IL, US</t>
        </is>
      </c>
      <c r="H5" s="3" t="n">
        <v>46039</v>
      </c>
      <c r="I5" t="inlineStr">
        <is>
          <t>**Company Description**  
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Data Engineer will join our Enterprise Reporting Team with a focus on Data Architecture. In the same way that an architect helps builders transform raw materials into buildings, a Data Engineer focusing on data architecture helps transform raw data into information. Instead of designing structures like strip malls or distribution centers, a data engineer designs structures like data marts or data warehouses. These structures integrate data from multiple systems across the enterprise to power the reports and dashboards central to RR Donnelley’s decisions and processes.
 **Responsibilities:**
* Analysis/Design: Analyze business requirements for projects of small to medium scope and complexity. Assist with the gathering of requirements from end users
* Coding: Write, test, and debug routine to moderately complex SQL queries, DML scripts, and DDL scripts
* Testing: Under general supervision, analyze and document test results to ensure that technical requirements are met
* Technical Support: Research and resolve routine to moderately complex data issues using SQL and other reporting tools.
* Documentation: Assist in preparing high\-quality internal documentation.
* Communication: Clearly convey problems, solutions, updates, and project status to peers, customers, and management
* Assist with the design, documentation, and implementation of Data Architecture standards
* Review existing data models for correctness and compliance with standards
* Analyze medium size datasets using Python to both visualize and make predictions
* Seek to understand RRD business units and processes, through research and discussions with IT and business partners
 **Qualifications**  
* Bachelor’s / 4\-year degree in a technical field: computer science, MIS, mathematics, engineering, data science, or similar
* 2\-3 years of related IT experience
* Strong knowledge and programming experience with SQL (Oracle, SQL Server, etc.)
* Strong knowledge of database concepts \&amp; structures (indexes, foreign keys, views, etc.)
* Understanding of data modeling concepts
* Fluency in office productivity software (MS Office, Google Workspace, etc.)
* Excellent written and verbal communication skills
* Superior critical thinking skills with the ability to ask thoughtful questions
* Ability to self\-start and collaborate with other team members while working in a remote setting
* Curiosity and a strong desire to learn
Data Engineer Preferred Skills:
* Working knowledge of Python or other programming languages
* Experience with Star Schema / Dimension databases
* Experience with data modeling tools, such as ERwin
**Additional Information**  
RRD's current salary range for this role is $67,800 to $105,800 / year. The salary range may be adjusted based on the applicable geographic location of the hired employee, and the range may change in the future. At RRD, it is not typical for an individual to be hired at or near the top of the range for their role and compensation decisions may vary based upon, but not limited to education, skills, experience, proficiency, performance, shift and location. Depending on the role, in addition to base salary, the total compensation package may also include participation in a bonus, commission or incentive program. RRD’s benefit offerings include medical, dental, and vision coverage, paid time off, disability insurance, 401(k) with company match, life insurance and other voluntary supplemental insurance coverages, plus parental leave, adoption assistance, tuition assistance and employer/partner discounts.
All employment offers are contingent upon the successful completion of both a pre\-employment background and drug screen.
RRD is an Equal Opportunity Employer, including disability/veterans</t>
        </is>
      </c>
    </row>
    <row r="6">
      <c r="A6" t="inlineStr">
        <is>
          <t>in-b4eb9527cb321729</t>
        </is>
      </c>
      <c r="B6" t="inlineStr">
        <is>
          <t>Data engineer</t>
        </is>
      </c>
      <c r="C6" t="inlineStr">
        <is>
          <t>Stacklogy</t>
        </is>
      </c>
      <c r="D6" t="inlineStr">
        <is>
          <t>indeed</t>
        </is>
      </c>
      <c r="E6">
        <f>HYPERLINK("https://www.indeed.com/viewjob?jk=b4eb9527cb321729", "https://www.indeed.com/viewjob?jk=b4eb9527cb321729")</f>
        <v/>
      </c>
      <c r="F6">
        <f>HYPERLINK("https://stacklogy.com/career/", "https://stacklogy.com/career/")</f>
        <v/>
      </c>
      <c r="G6" t="inlineStr">
        <is>
          <t>US</t>
        </is>
      </c>
      <c r="H6" s="3" t="n">
        <v>46038</v>
      </c>
      <c r="I6"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7">
      <c r="A7" t="inlineStr">
        <is>
          <t>in-e978774b2dcb2283</t>
        </is>
      </c>
      <c r="B7" t="inlineStr">
        <is>
          <t>Data Engineer 2 / SQL Specialist</t>
        </is>
      </c>
      <c r="C7" t="inlineStr">
        <is>
          <t>Network Designs</t>
        </is>
      </c>
      <c r="D7" t="inlineStr">
        <is>
          <t>indeed</t>
        </is>
      </c>
      <c r="E7">
        <f>HYPERLINK("https://www.indeed.com/viewjob?jk=e978774b2dcb2283", "https://www.indeed.com/viewjob?jk=e978774b2dcb2283")</f>
        <v/>
      </c>
      <c r="F7">
        <f>HYPERLINK("https://netdes.isolvedhire.com/jobs/1687494-76852.html", "https://netdes.isolvedhire.com/jobs/1687494-76852.html")</f>
        <v/>
      </c>
      <c r="G7" t="inlineStr">
        <is>
          <t>McLean, VA, US</t>
        </is>
      </c>
      <c r="H7" s="3" t="n">
        <v>46038</v>
      </c>
      <c r="I7"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The Database Engineer / SQL Specialist will be responsible for designing, developing, and executing SQL and PL/SQL\-based data transformations to support accurate migration of legacy VES, EDB, and IVM data into the modernized Enrollment System. This role focuses on data mapping, reconciliation, validation, and performance optimization within Oracle\-based environments. The candidate will work closely with data engineers, analysts, and modernization stakeholders to ensure data integrity, accuracy, and auditability throughout migration efforts.
**Requirements:**
* U.S Citizenship required.
* Must be able to obtain and maintain a Public Trust clearance
* This position is remote but may require occasional onsite meetings in McLean, VA.
* You can be based out of following states: AZ, DC, FL, GA, OH, ME, MD, SC, TX, UT, VA, NC, OK, WV.
**Qualifications and Experience:**
* Bachelor's Degree in Computer Science, Information Technology, Data Science, or a related field
* At least 3 years of relevant experience in data engineering, SQL development or a related role.
* Strong proficiency in Oracle SQL and PL/SQL.
* Experience developing stored procedures, functions, and packages.
* Experience with indexing strategies, execution plan analysis, and query optimization.
* Experience with materialized views and partitioning.
* Experience supporting ETL and ELT data transformations.
* Experience implementing data validation, reconciliation, and data quality profiling routines.
* Experience with schema and metadata management.
* Strong analytical and problem\-solving skills.
* Attention to detail and accuracy.
* Good communication skills and the ability to work collaboratively in a team environment.
**Responsibilities**
**SQL and PL/SQL Development:**
* Design and implement complex SQL and PL/SQL transformations to support data migration and modernization initiatives.
* Develop and maintain stored procedures, functions, and packages to support data processing and reconciliation workflows.
**Data Migration and Transformation:**
* Design and execute ETL and ELT data transformation routines to migrate legacy VES, EDB, and IVM data into the modernized Enrollment System.
* Implement data mapping logic to ensure accurate field\-level and semantic alignment between legacy and target schemas.
**Data Validation and Reconciliation:**
* Develop and execute data validation and reconciliation routines to verify completeness, accuracy, and consistency of migrated data.
* Identify, analyze, and resolve data discrepancies and anomalies.
**Database Performance Optimization:**
* Optimize SQL queries using indexing strategies, execution plan analysis, and query tuning techniques.
* Design and maintain materialized views and partitioning strategies to support performance and scalability.
**Schema and Metadata Management:**
* Maintain and enhance database schemas, metadata definitions, and data dictionaries.
* Support versioned schema changes and metadata traceability throughout migration cycles.
**Collaboration:**
* Collaborate with data engineers, system integrators, and business stakeholders to understand data requirements and migration constraints.
* Support integration and testing activities by providing subject\-matter expertise on data structures and transformations.
**Quality, Security, and Compliance:**
* Ensure data handling and migration activities comply with applicable data governance, security, and audit requirements.
* Support implementation of data quality profiling and monitoring practices.
**Documentation and Best Practices:**
* Create and maintain documentation for data mappings, transformation logic, reconciliation procedures, and database designs.
* Follow best practices for SQL development, version control, testing, and code quality.
**Continuous Improvement:**
* Continuously improve SQL routines, data validation approaches, and migration processes to increase efficiency and reliability.
* Stay current with Oracle database features and best practices relevant to large\-scale data migration.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8">
      <c r="A8" t="inlineStr">
        <is>
          <t>in-7e8515b3ede5d1d5</t>
        </is>
      </c>
      <c r="B8" t="inlineStr">
        <is>
          <t>Data Engineer – Data Pipeline Fulltime role needs locals</t>
        </is>
      </c>
      <c r="C8" t="inlineStr">
        <is>
          <t>HARAMAIN SYSTEMS INC.</t>
        </is>
      </c>
      <c r="D8" t="inlineStr">
        <is>
          <t>indeed</t>
        </is>
      </c>
      <c r="E8">
        <f>HYPERLINK("https://www.indeed.com/viewjob?jk=7e8515b3ede5d1d5", "https://www.indeed.com/viewjob?jk=7e8515b3ede5d1d5")</f>
        <v/>
      </c>
      <c r="F8">
        <f>HYPERLINK("https://jsco.re/h46te", "https://jsco.re/h46te")</f>
        <v/>
      </c>
      <c r="G8" t="inlineStr">
        <is>
          <t>Austin, TX, US</t>
        </is>
      </c>
      <c r="H8" s="3" t="n">
        <v>46038</v>
      </c>
      <c r="I8" t="inlineStr">
        <is>
          <t>This is a full\-time role with Minimal Travel required so need locals only, cannot sponsor visa, USC or GC holders can apply
**Role : Data Engineer – Data Pipeline**
Location : Houston or Austin, TX \| Minimal Travel
Role Overview
We are seeking a **Software Development Engineer – Data Pipeline** to design and build advanced data and machine learning pipelines that support real\-time systems, analytics, and AI\-driven applications. This role combines full\-stack development, data engineering, and applied data science.
Key Responsibilities
* Design and implement advanced data engineering and data science pipelines using platforms such as Azure and Databricks
* Manage routine DataOps and MLOps operations
* Develop and maintain real\-time tools that support data\-driven decision making
* Apply mathematical and statistical knowledge to ensure data quality, model performance, and insight generation
* Translate complex technical concepts into clear, actionable insights for non\-technical stakeholders
* Research and adopt emerging trends in data engineering, AI, and machine learning
* Collaborate across engineering, finance, and operations teams
Requirements
**Education**
* Bachelor’s or Master’s degree in Computer Science
**Experience**
* Required: 2\+ years of full\-stack software development
* Preferred: 2\+ years in data engineering, machine learning, and Excel/VBA automation
 **Technical Skills**
* Cloud platforms: Azure, Databricks
* Big data tools: Spark, Hadoop
* Programming: Python, PySpark, Visual Basic
* Data profiling, quality analysis, and statistical methods
* Experience with DevOps, DataOps, and MLOps practices
* Frontend and backend development skills preferred
Flexible work from home options available.</t>
        </is>
      </c>
    </row>
    <row r="9">
      <c r="A9" t="inlineStr">
        <is>
          <t>in-58217ed5e4f307f3</t>
        </is>
      </c>
      <c r="B9" t="inlineStr">
        <is>
          <t>Data Engineer – Full time :: Need locals</t>
        </is>
      </c>
      <c r="C9" t="inlineStr">
        <is>
          <t>HARAMAIN SYSTEMS INC.</t>
        </is>
      </c>
      <c r="D9" t="inlineStr">
        <is>
          <t>indeed</t>
        </is>
      </c>
      <c r="E9">
        <f>HYPERLINK("https://www.indeed.com/viewjob?jk=58217ed5e4f307f3", "https://www.indeed.com/viewjob?jk=58217ed5e4f307f3")</f>
        <v/>
      </c>
      <c r="F9">
        <f>HYPERLINK("https://jsco.re/h46sc", "https://jsco.re/h46sc")</f>
        <v/>
      </c>
      <c r="G9" t="inlineStr">
        <is>
          <t>Houston, TX, US</t>
        </is>
      </c>
      <c r="H9" s="3" t="n">
        <v>46038</v>
      </c>
      <c r="I9" t="inlineStr">
        <is>
          <t>Note : This is a full\-time role with Minimal Travel required so need locals only, cannot sponsor visa, USC or GC holders can apply
**Role : Data Engineer – Data Pipeline**
Location : Houston or Austin, TX \| Minimal Travel
Role Overview
We are seeking a **Software Development Engineer – Data Pipeline** to design and build advanced data and machine learning pipelines that support real\-time systems, analytics, and AI\-driven applications. This role combines full\-stack development, data engineering, and applied data science.
Key Responsibilities
* Design and implement advanced data engineering and data science pipelines using platforms such as Azure and Databricks
* Manage routine DataOps and MLOps operations
* Develop and maintain real\-time tools that support data\-driven decision making
* Apply mathematical and statistical knowledge to ensure data quality, model performance, and insight generation
* Translate complex technical concepts into clear, actionable insights for non\-technical stakeholders
* Research and adopt emerging trends in data engineering, AI, and machine learning
* Collaborate across engineering, finance, and operations teams
Requirements
**Education**
* Bachelor’s or Master’s degree in Computer Science
**Experience**
* Required: 2\+ years of full\-stack software development
* Preferred: 2\+ years in data engineering, machine learning, and Excel/VBA automation
 **Technical Skills**
* Cloud platforms: Azure, Databricks
* Big data tools: Spark, Hadoop
* Programming: Python, PySpark, Visual Basic
* Data profiling, quality analysis, and statistical methods
* Experience with DevOps, DataOps, and MLOps practices
* Frontend and backend development skills preferred
Flexible work from home options available.</t>
        </is>
      </c>
    </row>
    <row r="10">
      <c r="A10" t="inlineStr">
        <is>
          <t>in-b969dcca45b755e3</t>
        </is>
      </c>
      <c r="B10" t="inlineStr">
        <is>
          <t>Data Engineer, Denied Party Screening, AWS Compliance &amp; Security Assurance</t>
        </is>
      </c>
      <c r="C10" t="inlineStr">
        <is>
          <t>Amazon.com</t>
        </is>
      </c>
      <c r="D10" t="inlineStr">
        <is>
          <t>indeed</t>
        </is>
      </c>
      <c r="E10">
        <f>HYPERLINK("https://www.indeed.com/viewjob?jk=b969dcca45b755e3", "https://www.indeed.com/viewjob?jk=b969dcca45b755e3")</f>
        <v/>
      </c>
      <c r="F10">
        <f>HYPERLINK("https://www.amazon.jobs/jobs/3160403/data-engineer-denied-party-screening-aws-compliance--security-assurance?cmpid=DA_INAD200785B", "https://www.amazon.jobs/jobs/3160403/data-engineer-denied-party-screening-aws-compliance--security-assurance?cmpid=DA_INAD200785B")</f>
        <v/>
      </c>
      <c r="G10" t="inlineStr">
        <is>
          <t>Dallas, TX, US</t>
        </is>
      </c>
      <c r="H10" s="3" t="n">
        <v>46029</v>
      </c>
      <c r="I1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1">
      <c r="A11" t="inlineStr">
        <is>
          <t>in-ad518b0d87947e3c</t>
        </is>
      </c>
      <c r="B11" t="inlineStr">
        <is>
          <t>Data Engineer, Denied Party Screening, AWS Compliance &amp; Security Assurance</t>
        </is>
      </c>
      <c r="C11" t="inlineStr">
        <is>
          <t>Amazon.com</t>
        </is>
      </c>
      <c r="D11" t="inlineStr">
        <is>
          <t>indeed</t>
        </is>
      </c>
      <c r="E11">
        <f>HYPERLINK("https://www.indeed.com/viewjob?jk=ad518b0d87947e3c", "https://www.indeed.com/viewjob?jk=ad518b0d87947e3c")</f>
        <v/>
      </c>
      <c r="F11">
        <f>HYPERLINK("https://www.amazon.jobs/jobs/3160403/data-engineer-denied-party-screening-aws-compliance--security-assurance?cmpid=DA_INAD200785B", "https://www.amazon.jobs/jobs/3160403/data-engineer-denied-party-screening-aws-compliance--security-assurance?cmpid=DA_INAD200785B")</f>
        <v/>
      </c>
      <c r="G11" t="inlineStr">
        <is>
          <t>Seattle, WA, US</t>
        </is>
      </c>
      <c r="H11" s="3"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in-18fdd4ad2d4105e5</t>
        </is>
      </c>
      <c r="B12" t="inlineStr">
        <is>
          <t>Data Engineer</t>
        </is>
      </c>
      <c r="C12" t="inlineStr">
        <is>
          <t>Amazon.com</t>
        </is>
      </c>
      <c r="D12" t="inlineStr">
        <is>
          <t>indeed</t>
        </is>
      </c>
      <c r="E12">
        <f>HYPERLINK("https://www.indeed.com/viewjob?jk=18fdd4ad2d4105e5", "https://www.indeed.com/viewjob?jk=18fdd4ad2d4105e5")</f>
        <v/>
      </c>
      <c r="F12">
        <f>HYPERLINK("https://www.amazon.jobs/jobs/3141339/data-engineer?cmpid=DA_INAD200785B", "https://www.amazon.jobs/jobs/3141339/data-engineer?cmpid=DA_INAD200785B")</f>
        <v/>
      </c>
      <c r="G12" t="inlineStr">
        <is>
          <t>San Francisco, CA, US</t>
        </is>
      </c>
      <c r="H12" s="3"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in-8ce3a23e03fdeb51</t>
        </is>
      </c>
      <c r="B13" t="inlineStr">
        <is>
          <t>Data Engineer</t>
        </is>
      </c>
      <c r="C13" t="inlineStr">
        <is>
          <t>Amazon.com</t>
        </is>
      </c>
      <c r="D13" t="inlineStr">
        <is>
          <t>indeed</t>
        </is>
      </c>
      <c r="E13">
        <f>HYPERLINK("https://www.indeed.com/viewjob?jk=8ce3a23e03fdeb51", "https://www.indeed.com/viewjob?jk=8ce3a23e03fdeb51")</f>
        <v/>
      </c>
      <c r="F13">
        <f>HYPERLINK("https://www.amazon.jobs/jobs/3141339/data-engineer?cmpid=DA_INAD200785B", "https://www.amazon.jobs/jobs/3141339/data-engineer?cmpid=DA_INAD200785B")</f>
        <v/>
      </c>
      <c r="G13" t="inlineStr">
        <is>
          <t>Seattle, WA, US</t>
        </is>
      </c>
      <c r="H13" s="3"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in-9b4c7770a70eea6e</t>
        </is>
      </c>
      <c r="B14" t="inlineStr">
        <is>
          <t>Delivery Consultant - Data Engineer, Data and Machine Learning, WWPS US Federal</t>
        </is>
      </c>
      <c r="C14" t="inlineStr">
        <is>
          <t>Amazon Web Services</t>
        </is>
      </c>
      <c r="D14" t="inlineStr">
        <is>
          <t>indeed</t>
        </is>
      </c>
      <c r="E14">
        <f>HYPERLINK("https://www.indeed.com/viewjob?jk=9b4c7770a70eea6e", "https://www.indeed.com/viewjob?jk=9b4c7770a70eea6e")</f>
        <v/>
      </c>
      <c r="F14">
        <f>HYPERLINK("https://www.amazon.jobs/jobs/3134583/delivery-consultant--data-engineer-data-and-machine-learning-wwps-us-federal?cmpid=DA_INAD200785B", "https://www.amazon.jobs/jobs/3134583/delivery-consultant--data-engineer-data-and-machine-learning-wwps-us-federal?cmpid=DA_INAD200785B")</f>
        <v/>
      </c>
      <c r="G14" t="inlineStr">
        <is>
          <t>Arlington, VA, US</t>
        </is>
      </c>
      <c r="H14" s="3"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in-f306be0a259c4b43</t>
        </is>
      </c>
      <c r="B15" t="inlineStr">
        <is>
          <t>Delivery Consultant - Data Engineer, Data and Machine Learning, WWPS US Federal</t>
        </is>
      </c>
      <c r="C15" t="inlineStr">
        <is>
          <t>Amazon Web Services</t>
        </is>
      </c>
      <c r="D15" t="inlineStr">
        <is>
          <t>indeed</t>
        </is>
      </c>
      <c r="E15">
        <f>HYPERLINK("https://www.indeed.com/viewjob?jk=f306be0a259c4b43", "https://www.indeed.com/viewjob?jk=f306be0a259c4b43")</f>
        <v/>
      </c>
      <c r="F15">
        <f>HYPERLINK("https://www.amazon.jobs/jobs/3134583/delivery-consultant--data-engineer-data-and-machine-learning-wwps-us-federal?cmpid=DA_INAD200785B", "https://www.amazon.jobs/jobs/3134583/delivery-consultant--data-engineer-data-and-machine-learning-wwps-us-federal?cmpid=DA_INAD200785B")</f>
        <v/>
      </c>
      <c r="G15" t="inlineStr">
        <is>
          <t>Herndon, VA, US</t>
        </is>
      </c>
      <c r="H15" s="3"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li-4363807408</t>
        </is>
      </c>
      <c r="B2" t="inlineStr">
        <is>
          <t>Data Engineer(Strong Python)</t>
        </is>
      </c>
      <c r="C2" t="inlineStr">
        <is>
          <t>VeeRteq Solutions LLC</t>
        </is>
      </c>
      <c r="D2" t="inlineStr">
        <is>
          <t>linkedin</t>
        </is>
      </c>
      <c r="E2" t="inlineStr"/>
      <c r="F2" t="inlineStr"/>
      <c r="G2" t="inlineStr">
        <is>
          <t>Washington, DC</t>
        </is>
      </c>
      <c r="H2" t="inlineStr"/>
      <c r="I2" t="inlineStr">
        <is>
          <t>Job Title:
 **Data Engineer(Strong Python)** 
**Experience:** 
 8\+ Years
**Location:** 
 Remote
**Mandatory Skills:** 
 Python, Graph DB, OWL, SPARQL, RDF, Knowledge Graph, Data Modeling
**What is in it for you?**
 As a Data Engineer, you will design and build semantic data solutions and knowledge graph models to support advanced search, analytics, and decision intelligence platforms. You will work with ontologies, graph databases, and semantic standards to enable highly connected data ecosystems.
**Responsibilities**
* Design, develop, and maintain knowledge graph architectures and semantic data models.
* Build data pipelines and ETL/ELT workflows using Python for graph ingestion and transformation.
* Work with graph databases such as Neo4j, GraphDB, Stardog, Blazegraph, or similar platforms.
* Develop and optimize ontologies using OWL and semantic specifications.
* Write, optimize, and validate SPARQL queries for complex data retrieval and analytics.
* Ensure data consistency, lineage, and semantic integrity across linked datasets.
* Collaborate with engineering and product teams to integrate graph solutions into enterprise platforms.
* Implement best practices for performance, scalability, and modeling standards in knowledge graphs.
* Build documentation, data dictionaries, ontology definitions, and semantic metadata.
* Participate in continuous improvement and architectural enhancement initiatives.
**Educational Qualifications**
 Bachelor's or Master's degree in Computer Science, Engineering, Information Systems, or related field.
 Technical certifications in Cloud, Data Engineering, or Semantic Web technologies are desirable.
**Experience \&amp; Technical Skills**
* 8\+ years of overall Data Engineering experience, with strong Python programming skills.
* Strong hands\-on experience with Knowledge Graphs and Semantic Web technologies.
* Expertise with Graph DB platforms (Neo4j, GraphDB, Stardog, JanusGraph, etc.).
* Strong understanding of OWL, ontologies, RDF, Linked Data concepts.
* Strong proficiency in SPARQL for graph querying and analytics.
* Experience with data modeling, semantic schemas, and ontology\-driven design.
* Experience with ETL/ELT workflows and data transformation in production environments.
* Experience working in Agile development environments.
* Familiarity with CI/CD, Git, and cloud platforms (AWS/Azure/GCP) is a plus.
**Soft Skills**
* Excellent communication and documentation skills.
* Strong analytical and problem\-solving mindset.
* Ability to work collaboratively with technical and business teams.</t>
        </is>
      </c>
    </row>
    <row r="3">
      <c r="A3" t="inlineStr">
        <is>
          <t>li-4363737213</t>
        </is>
      </c>
      <c r="B3" t="inlineStr">
        <is>
          <t>Data Engineer</t>
        </is>
      </c>
      <c r="C3" t="inlineStr">
        <is>
          <t>Wiraa</t>
        </is>
      </c>
      <c r="D3" t="inlineStr">
        <is>
          <t>linkedin</t>
        </is>
      </c>
      <c r="E3" t="inlineStr"/>
      <c r="F3" t="inlineStr"/>
      <c r="G3" t="inlineStr"/>
      <c r="H3" t="inlineStr"/>
      <c r="I3" t="inlineStr">
        <is>
          <t>**About The Company**
 Artisan is a pioneering technology company dedicated to developing autonomous AI employees that transform the way businesses operate. Unlike traditional copilots or assistants, Artisan’s AI employees are designed to function as independent teammates capable of executing complex tasks, learning, adapting, and improving over time. The company's flagship AI, Ava, exemplifies this vision by autonomously managing lead research, email outreach, sequence optimization, and infrastructure management, thereby streamlining sales and customer engagement processes.
 Backed by significant investment from top\-tier investors and having successfully participated in Y Combinator (W24\), Artisan has rapidly grown its presence in the AI industry. With over $35 million raised and a current annual recurring revenue exceeding $7 million, the company serves a diverse client base that includes notable brands such as CookUnity, Quora, and SumUp. Artisan is committed to pushing the boundaries of AI capabilities through continuous innovation, exemplified by ongoing development of Ava 2\.0, and is seeking talented professionals to join its dynamic team.
**About The Role**
 As the first Data Engineer at Artisan, you will play a critical role in shaping the company's data infrastructure and strategy. Your primary responsibility will be managing a vast database comprising hundreds of millions of leads and creating real\-time intent signals that monitor various data fields. This position offers an exciting opportunity to own all data\-related initiatives, from designing scalable pipelines to ensuring data quality and governance. You will collaborate closely with machine learning engineers, product teams, and infrastructure specialists to develop data models, optimize data flows, and support the deployment of AI\-driven features.
 The ideal candidate will bring a strong background in building and maintaining robust data pipelines, working with diverse data sources, and implementing scalable solutions in a fast\-paced environment. Your work will directly impact the company's ability to deliver innovative AI products and maintain a competitive edge in the industry.
**Qualifications**
* 3\+ years of experience as a Data Engineer
* Proficiency in Python and SQL
* Experience with modern data tooling such as dbt, Airflow, Dagster, or similar
* Hands\-on experience designing and operating ETL/ELT pipelines in production
* Familiarity with cloud platforms (AWS, GCP, or Azure)
* Knowledge of data lakes, data warehouses, and vector databases
* Experience integrating APIs and working with semi\-structured data (JSON, logs, event streams)
* Strong understanding of data modeling and optimization techniques
* Ability to work effectively in fast, ambiguous environments
 Bonus qualifications include supporting large language models (LLMs), embeddings, ML training pipelines, and prior startup experience.
**Responsibilities**
* Design, build, and maintain scalable data pipelines to process large volumes of structured and unstructured data
* Manage data ingestion from third\-party APIs, internal systems, and customer datasets
* Develop and maintain data models, schemas, and storage systems optimized for machine learning and product performance
* Collaborate with machine learning engineers to prepare datasets, embeddings, feature stores, and evaluation data
* Implement data quality monitoring, validation, and observability practices
* Work closely with product engineers to support new features relying on complex data flows
* Optimize data systems for performance, cost\-efficiency, and reliability
* Contribute to architectural decisions, infrastructure design, and data governance best practices
* Build tooling that enables the team to access clean, well\-structured data efficiently
**Benefits**
* Competitive salary range of $150,000 to $220,000 per year
* Health, dental, and vision insurance coverage
* Flexible work arrangements, including remote options within the USA
* Opportunities for professional growth and development in a cutting\-edge AI environment
* Collaborative and innovative company culture that values impact and ownership
* Participation in impactful projects that shape the future of autonomous AI employees
 Equal Opportunity
 Artisan is committed to creating an inclusive environment for all employees and applicants. We are proud to be an equal opportunity employer and do not discriminate based on race, color, religion, gender, gender identity or expression, sexual orientation, national origin, genetics, disability, age, or veteran status. We believe diversity drives innovation and are dedicated to fostering a workplace where everyone can thrive.</t>
        </is>
      </c>
    </row>
    <row r="4">
      <c r="A4" t="inlineStr">
        <is>
          <t>li-4353690702</t>
        </is>
      </c>
      <c r="B4" t="inlineStr">
        <is>
          <t>Analytics Engineer 5 - Corporate Finance</t>
        </is>
      </c>
      <c r="C4" t="inlineStr">
        <is>
          <t>Netflix</t>
        </is>
      </c>
      <c r="D4" t="inlineStr">
        <is>
          <t>linkedin</t>
        </is>
      </c>
      <c r="E4" t="inlineStr"/>
      <c r="F4" t="inlineStr"/>
      <c r="G4" t="inlineStr"/>
      <c r="H4" t="inlineStr"/>
      <c r="I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Corporate Finance team, part of Finance Data Science and Engineering (DSE), brings this same innovative approach to our financial operations. As trusted partners to our finance stakeholders, we analyze key metrics, surface actionable insights, and drive value for the business. As Netflix continues to grow, the need for advanced analytics in Finance is greater than ever – leveraging cutting\-edge techniques to uncover deeper insights and identify new opportunities for impact.
 You’ll play a key role in shaping the future of how our team builds business\-critical revenue data products within Corporate Finance at Netflix, helping unlock new value and drive strategic decision\-making through data. Learn more from our blog on how Finance AEs are driving the business forward through data.
**In This Role, You Will**
* Champion a “data as a product” mindset: Set the standard for robust documentation, testing, and data model design – making revenue data products easy to understand, trust, and extend.
* Mentor and uplevel the team: Share best practices in analytics engineering, code quality, and documentation; coach others to adopt product\-minded approaches and raise AE standards across the org.
* Partner cross\-functionally with Finance, Data Science, Data Engineering, and Revenue stakeholders to define the future vision for key revenue data products, surfacing opportunities for innovation and improved business impact.
* Continuously improve business\-critical analytics workflows for revenue that power Investor Relations reporting and all downstream revenue consumers, ensuring reliability, scalability, and transparency.
* Drive root\-cause analysis and ask “why” to deeply understand the drivers of revenue data issues, proactively identifying improvements to workflows, code, and models.
* Implement and advocate for orchestration best practices to ensure the reliability and timeliness of revenue data pipelines.
* Leverage AI tools (e.g., Claude Code, Cursor, MCP servers) to boost developer productivity and workflow efficiency, and share learnings with the team.
* Contribute to the adoption of modern AE standards (e.g., WAP—Write Audit Publish) and help define best practices for documentation, testing, and code review.
* Work with modern data infrastructure (Iceberg, SQL, orchestration tools), with opportunities to influence adoption of new tools (e.g., DBT, Pandas).
**Technical Skills**
* Demonstrated ability to write clean, readable, and impactful SQL code.
* Advanced SQL skills for analytics data processing (orchestration, metrics creation, documentation).
* Familiarity with DBT or other semantic data modeling tools for strong data foundations.
* Experience with AI tools for automation (e.g., Cursor, Claude, Commands, Rules) is a plus.
* Experience with Python Pandas framework is a plus.
**What Sets You Apart**
* 8\+ years in analytics/data engineering, ideally in high\-stakes, business\-critical data environments.
* Data\-as\-a\-product mentality and ability to influence and drive cross\-functional change from specification, planning, implementation, and beyond launch.
* Deep sense of ownership, curiosity, and a drive to get at the “why” behind data and workflow design.
* Proven ability to mentor, influence, and raise the bar for technical and product standards within a team.
* Excellent communication skills for both technical and non\-technical audiences.
* Collaborative, innovative, and comfortable navigating ambiguity in a fast\-moving environment.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
      <c r="A5" t="inlineStr">
        <is>
          <t>li-4363887369</t>
        </is>
      </c>
      <c r="B5" t="inlineStr">
        <is>
          <t>Data Engineer</t>
        </is>
      </c>
      <c r="C5" t="inlineStr">
        <is>
          <t>Hirenza</t>
        </is>
      </c>
      <c r="D5" t="inlineStr">
        <is>
          <t>linkedin</t>
        </is>
      </c>
      <c r="E5" t="inlineStr"/>
      <c r="F5" t="inlineStr"/>
      <c r="G5" t="inlineStr"/>
      <c r="H5" t="inlineStr"/>
      <c r="I5" t="inlineStr">
        <is>
          <t>**About The Company**
 Toorak Capital Partners is a leading investment management firm specializing in real estate and private credit investments. With a strong reputation for innovation and integrity, we focus on delivering tailored financial solutions to our clients while maintaining a commitment to sustainable growth. Our team comprises industry experts with extensive experience in real estate, finance, and asset management, enabling us to identify unique investment opportunities and optimize portfolio performance. At Toorak Capital Partners, we pride ourselves on fostering a collaborative and dynamic work environment that encourages continuous learning and professional development.
**About The Role**
 We are seeking a highly motivated and detail\-oriented Investment Analyst to join our team. In this role, you will be instrumental in supporting the investment process from origination through to execution and ongoing portfolio management. Your responsibilities will include conducting market research, performing financial analysis, preparing investment memos, and assisting in due diligence activities. The ideal candidate will have a strong analytical mindset, excellent communication skills, and a proactive approach to problem\-solving. This position offers an excellent opportunity for individuals looking to develop their expertise in real estate and private credit investment strategies within a fast\-paced and growing organization.
**Qualifications**
 Candidates should possess a bachelor’s degree in Finance, Economics, Business Administration, or a related field. A Master’s degree or relevant professional certifications such as CFA or CPA is preferred but not mandatory. The ideal candidate will have at least 2\-4 years of experience in investment analysis, asset management, or a related financial role. Strong proficiency in financial modeling, valuation techniques, and data analysis tools such as Excel, Bloomberg, or similar platforms is essential. Excellent written and verbal communication skills, along with the ability to work effectively in a team environment, are critical for success in this role. A keen eye for detail, strong organizational skills, and the ability to manage multiple projects simultaneously are also required.
**Responsibilities**
 As an Investment Analyst, your key responsibilities will include:
* Conduct comprehensive market research and industry analysis to identify potential investment opportunities.
* Assist in financial modeling, valuation, and due diligence processes to evaluate investment prospects.
* Prepare detailed investment memos and presentations for internal review and client meetings.
* Support senior team members in negotiating deal terms and structuring transactions.
* Monitor and analyze the performance of existing investments, providing ongoing reporting and insights.
* Collaborate with cross\-functional teams including legal, compliance, and asset management to ensure smooth deal execution.
* Stay updated on market trends, regulatory changes, and economic factors impacting investments.
 This role requires a proactive approach, attention to detail, and the ability to work under tight deadlines while maintaining high\-quality standards.
**Benefits**
 Toorak Capital Partners offers a comprehensive benefits package designed to support our employees' health, well\-being, and professional growth. Employees are eligible for competitive salary packages, performance\-based bonuses, and comprehensive health insurance coverage. We also provide opportunities for continuous learning through training programs, industry conferences, and professional development courses. Our organization values work\-life balance and offers flexible working arrangements where possible. Additionally, employees have access to a collaborative work environment that fosters innovation, mentorship, and career advancement.
 Equal Opportunity
 Toorak Capital Partners is an equal opportunity employer. We are committed to creating an inclusive environment where all employees and applicants are treated fairly regardless of race, color, religion, gender, sexual orientation, gender identity or expression, national origin, age, disability, or any other protected characteristic. We believe diversity enhances our ability to serve our clients effectively and drives our success as a company. We encourage individuals from diverse backgrounds to apply and join our dynamic team.</t>
        </is>
      </c>
    </row>
    <row r="6">
      <c r="A6" t="inlineStr">
        <is>
          <t>li-4363817442</t>
        </is>
      </c>
      <c r="B6" t="inlineStr">
        <is>
          <t>Data Engineer, Business Solutions Co-Op</t>
        </is>
      </c>
      <c r="C6" t="inlineStr">
        <is>
          <t>Audax Group</t>
        </is>
      </c>
      <c r="D6" t="inlineStr">
        <is>
          <t>linkedin</t>
        </is>
      </c>
      <c r="E6" t="inlineStr"/>
      <c r="F6" t="inlineStr"/>
      <c r="G6" t="inlineStr">
        <is>
          <t>Boston, MA</t>
        </is>
      </c>
      <c r="H6" t="inlineStr"/>
      <c r="I6" t="inlineStr">
        <is>
          <t>Founded in 1999, Audax Group is a leading alternative investment manager with offices in Boston, New York, San Francisco, London and Hong Kong. With approximately $42 billion of assets under management and more than 475 employees, Audax is a leading capital partner for middle market companies, operating through three business lines: Audax Private Equity, Audax Private Debt, and Audax Strategic Capital.
 For more information, visit the Audax Group website www.audaxgroup.com. or follow us on LinkedIn.
**Position Summary**
 Audax is looking for a dynamic, motivated Data Engineer Co\-Op to join the business solutions team. This position will be responsible for supporting the company’s Senior Data Engineer with hands\-on experience in data engineering, data governance, and data management. You will collaborate with the data team design, develop, and maintain data pipelines, ensure data quality and integrity, and contribute to the expansion of the company's data warehouse.
**Responsibilities**
**Designing, implementing, maintaining and scaling the Audax data ecosystem**
* Designing, implementing, maintaining and scaling Audax’s data ecosystem.
* Work with professionals to scale their data infrastructure within the company’s cloud enterprise data warehouse.
* Play an integral role in designing ETL processes and analytic pipeline for investment professionals.
* Assist with implementation of data governance policies, including data cataloging and data lineage.
* Provide data validation and data quality assessments. Identifying and resolving data anomalies.
**Technology Competencies**
* Proficient in SQL and Python required. Familiarity in Java a plus.
* Familiarity in on\-premise and cloud\-based databases.
* Experience designing and implementing optimal data schemas.
* Knowledge of/Experience with implementing best practices in data governance
**Requirements/Qualifications**
* Currently pursuing a Bachelor’s or Master’s degree in Data Engineering, Analytics Engineering, Information Technology, Computer Science or another related field.
* Strong analytical and problem\-solving skills.
* Previous Co\-Op or full\-time experience in related field is a plus.
* Experience taking large data sets, and cleaning/distilling these datasets.
* Experience with python a plus
* Experience with Alteryx and it’s advanced capabilities a plus.
* Strong written and oral communication skills required.
* Ability to interact in an efficient and meaningful way with all levels of the organization required.
**LOCATION:** 
 Boston, MA. Hybrid, in the office 3 days/week. These in\-office requirements may be adjusted based on the needs of the business.
**Dates:** 
 July 2026 \- December 2026
 The base salary range for this position is
 *$28\.00 \- $34\.00/hourly* 
 . The hourly rate represents the estimated low and high end for this position at the time of this posting. Consistent with applicable law, compensation may vary and will be determined based on but not limited to, the skills, qualifications, and experience of the applicant along with the requirements of the position, and Audax reserves the right to modify this pay range at any time. An employee may also be eligible for annual discretionary incentive compensation based on performance.
 This job description is not designed to cover or contain a comprehensive listing of activities, duties or responsibilities that are required of the employee. Duties, responsibilities and activities may change or new ones may be assigned at any time with or without notice.
**Audax Management Co. is an equal opportunity employer.**
 Please note that Audax Group and its affiliated entities do not accept unsolicited resumes from a third\-party recruiting agency not currently under a signed agreement. Any unsolicited resume that is sent to directly to Audax Group or one of its affiliated entities, or its employees, including those submitted to hiring managers by a third\-party recruiting agency not currently under a signed agreement, will be considered property of Audax Group. If a third\-party recruiting agency submits a resume without an agreement, Audax Group or its affiliated entities explicitly reserves the right to pursue and hire those candidate(s) without any financial obligation to the third\-party recruiting agency. Any third\-party recruiting agency should contact either a member of the Talent Acquisition or Human Resource team at Audax Group, in conjunction with a valid, fully executed contract for service based upon a specific job opening.</t>
        </is>
      </c>
    </row>
    <row r="7">
      <c r="A7" t="inlineStr">
        <is>
          <t>li-4360270190</t>
        </is>
      </c>
      <c r="B7" t="inlineStr">
        <is>
          <t>Data Analytics Engineer</t>
        </is>
      </c>
      <c r="C7" t="inlineStr">
        <is>
          <t>MassMutual</t>
        </is>
      </c>
      <c r="D7" t="inlineStr">
        <is>
          <t>linkedin</t>
        </is>
      </c>
      <c r="E7" t="inlineStr"/>
      <c r="F7" t="inlineStr"/>
      <c r="G7" t="inlineStr">
        <is>
          <t>Springfield, MA</t>
        </is>
      </c>
      <c r="H7" t="inlineStr"/>
      <c r="I7" t="inlineStr">
        <is>
          <t>**The Opportunity** 
 As a Data Analytics Engineer focused on Salesforce analytics within the Business Data Strategy \&amp; Business Technology (BDSBT) team, you will play a critical role in enabling governed, actionable insights that improve productivity, customer experience, and operational efficiency—while aligning with enterprise data strategy and governance standards. Rather than simply building solutions, you will guide the design and implementation of analytics capabilities by translating complex business requirements into clear technical specifications for enterprise engineers. Acting as the bridge between enterprise data architecture and business\-side reporting needs, you will ensure Salesforce data flows appropriately into the enterprise data warehouse, support in\-app decision\-making for real\-time needs, and uphold guardrails for formal reporting through the governed semantic layer. Success requires deep understanding of data pipelines, models, and source systems, combined with the ability to influence stakeholders and maintain transparency through documentation and disciplined work tracking.
**The Team** 
 The Business Data Strategy \&amp; Business Technology (BDSBT) team is a dynamic group of data stewards, data strategists, and data analytics engineers in Operations’ Business Intelligence, Reporting, and Analytics (BIRA) organization turning complex business needs into actionable technology solutions. We foster a culture of transparency, collaboration, and disciplined execution and regularly collaborate with Operations, Enterprise Technology \&amp; Experience (ETX), and BIRA colleagues, serving as the critical connector between business priorities and technical delivery. What makes us unique is our ability to blend deep technical expertise with business acumen, ensuring every solution aligns with strategy and accelerates outcomes.
**The Impact**
 As a Data Analytics Engineer focused on Salesforce analytics and other Operations platforms, you will build advanced logic using native Salesforce tools (Lightning App Builder, flows, context services) to create dynamic, contextual, and actionable analytics experiences. Your work will ensure that embedded dashboards and reports are not just visible, but intelligently tailored to user roles and record context, enabling real\-time decision\-making and direct action within the workflow. You will also design and maintain dataflows and recipes to prepare and integrate data for analytics, and leverage APIs to deliver personalized insights, making analytics a seamless and essential part of the user experience. You will ensure Salesforce operational data integrates seamlessly into the Enterprise Data Warehouse and that in\-app analytics support real\-time decisions. In this role, you will apply governance practices to maintain data quality, standardize KPI logic, and build trust in reporting and collaborate with Data Engineering to deliver reliable, documented pipelines and partner with analytics teams to harmonize Salesforce insights with governed Tableau reporting. By promoting reusable components, tracking work in Jira, and supporting prioritization, you enable efficiency, transparency, and consistent metrics across platforms.
**The Minimum Qualifications**
* Bachelor's degree in Computer Science, Engineering, Information Systems or related technical field.
* 3\+ years’ experience with Salesforce
* 2\+ years in data engineering, data modeling, data integration or data warehousing and working with technology partners.
* 3\+ years’ experience with BI tools such as Tableau, Alteryx, Power BI or similar technologies.
* 2\+ years’ experience with Master Data Management and Data Governance frameworks
* 2\+ years’ experience writing and using SQL or SOQL.
**The Ideal Qualifications**
* Prior experience in the financial services industry bridging the gap between business and technology data analytics and reporting needs.
* Experience in agile environments and proficiency in using Jira
* Demonstrated leadership in driving transparency and collaboration.
**What to Expect as Part of MassMutual and the Team** 
* Regular meetings with the BDSBT and BIRA teams.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8">
      <c r="A8" t="inlineStr">
        <is>
          <t>li-4364047487</t>
        </is>
      </c>
      <c r="B8" t="inlineStr">
        <is>
          <t>Remote Sensing Data Engineer</t>
        </is>
      </c>
      <c r="C8" t="inlineStr">
        <is>
          <t>Living Carbon</t>
        </is>
      </c>
      <c r="D8" t="inlineStr">
        <is>
          <t>linkedin</t>
        </is>
      </c>
      <c r="E8" t="inlineStr"/>
      <c r="F8" t="inlineStr"/>
      <c r="G8" t="inlineStr"/>
      <c r="H8" t="inlineStr"/>
      <c r="I8" t="inlineStr">
        <is>
          <t>Living Carbon is a public benefit company with a mission to fight climate change by transforming marginal land into high\-value environmental assets. Our team specializes in restoring abandoned mineland and degraded agricultural land into diverse, thriving forests. We’re backed by prominent investors including Temasek, Toyota Ventures, Lowercarbon Capital, Felicis Ventures, and YCombinator.
 We are looking for a Remote Sensing Data Engineer to conduct geospatial analyses,develop reporting tools and infrastructure, manage GIS data, and work cross\-functionally with other team members. We are seeking a proactive and collaborative self\-starter with intimate knowledge of remote sensing and data engineering. A successful candidate will be adaptive and creative with a depth of knowledge in remote sensing, an understanding of geospatial datasets used in natural resource management, strong analytical skills, and proficiency in one or more programming languages.
 This position will report to the Director of Carbon Science on the Living Carbon’s Commercial Team. We are an efficient and highly collaborative team of project development experts. We strive to develop innovative best\-in\-class reforestation projects that bring value to our partners and the environment.
**Responsibilities**
* Summary: Conduct remote sensing analytics and modeling; develop scalable analytical and reporting tools; manage GIS data collection, storage, and version control across team members; engage in strategic planning \&amp; process improvement; provide support to collaborate with Land and Forestry teams
 Data Analysis \&amp; Modeling
* Manage and analyze large datasets off\-line and in cloud computing and storage platforms.
* Analyze large and complex geospatial datasets and remote sensing data (e.g. satellite imagery, LiDAR, SAR, multispectral data, etc.)
* Design and implement novel predictive, statistical, and machine learning models related to forestry, land use, carbon sequestration, biodiversity, conservation planning, and climate resilience
 Develop scalable analytical and reporting tools
* Automate statistical and geospatial analysis processes using Python, R, or other programming languages
* Create clear and impactful reporting tools (e.g. maps, webapps, dashboards) to communicate geospatial information and insights
* Facilitate data accessibility using ArcGIS, QGIS, or other proprietary tools for ease of use across team members
 Data Storage \&amp; Management
* Maintain and update internal geospatial databases, ensuring data quality, consistency, and version control
* Integrate data from Land, Forestry, and Carbon teams to support commercial initiatives
* Ensure high standards of data accuracy and ethical use in all geospatial analyses and models.
* Conduct quality control checks on geospatial datasets
 Cross\-Team Functions
* Provide technical mapping support to other team members as needed.
* Work closely with Land, Forestry, and Carbon teams to uncover new operational insights
 Strategic Planning \&amp; Process Improvement
* Identify opportunities to improve geospatial workflows and contribute to the development of best practices.
* Support research and development efforts in geospatial analytics and remote sensing applications.
* Assist in the identification and development of new project opportunities
**Qualifications**
* Education: A MSc or PhD with \&gt;2\+ years in Data Science, Computer Science, Remote Sensing, GIS, Spatial Ecology, Environmental Science, or a related field
* Programming Skills: Proficiency in Python, R, Java, SQL with experience using geospatial libraries, and machine learning analytics
* GIS \&amp; Remote Sensing Expertise: Strong skills in GIS software (ArcGIS, QGIS, Google Earth Engine) and remote sensing data and processing (e.g., Landsat, Sentinel, MODIS, GEDI, etc); Knowledge of geostatistics, predictive modeling, spatiotemporal analysis
* Data Engineering \&amp; Cloud Computing: Experience building data pipelines, ETL processes, and spatial databases and working with cloud computing platforms
* Problem\-Solving \&amp; Communication: Strong analytical skills and ability to communicate complex findings effectively to diverse audiences
**Pluses**
* Familiarity with reforestation, natural climate solutions, carbon markets, and reporting frameworks.
* Experience with big data tools for large\-scale geospatial processing.
* Knowledge of forestry, conservation, environmental, and climate sciences.
* Experience developing and managing dynamic databases for remote sensing analyses.
* Proficiency in web apps, dashboards, and visualization tools
 Living Carbon PBC is an equal opportunity employer.
 We believe the best solutions to climate change are created by diverse teams. Living Carbon is focused on building a multicultural and inclusive team with strong representation from the many diverse communities disproportionately impacted by climate change. As a public benefit corporation, ensuring solutions to slow climate change are widely distributed to all peoples is critical to the success of our mission.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Living Carbon PBC offers competitive compensation, and generous healthcare, dental and vision insurance.</t>
        </is>
      </c>
    </row>
    <row r="9">
      <c r="A9" t="inlineStr">
        <is>
          <t>li-4364007352</t>
        </is>
      </c>
      <c r="B9" t="inlineStr">
        <is>
          <t>Data Engineer – Full time :: Need locals</t>
        </is>
      </c>
      <c r="C9" t="inlineStr">
        <is>
          <t>HARAMAIN SYSTEMS INC.</t>
        </is>
      </c>
      <c r="D9" t="inlineStr">
        <is>
          <t>linkedin</t>
        </is>
      </c>
      <c r="E9" t="inlineStr"/>
      <c r="F9" t="inlineStr"/>
      <c r="G9" t="inlineStr">
        <is>
          <t>Houston, TX</t>
        </is>
      </c>
      <c r="H9" t="inlineStr"/>
      <c r="I9" t="inlineStr">
        <is>
          <t>Note : This is a full\-time role with Minimal Travel required so need locals only, cannot sponsor visa, USC or GC holders can apply
**Role : Data Engineer – Data Pipeline**
 Location : Houston or Austin, TX \| Minimal Travel
 Role Overview
 We are seeking a
 **Software Development Engineer – Data Pipeline** 
 to design and build advanced data and machine learning pipelines that support real\-time systems, analytics, and AI\-driven applications. This role combines full\-stack development, data engineering, and applied data science.
 Key Responsibilities
* Design and implement advanced data engineering and data science pipelines using platforms such as Azure and Databricks
* Manage routine DataOps and MLOps operations
* Develop and maintain real\-time tools that support data\-driven decision making
* Apply mathematical and statistical knowledge to ensure data quality, model performance, and insight generation
* Translate complex technical concepts into clear, actionable insights for non\-technical stakeholders
* Research and adopt emerging trends in data engineering, AI, and machine learning
* Collaborate across engineering, finance, and operations teams
**Requirements**
**Education**
* Bachelor’s or Master’s degree in Computer Science
**Experience**
* Required: 2\+ years of full\-stack software development
* Preferred: 2\+ years in data engineering, machine learning, and Excel/VBA automation
**Technical Skills**
* Cloud platforms: Azure, Databricks
* Big data tools: Spark, Hadoop
* Programming: Python, PySpark, Visual Basic
* Data profiling, quality analysis, and statistical methods
* Experience with DevOps, DataOps, and MLOps practices
* Frontend and backend development skills preferred</t>
        </is>
      </c>
    </row>
    <row r="10">
      <c r="A10" t="inlineStr">
        <is>
          <t>li-4360079313</t>
        </is>
      </c>
      <c r="B10" t="inlineStr">
        <is>
          <t>Data Engineer</t>
        </is>
      </c>
      <c r="C10" t="inlineStr">
        <is>
          <t>RemoteHunter</t>
        </is>
      </c>
      <c r="D10" t="inlineStr">
        <is>
          <t>linkedin</t>
        </is>
      </c>
      <c r="E10" t="inlineStr"/>
      <c r="F10" t="inlineStr"/>
      <c r="G10" t="inlineStr"/>
      <c r="H10" t="inlineStr"/>
      <c r="I10"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
      <c r="A11" t="inlineStr">
        <is>
          <t>li-4364017256</t>
        </is>
      </c>
      <c r="B11" t="inlineStr">
        <is>
          <t>Software Data Engineer</t>
        </is>
      </c>
      <c r="C11" t="inlineStr">
        <is>
          <t>Navitas Resourcing Group</t>
        </is>
      </c>
      <c r="D11" t="inlineStr">
        <is>
          <t>linkedin</t>
        </is>
      </c>
      <c r="E11" t="inlineStr"/>
      <c r="F11" t="inlineStr"/>
      <c r="G11" t="inlineStr">
        <is>
          <t>Houston, TX</t>
        </is>
      </c>
      <c r="H11" t="inlineStr"/>
      <c r="I11" t="inlineStr">
        <is>
          <t>**Software Development Engineer – Data Pipeline** 
 Houston or Austin, TX \| Minimal Travel
 Role Overview
 We are seeking a
 **Software Development Engineer – Data Pipeline** 
 to design and build advanced data and machine learning pipelines that support real\-time systems, analytics, and AI\-driven applications. This role combines full\-stack development, data engineering, and applied data science.
 Key Responsibilities
* Design and implement advanced data engineering and data science pipelines using platforms such as Azure and Databricks
* Manage routine DataOps and MLOps operations
* Develop and maintain real\-time tools that support data\-driven decision making
* Apply mathematical and statistical knowledge to ensure data quality, model performance, and insight generation
* Translate complex technical concepts into clear, actionable insights for non\-technical stakeholders
* Research and adopt emerging trends in data engineering, AI, and machine learning
* Collaborate across engineering, finance, and operations teams
 Requirements
**Education** 
* Bachelor’s or Master’s degree in Computer Science
**Experience** 
* Required: 2\+ years of full\-stack software development
* Preferred: 2\+ years in data engineering, machine learning, and Excel/VBA automation
**Technical Skills** 
* Cloud platforms: Azure, Databricks
* Big data tools: Spark, Hadoop
* Programming: Python, PySpark, Visual Basic
* Data profiling, quality analysis, and statistical methods
* Experience with DevOps, DataOps, and MLOps practices
* Frontend and backend development skills preferred</t>
        </is>
      </c>
    </row>
    <row r="12">
      <c r="A12" t="inlineStr">
        <is>
          <t>li-4360280065</t>
        </is>
      </c>
      <c r="B12" t="inlineStr">
        <is>
          <t>Analytics Engineer</t>
        </is>
      </c>
      <c r="C12" t="inlineStr">
        <is>
          <t>RemoteHunter</t>
        </is>
      </c>
      <c r="D12" t="inlineStr">
        <is>
          <t>linkedin</t>
        </is>
      </c>
      <c r="E12" t="inlineStr"/>
      <c r="F12" t="inlineStr"/>
      <c r="G12" t="inlineStr"/>
      <c r="H12" t="inlineStr"/>
      <c r="I12"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li-4360131724</t>
        </is>
      </c>
      <c r="B13" t="inlineStr">
        <is>
          <t>Data Engineer</t>
        </is>
      </c>
      <c r="C13" t="inlineStr">
        <is>
          <t>Call Quest Solution</t>
        </is>
      </c>
      <c r="D13" t="inlineStr">
        <is>
          <t>linkedin</t>
        </is>
      </c>
      <c r="E13" t="inlineStr"/>
      <c r="F13" t="inlineStr"/>
      <c r="G13" t="inlineStr">
        <is>
          <t>Pennsylvania, United States</t>
        </is>
      </c>
      <c r="H13" t="inlineStr"/>
      <c r="I13" t="inlineStr">
        <is>
          <t>**Senior Data Engineer (Remote – EST Time Zone)** 
**Location:** 
 Remote (EST; occasional travel to Pittsburgh, PA as needed)
**Employment Type:** 
 Full\-Time
**Role Overview** 
 We are seeking a
 **Senior Data Engineer** 
 with
 **strong healthcare technology and data domain expertise** 
 to help build and scale a modern healthcare data platform. This role is ideal for someone who thrives in a
 **fast\-growing healthcare tech startup environment** 
 and is comfortable taking
 **technical ownership** 
 across data architecture, pipelines, and compliance\-driven systems.
 You will play a key role in designing, developing, and maintaining secure, scalable data solutions that support clinical, operational, and analytics use cases.
**Key Responsibilities** 
* Design, build, and maintain
 **scalable data pipelines and data platforms** 
 using
 **Python and AWS**
* Work with
 **healthcare data standards and formats** 
 , including:
* FHIR
* HL7
* EMR/EHR data
* Ensure data solutions comply with
 **healthcare regulatory and security requirements** 
 (HIPAA, HITRUST, SOC 2\)
* Partner with product, engineering, and compliance teams to translate requirements into technical solutions
* Take ownership of data architecture decisions and help
 **build out the core platform**
* Implement data quality, monitoring, and reliability best practices
* Support analytics, reporting, and downstream data consumers
* Contribute to technical direction and mentor other engineers as the team grows
* Document data systems, pipelines, and operational processes
**Required Qualifications** 
* **5–8 years** 
 of professional experience as a
 **Data Engineer**
* Strong experience with
 **Python** 
 as a primary development language
* Hands\-on experience with
 **AWS cloud services**
* Proven experience working with
 **healthcare data and healthcare IT systems**
* Strong understanding of
 **healthcare regulations and compliance** 
 , including:
* HIPAA
* HITRUST
* SOC 2
* Experience with healthcare data standards:
* **FHIR**
* **HL7**
* **EMR/EHR systems**
* Strong SQL and data modeling skills
* Excellent problem\-solving and analytical abilities
* Strong communication skills and ability to work independently in a remote environment
**Preferred Qualifications** 
* Experience in
 **healthcare technology startups**
* Experience designing platforms from early\-stage or greenfield environments
* Exposure to data security, access controls, and audit frameworks
* Experience working in
 **Agile** 
 development environments
**What Makes You Successful in This Role** 
* Comfortable owning systems end\-to\-end
* Thrives in fast\-paced, ambiguous environments
* Strong sense of accountability and technical leadership
* Passion for improving healthcare through technology
* Collaborative, proactive, and detail\-oriented</t>
        </is>
      </c>
    </row>
    <row r="14">
      <c r="A14" t="inlineStr">
        <is>
          <t>li-4360280238</t>
        </is>
      </c>
      <c r="B14" t="inlineStr">
        <is>
          <t>Senior Data Engineer</t>
        </is>
      </c>
      <c r="C14" t="inlineStr">
        <is>
          <t>Moser Consulting</t>
        </is>
      </c>
      <c r="D14" t="inlineStr">
        <is>
          <t>linkedin</t>
        </is>
      </c>
      <c r="E14" t="inlineStr"/>
      <c r="F14" t="inlineStr"/>
      <c r="G14" t="inlineStr">
        <is>
          <t>Indianapolis, IN</t>
        </is>
      </c>
      <c r="H14" t="inlineStr"/>
      <c r="I14" t="inlineStr">
        <is>
          <t>**About Moser**
 For more than 25 years we have formed partnerships and grown through open and honest collaboration with our clients, partners, and employees. We are best known for taking great care of our clients, our dedication to creating a work environment where employees do their best work, and our deep commitment to continuous improvement. Our consultants work in a collaborative and fast\-paced environment, are self\-motivated, and are passionate about evolving technology. It is no accident that we are recognized as one of the Best Places to Work in Indiana for 10 consecutive years.
 Internally, we believe in building strong teams from the top down with a focus on values in our Model\-Coach\-Care philosophy. Our leadership are encouraged and trained to model good practices, mentor other employees and each other, and show empathy and caring in all interactions. This is the base of our core values: Accountability, Balance, Collaboration, Focus, Integrity, Social Responsibility, Support and Transparency.
 Moser Consulting believes in equal opportunity for all people and is committed to enabling a diverse, equitable, and inclusive culture. We foster a spirit of unity that respects the remarkable individuality of everyone's culture, history, and service.
**Description**
 We are seeking a highly skilled Data Engineer to lead complex data transformation initiatives, including the adoption and implementation of Microsoft Fabric. This role combines advanced technical expertise in SQL and Python development. Candidates must have capabilities to design, build, and optimize scalable analytical solutions through best\-in\-class data modeling practices, that deliver measurable business impact for our client engagements.
**Responsibilities**
**Technical Leadership \&amp; Architecture**
* Design and architect end\-to\-end Microsoft Fabric solutions including data lakes, data warehouses, and real\-time analytics platforms
* Design, build, and troubleshoot data acquisition pipelines from diverse sources including SQL databases, APIs, Salesforce, Oracle, and Dynamics into Microsoft Fabric using Dataflows Gen2 and Azure Data Factory.
* Implement Direct Lake connectivity and optimize semantic models for high\-performance analytics and reporting.
* Lead comprehensive data modeling initiatives including dimensional modeling, star/snowflake schemas, and data vault methodologies
* Implement real\-time streaming analytics solutions using Event Streams and KQL Database
* Lead the development of complex SQL queries, stored procedures, and database optimization strategies
* Build robust Python applications for data processing, automation, and analytics workflows
* Implement data quality frameworks and monitoring solutions
* Design and optimize data warehouse and data lake architectures with focus on scalable data models
* Experience with Fabric Capacity Metrics app for performance monitoring and optimization.
**Data Engineering Implementation**
* Develop high\-performance SQL code for data transformation and business logic implementation
* Design sophisticated dimensional models leveraging star/snowflake schemas optimized for high\-performance BI workloads across Power BI and Microsoft Fabric platforms
* Implement dimensional modeling best practices including slowly changing dimensions (SCD) and fact table optimization
* Create comprehensive data documentation, lineage tracking, and data model documentation
**Client Engagement \&amp; Project Delivery**
* Lead technical discovery sessions to understand client data landscape and requirements
* Collaborate with business stakeholders to translate requirements into technical solutions
* Mentor junior data engineers and guide technical decision\-making
* Conduct code reviews and establish development best practices
* Provide technical expertise during pre\-sales activities and proposal development
**Performance Optimization \&amp; Governance**
* Optimize database performance through indexing, partitioning, and query tuning
* Implement data security and privacy controls in compliance with regulations (GDPR, HIPAA, SOX)
* Establish CI/CD pipelines for data engineering workflows
* Monitor and troubleshoot production data systems
**Requirements**
**Technical Expertise**
* 5\+ years of progressive experience in data engineering or analytics engineering roles with strong focus on cloud\-native data architectures and data modeling
* Hands\-on experience with Microsoft Fabric and its components (Data Factory, OneLake, Lakehouse, Dataflows Gen2, Direct Lake, Notebooks, Power BI, KQL databases).
* Advanced Python programming skills with expertise in data libraries (Pandas, NumPy, SQLAlchemy, PySpark, Snowflake Python Connector)
* Expert\-level proficiency in SQL with experience across multiple database platforms (SQL Server, MySQL, Snowflake, PostgreSQL)
* Strong experience with cloud data platforms (Azure and AWS) and their integration with Snowflake
* Proficiency with version control systems (Git) and collaborative development workflows
* Experience with containerization technologies (Docker, Kubernetes)
**Data Engineering Skills**
* Expert\-level understanding of data modeling concepts including dimensional modeling, normalization, denormalization, and data vault methodology
* Advanced knowledge of slowly changing dimensions (SCD Types 1\-7\) and their implementation patterns
* Deep knowledge of Snowflake architecture, micro\-partitions, clustering keys, and query optimization
* Knowledge of data warehouse concepts and modern data architecture patterns including data mesh and lakehouse architectures
* Experience with both relational and NoSQL databases
* Understanding of data governance, lineage, and quality management principles
**Consulting \&amp; Leadership**
* Strong problem\-solving skills with ability to debug complex data issues
* Experience with Agile/Scrum methodologies and project management practices
* Excellent communication skills for technical and non\-technical audiences
* Ability to work independently and manage multiple client engagements simultaneously
**Preferred Qualifications**
* Bachelor’s degree in Computer Science, Data Engineering, or related technical field
* Cloud certifications (Microsoft Fabric Data Engineer, Azure Administration, Azure Solutions Architect)
* Snowflake certifications (SnowPro Core, SnowPro Advanced Data Engineer)
* Experience with additional programming languages (Scala, Java, R)
* Experience with data visualization tools (Tableau, Power BI, Looker)
* Background in specific industries (financial services, healthcare, retail, manufacturing)
* Previous consulting experience
 Where You'll Work
 Moser has two offices in Indianapolis, IN, and one in Baltimore, MD. This position will allow hybrid/onsite work schedule or the ability to work out of one of our two Indianapolis offices.
 Salary
 At Moser Consulting, we believe in pay transparency and fairness. The $100k\-$135k salary range for this role is not just a number—it’s a reflection of the value we place on the skills and experience our employees bring to our team. We are committed to offering a competitive salary that aligns with the industry standards and the unique competencies you bring to our community.
**Benefits**
 For over a quarter of a century, Moser Consulting has been a beacon for top\-tier IT talent who excel in self\-management. Our people are our greatest asset. We don’t just hire the best—we welcome them into our family, connect them with opportunities, and empower them to create innovative solutions to technology challenges.
 Our unique culture is our competitive edge. It fosters happiness, health, and low stress, even in an industry known for its demands. This is why we’re consistently recognized as one of the Best Places to Work in Indiana. We provide our employees with an inspiring workspace, a fun and collaborative atmosphere, and a generous compensation package. But that’s not all.
 We also offer a suite of benefits designed to support and enrich our employees’ lives. These include:
* Training Opportunities: We believe in lifelong learning and provide numerous avenues for skill enhancement.
* Fully Invested 401K Plan: We help secure your future with a fully invested 401K plan.
* PPO and HDHP Medical Plans: Choose the health insurance program that best fits your needs.
* Employer\-Paid Dental and Vision Plans: We cover dental and vision plans, ensuring our employees have access to comprehensive health care.
* Onsite Fitness Center: Stay fit and healthy with our state\-of\-the\-art fitness center.
* Wellness Program: We promote a healthy lifestyle with our wellness program.
* Catered Lunches: Enjoy delicious catered lunches regularly.
 At Moser Consulting, we don’t just offer jobs—we offer careers, growth, and a chance to join a thriving community. Come, be a part of our family.
 Moser Consulting is an Equal Opportunity Employer. All qualified applicants will receive consideration for employment without regard to race, color, religion, sex, sexual orientation, gender identity, national origin, disability, or status as a protected veteran.</t>
        </is>
      </c>
    </row>
    <row r="15">
      <c r="A15" t="inlineStr">
        <is>
          <t>li-4360059945</t>
        </is>
      </c>
      <c r="B15" t="inlineStr">
        <is>
          <t>Analytics Engineer</t>
        </is>
      </c>
      <c r="C15" t="inlineStr">
        <is>
          <t>RemoteHunter</t>
        </is>
      </c>
      <c r="D15" t="inlineStr">
        <is>
          <t>linkedin</t>
        </is>
      </c>
      <c r="E15" t="inlineStr"/>
      <c r="F15" t="inlineStr"/>
      <c r="G15" t="inlineStr"/>
      <c r="H15" t="inlineStr"/>
      <c r="I15"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li-4363847275</t>
        </is>
      </c>
      <c r="B16" t="inlineStr">
        <is>
          <t>Data Engineer – Data Pipeline Fulltime role needs locals</t>
        </is>
      </c>
      <c r="C16" t="inlineStr">
        <is>
          <t>HARAMAIN SYSTEMS INC.</t>
        </is>
      </c>
      <c r="D16" t="inlineStr">
        <is>
          <t>linkedin</t>
        </is>
      </c>
      <c r="E16" t="inlineStr"/>
      <c r="F16" t="inlineStr"/>
      <c r="G16" t="inlineStr">
        <is>
          <t>Austin, TX</t>
        </is>
      </c>
      <c r="H16" t="inlineStr"/>
      <c r="I16" t="inlineStr">
        <is>
          <t>This is a full\-time role with Minimal Travel required so need locals only, cannot sponsor visa, USC or GC holders can apply
**Role : Data Engineer – Data Pipeline**
 Location : Houston or Austin, TX \| Minimal Travel
 Role Overview
 We are seeking a
 **Software Development Engineer – Data Pipeline** 
 to design and build advanced data and machine learning pipelines that support real\-time systems, analytics, and AI\-driven applications. This role combines full\-stack development, data engineering, and applied data science.
 Key Responsibilities
* Design and implement advanced data engineering and data science pipelines using platforms such as Azure and Databricks
* Manage routine DataOps and MLOps operations
* Develop and maintain real\-time tools that support data\-driven decision making
* Apply mathematical and statistical knowledge to ensure data quality, model performance, and insight generation
* Translate complex technical concepts into clear, actionable insights for non\-technical stakeholders
* Research and adopt emerging trends in data engineering, AI, and machine learning
* Collaborate across engineering, finance, and operations teams
**Requirements**
**Education**
* Bachelor’s or Master’s degree in Computer Science
**Experience**
* Required: 2\+ years of full\-stack software development
* Preferred: 2\+ years in data engineering, machine learning, and Excel/VBA automation
**Technical Skills**
* Cloud platforms: Azure, Databricks
* Big data tools: Spark, Hadoop
* Programming: Python, PySpark, Visual Basic
* Data profiling, quality analysis, and statistical methods
* Experience with DevOps, DataOps, and MLOps practices
* Frontend and backend development skills preferred</t>
        </is>
      </c>
    </row>
    <row r="17">
      <c r="A17" t="inlineStr">
        <is>
          <t>li-4363797463</t>
        </is>
      </c>
      <c r="B17" t="inlineStr">
        <is>
          <t>Data Engineer(AZURE) FTE/ Bellevue, WA, USA</t>
        </is>
      </c>
      <c r="C17" t="inlineStr">
        <is>
          <t>TestingXperts</t>
        </is>
      </c>
      <c r="D17" t="inlineStr">
        <is>
          <t>linkedin</t>
        </is>
      </c>
      <c r="E17" t="inlineStr"/>
      <c r="F17" t="inlineStr"/>
      <c r="G17" t="inlineStr">
        <is>
          <t>Bellevue, WA</t>
        </is>
      </c>
      <c r="H17" t="inlineStr"/>
      <c r="I17" t="inlineStr">
        <is>
          <t>**Title : Data Engineer(FTE)**
**Work Location: Bellevue, WA, USA**
**Job type : FTE**
**Detailed Job Description**
 Minimum 8\+ years of experience in the IT industry specializing in backend and database development.
* Hands\-on experience with Azure DevOps, PowerShell, Azure Application Insights, ARM template deployments, and working with Git repositories.
* Experience or working knowledge of Azure Synapse is a advantage.
* Solid understanding of Agile methodologies and DevOps practices.
* Strong analytical and problem\-solving abilities with the capability to design and implement complex data processing solutions.
* Excellent communication and teamwork skills, with the ability to collaborate effectively across cross\-functional teams.</t>
        </is>
      </c>
    </row>
    <row r="18">
      <c r="A18" t="inlineStr">
        <is>
          <t>li-4363756982</t>
        </is>
      </c>
      <c r="B18" t="inlineStr">
        <is>
          <t>Aviation Data Engineer</t>
        </is>
      </c>
      <c r="C18" t="inlineStr">
        <is>
          <t>Cignus Consulting LLC.</t>
        </is>
      </c>
      <c r="D18" t="inlineStr">
        <is>
          <t>linkedin</t>
        </is>
      </c>
      <c r="E18" t="inlineStr"/>
      <c r="F18" t="inlineStr"/>
      <c r="G18" t="inlineStr">
        <is>
          <t>Leesburg, VA</t>
        </is>
      </c>
      <c r="H18" t="inlineStr"/>
      <c r="I18" t="inlineStr">
        <is>
          <t>**About Cignus** 
 Cignus is an aviation technology firm delivering data\-driven solutions that improve safety, efficiency, and operational performance across airports and aviation ecosystems. We work at the intersection of aviation operations, cloud platforms, analytics, and advanced decision\-support systems – helping our clients move from fragmented data to actionable intelligence.
**Role Overview** 
 Cignus is seeking a Senior Aviation Data Engineer to design, build, and operate scalable cloud\-based data platforms supporting aviation analytics, business intelligence, and advanced modeling. Based in Leesburg, VA, this role will work closely with data engineers, analysts, and domain experts to deliver high\-reliability solutions using Microsoft Azure and modern data engineering practices. The ideal candidate combines deep technical expertise with the ability to translate complex aviation and operational data into resilient, high\-value analytical systems.
 This is an on\-site position in Leesburg, VA with a potential for hybrid work authorization based in the Northern Virginia Area.
**Key Responsibilities** 
* Collaborate with the Data Engineering team to design and implement Azure\-based solutions for complex data engineering challenges
* Design, build, and maintain reliable data pipelines connecting diverse aviation and enterprise data sources
* Develop interactive reports and dashboards using Power BI or Python\-based visualization tools to surface key operational insights
* Implement monitoring solutions and operational processes to ensure high system availability and performance
* Contribute to data model design, data analysis, and end\-to\-end implementation of analytics solutions
* Apply algorithmic optimization techniques to improve analytical efficiency and performance
* Apply advanced analytics to large, complex aviation datasets as required
* Deploy and manage cloud infrastructure using Infrastructure as Code principles
* Design and maintain CI/CD pipelines within Azure DevOps
* Support the successful and scalable delivery of business intelligence solutions
* Identify opportunities for continuous improvement and apply industry standards and best practices across platforms and workflows
* Ensure security, scalability, and maintainability are embedded in all solutions
**Required Qualifications** 
* Bachelor's degree in Computer Science, Data Science, Information Systems, Engineering, or a related technical field (Master's degree preferred)
* 3\+ years of experience in data engineering, software development, or a related technical role
* Proven experience designing, implementing, and supporting data engineering solutions on Microsoft Azure
* Strong understanding of database infrastructure, including data storage, ingestion, aggregation, and modeling approaches
* Experience manipulating and transforming large\-scale datasets for analytical use
* Hands\-on experience with Azure data engineering technologies, including: Azure Data Factory, Azure Data Lake, Azure DevOps
* Expert\-level Python development skills
* Expertise designing and deploying cloud solutions using Infrastructure as Code (IaC)
* Experience designing and implementing CI/CD pipelines using Azure tooling
* Solid understanding of security considerations in cloud\-based solution development and deployment
* Experience developing reports and dashboards using Power BI and/or Python\-based visualization tools (e.g., Plotly)
* Strong SQL skills and experience working with relational databases
* Experience working within DevOps environments
* Ability to clearly communicate technical concepts to both technical and non\-technical stakeholders
**Desirable Experience** 
* Experience with aviation data sources, airport operations, and workflows/processes
* Experience developing and maintaining Python packages
* Experience productionizing machine learning models and analytical algorithms
* Familiarity with distributed data processing concepts</t>
        </is>
      </c>
    </row>
    <row r="19">
      <c r="A19" t="inlineStr">
        <is>
          <t>li-4360170337</t>
        </is>
      </c>
      <c r="B19" t="inlineStr">
        <is>
          <t>Senior Analytics Engineer</t>
        </is>
      </c>
      <c r="C19" t="inlineStr">
        <is>
          <t>RemoteHunter</t>
        </is>
      </c>
      <c r="D19" t="inlineStr">
        <is>
          <t>linkedin</t>
        </is>
      </c>
      <c r="E19" t="inlineStr"/>
      <c r="F19" t="inlineStr"/>
      <c r="G19" t="inlineStr"/>
      <c r="H19" t="inlineStr"/>
      <c r="I19"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li-4364027383</t>
        </is>
      </c>
      <c r="B20" t="inlineStr">
        <is>
          <t>Lead Data Engineer</t>
        </is>
      </c>
      <c r="C20" t="inlineStr">
        <is>
          <t>JPMorganChase</t>
        </is>
      </c>
      <c r="D20" t="inlineStr">
        <is>
          <t>linkedin</t>
        </is>
      </c>
      <c r="E20" t="inlineStr"/>
      <c r="F20" t="inlineStr"/>
      <c r="G20" t="inlineStr">
        <is>
          <t>Boston, MA</t>
        </is>
      </c>
      <c r="H20" t="inlineStr"/>
      <c r="I20" t="inlineStr">
        <is>
          <t>**Job Description**
**Join Us at 55ip \&amp; Help the Wealth Management Industry Move Forward**
 Working at 55ip, a separately branded subsidiary of J.P. Morgan, means standing at the intersection of finance and technology—and at the cutting\-edge of wealth and asset management. We’ve been making rapid progress on our mission: to break down barriers to financial progress for financial advisors and their clients. Our Boston\-, New York\-, and Mumbai\-based teams have built and brought to market a tax\-smart investment strategy engine, portfolio trading and rebalancing, and advisor transition services, all delivered through an intuitive experience and intelligent automation. Driven by strategic partnerships with world\-class wealth and asset management firms, we’ve experienced breakthrough growth over the last two years. Today, over 400 financial advisor firms have trusted over $100 billion in assets under supervision with 55ip.
 As 55ip continues its rapid growth trajectory, we are on the path to managing over $1 trillion in assets under supervision (AUS) by 2030\. This scale brings significant challenges and opportunities, including supporting exponential increases in accounts, net flows, revenue, and pre\-tax income. Our technology platform must evolve to handle this growth, ensuring robust performance, reliability, and automation for tax\-smart investing portfolios across diverse product mixes and client segments.
**Lead Data Engineer**
 55ip’s Quantitative Research \&amp; Development team is looking for a lead data engineer to take part in building its research data platform. The ideal candidate has a background in implementing effective large\-scale data solutions in a cloud\-based environment. The candidate will be motivated, a problem solver, a team player, and an effective engineer, looking to make a significant impact.
**Responsibilities**
* Build high\-performance cloud\-based data solutions to support quantitative research capabilities: back testing, simulations, machine learning, and other advanced analytics \&amp; algorithms
* Implement, schedule, and oversee ETL, ELT, and monitoring processes
* Oversee the loading of data from vendor and internal data sources
* Implement and support automation solutions to improve platform scalability
* Monitor the system performance by performing regular tests, troubleshooting, and integrating new features
* Provide L2 support for data systems to stakeholder teams
* Collaborate with technical teams to design and implement data solutions
* Recommend solutions to improve new and existing data systems
**Requirements**
* Bachelor's degree in information systems, information technology, computer science, or similar.
* Expertise in Structured Query Language (SQL); experience with PostgreSQL specifically is a plus
* Expertise in Python, Pandas/Polars, and Numpy
* Clear understanding of OOP and software design constructs within a Python context
* Expertise with AWS Cloud services/technologies, such as RDS, S3, Lambda, Secrets Manager
* Expertise in all aspects of software development lifecycle, especially Agile Scrum
* Strong Experience implementing and monitoring ETL processes
* Strong Experience with database technologies, architecture, performance tuning, and scaling
* Strong Experience in database design and modeling
* Experience with Airflow or similar orchestration tools
* Experience working with and CI/CD tools for application and database development
* Excellent communication (written and oral) and presentation skills
* Ability to work with quant researchers \&amp; developers to understand requirements
* Strong attention to detail, pride in delivering high quality work and willingness to learn
* Agility: Able to shift gears and react quickly to timely requests
**Preferred Qualifications**
* Experience working with Data Lakes (Iceberg/DeltaTable)
* Experience working with DuckDB, Spark, and EMR
* Experience supporting development of AI/ML models
* Exposure to financial capital markets data and trading applications, working with investment data
* AWS certifications are a plus
* Experience with project workflow tools such as Jira in an Agile\-Scrum environment
* Knowledge of Linux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1">
      <c r="A21" t="inlineStr">
        <is>
          <t>li-4363807570</t>
        </is>
      </c>
      <c r="B21" t="inlineStr">
        <is>
          <t>Sr Data Engineer</t>
        </is>
      </c>
      <c r="C21" t="inlineStr">
        <is>
          <t>DMSi Software</t>
        </is>
      </c>
      <c r="D21" t="inlineStr">
        <is>
          <t>linkedin</t>
        </is>
      </c>
      <c r="E21" t="inlineStr"/>
      <c r="F21" t="inlineStr"/>
      <c r="G21" t="inlineStr">
        <is>
          <t>Omaha, NE</t>
        </is>
      </c>
      <c r="H21" t="inlineStr"/>
      <c r="I21" t="inlineStr">
        <is>
          <t>As part of our evolving Product strategy, DMSi seeks to expand our footprint of usable data at scale. DMSi creates and operates technology solutions to support the Building Materials industry. We want to offer uses for our data which serve future product initiatives, customer and business self\-service needs, and broader industry needs. All the while, we intend to produce a cloud\-based, multi\-tenant, data environment which is responsive to the evolving nature of the data landscape and the industry.
 As our Senior Data Engineer, you'll own the data pipeline that powers DMSi's next generation of data products—from enterprise data access to AI\-powered analytics, building, scaling, and evolving our data pipeline, and shipping products that building materials professionals will use every day.
 You'll work within DMSi's broader architectural ecosystem, collaborating closely with Systems Engineering, Information Security, and the Architecture teams. As the expert voice for data, you'll advocate for best practices and drive execution within those guardrails.
**Responsibilities And Duties** 
* Own the Data Pipeline
+ Design, build, and evolve the data pipelines that power DMSi's data products—working within our established stack (PostgreSQL, Kafka, dbt).
+ Drive technical decisions for scalable and performant data extraction, transformation, and delivery—selecting tools, evaluating build vs. buy, and establishing frameworks and processes.
+ Establish data governance standards and quality assurance practices.
+ Serve as DMSi's internal expert on data engineering best practices.
* Ship Products
+ Launch multiple data products, including enterprise data access (PostgreSQL), event streaming (Kafka), and in\-app analytics.
+ Build production\-ready pipelines that deliver customer data reliably at scale in a multi\-tenant environment.
+ Create a foundational data infrastructure to support AI and machine learning capabilities across DMSi's product portfolio.
+ Partner with Product to iterate quickly from customer feedback to deployed improvements.
* Collaborate Across Teams
+ Work closely with Systems Engineering and Architecure to ensure data infrastructure integrates seamlessly with DMSi's broader technical operations.
+ Partner with Information Security to implement data security, access controls, and compliance requirements.
+ Provide technical leadership and mentorship to Data Engineers on the team.
+ Conduct code reviews that elevate quality and transfer knowledge across the organization.
**Knowledge, Skills, And Abilities**
 5\+ years of hands\-on data engineering experience, with at least 2 years in a senior or lead capacity.
 Deep expertise in SQL designing schemas, optimizing queries, and troubleshooting performance issues confidently.
 Production experience building and maintaining data pipelines using modern tools (dbt strongly preferred; experience with Airflow, Meltano, Singer, or similar also valuable).
 Strong Python skills for data processing, automation, and scripting.
 Cloud infrastructure experience (AWS and GCP preferred: S3, Glue, Athena, Redshift, Lake Formation).
 DevOps fluency—CI/CD pipelines, containerization, and infrastructure\-as\-code are familiar territory.
 Collaborative mindset and strong communication skills.
 Background in building data products or platforms (not just internal analytics).
 Exposure to machine learning pipelines or feature stores.
**Education And Experience**
 Bachelor or Master’s Degree in Computer Science, Computer Engineering, Electrical Engineering, Management Information Systems, or related field preferred.
 Well\-experienced in working in Agile shop.
**Work Environment And Physical Demands**
 Normal office environment with use of computers and telephone systems; no unusual physical demands.
 Travel to customer locations including overnight, business air travel, and car rental.</t>
        </is>
      </c>
    </row>
    <row r="22">
      <c r="A22" t="inlineStr">
        <is>
          <t>li-4359033619</t>
        </is>
      </c>
      <c r="B22" t="inlineStr">
        <is>
          <t>Data Engineer</t>
        </is>
      </c>
      <c r="C22" t="inlineStr">
        <is>
          <t>Jobs via Dice</t>
        </is>
      </c>
      <c r="D22" t="inlineStr">
        <is>
          <t>linkedin</t>
        </is>
      </c>
      <c r="E22" t="inlineStr"/>
      <c r="F22" t="inlineStr"/>
      <c r="G22" t="inlineStr">
        <is>
          <t>Smithfield, RI</t>
        </is>
      </c>
      <c r="H22" t="inlineStr"/>
      <c r="I22" t="inlineStr">
        <is>
          <t>job summary:
 Prioritizing and functioning in a fast\-paced environment with focus on quality
 Willingness to seamlessly adapt to changing technology landscape
 Identify technical debts, make remediation recommendations, and lead the efforts
 Communicate effectively with extended teams
 location: Smithfield, Rhode Island
 job type: Contract
 salary: $74 \- 73 per hour
 work hours: 8am to 5pm
 education: Bachelors
 responsibilities:
* Bachelor's or master's Degree in a technology related field (e.g. Engineering, Computer Science, etc.) required with 10\+ years of experience
* Advanced SQL/SnowSQL knowledge and experience working with snowflake database
* Good experience in working with AWS (Batch, S3\)
* 5\+ years of Application using Java / Spring Batch
* 3\+ years of Python development
* Hands\-on experience on SQL query optimization and tuning to improve performance is desirable
* Experience in job scheduling tools (Control M preferred)
* Proven data analysis skills
* Strong data modeling skills doing either Dimensional or Data Vault models
* Good to have \- Working experience with some or all of the following: AWS, Containerization, associated build and deployment CI/CD pipelines, Lambda development.
* Experience with DevOps, Continuous Integration and Continuous Delivery (Maven, Jenkins, Stash, Ansible, Docker)
* Experience in Agile methodologies (Kanban and SCRUM) is a plus
* Proven track record to handle ambiguity and work in fast paced environment
* Good interpersonal skills to work with multiple teams in the organization
 qualifications:
 Partnering with other technology collaborators to understand requirements to provide solutions
 Designing scalable technical solutions, keeping in mind business requirements and architecture roadmap
 Implementing Test Driven Design \&amp; Development in a CICD mode in support of DevOps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3">
      <c r="A23" t="inlineStr">
        <is>
          <t>li-4364027134</t>
        </is>
      </c>
      <c r="B23" t="inlineStr">
        <is>
          <t>Senior Data Engineer</t>
        </is>
      </c>
      <c r="C23" t="inlineStr">
        <is>
          <t>Capital One</t>
        </is>
      </c>
      <c r="D23" t="inlineStr">
        <is>
          <t>linkedin</t>
        </is>
      </c>
      <c r="E23" t="inlineStr"/>
      <c r="F23" t="inlineStr"/>
      <c r="G23" t="inlineStr">
        <is>
          <t>Chicago, IL</t>
        </is>
      </c>
      <c r="H23" t="inlineStr"/>
      <c r="I2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4">
      <c r="A24" t="inlineStr">
        <is>
          <t>li-4363877222</t>
        </is>
      </c>
      <c r="B24" t="inlineStr">
        <is>
          <t>Senior Data Engineer</t>
        </is>
      </c>
      <c r="C24" t="inlineStr">
        <is>
          <t>Capital One</t>
        </is>
      </c>
      <c r="D24" t="inlineStr">
        <is>
          <t>linkedin</t>
        </is>
      </c>
      <c r="E24" t="inlineStr"/>
      <c r="F24" t="inlineStr"/>
      <c r="G24" t="inlineStr">
        <is>
          <t>Deerfield, IL</t>
        </is>
      </c>
      <c r="H24" t="inlineStr"/>
      <c r="I2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li-4359072984</t>
        </is>
      </c>
      <c r="B25" t="inlineStr">
        <is>
          <t>Data Engineer</t>
        </is>
      </c>
      <c r="C25" t="inlineStr">
        <is>
          <t>Jobs via Dice</t>
        </is>
      </c>
      <c r="D25" t="inlineStr">
        <is>
          <t>linkedin</t>
        </is>
      </c>
      <c r="E25" t="inlineStr"/>
      <c r="F25" t="inlineStr"/>
      <c r="G25" t="inlineStr">
        <is>
          <t>Smithfield, RI</t>
        </is>
      </c>
      <c r="H25" t="inlineStr"/>
      <c r="I25" t="inlineStr">
        <is>
          <t>**Description:**
 \*\*Hybrid \| Smithfield, RI\*\*
 If you are an experienced Data Engineer with a passion for crafting and delivering Data solutions using leading\-edge technologies, looking for a collaborative team environment where you will have wealth of opportunities to innovate and have intellectual curiosity to learn, a career in the Data Platform Chapter within WI Technology will be right for you!
*Due to client requirement, applicants must be willing and able to work on a w2 basis. For our w2 consultants, we offer a great benefits package that includes Medical, Dental, and Vision benefits, 401k with company matching, and life insurance.*
 Rate: $65 \- $69 / hr. w2
**Responsibilities:**
 The Data Platform Chapter in WI Technology organization is seeking an individual who can blend data engineering, cloud, and data movement expertise to build and maintain the Eligibility Platform. In this role, proficiency with Oracle SQL \&amp; PL/SQL with strong experience in writing queries and tuning queries is must. Experience in one of the Cloud providers \[Azure, AWS] is required. Experience in Cloud Based Data Ingestion tools like Azure Data Factory would be nice to have. Hands on experience in Snowflake database will be added advantage. We are looking for candidate with strong problem\-solving capabilities and experience in designing.
 The Data Engineer will play active role in solution design, systems analysis, solution implementation co\-ordination across multiple teams, solving key technical challenges and mentoring the junior developers in the team.
**Experience Requirements:**
* Bachelor's degree in Computer Science, Engineering or Mathematics required with \+10 years' experience; Master's degree preferred
* Experience in Oracle SQL, PL/SQL, Azure, AWS, Snowflake, Azure Data Factory, Airflow
* Understanding of working with relational databases and familiarity with ETL tools like Informatica is preferred.
* Ability to communicate software engineering and/or development concepts and principles.
* Ability to take up new challenges and explore new technology/tools
* Demonstrate strategic thinking and ability to analyze business direction and problems, understand long term vision and risk in developing strategic technical solutions.
* Analytical and problem\-solving skills
* Outstanding verbal and written communications skills and comfortable in summarizing technical information.
* Ability to collaborate with other developers and co\-workers including distributed team members.
* Agile/Scrum experience or basic knowledge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26">
      <c r="A26" t="inlineStr">
        <is>
          <t>li-4364027132</t>
        </is>
      </c>
      <c r="B26" t="inlineStr">
        <is>
          <t>Senior Data Engineer</t>
        </is>
      </c>
      <c r="C26" t="inlineStr">
        <is>
          <t>Capital One</t>
        </is>
      </c>
      <c r="D26" t="inlineStr">
        <is>
          <t>linkedin</t>
        </is>
      </c>
      <c r="E26" t="inlineStr"/>
      <c r="F26" t="inlineStr"/>
      <c r="G26" t="inlineStr">
        <is>
          <t>Richmond, VA</t>
        </is>
      </c>
      <c r="H26" t="inlineStr"/>
      <c r="I2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McLean, VA: $161,800 \- $184,600 for Senior Data Engineer
 Richmond, VA: $147,100 \- $167,900 for Senior Data Engineer
 Riverwoods,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
      <c r="A27" t="inlineStr">
        <is>
          <t>li-4363787341</t>
        </is>
      </c>
      <c r="B27" t="inlineStr">
        <is>
          <t>Senior Data Engineer (Bank Tech)</t>
        </is>
      </c>
      <c r="C27" t="inlineStr">
        <is>
          <t>Capital One</t>
        </is>
      </c>
      <c r="D27" t="inlineStr">
        <is>
          <t>linkedin</t>
        </is>
      </c>
      <c r="E27" t="inlineStr"/>
      <c r="F27" t="inlineStr"/>
      <c r="G27" t="inlineStr">
        <is>
          <t>McLean, VA</t>
        </is>
      </c>
      <c r="H27" t="inlineStr"/>
      <c r="I2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8">
      <c r="A28" t="inlineStr">
        <is>
          <t>li-4352537417</t>
        </is>
      </c>
      <c r="B28" t="inlineStr">
        <is>
          <t>Senior Data Engineer - Fisher Investments</t>
        </is>
      </c>
      <c r="C28" t="inlineStr">
        <is>
          <t>Jobs via eFinancialCareers</t>
        </is>
      </c>
      <c r="D28" t="inlineStr">
        <is>
          <t>linkedin</t>
        </is>
      </c>
      <c r="E28" t="inlineStr"/>
      <c r="F28" t="inlineStr"/>
      <c r="G28" t="inlineStr">
        <is>
          <t>Camas, WA</t>
        </is>
      </c>
      <c r="H28" t="inlineStr"/>
      <c r="I28" t="inlineStr">
        <is>
          <t>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 Experience with Databricks
* Experience with Power BI
* Experience implementing and supporting multi\-vendor data lake solutions
**Compensation:**
* $130,000 \- $185,000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29">
      <c r="A29" t="inlineStr">
        <is>
          <t>li-4351611133</t>
        </is>
      </c>
      <c r="B29" t="inlineStr">
        <is>
          <t>Senior Data Engineer - Fisher Investments</t>
        </is>
      </c>
      <c r="C29" t="inlineStr">
        <is>
          <t>Jobs via eFinancialCareers</t>
        </is>
      </c>
      <c r="D29" t="inlineStr">
        <is>
          <t>linkedin</t>
        </is>
      </c>
      <c r="E29" t="inlineStr"/>
      <c r="F29" t="inlineStr"/>
      <c r="G29" t="inlineStr">
        <is>
          <t>Plano, TX</t>
        </is>
      </c>
      <c r="H29" t="inlineStr"/>
      <c r="I29" t="inlineStr">
        <is>
          <t>It's an exciting time to be a member of the Fisher Investments Technology Department.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to design and provide modern data solutions using cloud\-based platforms and AI\-driven innovations. You will partner with business, technology, and governance teams to ensure scalable, secure and compliant data platforms that power advanced analytics and AI. You will be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various platforms to meet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the following:
+ Multiple cloud technologies in the Microsoft Stack (Azure IaaS and PaaS) along with familiarity with alternative cloud technologies
+ Design and development of on\-premises and cloud\-based (Azure) infrastructure and platform components
+ Hands\-on development and deployment experience with Azure cloud using T\-SQL, Azure SQL, Azure Storage, Azure Data Factory, Azure Synapse, Cosmos DB, GitHub, Azure DevOps, and CI/CD pipelines
* Advanced knowledge of Extract/Transform/Load and Extract/Load/Transform tools, including both batch and real\-time data transmission applications such as SSIS, Informatica, Kafka, Spark, or MuleSoft
* Advanced knowledge of database technologies such as Microsoft SQL Server, Oracle, or NoSQL databases
* Advanced knowledge of multiple programming languages, such as Python, SQL, or Scala
* Advanced knowledge of IT infrastructure standards and tools, such as application performance monitoring, IT service management, or DevOps software
* Bachelor's degree in Computer Science, Information Technology, or other relevant field
 Preferred qualifications:
* Experience with Databricks
* Experience with Power BI
* Experience implementing and supporting multi\-vendor data lake solutions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0">
      <c r="A30" t="inlineStr">
        <is>
          <t>li-4363817299</t>
        </is>
      </c>
      <c r="B30" t="inlineStr">
        <is>
          <t>Lead Data Engineer</t>
        </is>
      </c>
      <c r="C30" t="inlineStr">
        <is>
          <t>Capital One</t>
        </is>
      </c>
      <c r="D30" t="inlineStr">
        <is>
          <t>linkedin</t>
        </is>
      </c>
      <c r="E30" t="inlineStr"/>
      <c r="F30" t="inlineStr"/>
      <c r="G30" t="inlineStr">
        <is>
          <t>McLean, VA</t>
        </is>
      </c>
      <c r="H30" t="inlineStr"/>
      <c r="I3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Data Engineer
 McLean, VA: $197,300 \- $225,100 for Lead Data Engineer
 Richmond, VA: $179,400 \- $204,700 for Lead Data Engineer
 Riverwoods, IL: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li-4363827231</t>
        </is>
      </c>
      <c r="B31" t="inlineStr">
        <is>
          <t>Lead Data Engineer</t>
        </is>
      </c>
      <c r="C31" t="inlineStr">
        <is>
          <t>Capital One</t>
        </is>
      </c>
      <c r="D31" t="inlineStr">
        <is>
          <t>linkedin</t>
        </is>
      </c>
      <c r="E31" t="inlineStr"/>
      <c r="F31" t="inlineStr"/>
      <c r="G31" t="inlineStr">
        <is>
          <t>Chicago, IL</t>
        </is>
      </c>
      <c r="H31" t="inlineStr"/>
      <c r="I3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Data Engineer
 McLean, VA: $197,300 \- $225,100 for Lead Data Engineer
 Richmond, VA: $179,400 \- $204,700 for Lead Data Engineer
 Riverwoods, IL: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2">
      <c r="A32" t="inlineStr">
        <is>
          <t>li-4363777957</t>
        </is>
      </c>
      <c r="B32" t="inlineStr">
        <is>
          <t>Associate Data Engineer</t>
        </is>
      </c>
      <c r="C32" t="inlineStr">
        <is>
          <t>RR Donnelley</t>
        </is>
      </c>
      <c r="D32" t="inlineStr">
        <is>
          <t>linkedin</t>
        </is>
      </c>
      <c r="E32">
        <f>HYPERLINK("https://www.linkedin.com/jobs/view/4363777957", "https://www.linkedin.com/jobs/view/4363777957")</f>
        <v/>
      </c>
      <c r="F32" t="inlineStr"/>
      <c r="G32" t="inlineStr">
        <is>
          <t>Warrenville, IL</t>
        </is>
      </c>
      <c r="H32" t="inlineStr"/>
      <c r="I32" t="inlineStr">
        <is>
          <t>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Data Engineer will join our Enterprise Reporting Team with a focus on Data Architecture. In the same way that an architect helps builders transform raw materials into buildings, a Data Engineer focusing on data architecture helps transform raw data into information. Instead of designing structures like strip malls or distribution centers, a data engineer designs structures like data marts or data warehouses. These structures integrate data from multiple systems across the enterprise to power the reports and dashboards central to RR Donnelley’s decisions and processes.
**Responsibilities:**
* Analysis/Design: Analyze business requirements for projects of small to medium scope and complexity. Assist with the gathering of requirements from end users
* Coding: Write, test, and debug routine to moderately complex SQL queries, DML scripts, and DDL scripts
* Testing: Under general supervision, analyze and document test results to ensure that technical requirements are met
* Technical Support: Research and resolve routine to moderately complex data issues using SQL and other reporting tools.
* Documentation: Assist in preparing high\-quality internal documentation.
* Communication: Clearly convey problems, solutions, updates, and project status to peers, customers, and management
* Assist with the design, documentation, and implementation of Data Architecture standards
* Review existing data models for correctness and compliance with standards
* Analyze medium size datasets using Python to both visualize and make predictions
* Seek to understand RRD business units and processes, through research and discussions with IT and business partners
**Qualifications**
* Bachelor’s / 4\-year degree in a technical field: computer science, MIS, mathematics, engineering, data science, or similar
* 2\-3 years of related IT experience
* Strong knowledge and programming experience with SQL (Oracle, SQL Server, etc.)
* Strong knowledge of database concepts \&amp; structures (indexes, foreign keys, views, etc.)
* Understanding of data modeling concepts
* Fluency in office productivity software (MS Office, Google Workspace, etc.)
* Excellent written and verbal communication skills
* Superior critical thinking skills with the ability to ask thoughtful questions
* Ability to self\-start and collaborate with other team members while working in a remote setting
* Curiosity and a strong desire to learn
 Data Engineer Preferred Skills:
* Working knowledge of Python or other programming languages
* Experience with Star Schema / Dimension databases
* Experience with data modeling tools, such as ERwin
**Additional Information**
 RRD's current salary range for this role is $67,800 to $105,800 / year. The salary range may be adjusted based on the applicable geographic location of the hired employee, and the range may change in the future. At RRD, it is not typical for an individual to be hired at or near the top of the range for their role and compensation decisions may vary based upon, but not limited to education, skills, experience, proficiency, performance, shift and location. Depending on the role, in addition to base salary, the total compensation package may also include participation in a bonus, commission or incentive program. RRD’s benefit offerings include medical, dental, and vision coverage, paid time off, disability insurance, 401(k) with company match, life insurance and other voluntary supplemental insurance coverages, plus parental leave, adoption assistance, tuition assistance and employer/partner discounts.
 All employment offers are contingent upon the successful completion of both a pre\-employment background and drug screen.
 RRD is an Equal Opportunity Employer, including disability/veterans</t>
        </is>
      </c>
    </row>
    <row r="33">
      <c r="A33" t="inlineStr">
        <is>
          <t>li-4364038153</t>
        </is>
      </c>
      <c r="B33" t="inlineStr">
        <is>
          <t>Data Engineer</t>
        </is>
      </c>
      <c r="C33" t="inlineStr">
        <is>
          <t>Lensa</t>
        </is>
      </c>
      <c r="D33" t="inlineStr">
        <is>
          <t>linkedin</t>
        </is>
      </c>
      <c r="E33">
        <f>HYPERLINK("https://www.linkedin.com/jobs/view/4364038153", "https://www.linkedin.com/jobs/view/4364038153")</f>
        <v/>
      </c>
      <c r="F33">
        <f>HYPERLINK("https://lensa.com/cgw/b12ef0dd71d84d459fe5b05584943a89tjo1?jpsi=directemployers_no_redirect&amp;publisher_preference=easier_apply&amp;utm_campaign=Computer%20Occupations&amp;utm_medium=slot&amp;utm_source=linkedin&amp;utm_term=jse&amp;urlHash=mpS3", "https://lensa.com/cgw/b12ef0dd71d84d459fe5b05584943a89tjo1?jpsi=directemployers_no_redirect&amp;publisher_preference=easier_apply&amp;utm_campaign=Computer%20Occupations&amp;utm_medium=slot&amp;utm_source=linkedin&amp;utm_term=jse&amp;urlHash=mpS3")</f>
        <v/>
      </c>
      <c r="G33" t="inlineStr">
        <is>
          <t>Tampa, FL</t>
        </is>
      </c>
      <c r="H33" t="inlineStr"/>
      <c r="I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Leidos. Clicking "Apply Now" or "Read more" on Lensa redirects you to the job board/employer site. Any information collected there is subject to their terms and privacy notice.
**Description**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
 If you believe you are the victim of a scam, contact your local law enforcement and report the incident to the U.S. Federal Trade Commission (https://reportfraud.ftc.gov/\#/) .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REQNUMBER: R\-00172763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If you have questions about this posting, please contact support@lensa.com</t>
        </is>
      </c>
    </row>
    <row r="34">
      <c r="A34" t="inlineStr">
        <is>
          <t>li-4363848086</t>
        </is>
      </c>
      <c r="B34" t="inlineStr">
        <is>
          <t>Jr. Analytics Engineer</t>
        </is>
      </c>
      <c r="C34" t="inlineStr">
        <is>
          <t>Lensa</t>
        </is>
      </c>
      <c r="D34" t="inlineStr">
        <is>
          <t>linkedin</t>
        </is>
      </c>
      <c r="E34">
        <f>HYPERLINK("https://www.linkedin.com/jobs/view/4363848086", "https://www.linkedin.com/jobs/view/4363848086")</f>
        <v/>
      </c>
      <c r="F34" t="inlineStr"/>
      <c r="G34" t="inlineStr">
        <is>
          <t>Chicago, IL</t>
        </is>
      </c>
      <c r="H34" t="inlineStr"/>
      <c r="I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CIBC. Clicking "Apply Now" or "Read more" on Lensa redirects you to the job board/employer site. Any information collected there is subject to their terms and privacy notice.
 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(https://www.cibc.com/en/about\-cibc.html)
**What You'll Be Doing**
* Data modeling and transformation
* Maintain dimensional and semantic models that support self\-serve analytics and BI.
* Establish and govern a consistent metrics layer to ensure a single source of truth.
* Data quality, observability, and governance
* Implement testing, data contracts, and monitoring to proactively detect and resolve data issues.
* Partner with data engineering to enforce SLAs, lineage, and change management.
* Uphold data privacy and security best practices appropriate for regulated environments.
* Pipeline orchestration and reliability
* Maintain, schedule, and optimize workflows for performance and cost.
* Streamline deployments and validations
* Business partnership and enablement
* Collaborate with analysts and stakeholders to translate business logic into reusable models and metrics.
* Build scalable, audited datasets for dashboards, self\-serve, and analytical use cases.
* Provide guidance on data definitions, documentation, and analytics best practices.
* Continuous improvement
* Identify opportunities to simplify the stack, reduce technical debt, and improve developer experience.
* Contribute to standards for coding, documentation, and peer review.
* Please include links or examples that showcase your data models, dbt projects, testing approach, and documentation.
* If applicable, indicate experience with financial services datasets or regulated data environments.
**How You'll Succeed**
* Trusted, documented, and testable data models power critical dashboards and analyses.
* A governed metrics layer reduces duplicative logic and conflicting KPIs.
* Robust pipeline monitoring and CI/CD reduce incidents and accelerate releases.
* Clear runbooks, documentation, and developer standards improve team velocity.
* Positive feedback from stakeholders on data reliability, transparency, and usability.
**Who You Are**
* You know that details matter. You notice things that others don't. Your critical thinking skills help to inform your decision making.
* You're motivated by collective success. You know that teamwork can transform a good idea into a great one. You know that an inclusive team that enjoys working together can bring a vision to life.
* You're digitally savvy. You seek out innovative solutions and embrace evolving technologies. You can easily adapt to new tools and trends.
* You give meaning to data. You enjoy investigating complex problems and making sense of information. You communicate detailed information in a meaningful way.
* You have a degree/diploma in Business and/or a related field of study.
* Values matter to you .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
* Thrive: Benefit from an open and approachable culture that provides the flexibility and support you need to integrate your life at work and home.
* Connect: Work in a place where the right technology and infrastructure foster innovation, collaboration, and creativity.
* Develop: Grow your skills and career through our best\-in\-class onboarding experience, ongoing learning opportunities, individual development planning, and comprehensive product training.
* Prosper: Share in our collective success with a competitive salary, incentive pay, banking benefits, health benefits programs, retirement savings, and more.
**The anticipated start date for this role is early June 2026\.**
*At CIBC, we offer a competitive total rewards package. This role has an expected salary of* 
***$72,500***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*This position does not offer visa sponsorship.*
 California residents — your privacy rights regarding your actual or prospective employment (https://us.cibc.com/en/about\-us/california\-consumer\-privacy\-act\-employment.html)
 California Residents: CCPA Employee Privacy Rights \| CIBC US
 As a California resident, you have certain rights with respect to the personal information that CIBC collects. Learn more about the CPPA for employment.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8th Fl
**Employment Type**
 Regular
**Weekly Hours**
 40
**Skills**
 Analytics, Application Configuration, Business Logic, Data Engineering, Data Modeling, Infrastructure Management (IM), Project Coordination, Semantics, Technical Support, Use Cases
 At CIBC, we are in business to help our clients, employees and shareholders achieve what is important to them. Our ability to create value for all CIBC stakeholders is driven by a business culture based on common values: Trust, Teamwork and Accountability.
 Working with CIBC makes you a part of a work environment committed to our clients, employees and communities \- a place where you can excel.
 Every day, our 44,000 employees help our clients achieve their financial goals, because what matters to our clients, matters to us.
 If you have questions about this posting, please contact support@lensa.com</t>
        </is>
      </c>
    </row>
    <row r="35">
      <c r="A35" t="inlineStr">
        <is>
          <t>li-4363737213</t>
        </is>
      </c>
      <c r="B35" t="inlineStr">
        <is>
          <t>Data Engineer</t>
        </is>
      </c>
      <c r="C35" t="inlineStr">
        <is>
          <t>Wiraa</t>
        </is>
      </c>
      <c r="D35" t="inlineStr">
        <is>
          <t>linkedin</t>
        </is>
      </c>
      <c r="E35">
        <f>HYPERLINK("https://www.linkedin.com/jobs/view/4363737213", "https://www.linkedin.com/jobs/view/4363737213")</f>
        <v/>
      </c>
      <c r="F35" t="inlineStr"/>
      <c r="G35" t="inlineStr"/>
      <c r="H35" t="inlineStr"/>
      <c r="I35" t="inlineStr">
        <is>
          <t>**About The Company**
 Artisan is a pioneering technology company dedicated to developing autonomous AI employees that transform the way businesses operate. Unlike traditional copilots or assistants, Artisan’s AI employees are designed to function as independent teammates capable of executing complex tasks, learning, adapting, and improving over time. The company's flagship AI, Ava, exemplifies this vision by autonomously managing lead research, email outreach, sequence optimization, and infrastructure management, thereby streamlining sales and customer engagement processes.
 Backed by significant investment from top\-tier investors and having successfully participated in Y Combinator (W24\), Artisan has rapidly grown its presence in the AI industry. With over $35 million raised and a current annual recurring revenue exceeding $7 million, the company serves a diverse client base that includes notable brands such as CookUnity, Quora, and SumUp. Artisan is committed to pushing the boundaries of AI capabilities through continuous innovation, exemplified by ongoing development of Ava 2\.0, and is seeking talented professionals to join its dynamic team.
**About The Role**
 As the first Data Engineer at Artisan, you will play a critical role in shaping the company's data infrastructure and strategy. Your primary responsibility will be managing a vast database comprising hundreds of millions of leads and creating real\-time intent signals that monitor various data fields. This position offers an exciting opportunity to own all data\-related initiatives, from designing scalable pipelines to ensuring data quality and governance. You will collaborate closely with machine learning engineers, product teams, and infrastructure specialists to develop data models, optimize data flows, and support the deployment of AI\-driven features.
 The ideal candidate will bring a strong background in building and maintaining robust data pipelines, working with diverse data sources, and implementing scalable solutions in a fast\-paced environment. Your work will directly impact the company's ability to deliver innovative AI products and maintain a competitive edge in the industry.
**Qualifications**
* 3\+ years of experience as a Data Engineer
* Proficiency in Python and SQL
* Experience with modern data tooling such as dbt, Airflow, Dagster, or similar
* Hands\-on experience designing and operating ETL/ELT pipelines in production
* Familiarity with cloud platforms (AWS, GCP, or Azure)
* Knowledge of data lakes, data warehouses, and vector databases
* Experience integrating APIs and working with semi\-structured data (JSON, logs, event streams)
* Strong understanding of data modeling and optimization techniques
* Ability to work effectively in fast, ambiguous environments
 Bonus qualifications include supporting large language models (LLMs), embeddings, ML training pipelines, and prior startup experience.
**Responsibilities**
* Design, build, and maintain scalable data pipelines to process large volumes of structured and unstructured data
* Manage data ingestion from third\-party APIs, internal systems, and customer datasets
* Develop and maintain data models, schemas, and storage systems optimized for machine learning and product performance
* Collaborate with machine learning engineers to prepare datasets, embeddings, feature stores, and evaluation data
* Implement data quality monitoring, validation, and observability practices
* Work closely with product engineers to support new features relying on complex data flows
* Optimize data systems for performance, cost\-efficiency, and reliability
* Contribute to architectural decisions, infrastructure design, and data governance best practices
* Build tooling that enables the team to access clean, well\-structured data efficiently
**Benefits**
* Competitive salary range of $150,000 to $220,000 per year
* Health, dental, and vision insurance coverage
* Flexible work arrangements, including remote options within the USA
* Opportunities for professional growth and development in a cutting\-edge AI environment
* Collaborative and innovative company culture that values impact and ownership
* Participation in impactful projects that shape the future of autonomous AI employees
 Equal Opportunity
 Artisan is committed to creating an inclusive environment for all employees and applicants. We are proud to be an equal opportunity employer and do not discriminate based on race, color, religion, gender, gender identity or expression, sexual orientation, national origin, genetics, disability, age, or veteran status. We believe diversity drives innovation and are dedicated to fostering a workplace where everyone can thrive.</t>
        </is>
      </c>
    </row>
    <row r="36">
      <c r="A36" t="inlineStr">
        <is>
          <t>li-4363728065</t>
        </is>
      </c>
      <c r="B36" t="inlineStr">
        <is>
          <t>ETL/Data Engineer</t>
        </is>
      </c>
      <c r="C36" t="inlineStr">
        <is>
          <t>Lensa</t>
        </is>
      </c>
      <c r="D36" t="inlineStr">
        <is>
          <t>linkedin</t>
        </is>
      </c>
      <c r="E36">
        <f>HYPERLINK("https://www.linkedin.com/jobs/view/4363728065", "https://www.linkedin.com/jobs/view/4363728065")</f>
        <v/>
      </c>
      <c r="F36">
        <f>HYPERLINK("https://lensa.com/cgw/96d8550ed3264c099cbe2cd3496dddd9tjo1?jpsi=directemployers_no_redirect&amp;publisher_preference=easier_apply&amp;utm_campaign=Computer%20Occupations&amp;utm_medium=slot&amp;utm_source=linkedin&amp;utm_term=jse&amp;urlHash=iMfP", "https://lensa.com/cgw/96d8550ed3264c099cbe2cd3496dddd9tjo1?jpsi=directemployers_no_redirect&amp;publisher_preference=easier_apply&amp;utm_campaign=Computer%20Occupations&amp;utm_medium=slot&amp;utm_source=linkedin&amp;utm_term=jse&amp;urlHash=iMfP")</f>
        <v/>
      </c>
      <c r="G36" t="inlineStr">
        <is>
          <t>San Antonio, TX</t>
        </is>
      </c>
      <c r="H36" t="inlineStr"/>
      <c r="I3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Guidehouse. Clicking "Apply Now" or "Read more" on Lensa redirects you to the job board/employer site. Any information collected there is subject to their terms and privacy notice.
**Job Family**
 Data Engineering \&amp; Architecture Consulting
**Travel Required**
 Up to 25%
**Clearance Required**
 None
**What You Will Do**
* Design and develop data ingestion and processing pipelines.
* Design, develop, and deploy production\-quality code and data solutions.
* Develop and adhere to data governance / quality standards / code reviews.
* Serve in a collaborative environment where Data Migration is one key workstream, working alongside multiple other workstreams such as OCM; BI and Artificial Intelligence; Platforms; etc.
**What You Will Need**
* US Citizenship is required
* Bachelor's degree is required
* Minimum SEVEN (7\) years of hands\-on experience developing AND implementing data migration strategies/initiatives with a track record of successful project delivery.
* Minimum SEVEN (7\) years of hands\-on experience across the data migration lifecycle \-\-\- assessment; ETL/cleansing; data conversion; data migration; and quality assurance
* Minimum FIVE (5\) years of consulting experience in State Government or Federal Government.
* Experience with technologies such as SQL Server, Python, and R.
* Experience with either AWS or Azure.
* Must have significant experience adapting to a variety of systems and technology platforms across an enterprise.
* Must be available to travel up between 20\-25%
**What Would Be Nice To Have**
* Master's degree
* Hands\-on experience with Snowflake.
* Demonstrated experience supporting the business development lifecycle (capture through proposal submission).
* Demonstrated experience embedding AI into the data migration lifecycle to gain efficiencies.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
 If you have questions about this posting, please contact support@lensa.com</t>
        </is>
      </c>
    </row>
    <row r="37">
      <c r="A37" t="inlineStr">
        <is>
          <t>li-4364008091</t>
        </is>
      </c>
      <c r="B37" t="inlineStr">
        <is>
          <t>Databricks Data Engineer - Manager - Consulting - Miami</t>
        </is>
      </c>
      <c r="C37" t="inlineStr">
        <is>
          <t>Lensa</t>
        </is>
      </c>
      <c r="D37" t="inlineStr">
        <is>
          <t>linkedin</t>
        </is>
      </c>
      <c r="E37">
        <f>HYPERLINK("https://www.linkedin.com/jobs/view/4364008091", "https://www.linkedin.com/jobs/view/4364008091")</f>
        <v/>
      </c>
      <c r="F37" t="inlineStr"/>
      <c r="G37" t="inlineStr">
        <is>
          <t>Palo Alto, CA</t>
        </is>
      </c>
      <c r="H37" t="inlineStr"/>
      <c r="I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EY. Clicking "Apply Now" or "Read more" on Lensa redirects you to the job board/employer site. Any information collected there is subject to their terms and privacy notice.
 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
 If you have questions about this posting, please contact support@lensa.com</t>
        </is>
      </c>
    </row>
    <row r="38">
      <c r="A38" t="inlineStr">
        <is>
          <t>li-4363848085</t>
        </is>
      </c>
      <c r="B38" t="inlineStr">
        <is>
          <t>Financial Data Engineer</t>
        </is>
      </c>
      <c r="C38" t="inlineStr">
        <is>
          <t>Lensa</t>
        </is>
      </c>
      <c r="D38" t="inlineStr">
        <is>
          <t>linkedin</t>
        </is>
      </c>
      <c r="E38">
        <f>HYPERLINK("https://www.linkedin.com/jobs/view/4363848085", "https://www.linkedin.com/jobs/view/4363848085")</f>
        <v/>
      </c>
      <c r="F38">
        <f>HYPERLINK("https://lensa.com/cgw/e17874ccc4034ab088daae11176bf724tjo1?jpsi=directemployers&amp;publisher_preference=easier_apply&amp;utm_campaign=Computer%20Occupations&amp;utm_medium=slot&amp;utm_source=linkedin&amp;utm_term=jse&amp;urlHash=U76x", "https://lensa.com/cgw/e17874ccc4034ab088daae11176bf724tjo1?jpsi=directemployers&amp;publisher_preference=easier_apply&amp;utm_campaign=Computer%20Occupations&amp;utm_medium=slot&amp;utm_source=linkedin&amp;utm_term=jse&amp;urlHash=U76x")</f>
        <v/>
      </c>
      <c r="G38" t="inlineStr">
        <is>
          <t>Indianapolis, IN</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**Financial Data Engineer**
**Anywhere**
**Type:** 
 Contract
**Category:** 
 Data
**Industry:** 
 Retail
**Workplace Type:** 
 Remote
**Reference ID:** 
 JN \-122025\-104698
**Date Posted:** 
 01/08/2026
**Shortcut:** 
 http://careers.eliassen.com/NHW2eM
* Description
* Recommended Jobs
**Description**
**100% Remote**
 Our client is seeking an experienced Financial Data Engineer to join the Automation team. You will play a critical role in building a new financial data mart in Snowflake from the ground up, supporting automation and transformation of accounting workflows. This is a hands\-on engineering role focused on data modeling, ETL pipeline design, and delivering high\-quality, reliable financial data products.
*Due to client requirement, applicants must be willing and able to work on a w2 basis. For our w2 consultants, we offer a great benefits package that includes Medical, Dental, and Vision benefits, 401k with company matching, and life insurance.*
 Rate: $70 \- $80 / hr. w2
**Responsibilities**
* Design, build, and optimize data models and data marts in Snowflake to support accounting and finance automation initiatives.
* Develop robust, scalable ETL pipelines using DBT and Snowflake, ensuring data quality, traceability, and performance.
* Collaborate with data engineering, accounting, and finance teams to translate business requirements into technical solutions.
* Implement best practices for data modeling, transformation, and pipeline orchestration.
* Contribute to documentation, code reviews, and knowledge sharing within the team.
* Troubleshoot and resolve data pipeline and modeling issues as they arise.
**Experience Requirements**
* Minimum 5 years of hands\-on experience in data engineering, analytics engineering, or related roles.
* Strong proficiency in dbt (Data Build Tool) for data transformation and pipeline orchestration.
* Advanced experience with Snowflake (data modeling, performance tuning, security, and cost management).
* Proven expertise in data modeling (star/snowflake schemas, dimensional modeling) for analytics and reporting.
* Demonstrated ability to design, build, and maintain complex ETL pipelines (end\-to\-end).
* Solid SQL skills and experience with version control (e.g., Git).
* Ability to work independently and deliver high\-quality solutions with minimal supervision.
* Excellent communication and collaboration skills
**\&amp;\#65279;** 
**Preferred Qualifications**
* Prior experience supporting finance or accounting data (e.g., GL, subledger, reconciliations, journal entries, financial reporting).
* Familiarity with accounting and finance workflows, controls, or automation projects.
* Experience working in fast\-paced, cross\-functional teams.
* Exposure to cloud data platforms and modern data stack tools.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39">
      <c r="A39" t="inlineStr">
        <is>
          <t>li-4364048035</t>
        </is>
      </c>
      <c r="B39" t="inlineStr">
        <is>
          <t>Financial Data Engineer</t>
        </is>
      </c>
      <c r="C39" t="inlineStr">
        <is>
          <t>Lensa</t>
        </is>
      </c>
      <c r="D39" t="inlineStr">
        <is>
          <t>linkedin</t>
        </is>
      </c>
      <c r="E39">
        <f>HYPERLINK("https://www.linkedin.com/jobs/view/4364048035", "https://www.linkedin.com/jobs/view/4364048035")</f>
        <v/>
      </c>
      <c r="F39" t="inlineStr"/>
      <c r="G39" t="inlineStr">
        <is>
          <t>Boston, MA</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**Financial Data Engineer**
**Anywhere**
**Type:** 
 Contract
**Category:** 
 Data
**Industry:** 
 Retail
**Workplace Type:** 
 Remote
**Reference ID:** 
 JN \-122025\-104698
**Date Posted:** 
 01/08/2026
**Shortcut:** 
 http://careers.eliassen.com/NHW2eM
* Description
* Recommended Jobs
**Description**
**100% Remote**
 Our client is seeking an experienced Financial Data Engineer to join the Automation team. You will play a critical role in building a new financial data mart in Snowflake from the ground up, supporting automation and transformation of accounting workflows. This is a hands\-on engineering role focused on data modeling, ETL pipeline design, and delivering high\-quality, reliable financial data products.
*Due to client requirement, applicants must be willing and able to work on a w2 basis. For our w2 consultants, we offer a great benefits package that includes Medical, Dental, and Vision benefits, 401k with company matching, and life insurance.*
 Rate: $70 \- $80 / hr. w2
**Responsibilities**
* Design, build, and optimize data models and data marts in Snowflake to support accounting and finance automation initiatives.
* Develop robust, scalable ETL pipelines using DBT and Snowflake, ensuring data quality, traceability, and performance.
* Collaborate with data engineering, accounting, and finance teams to translate business requirements into technical solutions.
* Implement best practices for data modeling, transformation, and pipeline orchestration.
* Contribute to documentation, code reviews, and knowledge sharing within the team.
* Troubleshoot and resolve data pipeline and modeling issues as they arise.
**Experience Requirements**
* Minimum 5 years of hands\-on experience in data engineering, analytics engineering, or related roles.
* Strong proficiency in dbt (Data Build Tool) for data transformation and pipeline orchestration.
* Advanced experience with Snowflake (data modeling, performance tuning, security, and cost management).
* Proven expertise in data modeling (star/snowflake schemas, dimensional modeling) for analytics and reporting.
* Demonstrated ability to design, build, and maintain complex ETL pipelines (end\-to\-end).
* Solid SQL skills and experience with version control (e.g., Git).
* Ability to work independently and deliver high\-quality solutions with minimal supervision.
* Excellent communication and collaboration skills
* Preferred Qualifications
* Prior experience supporting finance or accounting data (e.g., GL, subledger, reconciliations, journal entries, financial reporting).
* Familiarity with accounting and finance workflows, controls, or automation projects.
* Experience working in fast\-paced, cross\-functional teams.
* Exposure to cloud data platforms and modern data stack tools.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40">
      <c r="A40" t="inlineStr">
        <is>
          <t>li-4363838386</t>
        </is>
      </c>
      <c r="B40" t="inlineStr">
        <is>
          <t>Financial Data Engineer</t>
        </is>
      </c>
      <c r="C40" t="inlineStr">
        <is>
          <t>Lensa</t>
        </is>
      </c>
      <c r="D40" t="inlineStr">
        <is>
          <t>linkedin</t>
        </is>
      </c>
      <c r="E40">
        <f>HYPERLINK("https://www.linkedin.com/jobs/view/4363838386", "https://www.linkedin.com/jobs/view/4363838386")</f>
        <v/>
      </c>
      <c r="F40" t="inlineStr"/>
      <c r="G40" t="inlineStr">
        <is>
          <t>Raleigh, NC</t>
        </is>
      </c>
      <c r="H40" t="inlineStr"/>
      <c r="I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**Financial Data Engineer**
**Anywhere**
**Type:** 
 Contract
**Category:** 
 Data
**Industry:** 
 Retail
**Workplace Type:** 
 Remote
**Reference ID:** 
 JN \-122025\-104698
**Date Posted:** 
 01/08/2026
**Shortcut:** 
 http://careers.eliassen.com/NHW2eM
* Description
* Recommended Jobs
**Description**
**100% Remote**
 Our client is seeking an experienced Financial Data Engineer to join the Automation team. You will play a critical role in building a new financial data mart in Snowflake from the ground up, supporting automation and transformation of accounting workflows. This is a hands\-on engineering role focused on data modeling, ETL pipeline design, and delivering high\-quality, reliable financial data products.
*Due to client requirement, applicants must be willing and able to work on a w2 basis. For our w2 consultants, we offer a great benefits package that includes Medical, Dental, and Vision benefits, 401k with company matching, and life insurance.*
 Rate: $70 \- $80 / hr. w2
**Responsibilities**
* Design, build, and optimize data models and data marts in Snowflake to support accounting and finance automation initiatives.
* Develop robust, scalable ETL pipelines using DBT and Snowflake, ensuring data quality, traceability, and performance.
* Collaborate with data engineering, accounting, and finance teams to translate business requirements into technical solutions.
* Implement best practices for data modeling, transformation, and pipeline orchestration.
* Contribute to documentation, code reviews, and knowledge sharing within the team.
* Troubleshoot and resolve data pipeline and modeling issues as they arise.
**Experience Requirements**
* Minimum 5 years of hands\-on experience in data engineering, analytics engineering, or related roles.
* Strong proficiency in dbt (Data Build Tool) for data transformation and pipeline orchestration.
* Advanced experience with Snowflake (data modeling, performance tuning, security, and cost management).
* Proven expertise in data modeling (star/snowflake schemas, dimensional modeling) for analytics and reporting.
* Demonstrated ability to design, build, and maintain complex ETL pipelines (end\-to\-end).
* Solid SQL skills and experience with version control (e.g., Git).
* Ability to work independently and deliver high\-quality solutions with minimal supervision.
* Excellent communication and collaboration skills
* Preferred Qualifications
* Prior experience supporting finance or accounting data (e.g., GL, subledger, reconciliations, journal entries, financial reporting).
* Familiarity with accounting and finance workflows, controls, or automation projects.
* Experience working in fast\-paced, cross\-functional teams.
* Exposure to cloud data platforms and modern data stack tools.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41">
      <c r="A41" t="inlineStr">
        <is>
          <t>li-4363768112</t>
        </is>
      </c>
      <c r="B41" t="inlineStr">
        <is>
          <t>IT Director, Data Engineering</t>
        </is>
      </c>
      <c r="C41" t="inlineStr">
        <is>
          <t>Lensa</t>
        </is>
      </c>
      <c r="D41" t="inlineStr">
        <is>
          <t>linkedin</t>
        </is>
      </c>
      <c r="E41">
        <f>HYPERLINK("https://www.linkedin.com/jobs/view/4363768112", "https://www.linkedin.com/jobs/view/4363768112")</f>
        <v/>
      </c>
      <c r="F41" t="inlineStr"/>
      <c r="G41" t="inlineStr">
        <is>
          <t>Lewisville, TX</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EverBank. Clicking "Apply Now" or "Read more" on Lensa redirects you to the job board/employer site. Any information collected there is subject to their terms and privacy notice.
**IT Director, Data Engineering**
 The IT Director, Data Engineering directs all processes, operations and teams within the Information Technology department. This job determines the Information Technology needs of an organization and is responsible for overseeing the implementation of solutions to fulfill the organization's information systems requirements.
**Key Responsibilities And Duties**
* Directs the team in successful delivery of Information Technology services for the organization's hardware, software and network technologies.
* Manages Information Technology teams and systems to ensure that the area's technological level up to date by overseeing the implementation of new procedures and techniques related to Information Technology.
* Oversees the selection of hardware, software and supplies needed by the team.
* Develops IT team project plans, including resourcing, schedules and budgets.
* Serves as point of accountability to business stakeholders for IT solutions/services that measurably improve business KPIs.
* Serves as a liaison and builds bridges among leadership groups within and outside of the IT field.
* Manages performance of team through regular, timely feedback as well as the formal performance review process to ensure delivery of exceptional products and engagement, motivation, and development of team.
**Minimum Qualifications**
* 5 years of experience in Data Engineering
* Prior experience managing and leading technology teams
**Preferred Qualifications**
* Automated monitoring and alerting for data issues like freshness, volume, and schema; Python experience with system engineering
* Experience with establishing processes to detect, resolve, and prevent data failures throughout the data lifecycle
* Enterprise Data warehousing experience
* Kimball, Inmon, Medallion architecture
* Cloud architecture experience \- Azure, AWS, GCP, etc.
* Knowledge of designing and architecting structured, unstructured, semi\-structured data
* Data Products and Data mesh experience is preferred
* Experience with On\-Prem data warehouses and data systems
* Understanding of latest Gen AI advancement and it use with Data Reliability Engineering
* Understanding of AI and ML process to work with data scientist
**Educational Requirements**
* University (Degree) Preferred
**Physical Requirements**
* Physical Requirements: Sedentary Work
**Career Level**
 9PL
 Posting end date: 1/16/26
**Job Seeker Notice**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(https://everbank.com/about/careers/notice\-to\-job\-seekers)
**Pay Range** 
 $150,000 \- $202,900
 EverBank, N.A. is an equal opportunity (EEO) employer, dedicated to maintaining a work environment free of bias, harassment, discrimination and retaliation. As an EEO employer, EverBank expressly prohibits discrimination, harassment and retaliation based on protected characteristics such as race, creed, ethnicity, color, age, religion, sex, sex stereotype, pregnancy, sexual orientation, gender, gender identity, gender expression, transgender status, marital status, national origin, ancestry, physical or mental disability, genetic history and information, or military or veteran status. Providing a safe, inclusive environment is a priority at EverBank and, consistent with that mission, EverBank considers all qualified applicants for employment regardless of protected status.
 We will not discharge or in any other manner discriminate against associates or applicants because they have inquired about, discussed, or disclosed their own pay or the pay of another associate or applicant. However, associates who have access to the compensation information of other associates or applicants as a part of their essential job functions cannot disclose the pay of other associates or applicants to individuals who do not otherwise have access to compensation information, unless the disclosure is (a) in response to a formal complaint or charge, (b) in furtherance of an investigation, proceeding, hearing, or action, including an investigation conducted by us, or (c) consistent with our legal duty to furnish information.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2026-01-18T03:03:24Z</dcterms:created>
  <dcterms:modified xsi:type="dcterms:W3CDTF">2026-01-18T03:03:24Z</dcterms:modified>
</cp:coreProperties>
</file>