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in-29ad7c8f8b302d2a</t>
        </is>
      </c>
      <c r="B2" t="inlineStr">
        <is>
          <t>Assistant Marketing Product Manager</t>
        </is>
      </c>
      <c r="C2" t="inlineStr">
        <is>
          <t>Artsana USA, Inc (Chicco)</t>
        </is>
      </c>
      <c r="D2" t="inlineStr">
        <is>
          <t>indeed</t>
        </is>
      </c>
      <c r="E2" t="inlineStr"/>
      <c r="F2" t="inlineStr"/>
      <c r="G2" t="inlineStr">
        <is>
          <t>Lancaster, PA, US</t>
        </is>
      </c>
      <c r="H2" s="1" t="n">
        <v>46074</v>
      </c>
      <c r="I2" t="inlineStr">
        <is>
          <t>Artsana USA Inc., maker of the renowned Chicco brand of infant and juvenile products, seeks a talented and driven person to fill an Assistant Marketing Product Manager position to support the continued growth of our product lines. This role offers the opportunity to collaborate with cross\-functional teams, contribute to innovative product development, and help create trusted solutions for consumers and their families.
The Assistant Marketing Product Manager will support the Marketing Product Managers in the successful execution of their roles as Product Category Leaders. This person is expected to become an expert in the covered product line(s), the competitive landscape, retailer assortments, and how the product line(s) can evolve to fully meet the needs of the end consumer. This position is based at our corporate headquarters in Lancaster, PA.
**Responsibilities:**
* Assist with product marketing activities, including market analysis, consumer research, new product development, packaging, pricing, and promotional initiatives
* Assist Product Managers with support of product lines through the launch, active, and end stages
* Assist in the execution of new product introduction efforts within channel including, but not limited to, collateral development, merchandising development, training tools, and execution at retail
* Assist Product Managers with research projects including consumer studies, channel sales analysis, and competitive product analysis
* Assist in coordination of trade shows, presentations, and corporate events
* Assist with pursuit of ongoing product line segmentation, cost\-saving opportunities, and new product categories
* Engage in continuous learning to acquire product and industry knowledge, including obtaining relevant certifications specific to child safety
**Requirements:**
* Bachelor’s degree in marketing, business, or communications
* 1\+ years of experience in marketing or related field, preferably at a consumer goods company
* Strong analytical and problem\-solving skills
* Demonstrated project management experience, including planning, prioritizing tasks, coordinating cross\-functional resources, and meeting deadlines
* Proficient in Microsoft Office Suite and willing to learn PIM/DAM, project management, and other platforms as required
* Ability to work in a fast\-paced, agile, deadline driven, high\-impact environment
* Strong verbal, presentation, and written communication skills
* Resourceful, well organized, highly dependable, efficient, and detail oriented
* Ability to travel to shows and events as required
Job Type: Full\-time
Benefits:
* 401(k)
* 401(k) matching
* Dental insurance
* Employee assistance program
* Employee discount
* Flexible spending account
* Health insurance
* Life insurance
* Paid parental leave
* Paid time off
* Vision insurance
Ability to Relocate:
* Lancaster, PA 17601: Relocate before starting work (Required)
Work Location: In person</t>
        </is>
      </c>
    </row>
    <row r="3">
      <c r="A3" t="inlineStr">
        <is>
          <t>in-0bfcaf3483bdf8e2</t>
        </is>
      </c>
      <c r="B3" t="inlineStr">
        <is>
          <t>Senior Product Manager - New Markets CRM</t>
        </is>
      </c>
      <c r="C3" t="inlineStr">
        <is>
          <t>Veeva Systems</t>
        </is>
      </c>
      <c r="D3" t="inlineStr">
        <is>
          <t>indeed</t>
        </is>
      </c>
      <c r="E3" t="inlineStr"/>
      <c r="F3" t="inlineStr"/>
      <c r="G3" t="inlineStr">
        <is>
          <t>Columbus, OH, US</t>
        </is>
      </c>
      <c r="H3" s="1" t="n">
        <v>46073</v>
      </c>
      <c r="I3" t="inlineStr">
        <is>
          <t>**Team:** Product Management \&amp; Alliances
**City:** Columbus
**State:** OH
In the summer of 2025, Veeva Systems announced we are creating a new CRM application to expand our business beyond the Life Sciences industry. Come join the New Markets team for a chance to contribute and leave a lasting impact on this new initiative and Veeva as a whole. **The Role**  
We are looking for a Senior Product Manager with deep CRM experience. Someone who is energized by building a new product from 0 to 1\. You will have a high degree of ownership over the product: from data model to UX, and everything in between. We need a builder who enjoys the challenge of creating a category (re)defining product.**What You'll Do**
* Own the requirements and specifications for multiple major functional areas of the CRM application (Customer Data, Opportunity Management, Products \&amp; Pricing, etc.)
* Participate in the full product lifecycle, from ideation and pitching through design, development, and delivery to bring new features to market
* Analyze start\-ups and incumbents in the CRM space, identifying opportunities to differentiate our application
* Develop a multi\-release roadmap for your functional areas with focus and prioritization
* Partner with engineering and platform team(s) to deliver quality product features on time
* Establish customization best practices and work with early customers to support implementations and drive adoption
* Demonstrate understanding of the underlying platform and the end to end application, representing the CRM application to internal and external stakeholders
**Requirements**
* 5\+ years enterprise SaaS product experience with at least one top\-tier company
* Experience building applications on enterprise/SaaS platforms \- including being directly responsible for one or more core functional platform feature areas
* Demonstrated commitment to a product, having guided it from its initial design to a mature, successful state
* Success in a fast\-paced, greenfield environment, acting as a key partner in defining both product and culture
* Demonstrable experience with leading user experience for key functional areas
* Strong technical background and track record of effectively collaborating with engineering to define, design, and deliver the product
* Strong analytical and communication skills
**Nice to Have**
* Experience with CRM or GTM products
* Experience with Generative AI \&amp; Agentic workflows
* Experience with SOC1 certification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
\#LI\-MidSenior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4">
      <c r="A4" t="inlineStr">
        <is>
          <t>in-ab5afb00e9112e86</t>
        </is>
      </c>
      <c r="B4" t="inlineStr">
        <is>
          <t>Stamping Program Manager</t>
        </is>
      </c>
      <c r="C4" t="inlineStr">
        <is>
          <t>Stellantis</t>
        </is>
      </c>
      <c r="D4" t="inlineStr">
        <is>
          <t>indeed</t>
        </is>
      </c>
      <c r="E4" t="inlineStr"/>
      <c r="F4" t="inlineStr"/>
      <c r="G4" t="inlineStr">
        <is>
          <t>Auburn Hills, MI, US</t>
        </is>
      </c>
      <c r="H4" s="1" t="n">
        <v>46073</v>
      </c>
      <c r="I4" t="inlineStr">
        <is>
          <t>The role of a Stamping Program Manager is to coordinate all facets of die tooling from early planning to launch at the Stamping plant. They supervise and organize activities and ensure that project goals align with the program objectives.
Responsibilities include executing program activities in accordance with the Stamping Process Engineering (SPE) Dies Roadmap. The manager will ensure goals are met in areas including customer satisfaction, safety, budget, quality, timing and overall scope. Provide leadership and direction to bargaining unit engineers while continuing to coordinate with various cross functional organizations including Purchasing, Stamping and Assembly Plants, Platform Engineering, Vehicle Process Engineering, Welding Process Engineering, and Finance.
Responsibilities and Duties For “MAKE” and “BUY” (purchased) stampings:
Early program planning, establish scope and cost for upcoming programs
Coordinate make/buy studies
Organize program activities in accordance with the mission and goals of the organization.
Support the mission and objectives of the program objectives
Optimize DTM and financial objectives Provide upfront engineering feasibility for new programs to provide strategic direction within the SPE organization.
Create and manage long\-term goals.
Develop budgets and operating plan for the program.
Develop an evaluation method to assess program strengths and identify areas for improvement.
Create program funding proposals to guarantee uninterrupted delivery of services.
Manage a team with a diverse array of talents and responsibilities.
Ensure goals are met in areas including customer satisfaction, safety, quality timing, budget, scope and team member performance.
Implement and manage changes and interventions to ensure project goals are achieved.
Meet with stakeholders to make communication easy and transparent regarding project issues and decisions on services.
Regularly report to executive leadership the project status in regard to timing, quality, scope and budget.
Produce accurate and timely reporting of program status throughout its life cycle.
Analyze program risks and create risk assessments.
Formulate, organize and monitor inter\-connected projects.
Coordinate the activities of supporting organizations (MLM, Product Engineering, Fixture/gage group, quality, purchasing, stamping plant).
Develop and manage deadlines, budgets and work scope.
Manage suppliers’ cost, timing and scope.
15\-30% Travel (domestic)
**Technical skills:**  
Advanced Excel
MS Project
Understanding CAD/CAM
NX Basics
Teamcenter PLM basics
PentaSAP experience
Understanding/reading CAD models
Die process, Die construction and Die tryout knowledge
**Basic Qualifications:**  
Bachelor’s degree or Journeyman certification
Minimum 5 years of experience in die/stamping related field
Proven experience in program management specifically in the die area
Proven experience managing a team including engineers
Understanding of project management
Competency in Microsoft applications
High level of experience in PowerPoint and presentation skills
Accounting skills, e.g. requisitions and invoicing
Finance skills, e.g. understanding capital vs expense and forecasting
Excellent problem\-solving skills, utilizing virtual and hard tool knowledge
Strong understanding, experience and knowledge of Die Process, Die Design, Draw Developments, Forming Simulations, Die Construction, Die Tryout and launch required
**Preferred Qualifications:**  
PMI Certification
Experience in MEDDS and PentaSap
Journeyman Status
10 years working at an automotive OEM
Experience managing DTM KPI’s
Proven experience creating make/buy studies and business cases
Proven experience with progressive dies and line dies
Experience supervising bargaining unit employees
Our Benefits — Designed with You in Mind
Comprehensive Health \&amp; Well\-being Coverage
From your very first day, you’ll have access to medical, dental, vision, and prescription drug coverage — ensuring you and your family stay healthy and protected.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included and optional disability, life, and other insurance programs — because your peace of mind matters.
Company Vehicle Lease Program
Eligible employees and their immediate families can enjoy company vehicle lease options with included insurance, maintenance, and unlimited mileage. Plus, take advantage of exclusive discounts on Stellantis products.
Family Building Benefit
We proudly support all paths to parenthood\- including fertility and infertility treatments, adoption services, and gestational surrogacy.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t>
        </is>
      </c>
    </row>
    <row r="5">
      <c r="A5" t="inlineStr">
        <is>
          <t>in-30a54022fc59d393</t>
        </is>
      </c>
      <c r="B5" t="inlineStr">
        <is>
          <t>Senior Program Manager, Autonomous Airpower Logistics</t>
        </is>
      </c>
      <c r="C5" t="inlineStr">
        <is>
          <t>Anduril</t>
        </is>
      </c>
      <c r="D5" t="inlineStr">
        <is>
          <t>indeed</t>
        </is>
      </c>
      <c r="E5" t="inlineStr"/>
      <c r="F5" t="inlineStr"/>
      <c r="G5" t="inlineStr">
        <is>
          <t>Costa Mesa, CA, US</t>
        </is>
      </c>
      <c r="H5" s="1" t="n">
        <v>46073</v>
      </c>
      <c r="I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ROLE**
We are looking for a Senior Logistics Program Manager to join our rapidly growing team in Costa Mesa, CA. This person will be responsible for all developmental logistics tasks, establish technologies using standard principles, theories, concepts, and techniques to provide solutions to a variety of technical problems of our Autonomous Airpower program. You must be able to work independently and will have sole responsibility to deliver Logistics CDRL deliveries. An ability to work within the company and directly with the customer is paramount.  
**WHAT YOU'LL DO**
* Manage all phases of the program from conceptualization through completion, including acquisition, planning, and managing technical performance to ensure quality, business, and financial objectives are attained.
* Develop and coordinate logistics CDRLs.
* Participate with engineering to establish design concepts, criteria, and engineering efforts for product research, development, testing, and integration.
* Interact with internal and external representatives at various levels concerning resolution of technical and scheduling issues. Act as primary contact for Logistics/Sustainment program issues.
* Influence, and coordinate the preparation of proposals, business plans, proposal work statements and specifications, operating budgets, and financial terms/conditions of contract(s). Influence contract acquisitions, negotiations, and modifications.
* Ensure technical leadership and excellence is maintained by participating in the planning, attraction, selection, retention, and development of the required management, professional, and technical talent.
* Act as the primary customer contact for Logistics/Sustainment program activities and may lead program review sessions with customers to discuss cost, schedule, and technical performance.
* Manage the development of and ensure the security of proprietary technology and maintain the strict confidentiality of sensitive information.
* Other duties as assigned or required.
#### **REQUIRED QUALIFICATIONS**
* Bachelor's, Masters or PhD in engineering or a related technical field; may substitute 5\+ years of equivalent experience in lieu of education.
* 8\+ years of experience managing progressively complex programs and logistics administration.
* Technical expertise and application of logistics management principles and practice, as well as leadership skills to meet established deadlines or milestones.
* Experience with LORA, SERD, LMI and/or spare analysis.
* Experience with business rules, TMCR, IETM and/or CSDB.
* Eligible to obtain and maintain an active U.S. Secret security clearance.
#### **PREFERRED QUALIFICATIONS**
* Strong communication, leadership, presentation, and interpersonal skills are required to enable an effective interface with other departments, all levels of management, professional and support staff, customers, potential customers, and government representatives.
* Experience developing solutions to problems that require coordination of technologies across program requirements.
* Customer focused, must be able to work on a self\-initiated basis and in a team environment, and able to work extended hours and travel as required.
* Experience with US military program office.
* Government proposal experience.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6">
      <c r="A6" t="inlineStr">
        <is>
          <t>in-f22623a86585e732</t>
        </is>
      </c>
      <c r="B6" t="inlineStr">
        <is>
          <t>CapEx Program Manager</t>
        </is>
      </c>
      <c r="C6" t="inlineStr">
        <is>
          <t>Apple</t>
        </is>
      </c>
      <c r="D6" t="inlineStr">
        <is>
          <t>indeed</t>
        </is>
      </c>
      <c r="E6" t="inlineStr"/>
      <c r="F6" t="inlineStr"/>
      <c r="G6" t="inlineStr">
        <is>
          <t>Austin, TX, US</t>
        </is>
      </c>
      <c r="H6" s="1" t="n">
        <v>46073</v>
      </c>
      <c r="I6"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CapEx Program managers are confident leaders capable of working with multi\-functional teams to identify risks, explore solutions, reach consensus and execute mitigations quickly. This requires an in\-depth understanding of development and manufacturing process. You will be responsible for coordinating equipment requirements between Ops Engineering and OEM (Original Equipment Manufacturer).","responsibilities":"Work with new product teams to support product launch and sustaining activities.  
Understand the impact of cycle time changes and adjust forecasts accordingly.  
Verify demands and lead the business team to ensure equipment is tracked to delivery.  
Work with appropriate business and procurement teams to ensure support from vendors regarding setup, installation, repairs and maintenance.  
Build overall project budget, compile budget requests, and generate capitalization plan based on project timeline.  
Respond quickly to changes to the overall goals, schedule, and/or architecture.  
Drive multi\-functional teams towards consensus of requirements  
Calculate value of change in process/equipment requested by OEM or internal teams  
Provide monthly/quarterly budget updates and capitalization plan  
Succinctly communicate overall equipment status to the management team  
International Travel up to 20% to support early project planning  
**Preferred Qualifications**  
Masters in Engineering, Supply Chain, or related field  
Masters of Business Administration or Engineering Management  
Impeccable communication, multi\-tasking, and management skills  
**Minimum Qualifications**  
3\+ years of experience in manufacturing, engineering and a working knowledge of finance  
Bachelors Degree in Engineering, Supply Chain,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
      <c r="A7" t="inlineStr">
        <is>
          <t>in-7123f70b39a9b3f7</t>
        </is>
      </c>
      <c r="B7" t="inlineStr">
        <is>
          <t>CapEx Program Manager</t>
        </is>
      </c>
      <c r="C7" t="inlineStr">
        <is>
          <t>Apple</t>
        </is>
      </c>
      <c r="D7" t="inlineStr">
        <is>
          <t>indeed</t>
        </is>
      </c>
      <c r="E7" t="inlineStr"/>
      <c r="F7" t="inlineStr"/>
      <c r="G7" t="inlineStr">
        <is>
          <t>Austin, TX, US</t>
        </is>
      </c>
      <c r="H7" s="1" t="n">
        <v>46073</v>
      </c>
      <c r="I7"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CapEx Program managers are confident leaders capable of working with multi\-functional teams to identify risks, explore solutions, reach consensus and execute mitigations quickly. This requires an in\-depth understanding of development and manufacturing process. You will be responsible for coordinating equipment requirements between Ops Engineering and OEM (Original Equipment Manufacturer).","responsibilities":"Work with new product teams to support product launch and sustaining activities.  
Understand the impact of cycle time changes and adjust forecasts accordingly.  
Verify demands and lead the business team to ensure equipment is tracked to delivery.  
Work with appropriate business and procurement teams to ensure support from vendors regarding setup, installation, repairs and maintenance.  
Build overall project budget, compile budget requests, and generate capitalization plan based on project timeline.  
Respond quickly to changes to the overall goals, schedule, and/or architecture.  
Drive multi\-functional teams towards consensus of requirements  
Calculate value of change in process/equipment requested by OEM or internal teams  
Provide monthly/quarterly budget updates and capitalization plan  
Succinctly communicate overall equipment status to the management team  
International Travel up to 20% to support early project planning  
**Preferred Qualifications**  
Masters in Engineering, Supply Chain, or related field  
Masters of Business Administration or Engineering Management  
Impeccable communication, multi\-tasking, and management skills  
**Minimum Qualifications**  
3\+ years of experience in manufacturing, engineering and a working knowledge of finance  
Bachelors Degree in Engineering, Supply Chain,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
      <c r="A8" t="inlineStr">
        <is>
          <t>in-58d374ae03c641e4</t>
        </is>
      </c>
      <c r="B8" t="inlineStr">
        <is>
          <t>Engineering Program Manager, ML Lineage &amp; Lifecycle Platform, Apple Services Engineering</t>
        </is>
      </c>
      <c r="C8" t="inlineStr">
        <is>
          <t>Apple</t>
        </is>
      </c>
      <c r="D8" t="inlineStr">
        <is>
          <t>indeed</t>
        </is>
      </c>
      <c r="E8" t="inlineStr"/>
      <c r="F8" t="inlineStr"/>
      <c r="G8" t="inlineStr">
        <is>
          <t>Seattle, WA, US</t>
        </is>
      </c>
      <c r="H8" s="1" t="n">
        <v>46073</v>
      </c>
      <c r="I8"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AIML team at Apple is building groundbreaking technology... and we are looking for people like you! The Machine Learning Platform \&amp; Technology (MLPT) team in the AIML organization is seeking a senior engineering program manager for its ML Lifecycle platform. The ML Lifecycle Platform accelerates the continuous optimization of trustworthy models by streamlining how they are built, evaluated, deployed, and monitored end\-to\-end across Apple. We are seeking a seasoned Engineering Program Manager with deep expertise in ML Lifecycle management, ML lineage, AI compliance and regulations.  
**Description**  
In this role, you will define and drive the future of Apple’s ML Lineage solution, champion adoption across product teams, and lead programs that ensure compliance with evolving global standards. You will have the opportunity to set vision, influence strategy, and shape how Apple delivers the next generation of AI.","responsibilities":"As a key EPM in the AIML Lifecycle Platform team, you will establish strong cross\-functional partnerships with ML researchers, engineers, and compliance teams to understand requirements and shape the ML Lifecycle Platform roadmap.  
You will drive the build\-out and adoption of Apple’s ML Lifecycle platform and ML Lineage solutions, ensuring models, datasets, and transformations are consistently compliant and auditable across the lifecycle.  
Lead programs that embed AI compliance and regulatory requirements into ML development and deployment workflows, guaranteeing that production features meet evolving global and regional regulation standards.  
Partner with engineering to deliver scalable and robust metadata and lineage systems that provide traceability, reproducibility, and accountability for ML models at Apple.  
Stay ahead of emerging AI governance, compliance, and responsible AI practices, evaluating technologies and methodologies to strengthen Apple’s leadership in trustworthy AI.  
Serve as the central PM voice connecting AIML engineers, regulatory experts, and cross\-functional partners to align on strategy, execution, and long\-term vision.  
**Preferred Qualifications**  
Masters degree  
**Minimum Qualifications**  
6\+ years of product or technical program management experience covering as many of the following areas as possible: ML lifecycle management, ML lineage, metadata systems, model evaluation and monitoring, AI compliance and regulatory, data analytics, and search  
Proven experience leading large and complex programs that cover the end\-to\-end ML model lifecycle, including training, evaluation, deployment, and continuous optimization, with a strong emphasis on lineage tracking and reproducibility  
Demonstrated ability to ensure ML workflows, models, and datasets follow global AI regulations, aligning technical, product, and compliance requirements  
Outstanding interpersonal and communication skills, including the ability to influence engineers, compliance/regulatory partners, and cross\-functional partners  
Strong desire to learn, skill in problem solving, and ability to make nuanced trade\-offs between innovation speed and compliance rigor  
BS in Computer Science, Engineering, or related technical field,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$163,300 and $290,100,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
      <c r="A9" t="inlineStr">
        <is>
          <t>in-eda8d79f16af6e76</t>
        </is>
      </c>
      <c r="B9" t="inlineStr">
        <is>
          <t>Technical Program Manager - Watch</t>
        </is>
      </c>
      <c r="C9" t="inlineStr">
        <is>
          <t>Apple</t>
        </is>
      </c>
      <c r="D9" t="inlineStr">
        <is>
          <t>indeed</t>
        </is>
      </c>
      <c r="E9" t="inlineStr"/>
      <c r="F9" t="inlineStr"/>
      <c r="G9" t="inlineStr">
        <is>
          <t>Cupertino, CA, US</t>
        </is>
      </c>
      <c r="H9" s="1" t="n">
        <v>46073</v>
      </c>
      <c r="I9" t="inlineStr">
        <is>
          <t>Imagine what you could do here. At Apple, we believe new ideas have a way of becoming phenomenal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It takes deeply dedicated, intelligent and hard\-working individuals to maintain and exceed the high expectations for the exciting brand at Apple. You will lead a team of engineers (DFx, DFm, test, SQE, PQE, etc.) and others in support of new product development as well as sustaining operations and ensuring the contract manufacturer readiness for very high volume production. You will bring your knack and thirst to drive all technical operational issues related to SMT and system integration processes to ensure effective closure of all issues to enable operational success of the entire new product introduction cycle and into the mass production phase. Areas of responsibility include:  
* Design for Assembly and Manufacturability \- Provide early and on\-going manufacturing involvement to ensure new products are manufacturable in high\-volumes. This entails understanding new technologies, mechanical/electrical/RF design, and the ability to influence teams through data/statistics based insights.
* Process Engineering: Designs and develops technically complex processes to achieve precision assembly while improving quality and efficiency. Implement and successfully scale automated and semi\- automated solutions based upon sound engineering principles and technologies developed for a specific application.
* Product Engineering \- Works all phases of a product from concept to manufacturing at scale to end of life.
* Contract\-Manufacturer (CM) Readiness: Work with the CapEx, Equipment design (Automation / Manual), and Factory teams at every NPI build to ensure that assembly and test equipment are installed and qualified, operator work instructions published, and operators trained.
* Yield management: Lead the team to triage all yield detractors and drive Failure Analysis (FA) to understand root cause of the issue pertaining to Design/Process/Part\-quality and drive the responsible teams for corrective and preventative action.
* Communication: Synthesize information on the program (product readiness for mass\-production, factory readiness, scenario projections, relevant trade\-offs, impact on development goals) into concise communication for Senior Management.
* Provide regular VP level communication of technical health of program.
* Utilize statistical tools (such as GR\&amp;R, SPC, and process capability) to ensure processes/equipment are scalable and are continuing to perform once qualified.
* Failure/Data Analysis \- Plans, develops and implements technically complex procedures for the testing and evaluation of soon to be released products. Specifies test to be performed, compiles data and makes recommendations for product design changes and final assembly standards. This will include the use of Design of Experiments (DOE) and statistical analysis using Six Sigma principles.
* Travel internationally up to 25%.
**Preferred Qualifications**  
Meaningful experience in introducing products into manufacturing (high volume production and international OEMs highly desired)  
Excellent project management skills, especially in deliverables like Planning, Cost, and Delivery.  
Knowledgeable in crafting equipment qualification requirements, design of experiments, and failure analysis  
Working knowledge of Lean Manufacturing principles favorable  
Experience working in a matrix organization with multiple stakeholders  
Direct experience leading any of the following functional engineering teams a plus: Mechanical Engineering, Process Engineering, Electrical Engineering, or Test Engineering  
Knowledgeable in tolerance stack ups for assemblies and part level  
Engineering design and strong knowledge of GD\&amp;T principles a plus  
Working knowledge of pneumatics, servomotors, PLC and PC\-based control systems a plus  
JMP, Minitab \&amp; Six Sigma experience a plus  
**Minimum Qualifications**  
3\+ years of experience in engineering and manufacturing.  
BS in related Engineering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
      <c r="A10" t="inlineStr">
        <is>
          <t>in-bdc20ca75fbebf13</t>
        </is>
      </c>
      <c r="B10" t="inlineStr">
        <is>
          <t>Engineering Program Manager, Infrastructure Services</t>
        </is>
      </c>
      <c r="C10" t="inlineStr">
        <is>
          <t>Apple</t>
        </is>
      </c>
      <c r="D10" t="inlineStr">
        <is>
          <t>indeed</t>
        </is>
      </c>
      <c r="E10" t="inlineStr"/>
      <c r="F10" t="inlineStr"/>
      <c r="G10" t="inlineStr">
        <is>
          <t>Sunnyvale, CA, US</t>
        </is>
      </c>
      <c r="H10" s="1" t="n">
        <v>46073</v>
      </c>
      <c r="I10"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Apple’s Infrastructure Services Program Management team as a Senior Engineering Program Manager (EPM) and take charge of transformative, high\-impact programs that will define the future of our organization. If you are passionate about driving projects in a fast\-paced environment and want to make an impact at Apple, this opportunity is for you!  
**Description**  
In this role, you will steer critical initiatives from concept to production readiness while collaborating with diverse teams across engineering, finance, security, and project management.  
","responsibilities":"Effectively collaborating with diverse cross\-functional teams throughout Apple.  
Leading multiple priorities with ease in a fast\-paced setting.  
Overseeing multiple projects simultaneously while proactively identifying risks and developing contingency plans.  
Using a balanced approach to critical thinking paired with tactical execution  
Demonstrating the ability to create operational frameworks that enhance planning cycles, scorecards, and critical metrics, alongside delivering comprehensive executive reports.  
Swiftly identifying and resolving conflicts while addressing interdependencies and program challenges effectively.  
**Preferred Qualifications**  
MS degree in Computer Science, Computer Engineering, or similar technical field  
Outstanding communication skills, emphasizing active listening to build strong relationships.  
Consistent record of leading large teams to establish and achieve success metrics across various programs and portfolios.  
Proficient in navigating a wide range of technical infrastructures.  
Strong practical understanding of user interactions with software and systems.  
Extensive experience in strategic and program delivery, with a focus on teamwork within a matrixed environment.  
**Minimum Qualifications**  
Experience running cross\-functional engineering initiatives.  
BS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
      <c r="A11" t="inlineStr">
        <is>
          <t>in-7f17cdc01797b323</t>
        </is>
      </c>
      <c r="B11" t="inlineStr">
        <is>
          <t>Workplace Design Test Fit Program Manager</t>
        </is>
      </c>
      <c r="C11" t="inlineStr">
        <is>
          <t>Apple</t>
        </is>
      </c>
      <c r="D11" t="inlineStr">
        <is>
          <t>indeed</t>
        </is>
      </c>
      <c r="E11" t="inlineStr"/>
      <c r="F11" t="inlineStr"/>
      <c r="G11" t="inlineStr">
        <is>
          <t>San Jose, CA, US</t>
        </is>
      </c>
      <c r="H11" s="1" t="n">
        <v>46073</v>
      </c>
      <c r="I11" t="inlineStr">
        <is>
          <t>In Places, we don’t sit back and let things happen, we make things happen, and we do this in service to all Apple employees and customers. Our team is a diverse and nimble group that manages Apple’s retail stores, workplaces, and workplace services. We develop and manage Apple’s global real estate portfolio, lead all related capital construction projects, provide outstanding facilities and site services, develop and lead sustainability initiatives to reduce the environmental impact of all Apple facilities, including commute and renewable energy programs, and do everything we can to ensure the health and safety of all Apple personnel, facilities, and customers in our facilities around the world.  
Our Workplace Design Team focuses on designing incredible human\-centered spaces and experiences that reflect Apple’s brand and values in the built environment, inspiring and empowering employees to achieve their best work.  
We are seeking an experienced, collaborative, and detail orientated design professional with a passion for workplace design to join our team as a Test Fit Program Manager to oversee and manage all aspects of this program.  
**Description**  
As a Workplace Test Fit Program Manager, you will be focused on leading and developing the test fit program for Workplace. You will work closely with partners across the business, including Real Estate and Space Planning, to access space utilization and propose functional as well as creative design solutions. ","responsibilities":"The Workplace Design Fit Program Manager will be responsible for the oversight and management of all test fits for Places Workplace projects worldwide.  
Key responsibilities of this role will include but are not limited to:  
Lead the test fit process for new workplace locations, expansions, and renovations  
Oversee external partners to develop and execute a program for preliminary architectural test fits, which influence critical business decisions  
Prepare and present business cases with test fit recommendations to leadership  
Develop and maintain metrics and reporting related to space types and utilization  
Maintain an open dialogue with internal stakeholders, cross functional partners, and external parties to ensure project meets all established parameters  
Contribute to the development of space planning standards and guidelines for workplace  
Utilize knowledge to support the development of future workplace space typologies  
Conduct programming and utilization studies with partners, providing recommendations for space efficiency and employee engagement  
Maintain a library of test fits and develop tools to increase consistency and efficiency  
Stay up\-to\-date on current workplace trends and best practices, incorporating them into test fit plans to create innovative and functional office spaces  
Share lessons learned and provide feedback/suggestions  
**Preferred Qualifications**  
Bachelorʼs degree in Architecture, or a related field (advanced degree preferred)  
Prior Experience as a Workplace Test Fit Manager, Strategist, Design Program Manager, or Real Estate Planner  
Portfolio PDF or web link to body of work  
Self\-starter and capable individual contributor  
Knowledge of current workplace trends and best practices  
Thinks critically and creatively about how to regularly improve process and operations  
Extremely proactive, responsive, and upbeat with strong organizational skills  
Demonstrated success in managing multiple projects, priorities, and people concurrently in a fast\-paced, high growth, and results driven environment  
**Minimum Qualifications**  
10\+ Years of proven experience in space planning, test fitting, design management, architecture, or related industry experience working with cross\-functional teams  
Demonstrated ability to oversee external partners to develop and execute a global program  
Strong communication and collaboration skills with ability to develop strong working relationship across business groups and key stakeholders  
Experienced in developing comprehensive presentations and documentation packages with excellent graphic verbal, written, and presentation skills  
Excellent planning, analytical, organization and problem\-solving skills  
Proficient in design (CAD/Revit), presentation, rendering, or similar tools  
Familiarity with and ability to understand and interpret applicable building codes, local, and regional laws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$175,300 and $263,100,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
      <c r="A12" t="inlineStr">
        <is>
          <t>in-0532462f7714c0a5</t>
        </is>
      </c>
      <c r="B12" t="inlineStr">
        <is>
          <t>Product Manager - Wound Care</t>
        </is>
      </c>
      <c r="C12" t="inlineStr">
        <is>
          <t>Hartmann</t>
        </is>
      </c>
      <c r="D12" t="inlineStr">
        <is>
          <t>indeed</t>
        </is>
      </c>
      <c r="E12" t="inlineStr"/>
      <c r="F12" t="inlineStr"/>
      <c r="G12" t="inlineStr">
        <is>
          <t>Rock Hill, SC, US</t>
        </is>
      </c>
      <c r="H12" s="1" t="n">
        <v>46073</v>
      </c>
      <c r="I12" t="inlineStr">
        <is>
          <t>Join our team as
Product Manager \- Wound Care
USA\-Rock Hill
We are a growing U.S. wound care organization backed by 200 years of global medical expertise. Our mission is to support clinicians and caregivers with **simple, effective solutions** that improve outcomes and make daily care easier.
 **The Role**
We’re hiring a **Product Manager** to lead **2–3 focus product families** along with selected supporting products. You will shape U.S. product strategy, lifecycle decisions, and messaging grounded in real customer needs. This is an onsite, office\-based position, located in Rock Hill, SC.
You will **provide content, messaging, and product insights** that enable Sales, Clinical Education, and Marketing to build sales tools. A key part of this role is understanding the **sales process and rep needs** to ensure product positioning supports conversion.
* Own strategy and lifecycle for 2–3 core product families and supporting products
* Turn customer and clinician pain points into clear positioning and messaging
* Provide product content (key claims, feature–benefit framing, competitive insights) to Sales Enablement, Marketing, and Clinical teams
* Support pricing, forecasting, and portfolio prioritization with commercial insights
* Partner with sales teams to ensure alignment with the sales process and rep workflows
* Track market trends and competitive activity to guide product evolution
* Drive product updates and launch activities with global marketing, supply chain, regulatory, and clinical teams
 **What We’re Looking For**
* 3–5\+ years in product management within a **regulated industry** (healthcare is a plus, not required)
* Strong **customer‑centric mindset**; ability to translate clinician and caregiver needs into simple, compelling messages
* Understanding of how reps sell, what content supports conversion, and typical sales workflows
* Commercial and analytical strength with solid project management skills
* Ability to simplify complex information into clear, concise communications
* Collaborative, curious, and comfortable shifting between strategy and hands‑on execution
 **Why Join Us**
* Shape a modern, growing U.S. wound care portfolio backed by a global leader
* Make a direct impact on clinician workflows and patient outcomes
* Work in a culture that values collaboration, innovation, and continuous learning
* Help bring our mission to life: *Innovative Wound Care. Simple. Effective.*
If you are interested in this position please send your application via our online portal to Diane Marsilio.</t>
        </is>
      </c>
    </row>
    <row r="13">
      <c r="A13" t="inlineStr">
        <is>
          <t>in-169ebc15644f7d56</t>
        </is>
      </c>
      <c r="B13" t="inlineStr">
        <is>
          <t>Silicon Photonics Product Manager (Teradyne, North Reading, MA)</t>
        </is>
      </c>
      <c r="C13" t="inlineStr">
        <is>
          <t>Teradyne</t>
        </is>
      </c>
      <c r="D13" t="inlineStr">
        <is>
          <t>indeed</t>
        </is>
      </c>
      <c r="E13" t="inlineStr"/>
      <c r="F13" t="inlineStr"/>
      <c r="G13" t="inlineStr">
        <is>
          <t>North Reading, MA, US</t>
        </is>
      </c>
      <c r="H13" s="1" t="n">
        <v>46073</v>
      </c>
      <c r="I13"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**Photonics Product Manager**  
Position Summary
Teradyne is the world leader in complex semiconductor device testing and visionary product managers and marketing leaders with a mix of market knowledge and technological know\-how are an essential ingredient to our success.  
The photonics product manager is responsible for defining and driving the photonics test instrumentation product strategy and new product introduction processes for Teradyne’s ATE platforms addressing all forms of photonics applications including, but not limited to:* + Silicon photonics market segment with applications in datacom, telecom, sensing, and more
	+ Co\-packaged optics with xPUs and switches for cloud computing and data centers utilizing high\-performance computing xPUs and switches
	+ Pluggable Transceivers for datacom and telecom
	+ MicroLEDs, Lidars, Lasers, medical sensors, etc.
 **Essential Functions*** Conduct end\-market and competitive analyses and synthesize photonics device test implications to inform long\-term product line architecture.
* Identify emerging market trends or segments with implications on our photonics product strategy
* Define timely market segment strategies to support the business group objectives and provide clear product development priorities
* Utilize and adapt internal productization processes to deliver new products quickly
* Bring up and execute early access programs for new products
* Develop competitive differentiation through sales and marketing collateral and training of sales and field engineers
* Develop strategic customer relationships in cooperation with sales
* Deliver clear business requirements to justify and support new product development
* Develop sharp and compelling marketing messages and product positioning briefs
 **All About You**
We seek individuals who share our passion and determination. Our commitment to customer success drives us to go the extra mile. If you’re ready to join us in this mission, take a closer look at the minimum criteria for the position.* BS in engineering or equivalent experience, MBA is a plus.
* At least 2 years of product development, product management or product marketing experience.
* Demonstrated proficiency with Silicon Photonics, Indium Phosphide, MicroLEDs, Lidar, or equivalent photonics technologies, system architectures and applications.
* Strong influence, leadership, analytical, and synthesis skills
* This role requires an extensive amount of integration and visibility across all functions of the business and at all levels
* Strong amount of customer engagement, presentations
* Travel of 10\-25% to be expected
 **Compensation**
The base salary range for this role is $123,400–$197,500\.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*We are not open to international relocation for this position.*  
\#LI\-JL2</t>
        </is>
      </c>
    </row>
    <row r="14">
      <c r="A14" t="inlineStr">
        <is>
          <t>in-9cb8f7f92d829566</t>
        </is>
      </c>
      <c r="B14" t="inlineStr">
        <is>
          <t>Product Owner (Digital Health Mobile Portfolio)</t>
        </is>
      </c>
      <c r="C14" t="inlineStr">
        <is>
          <t>Medtronic</t>
        </is>
      </c>
      <c r="D14" t="inlineStr">
        <is>
          <t>indeed</t>
        </is>
      </c>
      <c r="E14" t="inlineStr"/>
      <c r="F14" t="inlineStr"/>
      <c r="G14" t="inlineStr">
        <is>
          <t>Mounds View, MN, US</t>
        </is>
      </c>
      <c r="H14" s="1" t="n">
        <v>46073</v>
      </c>
      <c r="I14" t="inlineStr">
        <is>
          <t>We anticipate the application window for this opening will close on \- 2 Mar 2026  
At Medtronic you can begin a life\-long career of exploration and innovation, while helping champion healthcare access and equity for all. You’ll lead with purpose, breaking down barriers to innovation in a more connected, compassionate world.
**A Day in the Life**
=====================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Medtronic's Acute Care \&amp; Monitoring (ACM) business works together with the global healthcare community to solve clinically meaningful problems, with technologies and solutions for remote patient monitoring, blood oxygen management, respiratory compromise, and perioperative complications. Our vision is to empower patient safety \- anytime, anywhere.
We are seeking a **Product Owner** to support our **Digital Health mobile portfolio, servicing US Veterans Affairs and commercially, hospitals** . This role owns software mobile application solutions that enable clinicians to remotely monitor veterans with chronic conditions in their homes or commercially in the hospital. You’ll lead meaningful products at the intersection of technology and healthcare.
As a Product Owner, you will be accountable for understanding and prioritizing features in a backlog for mobile application product lines to determine the appropriate features for the roadmap based on the defined Digital Health vision. The Product Owner will also closely collaborate with Marketing, translate voice of customer (VoC) and synthesize needs to features for delivery in a release. You’ll partner closely with Product Management and cross\-functional teams to define product requirements, prioritize delivery, and ensure high quality execution in an Agile environment.
**Key Responsibilities:**
* Accountable for intake of needs from Marketing and the field, and closely connecting with the customer to understand the value and problem to solve.
* Responsible for deep engagement with the customer to understand the needs being presented and subsequently, build the desired behavior of the features based on the customer feedback
* Partner with Marketing and Program Management to define and execute the product roadmap
* Serve as the primary liaison across engineering, clinical, quality, regulatory, and business stakeholders
* Collaborate with cross‑functional teams to define customer, system, and product software requirements
* Translate product strategy and stakeholder needs into clear, actionable requirements and deliverable increments
* Collaborate with the architects and business analyst to define technical and design discovery required for a feature
* Manage and prioritize the product backlog to align with business objectives and customer needs
* Work with Agile teams (developers, business analysts, scrum masters, QA , testers) to deliver software enhancements and new product capabilities
* Support the design, development, troubleshooting, and debugging of software solutions across platforms, including operating systems, cloud‑based, and internet‑enabled technologies
* Influence system and hardware design decisions to ensure compatibility, scalability, and performance
* Lead and participate in Agile ceremonies, including two‑week sprints and SAFe/PI planning, backlog refinement and sizing
* Ensure system improvements are successfully implemented and monitored to improve efficiency and performance
* Provide final sign‑off on delivered features to confirm requirements and objectives are met
* Maintain strong product knowledge and communicate product capabilities, status, and portfolio alignment
* Support occasional domestic customer or site visits to inform product and design decisions
**Minimum Requirements (Must Have):**
Bachelor’s degree with 2 years relevant work experience OR Master’s degree  
* 
**Preferred Qualifications:**
* Bachelors degree with 4\-6\+ years relevant experience in **product ownership, software development, product delivery, project management, and/or business analysis** OR Masters degree with 2\+ years relevant experience.
* Experience working with **software\-based products** (Mobile, UX/UI, SaaS, IT, or digital platforms)
* Experience combining project management and business analysis
* Ability to quickly understand complex system behaviors, engineering problems, technical and architectural constraints.
* Experience working with distributed or global teams
* Working knowledge of **Agile methodologies**
* Strong communication skills and ability to work across cross‑functional teams
* Experience in healthcare, digital health, or regulated environments (nice to have)
* PMP or similar certification (nice to have)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(USD):$92,800\.00 \- $139,200\.00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5">
      <c r="A15" t="inlineStr">
        <is>
          <t>in-6800ef2874f91249</t>
        </is>
      </c>
      <c r="B15" t="inlineStr">
        <is>
          <t>Stamping Program Manager</t>
        </is>
      </c>
      <c r="C15" t="inlineStr">
        <is>
          <t>Stellantis</t>
        </is>
      </c>
      <c r="D15" t="inlineStr">
        <is>
          <t>indeed</t>
        </is>
      </c>
      <c r="E15" t="inlineStr"/>
      <c r="F15" t="inlineStr"/>
      <c r="G15" t="inlineStr">
        <is>
          <t>Auburn Hills, MI, US</t>
        </is>
      </c>
      <c r="H15" s="1" t="n">
        <v>46073</v>
      </c>
      <c r="I15" t="inlineStr">
        <is>
          <t>Job ID: 2014378  
Career Area: Manufacturing  
Job Category: Salaried
Location: Headquarters \&amp; Technology Center – Auburn Hills  
48326, US  
Date Posted: February 21, 2026  
Brand: FCA Group
The role of a Stamping Program Manager is to coordinate all facets of die tooling from early planning to launch at the Stamping plant. They supervise and organize activities and ensure that project goals align with the program objectives.
Responsibilities include executing program activities in accordance with the Stamping Process Engineering (SPE) Dies Roadmap. The manager will ensure goals are met in areas including customer satisfaction, safety, budget, quality, timing and overall scope. Provide leadership and direction to bargaining unit engineers while continuing to coordinate with various cross functional organizations including Purchasing, Stamping and Assembly Plants, Platform Engineering, Vehicle Process Engineering, Welding Process Engineering, and Finance.
Responsibilities and Duties For “MAKE” and “BUY” (purchased) stampings:
* Early program planning, establish scope and cost for upcoming programs
* Coordinate make/buy studies
* Organize program activities in accordance with the mission and goals of the organization.
* Support the mission and objectives of the program objectives
* Optimize DTM and financial objectives Provide upfront engineering feasibility for new programs to provide strategic direction within the SPE organization.
* Create and manage long\-term goals.
* Develop budgets and operating plan for the program.
* Develop an evaluation method to assess program strengths and identify areas for improvement.
* Create program funding proposals to guarantee uninterrupted delivery of services.
* Manage a team with a diverse array of talents and responsibilities.
* Ensure goals are met in areas including customer satisfaction, safety, quality timing, budget, scope and team member performance.
* Implement and manage changes and interventions to ensure project goals are achieved.
* Meet with stakeholders to make communication easy and transparent regarding project issues and decisions on services.
* Regularly report to executive leadership the project status in regard to timing, quality, scope and budget.
* Produce accurate and timely reporting of program status throughout its life cycle.
* Analyze program risks and create risk assessments.
* Formulate, organize and monitor inter\-connected projects.
* Coordinate the activities of supporting organizations (MLM, Product Engineering, Fixture/gage group, quality, purchasing, stamping plant).
* Develop and manage deadlines, budgets and work scope.
* Manage suppliers’ cost, timing and scope.
* 15\-30% Travel (domestic)
Technical skills:
* Advanced Excel
* MS Project
* Understanding CAD/CAM
* NX Basics
* Teamcenter PLM basics
* PentaSAP experience
* Understanding/reading CAD models
* Die process, Die construction and Die tryout knowledge
**EOE/Disability/Veteran**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
We care about your privacy. For more information on how your personal data is processed, please read the specific Privacy Statement provided by the respective entities whose job offer you have selected.</t>
        </is>
      </c>
    </row>
    <row r="16">
      <c r="A16" t="inlineStr">
        <is>
          <t>in-414a33d21642b578</t>
        </is>
      </c>
      <c r="B16" t="inlineStr">
        <is>
          <t>Program Manager 1-A-LDH</t>
        </is>
      </c>
      <c r="C16" t="inlineStr"/>
      <c r="D16" t="inlineStr">
        <is>
          <t>indeed</t>
        </is>
      </c>
      <c r="E16" t="inlineStr"/>
      <c r="F16" t="inlineStr"/>
      <c r="G16" t="inlineStr">
        <is>
          <t>Baton Rouge, LA, US</t>
        </is>
      </c>
      <c r="H16" s="1" t="n">
        <v>46072</v>
      </c>
      <c r="I16" t="inlineStr">
        <is>
          <t>**Salary**
$5,023\.00 \- $9,856\.00 Monthly
**Location**Baton Rouge, LA
**Job Type**
Classified
**Job Number**
OAAS/DPT/217880
**Department**
LDH\-Office of Aging \&amp; Adult Services
**Opening Date**
02/20/2026
**Closing Date**
3/9/2026 11:59 PM Central
**About this Job**
------------------
The mission of the Louisiana Department of Health is to protect and promote health and to ensure access to medical, preventive, and rehabilitative services for all residents of the State of Louisiana.
**Learn more about Louisiana Department of Health**
***This position may be filled in the following parishes: East Baton Rouge***
Join our team as a **Program Manager 1A/Data Analyst** and help transform lives by supporting Louisiana’s transition from institutional services to community\-based care through the *My Place* and *My Choice* programs. The incumbent will play a key role in leading the data collection and analysis efforts to meet the growing reporting requirements for these programs. Responsibilities include extracting data, writing queries, developing programming logic, running reports, manipulating data, and analyzing results relative to the operations of these programs. The incumbent will work directly with My Choice and My Place Louisiana program managers to develop quality and performance measures, management reports, semi\-annual reporting to federal partners, and ad hoc requests from executive management.
**The ideal candidate should possess the following:**
* Excellent communication skills, both written and verbal
* Excellent organization skills and attention to detail
* Experience with data management\\analytics tools (Excel, Microsoft Access, R, Python, SQL, SAS, Tableau, etc.)
* Preferably, experience programming SQL queries
**Minimum Qualifications**
--------------------------
Seven years of experience in developing, managing, or evaluating health or social service programs; or in public health, public relations, social services, health services, health regulation, or administrative services; OR  
Six years of full\-time work experience in any field plus four years of experience in developing, managing, or evaluating health or social service programs; or in public health, public relations, social services, health services, health regulation, or administrative services; OR  
A bachelor’s degree plus four years of experience in developing, managing, or evaluating health or social service programs; or in public health, public relations, social services, health services, health regulation, or administrative services; OR  
An advanced degree or a Juris Doctorate plus three years of experience in developing, managing, or evaluating health or social service programs; or in public health, public relations, social services, health services, health regulation, or administrative services.  
EXPERIENCE SUBSTITUTION:  
Every 30 semester hours earned from an accredited college or university will be credited as one year of experience towards the six years of full\-time work experience in any field. The maximum substitution allowed is 120 semester hours which substitutes for a maximum of four years of experience in any field.
**Job Specification**
---------------------
The official job specifications for this role, as defined by the State Civil Service, can be found here.
**Job Duties and Other Information**
------------------------------------
**Job Duties:**
* Develop and oversee a comprehensive reporting system for OAAS nursing facility transition programs, My Choice Louisiana and My Place Louisiana. Duties include management of the collection, preparation, and analysis of data and information relative to the operations of these programs; including quality and performance measures, management reports for field operations, semi\-annual reporting to CMS, and ad hoc requests from executive management, U.S. DoJ and the court approved technical assistance provider.
* Works with OAAS program managers, Office of Behavioral Health, state Office of Technology Services and the court approved technical assistance provider for the agreement with U.S. DoJ on system requirements to ensure data is captured, tracked, and compiled in a manner necessary to meet the state's agreement with U.S. DoJ and MFP demonstration grant reporting expectations. Makes recommendations for system improvements based on findings, changes in legislation and policies.
* Ad hoc requests from executive management, U.S. DoJ and the court approved technical assistance provider. Interprets and responds to questions from within LDH and from external inquiries as assigned. Performs various levels of research and production necessary to satisfy such "short term" tasks.
**Position\-Specific Details:****Location:** Office of Aging and Adult Services / Headquarters / East Baton Rouge Parish
**Appointment Type:** This position may be filled as aJob appointment (temporary appointment that may last up to 48 months).
**Cost Center: 3201020700**
**Position Number(s): 50673148**
 **How To Apply:**
No Civil Service test score is required in order to be considered for this vacancy.
 Applicants are responsible for checking the status of their application to determine where they are in the recruitment process. Further status message information is located under the Information section of the Current Job Opportunities page.
* Information to support your eligibility for the position must be included in the application (i.e., relevant, detailed experience/education).Resumes will not be accepted in lieu of completed education and experience sections. Applications may be rejected if incomplete.
**Contact Information:**
Debbie Parris\-Thymes
Debbie.Parris\-Thymes2@la.gov
LA Department of Health (LDH)
Division of Human Resources
PO Box 4818
Baton Rouge, LA 70821
225\-342\-6477 **This organization participates in E\-verify, and for more information on E\-verify, please contact DHS at 1\-888\-464\-4218\.**
LDH supports Louisiana’s commitment to being a State as a Model Employer (SAME) by promoting the recruitment, hiring, and retention of individuals with disabilities.
*Information on the Louisiana Works, Louisiana Rehabilitation Services is available* **here***.*
LDH is an equal opportunity employer and seeks to recruit a highly productive and diverse workforce and will provide equal employment opportunities to all employees and prospective employees. Employment decisions shall be based strictly on merit and without regard to religious or political beliefs, sex, race, or any other non\-merit factor.
Louisiana State Government represents a wide variety of career options and offers an outstanding opportunity to *make a difference* through public service. With an array of career opportunities in every major metropolitan center and in many rural areas, state employment provides an outstanding option to begin or continue your career.   
As a state employee, you will earn competitive pay, choose from a variety of benefits, and have access to a great professional development program:  
**Insurance Coverage** More information can be found at https://info.groupbenefits.org/  
**Parental Leave** – Up to six weeks paid parental leave  
More information can be found at https://www.civilservice.louisiana.gov/Parental\-Leave/Default.aspx  
**Holidays and Leave** – State employees receive the following paid holidays each year:* New Year's Day
* Martin Luther King, Jr. Day,
* Mardi Gras,
* Good Friday,
* Memorial Day,
* Independence Day,
* Labor Day,
* Veteran's Day,
* Thanksgiving Day and Christmas Day.
\*\*\*\*\* Additional holidays may be proclaimed by the Governor  
State employees earn sick and annual leave which can be accumulated and saved for future use. Your accrual rate increases as your years of service increase.  
**Retirement**– State of Louisiana employees are eligible to participate in various retirement systems (based on the type of appointment and agency for which an employee works). These retirement systems provide retirement allowances and other benefits for state officers and employees and their beneficiaries. State retirement systems may include (but are not limited to):* Louisiana State Employees Retirement System (www.lasersonline.org*). LASERS has provided this* *video* *to give you more detailed information about their system*
* Teacher's Retirement System of Louisiana (www.trsl.org),
* Louisiana School Employees Retirement System (www.lsers.net), among others</t>
        </is>
      </c>
    </row>
    <row r="17">
      <c r="A17" t="inlineStr">
        <is>
          <t>in-6294944bbebc37af</t>
        </is>
      </c>
      <c r="B17" t="inlineStr">
        <is>
          <t>Program Manager 1B-LDH (Tuberculosis Program Manager)</t>
        </is>
      </c>
      <c r="C17" t="inlineStr"/>
      <c r="D17" t="inlineStr">
        <is>
          <t>indeed</t>
        </is>
      </c>
      <c r="E17" t="inlineStr"/>
      <c r="F17" t="inlineStr"/>
      <c r="G17" t="inlineStr">
        <is>
          <t>New Orleans, LA, US</t>
        </is>
      </c>
      <c r="H17" s="1" t="n">
        <v>46072</v>
      </c>
      <c r="I17" t="inlineStr">
        <is>
          <t>**Salary**
$5,375\.00 \- $10,546\.00 Monthly
**Location**New Orleans, LA
**Job Type**
Classified
**Job Number**
OPH/PTT/217867
**Department**
LDH\-Office of Public Health
**Opening Date**
02/20/2026
**Closing Date**
2/27/2026 11:59 PM Central
**About this Job**
------------------
The mission of the Louisiana Department of Health is to protect and promote health and to ensure access to medical, preventive, and rehabilitative services for all residents of the State of Louisiana. **Learn more about Louisiana Department of Health**  
Lead Louisiana’s statewide fight against tuberculosis as Program Manager for the LDH Office of Public Health TB Control Program. This is a high\-level administrative position that provides leadership to the LDH/Office of Public Health Tuberculosis. Control Program within the Center for Community and Preventive Health. The position serves as the Program Manager for the statewide Tuberculosis Control Program and has the primary task of overseeing all aspects of TB control activities with an annual budget of approximately $5,000,000\. The position requires ongoing fiscal responsibility for several funding streams including: CDC Cooperative Agreements, Federal Preventative Block Grants, State General funds and Medicaid reimbursements. The position requires detailed programmatic knowledge of complex issues surrounding the containment of Tuberculosis including: surveillance, quarantine of patients, multiple treatment regimens, epidemiology, IT databases, resistant strains of TB, laboratory screening and testing, and pharmaceutical ordering, storage and shipping.
**Minimum Qualifications**
--------------------------
Seven years of experience in developing, managing, or evaluating health or social service programs; or in public health, public relations, social services, health services, health regulation, or administrative services; OR  
Six years of full\-time work experience in any field plus four years of experience in developing, managing, or evaluating health or social service programs; or in public health, public relations, social services, health services, health regulation, or administrative services; OR  
A bachelor’s degree plus four years of experience in developing, managing, or evaluating health or social service programs; or in public health, public relations, social services, health services, health regulation, or administrative services; OR  
An advanced degree or a Juris Doctorate plus three years of experience in developing, managing, or evaluating health or social service programs; or in public health, public relations, social services, health services, health regulation, or administrative services.  
EXPERIENCE SUBSTITUTION:  
Every 30 semester hours earned from an accredited college or university will be credited as one year of experience towards the six years of full\-time work experience in any field. The maximum substitution allowed is 120 semester hours which substitutes for a maximum of four years of experience in any field.
**Job Specification**
---------------------
The official job specifications for this role, as defined by the State Civil Service, can be found here.
**Job Duties and Other Information**
------------------------------------
Job Duties:
* Supervises and coordinates all programmatic and administrative activities (budget, treatment, screening, epidemiology, etc.) relating to the statewide Tuberculosis Control Program. Develops current and long\-range plans, policies and procedures for administering the comprehensive TB Control Program. Advises the Center Director regarding the extent of Tuberculosis disease in Louisiana and necessary actions needed to contain transmission of the disease.
* Monitors state and federal revenues and expenditures of the statewide TB program budget and formulates budgetary projections. Prepares, submits, manages, and monitors the Louisiana TB Control CDC Cooperative Agreement.
* Drafts and finalizes contracts and Memorandums of Understanding; monitors/manages budgetary and programmatic aspects of those agreements assuring compliance with requirements/deliverables and recommends payment approval of invoices.
* Responds proactively to disease outbreaks, audit findings, programmatic challenges and issues; coordinates TB Program responses and reports to the Center Director, auditors and federal/state governmental entities. Provides on\-going consultation and technical assistance to all public and private professional and support staff on TB programmatic issues.
* Serves as the agency representative for TB Control issues on statewide task forces, work groups, councils, and coalitions. Prepares and provides information to state and federal officials in order they may implement effective legislation and allocate appropriate levels of funding for TB Control.
* Develops and implements TB Control training programs along with the Medical Director and State Epidemiologist for public and private personnel (health units, jails, hospitals, epidemiologists) involved in infectious disease control.
* Performs other duties as assigned. Participates in emergency response training and is deployment during an emergency.
Position\-Specific Details:**Location:** Office of Public Health / Bureau of Infectious Diseases / Orleans Parish**Appointment Type:** This position may be filled as aProbationary appointment**Cost Center:** 3262107641**Position Number(s):** 50501960  
How To Apply:
No Civil Service test score is required in order to be considered for this vacancy.  
 Applicants are responsible for checking the status of their application to determine where they are in the recruitment process. Further status message information is located under the Information section of the Current Job Opportunities page.* Information to support your eligibility for the position must be included in the application (i.e., relevant, detailed experience/education).Resumes will not be accepted in lieu of completed education and experience sections. Applications may be rejected if incomplete.
Contact Information:
Paul Tran
Paul.Tran3@la.gov
LA Department of Health (LDH)
Division of Human Resources
PO Box 4818
Baton Rouge, LA 70821
225\-342\-6477 **This organization participates in E\-verify, and for more information on E\-verify, please contact DHS at 1\-888\-464\-4218\.**  
LDH supports Louisiana’s commitment to being a State as a Model Employer (SAME) by promoting the recruitment, hiring, and retention of individuals with disabilities. *Information on the Louisiana Works, Louisiana Rehabilitation Services is available* **here***.*
Louisiana State Government represents a wide variety of career options and offers an outstanding opportunity to *make a difference* through public service. With an array of career opportunities in every major metropolitan center and in many rural areas, state employment provides an outstanding option to begin or continue your career.   
As a state employee, you will earn competitive pay, choose from a variety of benefits, and have access to a great professional development program:  
**Insurance Coverage** More information can be found at https://info.groupbenefits.org/  
**Parental Leave** – Up to six weeks paid parental leave  
More information can be found at https://www.civilservice.louisiana.gov/Parental\-Leave/Default.aspx  
**Holidays and Leave** – State employees receive the following paid holidays each year:* New Year's Day
* Martin Luther King, Jr. Day,
* Mardi Gras,
* Good Friday,
* Memorial Day,
* Independence Day,
* Labor Day,
* Veteran's Day,
* Thanksgiving Day and Christmas Day.
\*\*\*\*\* Additional holidays may be proclaimed by the Governor  
State employees earn sick and annual leave which can be accumulated and saved for future use. Your accrual rate increases as your years of service increase.  
**Retirement**– State of Louisiana employees are eligible to participate in various retirement systems (based on the type of appointment and agency for which an employee works). These retirement systems provide retirement allowances and other benefits for state officers and employees and their beneficiaries. State retirement systems may include (but are not limited to):* Louisiana State Employees Retirement System (www.lasersonline.org*). LASERS has provided this* *video* *to give you more detailed information about their system*
* Teacher's Retirement System of Louisiana (www.trsl.org),
* Louisiana School Employees Retirement System (www.lsers.net), among others</t>
        </is>
      </c>
    </row>
    <row r="18">
      <c r="A18" t="inlineStr">
        <is>
          <t>in-cea975eef372ed85</t>
        </is>
      </c>
      <c r="B18" t="inlineStr">
        <is>
          <t>Program Manager 4- LDH (Chief Transformation Officer)</t>
        </is>
      </c>
      <c r="C18" t="inlineStr"/>
      <c r="D18" t="inlineStr">
        <is>
          <t>indeed</t>
        </is>
      </c>
      <c r="E18" t="inlineStr"/>
      <c r="F18" t="inlineStr"/>
      <c r="G18" t="inlineStr">
        <is>
          <t>Baton Rouge, LA, US</t>
        </is>
      </c>
      <c r="H18" s="1" t="n">
        <v>46072</v>
      </c>
      <c r="I18" t="inlineStr">
        <is>
          <t>**Salary**
$6,585\.00 \- $12,920\.00 Monthly
**Location**Baton Rouge, LA
**Job Type**
Classified
**Job Number**
217864ProgMan4LDHCTO\-2\.20\.26SS
**Department**
DCFS\-Department of Children and Family Services
**Opening Date**
02/20/2026
**Closing Date**
2/25/2026 11:59 PM Central
**About this Job**
------------------
**Department MISSION**
DCFS is working to keep children safe, helping individuals and families become self\-sufficient, and providing safe refuge during disasters.**Department VISION**
We care for the well\-being and safety of Louisiana's people.**Department VALUES**
Treating all people with dignity, compassion and respect, while providing services with integrity.  
At The Department of Children and Family Services, our mission is to empower communities and improve lives by delivering responsive, inclusive, and forward\-thinking public services. We are proud to serve the people of Louisiana with integrity, innovation, and a deep commitment to equity.  
Join Our Team at DCFS: **Program Manager 4\- LDH\- (Chief Transformation Officer)**  
This position is responsible for directing the digital services section which is inclusive of modernizing mainframe systems, project management, service management and business readiness.  
If you're driven, collaborative, and ready to make an impact—this could be the opportunity for you!  
**Minimum Qualifications**
--------------------------
Eight years of experience in developing, managing, or evaluating health or social service programs; or in public health, public relations, social services, health services, health regulation, or administrative services; OR  
Six years of full\-time work experience in any field plus five years of experience in developing, managing, or evaluating health or social service programs; or in public health, public relations, social services, health services, health regulation, or administrative services; OR  
A bachelor’s degree plus five years of experience in developing, managing, or evaluating health or social service programs; or in public health, public relations, social services, health services, health regulation, or administrative services; OR  
An advanced degree or a Juris Doctorate plus four years of experience in developing, managing, or evaluating health or social service programs; or in public health, public relations, social services, health services, health regulation, or administrative services.  
EXPERIENCE SUBSTITUTION:  
Every 30 semester hours earned from an accredited college or university will be credited as one year of experience towards the six years of full\-time work experience in any field. The maximum substitution allowed is 120 semester hours which substitutes for a maximum of four years of experience in any field.
**Job Specification**
---------------------
The official job specifications for this role, as defined by the State Civil Service, can be found here.
**Job Duties and Other Information**
------------------------------------
Job Duties:
* Directs the daily operations of the Digital Services section through subordinates.
* Manages key IT functions such as design, development and implementation of new technology systems and maintenance and operations of existing technology systems.
* Responsible for highly complex agency\-wide technology governance.
* Ensures reliability, security, and performance of IT systems while aligning technology investments with agency strategy and statewide OTS policies.
* Responsible for the submission of all planning and reporting documents required by federal partners.
* Serves as liaison with internal and external stakeholders related to DCFS internal IT systems.
* Develops goals and performance standards for subordinate units and supervisors.
* Performs special projects and other duties as assigned.
Position\-Specific Details: **Appointment Type:** This position may be filled as a probational appointment or a job appointment that may last up to 48 months. Job appointments may convert to probational appointments. Also, it may be filled as a detail and promoted within 12 months or by promotion of a permanent classified employee. **Work Schedule:** Typically, work hours are 8:00 am to 4:30 pm, Monday – Friday. Flexible work schedules are available after meeting certain criteria and is dependent upon the position you are applying for. Some positions require working shifts. **Work Location:** Baton Rouge, La  
How To Apply: **No Civil Service Test score** is required in order to be considered for this vacancy.  
 Applicants are responsible for checking the status of their application to determine where they are in the recruitment process. Further status message information is located under the information section of the Current Job Opportunities page.* Information to support your eligibility for this job title must be included in this application (i.e., relevant, detailed experience/education). Resumes will not be accepted in lieu of completed education and experience sections on your application. Applications may be rejected if incomplete.
Contact Information:
Adrienne.King.DCFS@La.Gov  
DCFS is an “Equal Opportunity Employer”, and Louisiana is a State As a Model Employer (SAME) that supports the recruitment, hiring, and retention of individuals with disabilities.
Louisiana State Government represents a wide variety of career options and offers an outstanding opportunity to *make a difference* through public service. With an array of career opportunities in every major metropolitan center and in many rural areas, state employment provides an outstanding option to begin or continue your career.   
As a state employee, you will earn competitive pay, choose from a variety of benefits, and have access to a great professional development program:  
**Insurance Coverage** More information can be found at https://info.groupbenefits.org/  
**Parental Leave** – Up to six weeks paid parental leave  
More information can be found at https://www.civilservice.louisiana.gov/Parental\-Leave/Default.aspx  
**Holidays and Leave** – State employees receive the following paid holidays each year:* New Year's Day
* Martin Luther King, Jr. Day,
* Mardi Gras,
* Good Friday,
* Memorial Day,
* Independence Day,
* Labor Day,
* Veteran's Day,
* Thanksgiving Day and Christmas Day.
\*\*\*\*\* Additional holidays may be proclaimed by the Governor  
State employees earn sick and annual leave which can be accumulated and saved for future use. Your accrual rate increases as your years of service increase.  
**Retirement**– State of Louisiana employees are eligible to participate in various retirement systems (based on the type of appointment and agency for which an employee works). These retirement systems provide retirement allowances and other benefits for state officers and employees and their beneficiaries. State retirement systems may include (but are not limited to):* Louisiana State Employees Retirement System (www.lasersonline.org*). LASERS has provided this* *video* *to give you more detailed information about their system*
* Teacher's Retirement System of Louisiana (www.trsl.org),
* Louisiana School Employees Retirement System (www.lsers.net), among others</t>
        </is>
      </c>
    </row>
    <row r="19">
      <c r="A19" t="inlineStr">
        <is>
          <t>in-a781036f0be2f90a</t>
        </is>
      </c>
      <c r="B19" t="inlineStr">
        <is>
          <t>Early IT Program Manager, School of Information Technology, CECH</t>
        </is>
      </c>
      <c r="C19" t="inlineStr">
        <is>
          <t>University Of Cincinnati</t>
        </is>
      </c>
      <c r="D19" t="inlineStr">
        <is>
          <t>indeed</t>
        </is>
      </c>
      <c r="E19" t="inlineStr"/>
      <c r="F19" t="inlineStr"/>
      <c r="G19" t="inlineStr">
        <is>
          <t>Cincinnati, OH, US</t>
        </is>
      </c>
      <c r="H19" s="1" t="n">
        <v>46073</v>
      </c>
      <c r="I19" t="inlineStr">
        <is>
          <t>**Current UC employees must apply internally via** ***SuccessFactors***
 **Next Lives at the University of Cincinnati**
Founded in 1819, the University of Cincinnati ranks among the nation’s best urban public research universities. Home to more than 53,600 students, 12,000 faculty and staff, and over 360,000 living alumni, UC, a Carnegie 1 institution, combines research prowess with a physical setting The New York Times has called “the most ambitious campus design program in the country." UC's momentum has never been stronger as the anchor of the Cincinnati Innovation District, the oldest cooperative education (co\-op) program in the country with students earning $94 million annually through paid experiences, an academic health system, and as a member of the Big 12 Conference. The university contributes $10\.6 billion in economic impact to the city and $22\.7 billion to the state of Ohio. At UC, next is all of us. Learn more at uc.edu.
UC is a mission\-driven organization where we are committed to student success and positively transforming the community through scholarship and service. We thrive on innovation, making an impact, and fostering an environment where staff and faculty are key contributors to UC’s success.
**About the School of Information Technology**
----------------------------------------------
The School of Information Technology (SoIT) is a national leader in studying solutions and needs that connect people, information, and the technology of the time. The SoIT is home to Ohio's first Master of Science, and Doctor of Philosophy degrees in Information Technology. In addition, it is home to Ohio's first ABET accredited Bachelor of Science in Information Technology and a Bachelor of Science in Cybersecurity. The SoIT has been growing at 15% annually and currently serves more than 1,550 students with 33 full\-time faculty members, 38 full\-time staff, and 39 adjunct faculty. The SoIT is home to several centers including an NSA/DHS Center for Academic Excellence in Cyber Defense, the Information Technology Solutions Center, the Ohio Cyber Range Institute, Applied Machine Learning and Intelligence Center, the Justice, Law, and Information Technology Institute, and the Civic Technology Center. In 2017, the SoIT launched the Early IT as a collaborative ecosystem among educational institutions and industry to significantly advance the readiness of the state’s information technology talent.
The SoIT is an interdisciplinary, team\-oriented, mission\-driven, dynamic, and entrepreneurial environment. It empowers individuals to become passionate, solution\-minded Information Technology professionals by fostering continuous innovation, research, leadership development, interdisciplinary problem solving, and real\-world experience. More information about the SoIT can be found at http://cech.uc.edu/it.
The Early IT ecosystem is a collaborative partnership with K12 districts, community colleges, education service centers, and the industry with the goal of removing barriers to college education and career success for all. The SoIT collaborates with its partners to create pathways for learners to advance their degrees, create success experiences to enable learners to achieve their goals, and create practical experiences to equip the learners with advanced hands\-on technical skills, problem solving skills, and communication skills. More information on the Early IT ecosystem can be found at: https://www.cech.uc.edu/schools/it/early\-it.html
**Job Overview**
----------------
The SoIT is seeking a program manager to support the Early IT ecosystem. This includes managing relationships with the various academic and industry partners, collaborating with the Early IT team to problem solve, increase efficiency, innovate to ensure success, and managing the life cycle of projects and activities with the various partners. The program manager will report to the Associate Director for Early IT.
This position is 100% on\-site but may offer flexibility for a hybrid work option once training is complete. Hybrid work arrangements are at the discretion of the supervisor and are subject to change in accordance with the School of Information Technology telework policy and university policies.
**Essential Functions**
-----------------------
* Manage, design, develop, modify and present programs. Perform program needs assessment and make recommendations.
* Implement policies and procedures.
* Act as a liaison to internal departments, external entities, and community organizations.
* May prepare and edit reports and/or newsletters and develop publication materials.
* Perform related duties based on departmental needs. This job description can be changed at any time.
* Assist with managing the operation of the SoIT Early College program
* Assist with organizing events, workshops and other related activities such as Early IT Roundtable and Teacher Fellowship.
* Assist with developing and implementing marketing strategies to recruit students and program participants.
* Assist with managing relationships with current school partners.
* Coordinate with faculty and staff in support of the program.
* Assist with meeting grant requirements and development of new grant proposals.
**Required Education**
----------------------
* Bachelor's Degree.
* Seven (7\) years of relevant work experience and/or other specialized training can be used in lieu of education requirement.
**Required Trainings/Certifications**
-------------------------------------
N/A
**Required Experience**
-----------------------
Three (3\) years of relevant experience.
**Additional Qualification Considered**
---------------------------------------
* Experience with the Early IT ecosystem is preferred.
* Experience working in a school\-based setting; high school experience preferred.
* Experience working with school districts, especially in implementation of new programs.
* Experience working with multiple organizations such as regional consortiums.
* Understanding the administrative functions, academic programs, and requirements of a university.
* Ability to work in a fast\-paced environment.
**Physical Requirements/Work Environment**
------------------------------------------
* Office environment/no specific unusual physical or environmental demands.
**Application Process**
-----------------------
Review of the applications will start as soon as possible until the position is filled. Applicants must submit:
* Cover Letter
* CV/Resume
* At least three references
**Compensation and Benefits**
UC offers an exceptional benefits package designed to support your well\-being, financial security, and work\-life balance. Eligibility varies by position and FTE. Highlights include:
 **Salary/Hourly Pay Rate Information:** $50,000\-$55,000
**Comprehensive Tuition Remission**
UC provides tuition remission for you and your eligible dependents, covering tuition costs for nearly all undergraduate and graduate programs offered by the university.
**Robust Retirement Plans**
As a UC employee, you won’t contribute to Social Security (except Medicare). Instead, you’ll choose between state pension plans (OPERS, STRS) or an Alternative Retirement Plan (ARP), with UC contributing 14–18% of your salary based on position.
**Real Work\-Life Balance**
UC prioritizes work\-life balance with a generous time\-off policy, including:
Vacation and sick time
11 paid holidays and additional end\-of\-year paid time off (Winter Season Days)
6 weeks of paid parental leave for new parents
**Additional Benefits Include:**
* Competitive salary range of $50,000 \- $55,000 based on experience
* Comprehensive health coverage (medical, dental, vision, prescription)
* Flexible spending accounts \&amp; wellness programs
* Professional development \&amp; mentorship opportunities
For questions about the UC recruiting process or to request accommodations with the application, please contact Human Resources at **jobs@uc.edu****.**
 **Equal Opportunity Employer. Building a workplace where all qualified applicants will receive consideration for employment, including Individuals with Disabilities and Protected Veterans.**
REQ: 100830</t>
        </is>
      </c>
    </row>
    <row r="20">
      <c r="A20" t="inlineStr">
        <is>
          <t>in-727f39507be59802</t>
        </is>
      </c>
      <c r="B20" t="inlineStr">
        <is>
          <t>Product Manager - In-Flight Connectivity</t>
        </is>
      </c>
      <c r="C20" t="inlineStr">
        <is>
          <t>EchoStar</t>
        </is>
      </c>
      <c r="D20" t="inlineStr">
        <is>
          <t>indeed</t>
        </is>
      </c>
      <c r="E20" t="inlineStr"/>
      <c r="F20" t="inlineStr"/>
      <c r="G20" t="inlineStr">
        <is>
          <t>Melbourne, FL, US</t>
        </is>
      </c>
      <c r="H20" s="1" t="n">
        <v>46073</v>
      </c>
      <c r="I20" t="inlineStr">
        <is>
          <t>Company Summary:
EchoStar builds solutions that help families and communities stay connected. We’ll launch your career and empower you to change lives.  
Our brands include Boost Mobile, DISH TV, Gen Mobile, Hughes and Sling TV. We serve millions of customers with offerings ranging from satellite to streaming services and global to personal networking solutions.
Department Summary:
EchoStar has an exciting opportunity for a **Product Manager \- Aviation** for In\-Flight Connectivity to work in our Hughes Network Systems – Aero division.
Job Duties and Responsibilities:
This role is responsible for owning the product roadmap and leading hardware development programs from concept through certification. This position will be located at our office in Melbourne, FL. **Key Responsibilities:*** Own and manage the product roadmap for in\-flight connectivity hardware solutions
* Lead and manage hardware development projects from requirements definition through prototype
* Work with the technical team to compile technical requirements from multiple customers
* Create and maintain integrated project schedules
* Manage program budgets, labor forecasting, and cost control
* Coordinate staffing for multiple functions across multiple geographic locations
* Coordinate with marketing on product strategy and customer needs
* Manage rapid prototyping activities
* Manage risk
* Manage scope change
* Support proposal development
* Transition products to production and sustainment
* Effectively communicate and present data in oral and written formats
* Multi\-task and manage multiple projects simultaneously
* Ability to solve problems in a complex landscape
* This position requires occasional travel up to 15%
Skills, Experience and Requirements:
**Education and Experience:*** Bachelor's degree in Engineering or related technical field
* 5 years in the aviation or aerospace industry
* Previous experience successfully managing aviation hardware development programs
 **Preferred Qualifications:*** Project Management Professional (PMP) certification
* Familiarity with FAA and international certification programs
* Understanding of technical and contractual requirements flow\-downs
* Strong time management and problem\-solving skills
* Experience with DO\-160 qualification programs
* Ability to influence stakeholders to establish technical concurrence
Will be eligible for discretionary bonus, with funding based on company performance.  
Visa sponsorship not available for this position.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$93500\.00 \- $117000\.00 / Year</t>
        </is>
      </c>
    </row>
    <row r="21">
      <c r="A21" t="inlineStr">
        <is>
          <t>in-d271b8cad1ea9831</t>
        </is>
      </c>
      <c r="B21" t="inlineStr">
        <is>
          <t>Program Manager</t>
        </is>
      </c>
      <c r="C21" t="inlineStr">
        <is>
          <t>H&amp;R Block</t>
        </is>
      </c>
      <c r="D21" t="inlineStr">
        <is>
          <t>indeed</t>
        </is>
      </c>
      <c r="E21" t="inlineStr"/>
      <c r="F21" t="inlineStr"/>
      <c r="G21" t="inlineStr">
        <is>
          <t>MO, US</t>
        </is>
      </c>
      <c r="H21" s="1" t="n">
        <v>46073</v>
      </c>
      <c r="I21"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As the Program Manager – Corporate Systems, you will report to the Director of Corporate Systems and initiate, plan, execute, and control programs and projects involving multiple people, process, data, and technology components. This is a highly visible role where you will work across the organization to align and execute on requirements and deliverables to drive strategic and tactical goals of our stakeholders.
You will drive, measure, and be accountable for both short\- and long\-term program and project outcomes, ensuring delivery of meaningful value to our clients and to H\&amp;R Block.
 **Day to day, you’ll…**
Strategy, Planning \&amp; Alignment
* Own the end\-to\-end delivery strategy for a portfolio of Corporate Systems programs and projects, ensuring alignment with enterprise strategy, business priorities, and stakeholder outcomes across functions such as P\&amp;C, Finance, Customer Care, and Corporate teams.
* Translate strategic and tactical objectives into clear, executable programs, enabling manager\-owned roadmaps, sequencing initiatives to maximize value while managing interdependencies across people, process, data, and technology.
* Partner closely with business, technology, and vendor leaders to ensure every “next dollar invested” delivers the best possible return, balancing near\-term delivery with long\-term platform health and scalability.
* Anticipate and proactively manage delivery and operational risks, performing root\-cause analysis and driving mitigation strategies to protect business outcomes and continuity.
Program \&amp; Delivery Execution
* Drive cross\-functional delivery of complex Corporate Systems initiatives spanning Contact Center platforms, knowledge and casemanagement modernization, Intranet, CRM rationalization, and other enterprise priorities.
* Establish and lead program governance, providing clear visibility into progress, timelines, budgets, risks, and issues while ensuring alignment with agreedupon outcomes.
* Orchestrate execution across internal teams and external vendors, actively managing dependencies, integrations, and risks across multiple platforms and workstreams.
* Ensure consistent ontime and onbudget delivery, holding teams accountable while removing obstacles and enabling high performance.
Change, Adoption \&amp; Stakeholder Engagement
* Lead change management and adoption planning to ensure solutions are successfully embedded into daytoday operations across multiple stakeholder groups.
* Act as a trusted advisor to senior leaders, clearly communicating progress, tradeoffs, risks, and outcomes while aligning expectations across the organization.
* Drive shared understanding of program goals, impacts, and success measures so stakeholders are prepared to realize intended business and operational benefits.
Insights, Measurement \&amp; Value Realization
* Define, track, and report on program success metrics, including delivery performance, financial outcomes, and realized business value.
* Initiate and gain agreement on soft and hard benefits (both Business and IT), ensuring value realization plans are in place while operational risk is appropriately mitigated.
Financial \&amp; Budget Management
* Create and manage program and project budgets with accuracy and transparency.
What you'll bring to the team...:
* 8 years total experience
* BS/BA or equivalent through a combination of education and experience
* Thought leadership by staying up to date of new technologies, customer trends and expectations, and competitive insights
* Experience with contact center technologies, processes, and measures along with how they drive client experience
* Exceptional communication and collaboration skills, along with experience working and leading in a cross\-functional environment
* The ability to think strategically and tactically with a persistent problem\-solving mentality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$101,200\.00 \- $161,900\.00/Yr. Sponsored Job: \#LI\-SH1 \#LI\-Remote</t>
        </is>
      </c>
    </row>
    <row r="22">
      <c r="A22" t="inlineStr">
        <is>
          <t>in-9ecb8696ab095d81</t>
        </is>
      </c>
      <c r="B22" t="inlineStr">
        <is>
          <t>Principal Product Manager - Customer Data Platform</t>
        </is>
      </c>
      <c r="C22" t="inlineStr">
        <is>
          <t>GEICO</t>
        </is>
      </c>
      <c r="D22" t="inlineStr">
        <is>
          <t>indeed</t>
        </is>
      </c>
      <c r="E22" t="inlineStr"/>
      <c r="F22" t="inlineStr"/>
      <c r="G22" t="inlineStr">
        <is>
          <t>San Jose, CA, US</t>
        </is>
      </c>
      <c r="H22" s="1" t="n">
        <v>46073</v>
      </c>
      <c r="I2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
      <c r="A23" t="inlineStr">
        <is>
          <t>in-81a5ca9715d0c4f7</t>
        </is>
      </c>
      <c r="B23" t="inlineStr">
        <is>
          <t>Principal Product Manager - Customer Data Platform</t>
        </is>
      </c>
      <c r="C23" t="inlineStr">
        <is>
          <t>GEICO</t>
        </is>
      </c>
      <c r="D23" t="inlineStr">
        <is>
          <t>indeed</t>
        </is>
      </c>
      <c r="E23" t="inlineStr"/>
      <c r="F23" t="inlineStr"/>
      <c r="G23" t="inlineStr">
        <is>
          <t>Seattle, WA, US</t>
        </is>
      </c>
      <c r="H23" s="1" t="n">
        <v>46073</v>
      </c>
      <c r="I2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4">
      <c r="A24" t="inlineStr">
        <is>
          <t>in-82ff99e5e692ad30</t>
        </is>
      </c>
      <c r="B24" t="inlineStr">
        <is>
          <t>Senior Product Manager - Customer Data Platform</t>
        </is>
      </c>
      <c r="C24" t="inlineStr">
        <is>
          <t>GEICO</t>
        </is>
      </c>
      <c r="D24" t="inlineStr">
        <is>
          <t>indeed</t>
        </is>
      </c>
      <c r="E24" t="inlineStr"/>
      <c r="F24" t="inlineStr"/>
      <c r="G24" t="inlineStr">
        <is>
          <t>San Jose, CA, US</t>
        </is>
      </c>
      <c r="H24" s="1" t="n">
        <v>46073</v>
      </c>
      <c r="I2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5">
      <c r="A25" t="inlineStr">
        <is>
          <t>in-8be4cedb02be48a4</t>
        </is>
      </c>
      <c r="B25" t="inlineStr">
        <is>
          <t>Senior Product Manager - Customer Data Platform</t>
        </is>
      </c>
      <c r="C25" t="inlineStr">
        <is>
          <t>GEICO</t>
        </is>
      </c>
      <c r="D25" t="inlineStr">
        <is>
          <t>indeed</t>
        </is>
      </c>
      <c r="E25" t="inlineStr"/>
      <c r="F25" t="inlineStr"/>
      <c r="G25" t="inlineStr">
        <is>
          <t>Seattle, WA, US</t>
        </is>
      </c>
      <c r="H25" s="1" t="n">
        <v>46073</v>
      </c>
      <c r="I2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6">
      <c r="A26" t="inlineStr">
        <is>
          <t>in-6058e9a9b65635df</t>
        </is>
      </c>
      <c r="B26" t="inlineStr">
        <is>
          <t>Senior Product Manager - Customer Data Platform</t>
        </is>
      </c>
      <c r="C26" t="inlineStr">
        <is>
          <t>GEICO</t>
        </is>
      </c>
      <c r="D26" t="inlineStr">
        <is>
          <t>indeed</t>
        </is>
      </c>
      <c r="E26" t="inlineStr"/>
      <c r="F26" t="inlineStr"/>
      <c r="G26" t="inlineStr">
        <is>
          <t>San Francisco, CA, US</t>
        </is>
      </c>
      <c r="H26" s="1" t="n">
        <v>46073</v>
      </c>
      <c r="I2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7">
      <c r="A27" t="inlineStr">
        <is>
          <t>in-d7eaa69ce55f4f96</t>
        </is>
      </c>
      <c r="B27" t="inlineStr">
        <is>
          <t>Senior Product Manager - Customer Data Platform</t>
        </is>
      </c>
      <c r="C27" t="inlineStr">
        <is>
          <t>GEICO</t>
        </is>
      </c>
      <c r="D27" t="inlineStr">
        <is>
          <t>indeed</t>
        </is>
      </c>
      <c r="E27" t="inlineStr"/>
      <c r="F27" t="inlineStr"/>
      <c r="G27" t="inlineStr">
        <is>
          <t>Chevy Chase, MD, US</t>
        </is>
      </c>
      <c r="H27" s="1" t="n">
        <v>46073</v>
      </c>
      <c r="I2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8">
      <c r="A28" t="inlineStr">
        <is>
          <t>in-1af4e1240a09c541</t>
        </is>
      </c>
      <c r="B28" t="inlineStr">
        <is>
          <t>Principal Product Manager - Customer Data Platform</t>
        </is>
      </c>
      <c r="C28" t="inlineStr">
        <is>
          <t>GEICO</t>
        </is>
      </c>
      <c r="D28" t="inlineStr">
        <is>
          <t>indeed</t>
        </is>
      </c>
      <c r="E28" t="inlineStr"/>
      <c r="F28" t="inlineStr"/>
      <c r="G28" t="inlineStr">
        <is>
          <t>San Francisco, CA, US</t>
        </is>
      </c>
      <c r="H28" s="1" t="n">
        <v>46073</v>
      </c>
      <c r="I2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
      <c r="A29" t="inlineStr">
        <is>
          <t>in-966f0cdc4facae70</t>
        </is>
      </c>
      <c r="B29" t="inlineStr">
        <is>
          <t>Principal Product Manager - Customer Data Platform</t>
        </is>
      </c>
      <c r="C29" t="inlineStr">
        <is>
          <t>GEICO</t>
        </is>
      </c>
      <c r="D29" t="inlineStr">
        <is>
          <t>indeed</t>
        </is>
      </c>
      <c r="E29" t="inlineStr"/>
      <c r="F29" t="inlineStr"/>
      <c r="G29" t="inlineStr">
        <is>
          <t>New York, NY, US</t>
        </is>
      </c>
      <c r="H29" s="1" t="n">
        <v>46073</v>
      </c>
      <c r="I2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0">
      <c r="A30" t="inlineStr">
        <is>
          <t>in-8173655d1e83efc3</t>
        </is>
      </c>
      <c r="B30" t="inlineStr">
        <is>
          <t>Senior Product Manager - Customer Data Platform</t>
        </is>
      </c>
      <c r="C30" t="inlineStr">
        <is>
          <t>GEICO</t>
        </is>
      </c>
      <c r="D30" t="inlineStr">
        <is>
          <t>indeed</t>
        </is>
      </c>
      <c r="E30" t="inlineStr"/>
      <c r="F30" t="inlineStr"/>
      <c r="G30" t="inlineStr">
        <is>
          <t>New York, NY, US</t>
        </is>
      </c>
      <c r="H30" s="1" t="n">
        <v>46073</v>
      </c>
      <c r="I3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1">
      <c r="A31" t="inlineStr">
        <is>
          <t>in-55ea215169bdcedb</t>
        </is>
      </c>
      <c r="B31" t="inlineStr">
        <is>
          <t>Senior Product Manager - Customer Data Platform</t>
        </is>
      </c>
      <c r="C31" t="inlineStr">
        <is>
          <t>GEICO</t>
        </is>
      </c>
      <c r="D31" t="inlineStr">
        <is>
          <t>indeed</t>
        </is>
      </c>
      <c r="E31" t="inlineStr"/>
      <c r="F31" t="inlineStr"/>
      <c r="G31" t="inlineStr">
        <is>
          <t>Dallas, TX, US</t>
        </is>
      </c>
      <c r="H31" s="1" t="n">
        <v>46073</v>
      </c>
      <c r="I3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
      <c r="A32" t="inlineStr">
        <is>
          <t>in-9e78594d9c29c45a</t>
        </is>
      </c>
      <c r="B32" t="inlineStr">
        <is>
          <t>Principal Product Manager - Customer Data Platform</t>
        </is>
      </c>
      <c r="C32" t="inlineStr">
        <is>
          <t>GEICO</t>
        </is>
      </c>
      <c r="D32" t="inlineStr">
        <is>
          <t>indeed</t>
        </is>
      </c>
      <c r="E32" t="inlineStr"/>
      <c r="F32" t="inlineStr"/>
      <c r="G32" t="inlineStr">
        <is>
          <t>Dallas, TX, US</t>
        </is>
      </c>
      <c r="H32" s="1" t="n">
        <v>46073</v>
      </c>
      <c r="I3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3">
      <c r="A33" t="inlineStr">
        <is>
          <t>in-fe086e28b8d559f1</t>
        </is>
      </c>
      <c r="B33" t="inlineStr">
        <is>
          <t>Principal Product Manager - Customer Data Platform</t>
        </is>
      </c>
      <c r="C33" t="inlineStr">
        <is>
          <t>GEICO</t>
        </is>
      </c>
      <c r="D33" t="inlineStr">
        <is>
          <t>indeed</t>
        </is>
      </c>
      <c r="E33" t="inlineStr"/>
      <c r="F33" t="inlineStr"/>
      <c r="G33" t="inlineStr">
        <is>
          <t>Chevy Chase, MD, US</t>
        </is>
      </c>
      <c r="H33" s="1" t="n">
        <v>46073</v>
      </c>
      <c r="I3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4">
      <c r="A34" t="inlineStr">
        <is>
          <t>in-de3d506c9c7d4288</t>
        </is>
      </c>
      <c r="B34" t="inlineStr">
        <is>
          <t>Data Product Manager</t>
        </is>
      </c>
      <c r="C34" t="inlineStr">
        <is>
          <t>Munich Re</t>
        </is>
      </c>
      <c r="D34" t="inlineStr">
        <is>
          <t>indeed</t>
        </is>
      </c>
      <c r="E34" t="inlineStr"/>
      <c r="F34" t="inlineStr"/>
      <c r="G34" t="inlineStr">
        <is>
          <t>Hartford, CT, US</t>
        </is>
      </c>
      <c r="H34" s="1" t="n">
        <v>46073</v>
      </c>
      <c r="I34" t="inlineStr">
        <is>
          <t>**Location** Hartford, United States **Job type** Full\-Time **Work mode** Hybrid **Job level** Professional **Job ID** 12045 **Company** Munich Re America Services **Employment type** Regular **Area of expertise** Data, BI \&amp; Analytics
**All locations** Hartford, United States; Princeton, United States;
Munich Re America Services (MRAS) is a shared service organization that delivers services to all Munich Re US P\&amp;C Companies and other group entities.
This role supports Data and Analytics initiatives by contributing technical expertise and helping deliver data solutions from start to finish. The position assists in ensuring that data products are accurate, reliable, and aligned with business needs. Working closely with business and technology teams, this role helps improve data quality, usability, and adoption to support positive business outcomes.
**Major Accountabilities:**
* Align data initiatives with business goals and strategy
* Collaborate with business to define the vision, roadmap, and success metrics for data products (e.g., datasets, data platforms etc.)
* Gather, prioritize, and translate business requirements into data capabilities
* Partner with preferred suppliers to bring fit for purpose resources onto the delivery teams
* Manage projects leveraging an Agile delivery methodology
* Work with the business product owners to prioritize the product backlog for data engineering and analytics teams
* Write and refine user stories related to data ingestion, transformation, quality, governance, and access
* Balance new features, technical debt, and regulatory/compliance needs
* Partner with data engineers and data stewards to ensure accuracy, completeness, timeliness, and consistency
* Direct data engineering team to analyze functional requirements and drive the build of data pipelines to support solution delivery
* Own issue triage and prioritization for data defects
* Work closely with data engineers, architects, BI developers, DevSecOps and other platform (Databricks, Azure etc.) teams
* Deep understanding of data warehouses/data marts/ data lake / data API’s in cloud\-based environments
* Work with and/or lead data architects to ensure critical data sources/elements have been identified
* Work with management/architecture to align architecture solutions for the aggregation and provisioning of data globally
* Partner with data solution architects to ensure appropriate data availability in support of advanced data analytical needs for the organization
* Closely work with both logical/conceptual and physical data modelers to deliver optimized data models that support the required technical solution
* Provide estimates and estimation models for resourcing as needed for technical project delivery
* Provide status reporting and partner with the PMO where needed
* Supports all required IT organizational controls and will help to enable anything required where gapped for data specifically
* Capacity to lead transformational programs across multiple teams
**Qualifications:**
Basic Knowledge, Skills, And Experience:
* 8\+ years of experience across data architecture, data engineering, data management, and data delivery in Financial Services and/or Insurance organizations
* Experience in designing and building information assets leveraging modern technology platforms including cloud (Azure, AWS, Google, etc.)
* Experience with cloud data pipelining technologies such as Informatica IICS and ADF
* Experience with ETL/ELT pipelines using Databricks, Apache Distributed data processing frameworks (PySpark/Scala), and Delta Lake
* Experience with data platforms such as Databricks, Snowflake, Oracle/SQL Server/DB2/Etc. and Informatica MDM/RDM tooling
* Experience with Insurance platforms such as DuckCreek and/or Guidewire and their data components
* Experience collaborating with key business partners and functional teams to ensure requirements are made available and understood by the technical delivery team
* Experience working with global partners and leaders
* B.S. and/or M.S. in Computer Science or equivalent
* Previous experience helping to lead Data teams through organizational change to improve efficiency, reducing costs, and integrating business units and their capability requirements
* Proven track record of delivering projects on time and within budget
At Munich Re, we see Diversity, Equity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**Your Benefits**
-----------------
With us, you get more than just an exciting job. Enjoy a wide range of employee benefits tailored to your wellbeing and development. Please note that regional differences may apply.
Competitive Salary
We provide fair and competitive compensation that reflects your performance and commitment.
Company performance\-based Incentives
In addition to your salary, our variable compensation approach allows you to share in Munich Re's success.
Recognition and Special Rewards
We recognise outstanding individual contributions through a variety of targeted rewards and incentives.
Retirement Planning
We support your long\-term financial wellbeing with retirement solutions aligned with local regulations.
Inclusive Workplace Culture
We foster a respectful, inclusive, and values\-driven environment.
Learning \&amp; Development
We offer tailored learning opportunities with a strong focus on core skills and business\-critical knowledge.
Work\-Life\-Balance
Supporting your ability to balance family, leisure, and your career.
Health \&amp; Wellbeing
We support your physical and mental health through a range of programs and activities in each location.</t>
        </is>
      </c>
    </row>
    <row r="35">
      <c r="A35" t="inlineStr">
        <is>
          <t>in-0a02fc4d84631625</t>
        </is>
      </c>
      <c r="B35" t="inlineStr">
        <is>
          <t>Staff Product Manager, GoFundMe Pro</t>
        </is>
      </c>
      <c r="C35" t="inlineStr">
        <is>
          <t>GoFundMe</t>
        </is>
      </c>
      <c r="D35" t="inlineStr">
        <is>
          <t>indeed</t>
        </is>
      </c>
      <c r="E35" t="inlineStr"/>
      <c r="F35" t="inlineStr"/>
      <c r="G35" t="inlineStr">
        <is>
          <t>San Francisco, CA, US</t>
        </is>
      </c>
      <c r="H35" s="1" t="n">
        <v>46073</v>
      </c>
      <c r="I35" t="inlineStr">
        <is>
          <t>**Want to help us help others? We're hiring!**
GoFundMe is the world's most powerful community for good, dedicated to helping people help each other. By uniting individuals and nonprofits in one place, GoFundMe makes it easy and safe for people to ask for help and support causes—for themselves and each other. Together, our community has raised more than $40 billion since 2010\.
We're looking for a Staff Product Manager to own high impact product areas across the donor experience. This role sits at the intersection of customer empathy, data, and emerging AI \-building experiences that increase donor trust, conversion, and long\-term engagement while delivering measurable business outcomes.
**Candidates considered for this role will be located in the San Francisco Bay Area. There will be an in\-office requirement of 3x a week**
#### **What You'll Do**
* Lead the end\-to\-end checkout experience, driving improvements in conversion, payment success rates, and donor retention
* Build delightful, intuitive experiences grounded in customer empathy and real\-world behavior
* Leverage data, experimentation, and customer feedback to increase conversion.
* Operate with end\-to\-end accountability \-from problem definition through delivery, optimization, and scale but in a way that you are leveraging the system and collaborating with others.
* Work cross\-functionally with engineering, design, go\-to\-market, and data science partners to execute effectively
* Act as the voice of the customer, deeply understanding user needs, motivations, and pain points
* Use qualitative and quantitative insights to inform product and GTM decisions, define success metrics, and track outcomes
* Champion your product internally \- building clarity, excitement, and alignment across teams while influencing without authority.
* Drive strong execution by transforming ambiguity into disciplined execution \- defining scope, sequencing work, mitigating risks, coordinating stakeholders, and ensuring teams deliver against commitments.
#### **You might thrive in this role if you:**
* Bring 6\+ years of product management experience, including leading growth initiatives for self\-serve SaaS products
* Are skilled in Discovery that helps identify the right problems to solve and clearly articulate what *not* to build and why
* Are highly analytical and fluent in experimentation
* Operate effectively in fast\-moving, ambiguous environments
* Excel at aligning cross\-functional teams and leading complex initiatives across product, engineering, and GTM teams
* Are AI Powered and actively use AI tools to accelerate work across the product development lifecycle \- from discovery and synthesis to PRDs, experimentation, and iteration
* Leverage tools like Cursor and other AI\-assisted workflows to improve speed, clarity, and decision quality in collaboration with Engineering and Design
* Are customer obsessed and growth minded
### **What You Bring**
* 5\+ years of product management experience with increasing scope, ownership, and measurable impact
* Proven track record of building, launching, and scaling successful products that drive customer and business outcomes.
* Strong analytical and decision\-making skills—comfortable using both data and judgment to drive outcomes
* Strong decision\-making skills grounded in data, customer insight, and sound judgment
* Hands\-on familiarity with AI tools (e.g., Cursor, LLM\-based research, prototyping, or analytics tools) and comfort applying AI across the PDLC to improve speed and quality.
* Experience working directly with customers and deeply analyzing consumer behavior and market trends
* Ability to operate independently, manage ambiguity, and perform at a fast pace under pressure
* Exceptional communication skills with the ability to align teams, present to senior leadership, and drive execution
* Humility, curiosity, and a bias toward learning
**Nice to Have**
* MBA from a leading program, ideally focused on technology or entrepreneurship
* BA/BS in a technical field
* Background in management consulting
* Experience in fintech, payments, donations, or multi\-stakeholder platforms
#### **Why This Role Matters**
You'll shape products that don't just grow revenue—but build trust, unlock value for customers, and create durable impact. This is a high\-autonomy role for a product leader who thinks like a founder, ships with purpose, and is excited about what's next.
**Why you'll love it here**
* **Make an Impact**: Be part of a mission\-driven organization making a positive difference in millions of lives every year.
* **Innovative Environment**: Work with a diverse, passionate, and talented team in a fast\-paced, forward\-thinking atmosphere.
* **Collaborative Team**: Join a fun and collaborative team that works hard and celebrates success together.
* **Competitive Benefits**: Enjoy competitive pay and comprehensive healthcare benefits.
* **Holistic Support**: Enjoy financial assistance for things like hybrid work, family planning, along with generous parental leave, flexible time\-off policies, and mental health and wellness resources to support your overall well\-being.
* **Growth Opportunities**: Participate in learning, development, and recognition programs to help you thrive and grow.
* **Commitment to DEI**: Contribute to diversity, equity, and inclusion through ongoing initiatives and employee resource groups.
* **Community Engagement**: Make a difference through our volunteering program.
**We live by our core values:** *impatient to be great*, *find a way*, *earn trust every day*, *fueled by purpose*. Be a part of something bigger with us!
GoFundMe is proud to be an equal opportunity employer that actively pursues candidates of diverse backgrounds and experiences. We do not discriminate on the basis of race, color, religion, ethnicity, nationality or national origin, sex, sexual orientation, gender, gender identity or expression, pregnancy status, marital status, age, medical condition, mental or physical disability, or military or veteran status.  
The total annual salary for this full\-time position is $181,000\- $240,000 \+ equity \+ benefits. The company also offers equity and other benefits to employees, including healthcare, dental, vision, life insurance and 401(k) saving program. In addition to this wage, there are geolocation differentials that will increase pay depending on the work location. Additionally pay may vary depending on other factors including skills, experience, education, or training. Your recruiter can share more about the **specific total compensation package** based on your location during the hiring process.
If you require a reasonable accommodation to complete a job application or a job interview or to otherwise participate in the hiring process, please contact us at accommodationrequests@gofundme.com.
**Global Data Privacy Notice for Job Candidates and Applicants:**
Depending on your location, the General Data Protection Regulation (GDPR) or certain US privacy laws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**Learn more about GoFundMe:**
We're proud to partner with GoFundMe.org, an independent public charity, to extend the reach and impact of our generous community, while helping drive critical social change. You can learn more about GoFundMe.org's activities and impact in their FY '25 annual report.
Our annual "Year in Help" report reflects our community's impact in advancing our mission of helping people help each other.
For recent company news and announcements, visit our Newsroom.</t>
        </is>
      </c>
    </row>
    <row r="36">
      <c r="A36" t="inlineStr">
        <is>
          <t>in-cfe5dac3c16bede7</t>
        </is>
      </c>
      <c r="B36" t="inlineStr">
        <is>
          <t>AIA Program Manager - East</t>
        </is>
      </c>
      <c r="C36" t="inlineStr">
        <is>
          <t>CHI Overhead Doors</t>
        </is>
      </c>
      <c r="D36" t="inlineStr">
        <is>
          <t>indeed</t>
        </is>
      </c>
      <c r="E36" t="inlineStr"/>
      <c r="F36" t="inlineStr"/>
      <c r="G36" t="inlineStr">
        <is>
          <t>Charlotte, NC, US</t>
        </is>
      </c>
      <c r="H36" s="1" t="n">
        <v>46072</v>
      </c>
      <c r="I36" t="inlineStr">
        <is>
          <t>**Job Details**
**Division:****CHI Overhead Doors**
**Location:****Charlotte****,** **NC****,** **United States**
**Other Available Locations:****North Carolina; Georgia; Tennessee**
**Welcome to Nucor, where our unique culture sets us apart. Joining Nucor means becoming part of North America's largest steel and steel products manufacturer, offering unmatched career opportunities and stability. We are known for our innovative sustainability practices and are the continent's largest recycler. Our vibrant culture, built on personal connections and teamwork, empowers every team member with the freedom to innovate and contribute to our collective success. Experience a workplace where safety, efficiency, and meaningful personal connections define every day, enriching both our teammates and the communities we serve.**
**Nucor supports its teammates with top\-tier benefits like Medical, Dental, Vision, and Disability Insurance, 401K and Roth accounts, Profit sharing, Pay\-for\-performance bonuses, Paid parental leave, Tuition reimbursement, Stock program, Scholarships and more.**
**Basic Job Functions:**
------------------------
CHI Overhead Doors is seeking a driven, organized, and professional candidate for the position of **AIA Program Manager** to lead CHI Overhead Doors AIA Lunch \&amp; Learn program and serve as a primary liaison to the architecture, design, and building community. This position will play a critical role in building brand awareness and generating high\-quality leads that support our national sales team and dealer network.
This hybrid position requires a strong communicator who can present confidently to groups of professionals, manage logistics independently, and represent CHI Overhead Doors sectional and rolling steel door solutions in the commercial and residential space.
The AIA Program Manager will be responsible for the full scope of AIA Lunch \&amp; Learn execution, including, but not limited to, scheduling and delivering accredited presentations, customizing sessions to specific verticals, and managing all related logistics such as travel, catering, and on\-site setup. The position also oversees post\-session follow\-up, including AIA certification and lead documentation in Microsoft Dynamics CRM.
This position will also lead efforts to develop and qualify architecture and design (A\&amp;D) leads, working closely with Regional Sales Managers, Commercial Sales Managers, dealers, and other CHI Overhead Doors teammates to coordinate presentations and share new opportunities. Maintaining accurate firm and contact records in Microsoft Dynamics and documenting session outcomes will be essential for success.
In addition, the successful candidate will contribute cross\-functionally by mentoring newer RSMs and CRMs on specific door solution applications, supporting dealer training in the field, and continuously improving the AIA presentation program and related processes.
The ideal candidate must have the ability to manage frequent nationwide travel (approx. 50%) and work effectively in a remote or hybrid setting. They must be comfortable balancing presentation delivery, logistics, and relationship\-building efforts in a fast\-paced, dynamic environment.
The successful candidate will uphold Nucor’s values such as integrity, work ethic, and personal responsibility. Safety is the most important part of all jobs within Nucor; therefore, candidates must be able to demonstrate the ability to initiate, lead, and uphold safety policies, practices, procedures, and housekeeping standards at all times.
**Compensation Data**
---------------------
**Starting Base Salary Range: $89,104\.19\-$98,231\.85**
ROA Bonus
ROA Bonus percentage is variable, determinate upon company performance each year, up to 33% of annual salary.
Profit\-Sharing
10% of Nucor’s pre\-tax earnings are contributed to the Profit Sharing Plan annually and distributed to all eligible teammates. A large portion is deposited into your profit\-sharing account, and a smaller portion is distributed in cash. Current 6\-year average \= 19\.88% of your eligible earnings. Eligible earnings include regular pay, overtime, and bonus.
**Benefits**
------------
C.H.I. Overhead Doors, a Nucor company, is proud to offer industry\-leading benefits to its teammates. Visit nucor.com/benefits to learn more. These benefits include, but are not limited to:
* Annual Profit\-Sharing Bonus
* 401K program with company match
* Paid maternity \&amp; Paternity leave
* Paid time off, 11 paid holidays, 1 personal day
* Short\-term disability/sick pay
* Zero\-deductible medical \&amp; dental insurance
* Vision insurance
* On\-Site Health Clinic in Arthur, IL (free for teammates' \&amp; their covered spouses \&amp; dependents)
* Teladoc (free virtual access to medical, dermatology, and mental health professionals)
* No\-cost physical therapy \&amp; wellness programs
* Nucor stock purchase plan with company match
**Minimum Qualifications:**
---------------------------
* Bachelor's Degree
**Preferred Qualifications:**
-----------------------------
* Familiarity with CHI Overhead Doors products, applications, and sales processes.
* Strong understanding of CHI Overhead Doors customer segments, applications, and value proposition. Experience with continuing education (CEU) programs is a plus.
* Understanding of CHI Overhead Doors key markets
* Previous experience coordinating or delivering educational presentations
* Microsoft Dynamics fluency
 ***Nucor is an Equal Opportunity/Affirmative Action Employer – M/F/Disabled/Vets – and a drug – free workplace***</t>
        </is>
      </c>
    </row>
    <row r="37">
      <c r="A37" t="inlineStr">
        <is>
          <t>in-7414165c15a8699a</t>
        </is>
      </c>
      <c r="B37" t="inlineStr">
        <is>
          <t>AIA Program Manager - West</t>
        </is>
      </c>
      <c r="C37" t="inlineStr">
        <is>
          <t>CHI Overhead Doors</t>
        </is>
      </c>
      <c r="D37" t="inlineStr">
        <is>
          <t>indeed</t>
        </is>
      </c>
      <c r="E37" t="inlineStr"/>
      <c r="F37" t="inlineStr"/>
      <c r="G37" t="inlineStr">
        <is>
          <t>Salt Lake City, UT, US</t>
        </is>
      </c>
      <c r="H37" s="1" t="n">
        <v>46072</v>
      </c>
      <c r="I37" t="inlineStr">
        <is>
          <t>**Job Details**
**Division:****CHI Overhead Doors**
**Location:****Salt Lake City****,** **UT****,** **United States**
**Other Available Locations:****Utah; Arizona; Colorado**
**Welcome to Nucor, where our unique culture sets us apart. Joining Nucor means becoming part of North America's largest steel and steel products manufacturer, offering unmatched career opportunities and stability. We are known for our innovative sustainability practices and are the continent's largest recycler. Our vibrant culture, built on personal connections and teamwork, empowers every team member with the freedom to innovate and contribute to our collective success. Experience a workplace where safety, efficiency, and meaningful personal connections define every day, enriching both our teammates and the communities we serve.**
**Nucor supports its teammates with top\-tier benefits like Medical, Dental, Vision, and Disability Insurance, 401K and Roth accounts, Profit sharing, Pay\-for\-performance bonuses, Paid parental leave, Tuition reimbursement, Stock program, Scholarships and more.**
**Basic Job Functions:**
------------------------
CHI Overhead Doors is seeking a driven, organized, and professional candidate for the position of **AIA Program Manager** to lead CHI Overhead Doors AIA Lunch \&amp; Learn program and serve as a primary liaison to the architecture, design, and building community. This position will play a critical role in building brand awareness and generating high\-quality leads that support our national sales team and dealer network.
This hybrid position requires a strong communicator who can present confidently to groups of professionals, manage logistics independently, and represent CHI Overhead Doors sectional and rolling steel door solutions in the commercial and residential space.
The AIA Program Manager will be responsible for the full scope of AIA Lunch \&amp; Learn execution, including, but not limited to, scheduling and delivering accredited presentations, customizing sessions to specific verticals, and managing all related logistics such as travel, catering, and on\-site setup. The position also oversees post\-session follow\-up, including AIA certification and lead documentation in Microsoft Dynamics CRM.
This position will also lead efforts to develop and qualify architecture and design (A\&amp;D) leads, working closely with Regional Sales Managers, Commercial Sales Managers, dealers, and other CHI Overhead Doors teammates to coordinate presentations and share new opportunities. Maintaining accurate firm and contact records in Microsoft Dynamics and documenting session outcomes will be essential for success.
In addition, the successful candidate will contribute cross\-functionally by mentoring newer RSMs and CRMs on specific door solution applications, supporting dealer training in the field, and continuously improving the AIA presentation program and related processes.
The ideal candidate must have the ability to manage frequent nationwide travel (approx. 50%) and work effectively in a remote or hybrid setting. They must be comfortable balancing presentation delivery, logistics, and relationship\-building efforts in a fast\-paced, dynamic environment.
The successful candidate will uphold Nucor’s values such as integrity, work ethic, and personal responsibility. Safety is the most important part of all jobs within Nucor; therefore, candidates must be able to demonstrate the ability to initiate, lead, and uphold safety policies, practices, procedures, and housekeeping standards at all times.
**Compensation Data**
---------------------
**Starting Base Salary Range: $89,104\.19\-$98,231\.85**
ROA Bonus
ROA Bonus percentage is variable, determinate upon company performance each year, up to 33% of annual salary.
Profit\-Sharing
10% of Nucor’s pre\-tax earnings are contributed to the Profit Sharing Plan annually and distributed to all eligible teammates. A large portion is deposited into your profit\-sharing account, and a smaller portion is distributed in cash. Current 6\-year average \= 19\.88% of your eligible earnings. Eligible earnings include regular pay, overtime, and bonus.
**Benefits**
------------
C.H.I. Overhead Doors, a Nucor company, is proud to offer industry\-leading benefits to its teammates. Visit nucor.com/benefits to learn more. These benefits include, but are not limited to:
* Annual Profit\-Sharing Bonus
* 401K program with company match
* Paid maternity \&amp; Paternity leave
* Paid time off, 11 paid holidays, 1 personal day
* Short\-term disability/sick pay
* Zero\-deductible medical \&amp; dental insurance
* Vision insurance
* On\-Site Health Clinic in Arthur, IL (free for teammates' \&amp; their covered spouses \&amp; dependents)
* Teladoc (free virtual access to medical, dermatology, and mental health professionals)
* No\-cost physical therapy \&amp; wellness programs
* Nucor stock purchase plan with company match
**Minimum Qualifications:**
---------------------------
* Bachelor's Degree
**Preferred Qualifications:**
-----------------------------
* Familiarity with CHI Overhead Doors products, applications, and sales processes.
* Strong understanding of CHI Overhead Doors customer segments, applications, and value proposition. Experience with continuing education (CEU) programs is a plus.
* Understanding of CHI Overhead Doors key markets
* Previous experience coordinating or delivering educational presentations
* Microsoft Dynamics fluency
 ***Nucor is an Equal Opportunity/Affirmative Action Employer – M/F/Disabled/Vets – and a drug – free workplace***</t>
        </is>
      </c>
    </row>
    <row r="38">
      <c r="A38" t="inlineStr">
        <is>
          <t>in-66e28c2205e2b3a1</t>
        </is>
      </c>
      <c r="B38" t="inlineStr">
        <is>
          <t>First Steps Program Manager (Project/Program Manager IV)</t>
        </is>
      </c>
      <c r="C38" t="inlineStr">
        <is>
          <t>King County, WA</t>
        </is>
      </c>
      <c r="D38" t="inlineStr">
        <is>
          <t>indeed</t>
        </is>
      </c>
      <c r="E38" t="inlineStr"/>
      <c r="F38" t="inlineStr"/>
      <c r="G38" t="inlineStr">
        <is>
          <t>Seattle, WA, US</t>
        </is>
      </c>
      <c r="H38" s="1" t="n">
        <v>46072</v>
      </c>
      <c r="I38" t="inlineStr">
        <is>
          <t>**Summary**
-----------
Department of Public Health’s Parent\-Child Program is seeking a **Project/Program Manager IV (First Steps Program Manager)**. This program manager will be responsible for leading and coordinating the programmatic and operational aspects of the following programs within the Parent Child Health (PCH) section of CHS, in addition to others as needed: First Steps – Maternity Support Services/Infant Case Management (MSS/ICM); and Children with Special Health Care Needs (CSHCN), Nurse\-Family Partnership program administration.
The successful candidate for this position will demonstrate experience, knowledge, and skills in program and project management, quality improvement, and communications. They will ensure the work within each of these programs is aligned with CHS's priorities, with particular focus on pregnant and parenting individuals, children, and families.
**Background**
**About the Community Health Services (CHS) Division**
Community Health Services ensures the provision of clinical health care services in King County through policy and planning work with partners, as well as the direct provision of clinical services. CHS include Parent\-Child Health services, preventive and Primary Care services, oral health services, homeless healthcare, and youth health services.
***Note: This posting will create a list of qualified candidates that may be considered for selection of additional vacancies of the same position type over the next 6 months.***
**Commitment To Equity and Social Justice**
Named after Dr. Martin Luther King, Jr., one of the most influential civil rights leaders in our nation's history, King County is a vibrant international community with residents that represent countries from around the world. It is a region with increasing diversity that cherishes the traditions of many cultures.
The county government has a deep commitment to equity and social justice and advancing practices, strategies, and policies that promote fairness, justice, and opportunity for all – in our workplaces and our communities. With this commitment, King County has adopted a pro\-equity agenda to advance regional change and ensure that residents from all communities are incorporated into our emergency planning and public outreach efforts.
We recognize that structural racism consists of principles and practices that cause and justify an inequitable distribution of rights, opportunities, and experiences across racial groups. Since declaring Racism is a Public Health Crisis in June 2020, King County and Public Health committed to being intentionally anti\-racist and accountable to Black, Indigenous and People of Color communities.
To learn more, please visit http://www.kingcounty.gov/elected/executive/equity\-social\-justice.aspx
**Work Schedule**
Typical schedule for this position is between the hours of 8:30 am to 6:00 pm (to be determined with candidate and supervisor). This is an exempt position and is not subject to the Fair Labor Standards Act and is not overtime eligible.
**Remote and Onsite Work**
The First Steps team works in a hybrid model, with days in the office as well as telecommuting. The ratio of remote to onsite work will be dependent on business needs and is subject to change. The primary onsite location is Chinook Building, located at 401 5th Ave, Seattle, WA 98104*.*  
Employees must reside in Washington state and within a reasonable distance to their King County worksite to respond to workplace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**Job Duties**
--------------
* Manage, oversee, coordinate, and contribute to program administration and support activities for various Parent Child Health Programs and contracts, including, but not limited to First Steps (MSS/ICM), and Children with Special Health Care Needs (CSHCN).
* Collaborate with managers, supervisors, and direct service teams to identify priorities, implement program initiatives and changes, maintain program quality, and assess resource needs.
* Work with the program administration team to develop and share tools and trainings that support direct service teams.
* Ensure program compliance and quality assurance.
* Consult with managers and supervisors related to staffing and hiring.
* Coordinate and collaborate with program managers, supervisors, staff, and key stakeholders in other programs, particularly other PCH programs and those co\-located with PCH programs.
* Build and maintain relationships with key community partners.
* Identify and implement staff development opportunities.
* Contribute to and co\-lead work to establish and maintain robust evaluation of PCH programs.
* Gather, manipulate, and utilize data to track program demand and performance.
* Monitor revenues and expenditures – including federal, state, and other grants, patient generated Medicaid and FQHC revenue, and Medicaid matching funds earned through specific activities.
* Lead, mentor, and supervise a multidisciplinary team who provides practice and program support to various PCH teams.
**Experience, Qualifications, Knowledge, Skills**
-------------------------------------------------
**Our ideal candidate will demonstrate the following (Minimum):**
* Recent experience (in the last 2 years) of leading and supervising a multi\-disciplinary team of people.
* Direct experience with Maternity Support Services (MSS)/First Steps Programs.
* Experience with program planning; data generation and monitoring.
* Experience working in programs that have a program compliance and quality assurance function.
* Experience monitoring program revenues and expenditures.
**The most competitive applicants will have the following experiences and qualifications (Desired):**
* General knowledge of Maternal/Parent Child Health programs, health services administration, including principles and practices of health care financing, health information technology, and program management.
* General knowledge of health services administration, including principles and practices of health care financing, health information technology, and program management.
* Two or more years of recent direct supervision experience in Parent Child Health programs or other similar programs.
* Deep knowledge of and commitment to racial equity and social justice principles and practices; understanding of the effects of place\-, race\- and policy and systems\-based inequities on marginalized communities and populations.
* Experience with and commitment to serving marginalized populations.
* Knowledge of the social determinants of health and drivers of health inequity.
* Knowledge of and experience with community health as it relates to pregnancy, post\-pregnancy, infancy, and early childhood.
* Demonstrated ability to lead, mentor, and direct the work of a multi\-disciplinary team.
* Ability to build respectful and productive relationships with internal colleagues and external partners; establish and maintain effective working relationships with multiple, diverse stakeholders.
* Demonstrated ability to effectively facilitate groups and interact with people in collaborative ways.
* Experience in successfully organizing, planning, and managing large projects or modernization initiatives.
* Ability to work under deadlines, work on multiple tasks simultaneously, organize and prioritize work quickly in response to changing needs.
* Analytical and problem\-solving skills, in particular the demonstrated ability to analyze and summarize data, as well as customer and stakeholder input for decision makers; experience using data to make program and system improvements and writing and sharing effective reporting tools.
* Ability to communicate with clarity, sensitivity, and tact, both orally and in writing.
* Knowledge of the health care safety net system, including community health centers, mental health providers and other health and human service providers, which provide services to low\-income, uninsured, and underinsured populations.
**Supplemental Information**
----------------------------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**Who May Apply**
This position is open to all qualified candidates.  
The following items are required to be considered for this vacancy:* **NEOGOV Job Application** *(The responses on your job application should be thorough and complete and will be used in the screening process)*
* **Supplemental Questions** *(The responses to the supplemental questions should be thorough and complete and will be used in the screening process)*
* **Cover letter** *(Expressing interest in this position)*
 ***Please note: additional attachments will not be reviewed as part of the evaluation process if not outlined as a required application material as outlined above.***  
Your application may be rejected as incomplete if you do not include the relevant information in the application. Cover letters and/or resumes are not accepted in lieu of a completed application. Applications and/or Supplemental Questionnaires that state "see my resume" or "see my personnel file" are considered incomplete and will not be accepted. **Necessary Special Requirements*** The selection process may include evaluation of application materials and supplemental questions, interviewing, and testing. You must completely fill out the application with your relevant education and work experience.
* **The selected candidate must be able to pass a thorough background investigation, but findings may not necessarily disqualify an applicant for employment.**
* For more information on our selection process, please refer to www.kingcounty.gov/depts/health/jobs/hiring. For tips on interviewing, please visit https://www.kingcounty.gov/\~/media/audience/employees/learning\-and\-development/Interview\_Tips.ashx?la\=en.
* Employees are required to protect the privacy and security of protected health information as defined in State and Federal Law.
* Public Health relies on office automation (Microsoft Office) and web\-based enabled tools, therefore candidates must be proficient and comfortable with computer use to perform functions associated with on\-going work.
* Employees are required to adhere to OSHA/WISHA guidelines including but not limited to completing their mandatory trainings on time and obtaining required immunizations.
* Regular and reliable attendance, effective communication skills, and development of effective working relationships are requirements of all Public Health positions.
* **When Public Health responds to an emergency, and in accordance with relevant CBA language and/or KC policy and procedures, we may assign duties outside your regular job description. This may involve responding at any time, including nights and weekends, with possible deployment to locations other than the department.**
* If you need this announcement in an alternate language or format, would like to request accommodation or assistance in the application or assessment process or if you have questions please contact your recruiter listed on this job announcement.
 **Union Membership**
This position is not represented by a labor union. **Contact**
For questions about this recruitment, please contact Salyse Duckworth, HR Analyst at sduckworth@kingcounty.gov.</t>
        </is>
      </c>
    </row>
    <row r="39">
      <c r="A39" t="inlineStr">
        <is>
          <t>in-aefe76c5c5ec39fb</t>
        </is>
      </c>
      <c r="B39" t="inlineStr">
        <is>
          <t>Senior Business Analyst - Data Analytics Platform Product Manager</t>
        </is>
      </c>
      <c r="C39" t="inlineStr">
        <is>
          <t>King County, WA</t>
        </is>
      </c>
      <c r="D39" t="inlineStr">
        <is>
          <t>indeed</t>
        </is>
      </c>
      <c r="E39" t="inlineStr"/>
      <c r="F39" t="inlineStr"/>
      <c r="G39" t="inlineStr">
        <is>
          <t>Seattle, WA, US</t>
        </is>
      </c>
      <c r="H39" s="1" t="n">
        <v>46072</v>
      </c>
      <c r="I39" t="inlineStr">
        <is>
          <t>**Summary**
-----------
**Come make a difference and join team Metro!**
King County Metro’s Business Intelligence team is seeking an exceptional leader to serve as the **Senior Business Analyst – Data Analytics Platform Product Manager**. This role is a Scrum Product Owner responsible for guiding the strategy, development, maintenance, and continuous improvement of Metro’s enterprise data warehouse and related business intelligence products (Azure Synapse / Databricks / Power BI). The successful candidate will blend strong business analysis expertise, platform expertise and experience, and product management leadership to ensure Metro’s data analytics platform, tools, and processes effectively support operational, strategic, and equity\-focused decision making across the agency.
This role is primarily responsible for interfacing with cross functional teams to understand business needs, translate them into technical requirements, and deliver data products that support Metro’s operational and strategic goals. The position facilitates analytical work, evaluates business processes, and helps develop meaningful performance measures and KPIs that drive improvement across the organization. As the Data Analytics Platform Product Manager, the role guides the development and enhancement of Metro’s data systems by managing product backlogs, prioritizing features, and collaborating with developers, and end\-users. It also supports Agile workflows, ensures reliable and secure data access and reporting, and works with internal and external partners to strengthen data sharing practices, governance, and the overall usability of Metro’s data warehouse analytics platform.
**About the Business Intelligence Team**  
The Business Intelligence Team falls within Metro's Finance \&amp; Administration division. Metro's Finance and Administration division supports other Metro divisions and department leadership by providing consistent and cross\-functional enterprise\-wide support services to advance Metro's strategies and targets through evidence\-based management. The Business Intelligence team serves this function by developing data structures through the development of a data warehouse and the creation of data products such as data visualization, analytics and tool development. The Business Intelligence team also drives the growth of business literacy throughout the organization by developing a data\-based business review process focused on continuous improvement.
**Position Info:** This recruitment will be used to fill one (1\) Career Service (CS) Senior Business Analyst classification vacancy. In addition, this selection process may be used to generate an eligibility list for future Special Duty Assignment (SDA), Term Limited Temporary (TLT), and Career Service (CS) vacancies that may occur in this classification within this workgroup. The eligibility list will be retained for 12 months from the date of posting and may be used at the discretion of the hiring authority.
**Job Duties**
--------------
Applying equity and social justice principles is a daily responsibility and foundational expectation for all King County employees. In this role, you will apply equity and social justice principles that exemplify shared values, behaviors, and practices to all aspects of this work. This position is comprised of the following core duties:
* Lead product or program management activities for data warehouse and business intelligence products
* Apply Scrum and Agile development processes and serve in a Product Owner capacity
* Oversee multiple concurrent projects and ensure timely delivery of data solutions
* Translate business requirements into technical specifications and communicate effectively between developers and \-end\-users
* Build and maintain internal and external partnerships to support data sharing and governance
* Support modern data engineering and analytics work using Python and Databricks
Use T* \-SQL, Azure DevOps, and other technical tools to support data product development
* Provide people management support such as guiding individuals, teams, facilitating work, and coordinating efforts
* Design, develop, implement, and maintain reporting tables, metrics, and reports that drive key business decisions using third party BI applications.
* Prepare performance dashboards, regular performance reports, and summaries of results and interpretations of findings for a wide range of audiences including agency leadership, employees, and community representatives.
* Utilize excellent verbal and written communication skills in order to interact professionally with diverse groups, senior leaders, managers, subject\-matter experts, and convey technical information to non\-technical users.
* Maintain system data and system integrity by evaluating and coordinating the correction of system problems, developing solutions, and resolution documentation.
* Develop, maintain, and update MS Teams and SharePoint systems and applications.
* Analyze, design, and monitor system functionality. Gather, define, and translate complex system requirements into functional specifications.
* Document findings and specifications, develop system integration test plans, and propose efficiencies and business process improvements.
* Research, design, data map, develop, test, implement, train and document enterprise application systems, BI reports, application modifications, business process improvements, system configuration changes, and other related application functions.
* Analyze and test proposed system interfaces, enhancements, and upgrades prior to implementation. Develop acceptance criteria.
* Provide support and training to end users on system software and tools.
* Lead multidisciplinary teams to carry out complex studies and analyses to define business requirements and alternative options for improvements for a variety of operational, procedural, and management issues.
* Act as consultant and primary advisor to all levels of management across division and department lines; serve as expert technical resource for cross\-functional, inter\-departmental projects and project teams.
* Support business teams in identifying and delivering significant and quantifiable business process improvements through the application of process improvement methodologies such as Lean and Six Sigma. Initiate and lead problem solving efforts, working closely with internal and external stakeholders.
* Support multidisciplinary teams in the use of performance feedback systems and visual management tools to assess the health of the organization.
* Engage line/process/department personnel in all phases of improvement efforts including value stream mapping, creating standard work, and implementing daily management systems.
* Perform other duties as assigned.
**Experience, Qualifications, Knowledge, Skills**
-------------------------------------------------
**We are looking for candidates who have:**
* A bachelor’s degree or certification in business, business analytics, data science, computer science, management information systems, or related field, AND a minimum of four (4\) years related business process analysis and improvement experience, which includes two (2\) or more years of facilitation and/or leadership experience; OR a combination of experience and education that provides the required knowledge, skills, and abilities to perform the responsibilities of the position.
* Advanced knowledge of analysis, design, and development and maintenance of complex business and data management systems.
* Knowledge and experience with data warehouse product or program management.
* Knowledge of Scrum and Agile Development processes and procedures.
* Knowledge and experience with project management techniques methodologies and tools.
* Two (2\) or more years of experience with using Microsoft Power BI (Business Intelligence) or similar BI tools.
* Intermediate to advanced proficiency with Microsoft Excel.
* Skill in using office software programs including word processing, spreadsheets, databases statistical analysis tools, presentation, cloud based collaboration tools, and email.
* Knowledge and skill in application of statistical analysis of variance concepts and theories for identification of benchmarks, trends, and anomalies.
* Knowledge and skill with performance management processes, data analysis and strategy.
* Skill and experience analyzing qualitative and quantitative data, solving complex analytical problems, and making recommendations based on analysis of data and information.
* Skill in translating business requirements into technical requirements/language and vice versa; experience in liaising between developers and end users
* Ability to manage multiple projects.
* Skill and experience working with a variety of individuals from diverse backgrounds and organizational roles, breaking down barriers to open communication and developing/maintaining collaborative relationships
* Experience working with diverse groups including executives, senior leaders, managers, subject matter experts, customers, technical and non\-technical audiences.
* Strong verbal and written communication skills, including preparing clear, concise reports and making presentations to diverse audiences
* Strong customer service skills and knowledge
* Strong team building skills
* Skill and ability to coach, mentor, train and/or teach adult learners
* Knowledge and understanding of group dynamics and change management methods
* Knowledge and understanding of Equity and Social Justice principles
**Highly competitive candidates will have (desired, but not required):**
* Knowledge/Experience with SharePoint administration
* Knowledge/Experience with data processing languages/tools such as SQL, R, SPSS, python and Databricks
* Knowledge/Experience using Azure DevOps
* Knowledge/Experience with user access management
* Experience as a Scrum Product Owner
* Experience working with large public sector agencies or governmental organizations
* Knowledge of King County Metro’s operations, mission, and policies
* Knowledge of King County Metro data systems and tools
* Knowledge of process improvement methods and techniques such as Lean and Six Sigma
* Knowledge and/or experience with GIS tools such as ArcGIS, etc.
* People management or supervisory experience
**Supplemental Information**
----------------------------
**Who may apply:** We are accepting applications from all qualified individuals including current King County employees and the general public.
**To Apply**
The following application materials are required:
* An online King County application updated with accurate contact information and relevant work history.
* Resume
* Completed supplemental questions.
* A letter of interest (cover letter) that addresses why you are interested in this role and how your experience, skills and/or education have prepared you for this position.
**Selection Process:**
Applications that do not include all of the required materials listed above will not be considered. Only the materials explicitly requested will be reviewed—additional documents or information will not be evaluated. Application materials will be screened for completeness and competitiveness. The most competitive candidates may be invited to participate in one or more interviews and possibly other selection process elements. Final offers are contingent on successful completion of reference checks and/or a record review.
If you need this announcement in an alternate language or format, would like to request accommodation or assistance in the application/assessment process, or have questions, please contact: Sabrina Brazzle at sbrazzle@kingcounty.gov.
**Other Position Information**  
**Work Location:** This is a hybrid position. The team works in a hybrid model, with days in the office as well as telecommuting. Currently the team is required to work 1 day in office on Tuesdays each week. In office requirements are anticipated to increase to 2\-3 days per week in 2026\. The ratio of remote to onsite work will be dependent on business needs and is subject to change. The primary onsite location is King Street Center, 201 S. Jackson, Seattle, Washington 98104*.*
Employees must reside in Washington state and within a reasonable distance to their King County worksite to respond to workplace reporting requirements.
King County has a robust collection of tools and resources to support working remotely. The individual selected for this opportunity will join an innovative and progressive team that is redefining how we work as we transition to the department's hybrid environment. Employees will be provided with a County\-issued laptop and must maintain a home workspace with an internet connection where they can reliably perform work and remain available and responsive during scheduled work hours.  
**Work Schedule:** The position is exempt from the provisions of the Fair Labor Standards Act and is not overtime eligible. The typical workweek is 40 hours per week, Monday – Friday.  
**Union Representation:** The position is represented by PROTEC17: Professional and Technical Employees, Local 17  
**Class Code:** 2811200 BUSINESS ANALYST \- SENIOR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t>
        </is>
      </c>
    </row>
    <row r="40">
      <c r="A40" t="inlineStr">
        <is>
          <t>in-f2c3e756c99b8c2f</t>
        </is>
      </c>
      <c r="B40" t="inlineStr">
        <is>
          <t>Principal Technical Program Manager - Federal Health</t>
        </is>
      </c>
      <c r="C40" t="inlineStr">
        <is>
          <t>Oracle</t>
        </is>
      </c>
      <c r="D40" t="inlineStr">
        <is>
          <t>indeed</t>
        </is>
      </c>
      <c r="E40" t="inlineStr"/>
      <c r="F40" t="inlineStr"/>
      <c r="G40" t="inlineStr">
        <is>
          <t>US</t>
        </is>
      </c>
      <c r="H40" s="1" t="n">
        <v>46071</v>
      </c>
      <c r="I40" t="inlineStr">
        <is>
          <t>We are seeking a driven, strategic, analytical, and seasoned technical program manager (TPM) with experience in a high\-growth technology business. We are specifically looking for an experienced Technical Program Manager with experience at getting things done at scale. Think working with cross functional teams across a large organization, moving team towards a unified goal and north star. You drive results, not just facilitate. You possess high judgement and are a “roll your sleeve up” person with a bias for action. You need to possess strong ownership and a strong ability to collaborate. Within this role, you will be responsible for managing complex, cross\- organizational/functional programs that impact both product and business.
Our Oracle Health \&amp; Analytics Federal PMO team focuses on product operations and product strategy for Oracle Health, while building out a complete platform supporting modernized, automated healthcare. To be successful in this role you need to have an entrepreneurial spirit that promotes an energetic and creative environment. We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The Oracle Health team is building a team of highly analytical technical program managers to solve the critical and challenging problems that our customers face. In this role you will have the responsibility of ensuring that our customer’s business requirements are met.
Soft skills to motivate, direct without authority, mentor, and build bridges and relationships are a must. We are specifically looking for an experienced and customer centric technical program manager to join the Oracle Health Group. You will be responsible for managing complex, cross\- organizational programs that impact both product and business for Oracle Health and will have exposure to multiple critical business initiatives. Our team is expanding, and a strong program management leader is needed. You display a demonstrated ability to think broadly and strategically.
Career Level IC4
* Ability to obtain \&amp; maintain a Federal Security Clearance, which requires US Citizenship
* Drive projects/programs, processes and procedures that monitor and support the customer business objectives.
* Influence partner teams without direct authority to ensure business needs and goals are met.
* Manage roadmaps among cross\-functional teams as well as interrelated and independent application and / or infrastructure changes; track and report on program achievements.
* Drive execution for on\-time, on\-scope delivery of user and developer facing features.
* Ensure high standards and consistency for the Oracle customer experience.
* Recommend process improvements and serve as a partner concern point for all issues and questions associated with a project/program.
* Ensure that resource requirements needed to support a particular project/program are in place.
* Provide ongoing written and verbal release status updates to senior leadership. Influence partner teams without direct authority to ensure business needs and goals are met.
* Solid grasp of the business side of technology with an understanding and zeal for metrics/analysis to deliver on business objectives.
* Strong JIRA, Confluence, Excel and PowerPoint writing skills
* Own programs without ego
\#LI\-JO2</t>
        </is>
      </c>
    </row>
    <row r="41">
      <c r="A41" t="inlineStr">
        <is>
          <t>in-5d57766aa5928a57</t>
        </is>
      </c>
      <c r="B41" t="inlineStr">
        <is>
          <t>Data Center Operations Program Manager, JoinOCI</t>
        </is>
      </c>
      <c r="C41" t="inlineStr">
        <is>
          <t>Oracle</t>
        </is>
      </c>
      <c r="D41" t="inlineStr">
        <is>
          <t>indeed</t>
        </is>
      </c>
      <c r="E41" t="inlineStr"/>
      <c r="F41" t="inlineStr"/>
      <c r="G41" t="inlineStr">
        <is>
          <t>Broomfield, CO, US</t>
        </is>
      </c>
      <c r="H41" s="1" t="n">
        <v>46071</v>
      </c>
      <c r="I41" t="inlineStr">
        <is>
          <t>**Job Summary:**  
The Program Manager is responsible for planning, executing, and closing multiple interrelated projects within the organization. This role partners with cross\-functional teams—including engineering, product management, operations, and executive leadership—to deliver complex programs on time, within scope, and within budget. The successful candidate will possess strong leadership, organizational, and communication skills, ensuring program objectives align with corporate strategy.  
**Key Responsibilities:**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Mentor and guide project managers and junior team members.  
* 
**Qualifications:**
* Bachelor’s degree in Business, Engineering, Computer Science, or a related field; advanced degree preferred.
* 6\+ years of program or project management experience in a technology or enterprise environment.
* Strong familiarity with project management software and methodologies (e.g., Agile, Waterfall, hybrid).
* Proven experience managing complex, multi\-disciplinary programs.
* Excellent communication, negotiation, and stakeholder management skills.
* PMP or similar project management certification is an advantage.
Demonstrated ability to lead teams and deliver results in a fast\-paced, matrixed organization.  
* 
**Additional Information:**
* Some roles may require travel based on program needs.
* This position may require handling confidential and sensitive information; strong ethics and adherence to company compliance and security guidelines are essential.
Identifies, prioritizes, and successfully executes a broad portfolio of functional initiatives and programs. Plans and directs schedules for multiple programs running simultaneously. Partners closely with global cross\-functional teams to understand and capture requirements for programs. Navigates complex dependencies between cross\-functional teams and organizational priorities to optimize the critical path and addresses \&amp; mitigates risks. Effectively influences internal and external teams to prioritize; Drives mitigation plans and ensures ownership for each item and regular follow up through to program closure while ensuring resolution of risk and issues, escalating, as necessary. Provides rigorous management and analysis of overall portfolio budget (including spend and forecasted spend vs. budget, spend per program and historical trends, etc.). Establishes scalable frameworks (process, tools, etc.) for the end\-to\-end project and manages stakeholders applying project management standards and documentation best practices. Runs standups and sprint planning exercises for programs owned. Builds and maintains consistent reporting across numerous programs. Determines methods and procedures on new assignments and may coordinate activities of other personnel. Performs other duties as assigned.</t>
        </is>
      </c>
    </row>
    <row r="42">
      <c r="A42" t="inlineStr">
        <is>
          <t>in-4af226c0b8bfb3dd</t>
        </is>
      </c>
      <c r="B42" t="inlineStr">
        <is>
          <t>Crime and Intelligence Analyst (Project/Program Manager II)</t>
        </is>
      </c>
      <c r="C42" t="inlineStr">
        <is>
          <t>King County, WA</t>
        </is>
      </c>
      <c r="D42" t="inlineStr">
        <is>
          <t>indeed</t>
        </is>
      </c>
      <c r="E42" t="inlineStr"/>
      <c r="F42" t="inlineStr"/>
      <c r="G42" t="inlineStr">
        <is>
          <t>WA, US</t>
        </is>
      </c>
      <c r="H42" s="1" t="n">
        <v>46071</v>
      </c>
      <c r="I42" t="inlineStr">
        <is>
          <t>**Summary**
-----------
This is an exciting opportunity to join the King County Sheriff’s Office. The **Crime \&amp; Intelligence Analyst** will join a team of Crime \&amp; Intelligence Analysts, Data Scientists, GIS Specialists, and Statisticians in the King County Sheriff’s Office, which serves unincorporated King County, 14 Contract City Police Departments, Metro and Sound Transit Police Departments, and specialized units with the Criminal Investigation’s Division.
We are seeking candidates with the drive and experience to provide critical tactical and strategic analysis of crime and intelligence. The successful candidate will demonstrate considerable expertise and creativity to effectively utilize proactive policing tools, critical thinking, and analytic techniques with intelligence\-led and data driven policing. A successful analyst will be able to follow the intelligence cycle, and work to gather, clean, analyze, and disseminate vital information to inform all levels of the department, while being efficient and creative in their approach to detecting, preventing, and reducing crime to support the goals and embodying the values of the King County Sheriff’s Office.
**WHO MAY APPLY:** This position is open to the public. This recruitment will establish an employment list (valid for one year) to fill current and future Crime \&amp; Intelligence Analyst vacancies within the Sheriff's Office. For information regarding King County Civil Service Rules, visit the Civil Service website here.
**Job Duties**
--------------
The **Crime \&amp; Intelligence Analyst** will report to the Crime Analysis Unit Supervisor and/or a Police Captain and be assigned an area of responsibility (For example, precinct 4, which includes the City of Burien and unincorporated areas of King County) and execute all aspects of crime, intelligence and data analysis for their assigned area of responsibility and for the King County Sheriff’s Office as a whole.
Duties include the following:
* Coordinate, plan and develop crime and data analysis projects within the geographic area or expertise area assigned. This may include conducting research, collecting data, performing analysis, supporting criminal investigations, producing products, presentations, written reports, and bulletins.
* Work with stakeholders in the geographic area assigned to identify crime and intelligence priorities.
* Analyze and summarize findings related to crime/intelligence, such as trends, series, suspects, and locations. Prepare intelligence assessments, crime maps, link charts and create/maintain dashboards using MS Power BI, Tableau, MS excel, ESRI Arc Pro/Portal/Online, i2 and open\-source software to analyze and display data.
* Work with the MS Office Suite – Excel, Word, OneNote, PowerPoint, Teams, Planner, etc. and adobe professional to complete daily assigned tasks.
* Use MS SQL and other tools/methods to mine data from police report management and computer aided dispatch systems.
* Use quantitative and qualitative methodology such as link analysis, event flow analysis, hot spot mapping, spatial analysis and activity charting (or other mathematical and statistical methods) to analyze data and identify and evaluate crime series, patterns and trends.
* Present orally and in writing intelligence analysis to police personnel to assist in investigations, situational awareness and tactical/strategic trends.
* Initiate analysis, provide investigative leads and prepare reports to support criminal investigations.
* Use a variety of law enforcement, local, state and federal government systems to support criminal investigations.
* Use a variety of databases and software to conduct analysis and support investigations.
* Liaise with law enforcement, government agencies, and community groups to obtain and/or provide crime\-related data.
* Attend operations briefings to discuss and update officers and investigators on crime series, patterns and trends to support investigations. Develop and maintain relationships with other criminal justice personnel to share information and techniques and learn from each other.
* Participate in professional group meetings; may serve on intra \&amp; inter\-jurisdictional committees and task forces. Coordinate and integrate information from and for local, regional, national and international law enforcement agencies.
* Create, disseminate, and track bulletins. Respond to data requests.
* Develop and manage databases and spreadsheets as needed.
* Respond to inter \&amp; intra\-department requests for information as well as requests from outside agencies. May be required to testify in court and travel to crime scenes.
* Work in collaboration with other Crime \&amp; Intelligence Analysts in the Crime Analysis Unit, and with Crime Analysts across King County.
**Experience, Qualifications, Knowledge, Skills**
-------------------------------------------------
**A Bachelor's degree with emphasis on math, statistics, criminal justice, behavioral science, business analytics, intelligence/homeland security, data science, or other related field** **AND** **a minimum of two years of professional experience in crime analysis, GIS, or data analysis.** The successful candidate has the expertise to develop an anticipatory crime analysis program for law enforcement. An equivalent combination of experience and education which provides the applicant with the skills, knowledge, and abilities required to perform the work may be considered.
**Additional Requirements:**
* You must be a United States citizen, Lawful Permanent Resident, or deferred action childhood arrival (DACA) recipient.
* You must have the ability to read, speak, and write in the English language fluently.
* Verify that you do**not**meet any of the KCSO Automatic Disqualifying Behavior requirements.
* You must be able to meet all KCSO background standards as listed in section 10\.14 of the Civil Service Rules. Background requirements will be evaluated throughout the hiring process.
**Desired Qualifications:**
In addition to the minimum qualifications, competitive candidates will also have one or more of the following:
* Analysis experience with a police department, intelligence center, and/or within the criminal justice system.
* Completed the Foundations of Intelligence Analysis Training (FIAT) program
* Belong to International Association of Crime Analysts (IACA)
 **Specific requirements include the following skills and abilities:**
* Ability to analyze, interpret, and summarize criminal intelligence data and present the findings in a professional manner through formal briefings, presentations, and bulletins.
* High performance in the ability to critically think and engage information to produce analysis and intelligence.
* Experience planning and executing projects, driving activities on multiple projects and managing competing priorities within tight timeframes.
* Knowledge of current best practices in crime, intelligence, business and/or data analysis.
* Demonstrated success in the research and mining of data, implementing innovative methods and accessing multiple sources.
* Coordinate the analytics for the complex area(s) assigned. To include managing the intelligence cycle for an assigned area to include priority setting, collection, analysis, and dissemination.
* Technical skills including the ability to learn and write MS SQL and/or python queries to extract data. Also demonstrated ability to utilize various computer hardware and software applications, such as relational databases, Microsoft Office suite products, spreadsheets and databases.
* Experience with statistical, crime analysis, intelligence analysis, qualitative analysis, data analysis and data collection, presentation, and mapping software, such as SPSS, ArcGIS, IBM i2, CompStat, MS SQL, ESRI ArcGIS Online, MS Power BI or Tableau, and/or Python.
* Ability to create and maintain a data dashboard.
* Exceptional interpersonal skills, ability to establish and maintain excellent working relationships with law enforcement personnel at all levels, peers, managers, other agencies and external vendors.
* Excellent communications skills and the ability to convey complex information both orally and in writing to varied and diverse audiences representing the department to contract cities, command, inter\-jurisdictional meetings, and to the public.
* Ethical and professional conduct, using discretion, sound judgment, fairness, respect, inclusiveness, and integrity to support and enhance King County Sheriff's Office values.
* Ability to work in a fast\-paced environment, with quick results on tight timetables.
* Ensure a high level of accountability for the information and data you provide to the area you serve.
* Ability to work independently, with minimal supervision and demonstrate strong decision\-making skills to proactively address crime/intelligence needs.
Additionally, the successful candidate(s) will be required to obtain and maintain a US Government clearance **upon hire.**
**Supplemental Information**
----------------------------
**KCSO AUTO DISQUALIFIERS:** Candidates who have one or more automatically disqualifying factor in their background may be disqualified. Review the list of disqualifiers prior to completing the application at KCSO Automatically Disqualifying Behaviors. Questions about this requirement should be directed to Sara Rogers at sarrogers@kingcounty.gov  
**WORK SCHEDULE:** This position is FLSA Non\-Exempt and is overtime eligible. It is based on a 40\-hour workweek, 8:00 AM – 4:30 PM core hours, however, there is an ability to work alternative schedules, Monday through Friday. Additional hours may be necessary to respond to workload needs, which may include evening.  
**UNION MEMBERSHIP:** This position is represented by the Public Safety Employees Union (PSEU).  
**WORK LOCATION:** Multiple locations within King County.  
**GENERAL TIMEFRAME:** Applications will be screened for clarity, completeness, and competitiveness. The most competitive candidates will be invited to participate in a practical examination and oral board interview. Below is the timeline for this recruitment:  
**Practical Exam: Mid\-March 2026**  
**Oral Board (panel) Interview: Mid\-April 2026**  
***Please note, dates are subject to change based on resource availability.***
**REQUIRED APPLICATION MATIERALS:** Please carefully review the list of required materials before submitting your application.
* **Candidates must complete an online employment application** at www.kingcounty.gov/jobs with employment history going back at least ten years, if applicable, and all relevant experience that exceeds ten years. Applications that say “see resume” or do not have any work history listed in the application itself will not be considered. Resumes are not accepted in lieu of a completed job application.
* Answer all the supplemental questions.
* Review the list of KCSO Automatic Disqualifiers and verify your qualification for employment with King County Sheriff's Office.
* **Include a letter of interest (cover letter), no more than one page summarizing:**
	+ Your motivation and interest in pursuing the **Crime and Intelligence Analyst** opportunity.
	+ Describe how your experience, qualifications, knowledge, and skills meet or exceed the requirements of the **Crime and Intelligence Analyst** position.
*For more information regarding this recruitment, please contact:*  
*Sara Rogers, Senior Civil Service Analyst*  
*sarrogers@kingcounty.gov*  
*206\-477\-0148*</t>
        </is>
      </c>
    </row>
    <row r="43">
      <c r="A43" t="inlineStr">
        <is>
          <t>in-0253d74ccb44052d</t>
        </is>
      </c>
      <c r="B43" t="inlineStr">
        <is>
          <t>Data Center Delivery - Technical Infrastructure Program Manager, One-Intake Program Team</t>
        </is>
      </c>
      <c r="C43" t="inlineStr">
        <is>
          <t>Amazon.com</t>
        </is>
      </c>
      <c r="D43" t="inlineStr">
        <is>
          <t>indeed</t>
        </is>
      </c>
      <c r="E43" t="inlineStr"/>
      <c r="F43" t="inlineStr"/>
      <c r="G43" t="inlineStr">
        <is>
          <t>Seattle, WA, US</t>
        </is>
      </c>
      <c r="H43" s="1" t="n">
        <v>46007</v>
      </c>
      <c r="I4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in-19be6133e50e1c8c</t>
        </is>
      </c>
      <c r="B44" t="inlineStr">
        <is>
          <t>Data Center Delivery - Technical Infrastructure Program Manager, One-Intake Program Team</t>
        </is>
      </c>
      <c r="C44" t="inlineStr">
        <is>
          <t>Amazon.com</t>
        </is>
      </c>
      <c r="D44" t="inlineStr">
        <is>
          <t>indeed</t>
        </is>
      </c>
      <c r="E44" t="inlineStr"/>
      <c r="F44" t="inlineStr"/>
      <c r="G44" t="inlineStr">
        <is>
          <t>Herndon, VA, US</t>
        </is>
      </c>
      <c r="H44" s="1" t="n">
        <v>46007</v>
      </c>
      <c r="I4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in-75f74b686d7b1174</t>
        </is>
      </c>
      <c r="B45" t="inlineStr">
        <is>
          <t>Senior Product Manager Tech, EFS</t>
        </is>
      </c>
      <c r="C45" t="inlineStr">
        <is>
          <t>Amazon Web Services</t>
        </is>
      </c>
      <c r="D45" t="inlineStr">
        <is>
          <t>indeed</t>
        </is>
      </c>
      <c r="E45" t="inlineStr"/>
      <c r="F45" t="inlineStr"/>
      <c r="G45" t="inlineStr">
        <is>
          <t>Boston, MA, US</t>
        </is>
      </c>
      <c r="H45" s="1" t="n">
        <v>46001</v>
      </c>
      <c r="I45"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in-0957ced87d26df6d</t>
        </is>
      </c>
      <c r="B46" t="inlineStr">
        <is>
          <t>Senior Product Manager Tech, EFS</t>
        </is>
      </c>
      <c r="C46" t="inlineStr">
        <is>
          <t>Amazon Web Services</t>
        </is>
      </c>
      <c r="D46" t="inlineStr">
        <is>
          <t>indeed</t>
        </is>
      </c>
      <c r="E46" t="inlineStr"/>
      <c r="F46" t="inlineStr"/>
      <c r="G46" t="inlineStr">
        <is>
          <t>New York, NY, US</t>
        </is>
      </c>
      <c r="H46" s="1" t="n">
        <v>46001</v>
      </c>
      <c r="I46"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in-b622759ceee78f16</t>
        </is>
      </c>
      <c r="B47" t="inlineStr">
        <is>
          <t>Global Signage &amp; Wayfinding Designer Program Manager, Workplace Design &amp; Construction (WD&amp;C)</t>
        </is>
      </c>
      <c r="C47" t="inlineStr">
        <is>
          <t>Amazon.com</t>
        </is>
      </c>
      <c r="D47" t="inlineStr">
        <is>
          <t>indeed</t>
        </is>
      </c>
      <c r="E47" t="inlineStr"/>
      <c r="F47" t="inlineStr"/>
      <c r="G47" t="inlineStr">
        <is>
          <t>Arlington, VA, US</t>
        </is>
      </c>
      <c r="H47" s="1" t="n">
        <v>45998</v>
      </c>
      <c r="I47"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in-a8dc445efe67c35c</t>
        </is>
      </c>
      <c r="B48" t="inlineStr">
        <is>
          <t>Global Signage &amp; Wayfinding Designer Program Manager, Workplace Design &amp; Construction (WD&amp;C)</t>
        </is>
      </c>
      <c r="C48" t="inlineStr">
        <is>
          <t>Amazon.com</t>
        </is>
      </c>
      <c r="D48" t="inlineStr">
        <is>
          <t>indeed</t>
        </is>
      </c>
      <c r="E48" t="inlineStr"/>
      <c r="F48" t="inlineStr"/>
      <c r="G48" t="inlineStr">
        <is>
          <t>Seattle, WA, US</t>
        </is>
      </c>
      <c r="H48" s="1" t="n">
        <v>45998</v>
      </c>
      <c r="I48"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in-31bf59f342c558b8</t>
        </is>
      </c>
      <c r="B49" t="inlineStr">
        <is>
          <t>Senior Product Manager, Ads</t>
        </is>
      </c>
      <c r="C49" t="inlineStr">
        <is>
          <t>Amazon.com</t>
        </is>
      </c>
      <c r="D49" t="inlineStr">
        <is>
          <t>indeed</t>
        </is>
      </c>
      <c r="E49" t="inlineStr"/>
      <c r="F49" t="inlineStr"/>
      <c r="G49" t="inlineStr">
        <is>
          <t>San Francisco, CA, US</t>
        </is>
      </c>
      <c r="H49" s="1" t="n">
        <v>45994</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in-919975a36e0e77c2</t>
        </is>
      </c>
      <c r="B50" t="inlineStr">
        <is>
          <t>Senior Product Manager, Ads</t>
        </is>
      </c>
      <c r="C50" t="inlineStr">
        <is>
          <t>Amazon.com</t>
        </is>
      </c>
      <c r="D50" t="inlineStr">
        <is>
          <t>indeed</t>
        </is>
      </c>
      <c r="E50" t="inlineStr"/>
      <c r="F50" t="inlineStr"/>
      <c r="G50" t="inlineStr">
        <is>
          <t>Irvine, CA, US</t>
        </is>
      </c>
      <c r="H50" s="1" t="n">
        <v>45994</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in-31145779f684a1dc</t>
        </is>
      </c>
      <c r="B51" t="inlineStr">
        <is>
          <t>Senior Product Manager, Ads</t>
        </is>
      </c>
      <c r="C51" t="inlineStr">
        <is>
          <t>Amazon.com</t>
        </is>
      </c>
      <c r="D51" t="inlineStr">
        <is>
          <t>indeed</t>
        </is>
      </c>
      <c r="E51" t="inlineStr"/>
      <c r="F51" t="inlineStr"/>
      <c r="G51" t="inlineStr">
        <is>
          <t>New York, NY, US</t>
        </is>
      </c>
      <c r="H51" s="1" t="n">
        <v>45994</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in-5d651c876262b176</t>
        </is>
      </c>
      <c r="B52" t="inlineStr">
        <is>
          <t>Senior Product Manager, Ads</t>
        </is>
      </c>
      <c r="C52" t="inlineStr">
        <is>
          <t>Amazon.com</t>
        </is>
      </c>
      <c r="D52" t="inlineStr">
        <is>
          <t>indeed</t>
        </is>
      </c>
      <c r="E52" t="inlineStr"/>
      <c r="F52" t="inlineStr"/>
      <c r="G52" t="inlineStr">
        <is>
          <t>Seattle, WA, US</t>
        </is>
      </c>
      <c r="H52" s="1" t="n">
        <v>45994</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in-765a48404d4ecd02</t>
        </is>
      </c>
      <c r="B53" t="inlineStr">
        <is>
          <t>Senior Product Manager, Ads</t>
        </is>
      </c>
      <c r="C53" t="inlineStr">
        <is>
          <t>Amazon.com</t>
        </is>
      </c>
      <c r="D53" t="inlineStr">
        <is>
          <t>indeed</t>
        </is>
      </c>
      <c r="E53" t="inlineStr"/>
      <c r="F53" t="inlineStr"/>
      <c r="G53" t="inlineStr">
        <is>
          <t>San Francisco, CA, US</t>
        </is>
      </c>
      <c r="H53" s="1" t="n">
        <v>45994</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in-ab3bd6e8b51d1269</t>
        </is>
      </c>
      <c r="B54" t="inlineStr">
        <is>
          <t>Senior Product Manager, Ads</t>
        </is>
      </c>
      <c r="C54" t="inlineStr">
        <is>
          <t>Amazon.com</t>
        </is>
      </c>
      <c r="D54" t="inlineStr">
        <is>
          <t>indeed</t>
        </is>
      </c>
      <c r="E54" t="inlineStr"/>
      <c r="F54" t="inlineStr"/>
      <c r="G54" t="inlineStr">
        <is>
          <t>Los Angeles, CA, US</t>
        </is>
      </c>
      <c r="H54" s="1" t="n">
        <v>45994</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in-33915a8c5eb1d79a</t>
        </is>
      </c>
      <c r="B55" t="inlineStr">
        <is>
          <t>Senior Product Manager, Ads</t>
        </is>
      </c>
      <c r="C55" t="inlineStr">
        <is>
          <t>Amazon.com</t>
        </is>
      </c>
      <c r="D55" t="inlineStr">
        <is>
          <t>indeed</t>
        </is>
      </c>
      <c r="E55" t="inlineStr"/>
      <c r="F55" t="inlineStr"/>
      <c r="G55" t="inlineStr">
        <is>
          <t>New York, NY, US</t>
        </is>
      </c>
      <c r="H55" s="1" t="n">
        <v>45994</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in-5af8cdee353866be</t>
        </is>
      </c>
      <c r="B56" t="inlineStr">
        <is>
          <t>Senior Product Manager, Ads</t>
        </is>
      </c>
      <c r="C56" t="inlineStr">
        <is>
          <t>Amazon.com</t>
        </is>
      </c>
      <c r="D56" t="inlineStr">
        <is>
          <t>indeed</t>
        </is>
      </c>
      <c r="E56" t="inlineStr"/>
      <c r="F56" t="inlineStr"/>
      <c r="G56" t="inlineStr">
        <is>
          <t>Los Angeles, CA, US</t>
        </is>
      </c>
      <c r="H56" s="1" t="n">
        <v>45994</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in-227ce9e558df439b</t>
        </is>
      </c>
      <c r="B57" t="inlineStr">
        <is>
          <t>Senior Product Manager, Ads</t>
        </is>
      </c>
      <c r="C57" t="inlineStr">
        <is>
          <t>Amazon.com</t>
        </is>
      </c>
      <c r="D57" t="inlineStr">
        <is>
          <t>indeed</t>
        </is>
      </c>
      <c r="E57" t="inlineStr"/>
      <c r="F57" t="inlineStr"/>
      <c r="G57" t="inlineStr">
        <is>
          <t>Seattle, WA, US</t>
        </is>
      </c>
      <c r="H57" s="1" t="n">
        <v>45994</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in-bd7513dee21b3957</t>
        </is>
      </c>
      <c r="B58" t="inlineStr">
        <is>
          <t>Senior Product Manager, Ads</t>
        </is>
      </c>
      <c r="C58" t="inlineStr">
        <is>
          <t>Amazon.com</t>
        </is>
      </c>
      <c r="D58" t="inlineStr">
        <is>
          <t>indeed</t>
        </is>
      </c>
      <c r="E58" t="inlineStr"/>
      <c r="F58" t="inlineStr"/>
      <c r="G58" t="inlineStr">
        <is>
          <t>Irvine, CA, US</t>
        </is>
      </c>
      <c r="H58" s="1" t="n">
        <v>45994</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in-7e82c2a123cbd7fd</t>
        </is>
      </c>
      <c r="B59" t="inlineStr">
        <is>
          <t>Sr. Product Manager</t>
        </is>
      </c>
      <c r="C59" t="inlineStr">
        <is>
          <t>Amazon.com</t>
        </is>
      </c>
      <c r="D59" t="inlineStr">
        <is>
          <t>indeed</t>
        </is>
      </c>
      <c r="E59" t="inlineStr"/>
      <c r="F59" t="inlineStr"/>
      <c r="G59" t="inlineStr">
        <is>
          <t>San Francisco, CA, US</t>
        </is>
      </c>
      <c r="H59" s="1" t="n">
        <v>45979</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in-b34812938a0868b1</t>
        </is>
      </c>
      <c r="B60" t="inlineStr">
        <is>
          <t>Sr. Product Manager</t>
        </is>
      </c>
      <c r="C60" t="inlineStr">
        <is>
          <t>Amazon.com</t>
        </is>
      </c>
      <c r="D60" t="inlineStr">
        <is>
          <t>indeed</t>
        </is>
      </c>
      <c r="E60" t="inlineStr"/>
      <c r="F60" t="inlineStr"/>
      <c r="G60" t="inlineStr">
        <is>
          <t>Los Angeles, CA, US</t>
        </is>
      </c>
      <c r="H60" s="1" t="n">
        <v>45979</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in-bf6d3daa8ac0b15f</t>
        </is>
      </c>
      <c r="B61" t="inlineStr">
        <is>
          <t>Sr. Product Manager</t>
        </is>
      </c>
      <c r="C61" t="inlineStr">
        <is>
          <t>Amazon.com</t>
        </is>
      </c>
      <c r="D61" t="inlineStr">
        <is>
          <t>indeed</t>
        </is>
      </c>
      <c r="E61" t="inlineStr"/>
      <c r="F61" t="inlineStr"/>
      <c r="G61" t="inlineStr">
        <is>
          <t>New York, NY, US</t>
        </is>
      </c>
      <c r="H61" s="1" t="n">
        <v>45979</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in-242a55de4e99630d</t>
        </is>
      </c>
      <c r="B62" t="inlineStr">
        <is>
          <t>Sr. Product Manager</t>
        </is>
      </c>
      <c r="C62" t="inlineStr">
        <is>
          <t>Amazon.com</t>
        </is>
      </c>
      <c r="D62" t="inlineStr">
        <is>
          <t>indeed</t>
        </is>
      </c>
      <c r="E62" t="inlineStr"/>
      <c r="F62" t="inlineStr"/>
      <c r="G62" t="inlineStr">
        <is>
          <t>Seattle, WA, US</t>
        </is>
      </c>
      <c r="H62" s="1" t="n">
        <v>45979</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in-824dadbb10a16990</t>
        </is>
      </c>
      <c r="B63" t="inlineStr">
        <is>
          <t>Sr. Product Manager</t>
        </is>
      </c>
      <c r="C63" t="inlineStr">
        <is>
          <t>Amazon.com</t>
        </is>
      </c>
      <c r="D63" t="inlineStr">
        <is>
          <t>indeed</t>
        </is>
      </c>
      <c r="E63" t="inlineStr"/>
      <c r="F63" t="inlineStr"/>
      <c r="G63" t="inlineStr">
        <is>
          <t>Irvine, CA, US</t>
        </is>
      </c>
      <c r="H63" s="1" t="n">
        <v>45979</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in-e7a8d3334b965395</t>
        </is>
      </c>
      <c r="B64" t="inlineStr">
        <is>
          <t>Program Manager, Executive Content and Programs, Global Executive Marketing</t>
        </is>
      </c>
      <c r="C64" t="inlineStr">
        <is>
          <t>Amazon Web Services</t>
        </is>
      </c>
      <c r="D64" t="inlineStr">
        <is>
          <t>indeed</t>
        </is>
      </c>
      <c r="E64" t="inlineStr"/>
      <c r="F64" t="inlineStr"/>
      <c r="G64" t="inlineStr">
        <is>
          <t>Arlington, VA, US</t>
        </is>
      </c>
      <c r="H64" s="1" t="n">
        <v>45970</v>
      </c>
      <c r="I64"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in-ae1e963830b029b9</t>
        </is>
      </c>
      <c r="B65" t="inlineStr">
        <is>
          <t>Program Manager, Executive Content and Programs, Global Executive Marketing</t>
        </is>
      </c>
      <c r="C65" t="inlineStr">
        <is>
          <t>Amazon Web Services</t>
        </is>
      </c>
      <c r="D65" t="inlineStr">
        <is>
          <t>indeed</t>
        </is>
      </c>
      <c r="E65" t="inlineStr"/>
      <c r="F65" t="inlineStr"/>
      <c r="G65" t="inlineStr">
        <is>
          <t>Seattle, WA, US</t>
        </is>
      </c>
      <c r="H65" s="1" t="n">
        <v>45970</v>
      </c>
      <c r="I6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in-2e3783a9e6f55520</t>
        </is>
      </c>
      <c r="B66" t="inlineStr">
        <is>
          <t>Sr. EHS Program Manager, Safety Learning and Development</t>
        </is>
      </c>
      <c r="C66" t="inlineStr">
        <is>
          <t>Amazon.com</t>
        </is>
      </c>
      <c r="D66" t="inlineStr">
        <is>
          <t>indeed</t>
        </is>
      </c>
      <c r="E66" t="inlineStr"/>
      <c r="F66" t="inlineStr"/>
      <c r="G66" t="inlineStr">
        <is>
          <t>Bellevue, WA, US</t>
        </is>
      </c>
      <c r="H66" s="1" t="n">
        <v>45910</v>
      </c>
      <c r="I66"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in-c83ac852e2239c38</t>
        </is>
      </c>
      <c r="B67" t="inlineStr">
        <is>
          <t>Sr. EHS Program Manager, Safety Learning and Development</t>
        </is>
      </c>
      <c r="C67" t="inlineStr">
        <is>
          <t>Amazon.com</t>
        </is>
      </c>
      <c r="D67" t="inlineStr">
        <is>
          <t>indeed</t>
        </is>
      </c>
      <c r="E67" t="inlineStr"/>
      <c r="F67" t="inlineStr"/>
      <c r="G67" t="inlineStr">
        <is>
          <t>Nashville, TN, US</t>
        </is>
      </c>
      <c r="H67" s="1" t="n">
        <v>45910</v>
      </c>
      <c r="I6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in-17ca6efe0e86cfbe</t>
        </is>
      </c>
      <c r="B68" t="inlineStr">
        <is>
          <t>Sr. Product Manager Technical, Deal Tooling &amp; Insights, Strategic Customer Engagements</t>
        </is>
      </c>
      <c r="C68" t="inlineStr">
        <is>
          <t>Amazon Web Services</t>
        </is>
      </c>
      <c r="D68" t="inlineStr">
        <is>
          <t>indeed</t>
        </is>
      </c>
      <c r="E68" t="inlineStr"/>
      <c r="F68" t="inlineStr"/>
      <c r="G68" t="inlineStr">
        <is>
          <t>Arlington, VA, US</t>
        </is>
      </c>
      <c r="H68" s="1" t="n">
        <v>45994</v>
      </c>
      <c r="I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9">
      <c r="A69" t="inlineStr">
        <is>
          <t>in-a6737fd47fb765ba</t>
        </is>
      </c>
      <c r="B69" t="inlineStr">
        <is>
          <t>Sr. Product Manager Technical, Deal Tooling &amp; Insights, Strategic Customer Engagements</t>
        </is>
      </c>
      <c r="C69" t="inlineStr">
        <is>
          <t>Amazon Web Services</t>
        </is>
      </c>
      <c r="D69" t="inlineStr">
        <is>
          <t>indeed</t>
        </is>
      </c>
      <c r="E69" t="inlineStr"/>
      <c r="F69" t="inlineStr"/>
      <c r="G69" t="inlineStr">
        <is>
          <t>Seattle, WA, US</t>
        </is>
      </c>
      <c r="H69" s="1" t="n">
        <v>45994</v>
      </c>
      <c r="I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0">
      <c r="A70" t="inlineStr">
        <is>
          <t>in-c4ed1610338e00b7</t>
        </is>
      </c>
      <c r="B70" t="inlineStr">
        <is>
          <t>Sr. Product Manager Technical, Deal Tooling &amp; Insights, Strategic Customer Engagements</t>
        </is>
      </c>
      <c r="C70" t="inlineStr">
        <is>
          <t>Amazon Web Services</t>
        </is>
      </c>
      <c r="D70" t="inlineStr">
        <is>
          <t>indeed</t>
        </is>
      </c>
      <c r="E70" t="inlineStr"/>
      <c r="F70" t="inlineStr"/>
      <c r="G70" t="inlineStr">
        <is>
          <t>New York, NY, US</t>
        </is>
      </c>
      <c r="H70" s="1" t="n">
        <v>45994</v>
      </c>
      <c r="I7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1">
      <c r="A71" t="inlineStr">
        <is>
          <t>in-2fbbb9663dc27d95</t>
        </is>
      </c>
      <c r="B71" t="inlineStr">
        <is>
          <t>Sr. Product Manager Technical, Deal Tooling &amp; Insights, Strategic Customer Engagements</t>
        </is>
      </c>
      <c r="C71" t="inlineStr">
        <is>
          <t>Amazon Web Services</t>
        </is>
      </c>
      <c r="D71" t="inlineStr">
        <is>
          <t>indeed</t>
        </is>
      </c>
      <c r="E71" t="inlineStr"/>
      <c r="F71" t="inlineStr"/>
      <c r="G71" t="inlineStr">
        <is>
          <t>Herndon, VA, US</t>
        </is>
      </c>
      <c r="H71" s="1" t="n">
        <v>45994</v>
      </c>
      <c r="I7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2">
      <c r="A72" t="inlineStr">
        <is>
          <t>in-12bc36b346ee74bb</t>
        </is>
      </c>
      <c r="B72" t="inlineStr">
        <is>
          <t>Sr. Product Manager Technical, Deal Tooling &amp; Insights, Strategic Customer Engagements</t>
        </is>
      </c>
      <c r="C72" t="inlineStr">
        <is>
          <t>Amazon Web Services</t>
        </is>
      </c>
      <c r="D72" t="inlineStr">
        <is>
          <t>indeed</t>
        </is>
      </c>
      <c r="E72" t="inlineStr"/>
      <c r="F72" t="inlineStr"/>
      <c r="G72" t="inlineStr">
        <is>
          <t>Dallas, TX, US</t>
        </is>
      </c>
      <c r="H72" s="1" t="n">
        <v>45994</v>
      </c>
      <c r="I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3">
      <c r="A73" t="inlineStr">
        <is>
          <t>in-06fe1f6232076cf4</t>
        </is>
      </c>
      <c r="B73" t="inlineStr">
        <is>
          <t>Sr. Product Manager Technical, Deal Tooling &amp; Insights, Strategic Customer Engagements</t>
        </is>
      </c>
      <c r="C73" t="inlineStr">
        <is>
          <t>Amazon Web Services</t>
        </is>
      </c>
      <c r="D73" t="inlineStr">
        <is>
          <t>indeed</t>
        </is>
      </c>
      <c r="E73" t="inlineStr"/>
      <c r="F73" t="inlineStr"/>
      <c r="G73" t="inlineStr">
        <is>
          <t>Austin, TX, US</t>
        </is>
      </c>
      <c r="H73" s="1"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4">
      <c r="A74" t="inlineStr">
        <is>
          <t>in-cd3f75b835b10df9</t>
        </is>
      </c>
      <c r="B74" t="inlineStr">
        <is>
          <t>Principal Product Manager - Tech, Viewer Experience, Prime Video Global App Experience</t>
        </is>
      </c>
      <c r="C74" t="inlineStr">
        <is>
          <t>Amazon.com</t>
        </is>
      </c>
      <c r="D74" t="inlineStr">
        <is>
          <t>indeed</t>
        </is>
      </c>
      <c r="E74" t="inlineStr"/>
      <c r="F74" t="inlineStr"/>
      <c r="G74" t="inlineStr">
        <is>
          <t>Seattle, WA, US</t>
        </is>
      </c>
      <c r="H74" s="1" t="n">
        <v>46057</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75">
      <c r="A75" t="inlineStr">
        <is>
          <t>in-2ae294470b71efe2</t>
        </is>
      </c>
      <c r="B75" t="inlineStr">
        <is>
          <t>Principal Product Manager - Tech, Viewer Experience, Prime Video Global App Experience</t>
        </is>
      </c>
      <c r="C75" t="inlineStr">
        <is>
          <t>Amazon.com</t>
        </is>
      </c>
      <c r="D75" t="inlineStr">
        <is>
          <t>indeed</t>
        </is>
      </c>
      <c r="E75" t="inlineStr"/>
      <c r="F75" t="inlineStr"/>
      <c r="G75" t="inlineStr">
        <is>
          <t>Culver City, CA, US</t>
        </is>
      </c>
      <c r="H75" s="1" t="n">
        <v>46057</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76">
      <c r="A76" t="inlineStr">
        <is>
          <t>in-1938171a0c126fb7</t>
        </is>
      </c>
      <c r="B76" t="inlineStr">
        <is>
          <t>Principal Product Manager - Technical, Alexa Communications</t>
        </is>
      </c>
      <c r="C76" t="inlineStr">
        <is>
          <t>Amazon.com</t>
        </is>
      </c>
      <c r="D76" t="inlineStr">
        <is>
          <t>indeed</t>
        </is>
      </c>
      <c r="E76" t="inlineStr"/>
      <c r="F76" t="inlineStr"/>
      <c r="G76" t="inlineStr">
        <is>
          <t>Irvine, CA, US</t>
        </is>
      </c>
      <c r="H76" s="1" t="n">
        <v>45993</v>
      </c>
      <c r="I7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77">
      <c r="A77" t="inlineStr">
        <is>
          <t>in-29022c2ce06ec2a0</t>
        </is>
      </c>
      <c r="B77" t="inlineStr">
        <is>
          <t>Principal Product Manager - Technical, Alexa Communications</t>
        </is>
      </c>
      <c r="C77" t="inlineStr">
        <is>
          <t>Amazon.com</t>
        </is>
      </c>
      <c r="D77" t="inlineStr">
        <is>
          <t>indeed</t>
        </is>
      </c>
      <c r="E77" t="inlineStr"/>
      <c r="F77" t="inlineStr"/>
      <c r="G77" t="inlineStr">
        <is>
          <t>Seattle, WA, US</t>
        </is>
      </c>
      <c r="H77" s="1" t="n">
        <v>45993</v>
      </c>
      <c r="I7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78">
      <c r="A78" t="inlineStr">
        <is>
          <t>in-96469d310f063e4e</t>
        </is>
      </c>
      <c r="B78" t="inlineStr">
        <is>
          <t>Principal Product Manager - Technical, Alexa Communications</t>
        </is>
      </c>
      <c r="C78" t="inlineStr">
        <is>
          <t>Amazon.com</t>
        </is>
      </c>
      <c r="D78" t="inlineStr">
        <is>
          <t>indeed</t>
        </is>
      </c>
      <c r="E78" t="inlineStr"/>
      <c r="F78" t="inlineStr"/>
      <c r="G78" t="inlineStr">
        <is>
          <t>Sunnyvale, CA, US</t>
        </is>
      </c>
      <c r="H78" s="1" t="n">
        <v>45993</v>
      </c>
      <c r="I7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79">
      <c r="A79" t="inlineStr">
        <is>
          <t>in-2fa564cd204cec4f</t>
        </is>
      </c>
      <c r="B79" t="inlineStr">
        <is>
          <t>Principal Product Manager - Tech, Recommender Systems, Prime Video Personalization &amp; Discovery</t>
        </is>
      </c>
      <c r="C79" t="inlineStr">
        <is>
          <t>Amazon.com</t>
        </is>
      </c>
      <c r="D79" t="inlineStr">
        <is>
          <t>indeed</t>
        </is>
      </c>
      <c r="E79" t="inlineStr"/>
      <c r="F79" t="inlineStr"/>
      <c r="G79" t="inlineStr">
        <is>
          <t>Washington, DC, US</t>
        </is>
      </c>
      <c r="H79" s="1" t="n">
        <v>45753</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in-5f4388018d79df15</t>
        </is>
      </c>
      <c r="B80" t="inlineStr">
        <is>
          <t>Principal Product Manager - Tech, Recommender Systems, Prime Video Personalization &amp; Discovery</t>
        </is>
      </c>
      <c r="C80" t="inlineStr">
        <is>
          <t>Amazon.com</t>
        </is>
      </c>
      <c r="D80" t="inlineStr">
        <is>
          <t>indeed</t>
        </is>
      </c>
      <c r="E80" t="inlineStr"/>
      <c r="F80" t="inlineStr"/>
      <c r="G80" t="inlineStr">
        <is>
          <t>Seattle, WA, US</t>
        </is>
      </c>
      <c r="H80" s="1" t="n">
        <v>45753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in-cb16c01c1d94b27f</t>
        </is>
      </c>
      <c r="B81" t="inlineStr">
        <is>
          <t>Program Manager, ReLo Ops Excellence, Relo Ops Integration</t>
        </is>
      </c>
      <c r="C81" t="inlineStr">
        <is>
          <t>Amazon.com</t>
        </is>
      </c>
      <c r="D81" t="inlineStr">
        <is>
          <t>indeed</t>
        </is>
      </c>
      <c r="E81" t="inlineStr"/>
      <c r="F81" t="inlineStr"/>
      <c r="G81" t="inlineStr">
        <is>
          <t>Nashville, TN, US</t>
        </is>
      </c>
      <c r="H81" s="1" t="n">
        <v>46020</v>
      </c>
      <c r="I8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2">
      <c r="A82" t="inlineStr">
        <is>
          <t>in-b2482cb7a2dbcaa9</t>
        </is>
      </c>
      <c r="B82" t="inlineStr">
        <is>
          <t>Program Manager, ReLo Ops Excellence, Relo Ops Integration</t>
        </is>
      </c>
      <c r="C82" t="inlineStr">
        <is>
          <t>Amazon.com</t>
        </is>
      </c>
      <c r="D82" t="inlineStr">
        <is>
          <t>indeed</t>
        </is>
      </c>
      <c r="E82" t="inlineStr"/>
      <c r="F82" t="inlineStr"/>
      <c r="G82" t="inlineStr">
        <is>
          <t>Dallas, TX, US</t>
        </is>
      </c>
      <c r="H82" s="1" t="n">
        <v>46020</v>
      </c>
      <c r="I8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3">
      <c r="A83" t="inlineStr">
        <is>
          <t>in-d51ed37f86162349</t>
        </is>
      </c>
      <c r="B83" t="inlineStr">
        <is>
          <t>Program Manager, ReLo Ops Excellence, Relo Ops Integration</t>
        </is>
      </c>
      <c r="C83" t="inlineStr">
        <is>
          <t>Amazon.com</t>
        </is>
      </c>
      <c r="D83" t="inlineStr">
        <is>
          <t>indeed</t>
        </is>
      </c>
      <c r="E83" t="inlineStr"/>
      <c r="F83" t="inlineStr"/>
      <c r="G83" t="inlineStr">
        <is>
          <t>Bellevue, WA, US</t>
        </is>
      </c>
      <c r="H83" s="1" t="n">
        <v>46020</v>
      </c>
      <c r="I8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4">
      <c r="A84" t="inlineStr">
        <is>
          <t>in-206139c815972fe9</t>
        </is>
      </c>
      <c r="B84" t="inlineStr">
        <is>
          <t>Program Manager, ReLo Ops Excellence, Relo Ops Integration</t>
        </is>
      </c>
      <c r="C84" t="inlineStr">
        <is>
          <t>Amazon.com</t>
        </is>
      </c>
      <c r="D84" t="inlineStr">
        <is>
          <t>indeed</t>
        </is>
      </c>
      <c r="E84" t="inlineStr"/>
      <c r="F84" t="inlineStr"/>
      <c r="G84" t="inlineStr">
        <is>
          <t>Phoenix, AZ, US</t>
        </is>
      </c>
      <c r="H84" s="1" t="n">
        <v>46020</v>
      </c>
      <c r="I8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5">
      <c r="A85" t="inlineStr">
        <is>
          <t>in-7c8b1bbfcca380bb</t>
        </is>
      </c>
      <c r="B85" t="inlineStr">
        <is>
          <t>Program Manager, Relo Ops Excellence, Relo Ops Integration</t>
        </is>
      </c>
      <c r="C85" t="inlineStr">
        <is>
          <t>Amazon.com</t>
        </is>
      </c>
      <c r="D85" t="inlineStr">
        <is>
          <t>indeed</t>
        </is>
      </c>
      <c r="E85" t="inlineStr"/>
      <c r="F85" t="inlineStr"/>
      <c r="G85" t="inlineStr">
        <is>
          <t>Bellevue, WA, US</t>
        </is>
      </c>
      <c r="H85" s="1" t="n">
        <v>46020</v>
      </c>
      <c r="I8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6">
      <c r="A86" t="inlineStr">
        <is>
          <t>in-1542f6e051d645f4</t>
        </is>
      </c>
      <c r="B86" t="inlineStr">
        <is>
          <t>Program Manager, Relo Ops Excellence, Relo Ops Integration</t>
        </is>
      </c>
      <c r="C86" t="inlineStr">
        <is>
          <t>Amazon.com</t>
        </is>
      </c>
      <c r="D86" t="inlineStr">
        <is>
          <t>indeed</t>
        </is>
      </c>
      <c r="E86" t="inlineStr"/>
      <c r="F86" t="inlineStr"/>
      <c r="G86" t="inlineStr">
        <is>
          <t>Phoenix, AZ, US</t>
        </is>
      </c>
      <c r="H86" s="1" t="n">
        <v>46020</v>
      </c>
      <c r="I8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7">
      <c r="A87" t="inlineStr">
        <is>
          <t>in-944975f90ab9d5b2</t>
        </is>
      </c>
      <c r="B87" t="inlineStr">
        <is>
          <t>Program Manager, Relo Ops Excellence, Relo Ops Integration</t>
        </is>
      </c>
      <c r="C87" t="inlineStr">
        <is>
          <t>Amazon.com</t>
        </is>
      </c>
      <c r="D87" t="inlineStr">
        <is>
          <t>indeed</t>
        </is>
      </c>
      <c r="E87" t="inlineStr"/>
      <c r="F87" t="inlineStr"/>
      <c r="G87" t="inlineStr">
        <is>
          <t>Nashville, TN, US</t>
        </is>
      </c>
      <c r="H87" s="1" t="n">
        <v>46020</v>
      </c>
      <c r="I8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8">
      <c r="A88" t="inlineStr">
        <is>
          <t>in-b881aac8bb919b9b</t>
        </is>
      </c>
      <c r="B88" t="inlineStr">
        <is>
          <t>Program Manager, Relo Ops Excellence, Relo Ops Integration</t>
        </is>
      </c>
      <c r="C88" t="inlineStr">
        <is>
          <t>Amazon.com</t>
        </is>
      </c>
      <c r="D88" t="inlineStr">
        <is>
          <t>indeed</t>
        </is>
      </c>
      <c r="E88" t="inlineStr"/>
      <c r="F88" t="inlineStr"/>
      <c r="G88" t="inlineStr">
        <is>
          <t>Phoenix, AZ, US</t>
        </is>
      </c>
      <c r="H88" s="1" t="n">
        <v>46020</v>
      </c>
      <c r="I8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9">
      <c r="A89" t="inlineStr">
        <is>
          <t>in-a3cb08fec371bff5</t>
        </is>
      </c>
      <c r="B89" t="inlineStr">
        <is>
          <t>Program Manager, Relo Ops Excellence, Relo Ops Integration</t>
        </is>
      </c>
      <c r="C89" t="inlineStr">
        <is>
          <t>Amazon.com</t>
        </is>
      </c>
      <c r="D89" t="inlineStr">
        <is>
          <t>indeed</t>
        </is>
      </c>
      <c r="E89" t="inlineStr"/>
      <c r="F89" t="inlineStr"/>
      <c r="G89" t="inlineStr">
        <is>
          <t>Dallas, TX, US</t>
        </is>
      </c>
      <c r="H89" s="1" t="n">
        <v>46020</v>
      </c>
      <c r="I8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0">
      <c r="A90" t="inlineStr">
        <is>
          <t>in-1e0d7440f1f20f7f</t>
        </is>
      </c>
      <c r="B90" t="inlineStr">
        <is>
          <t>Program Manager, Relo Ops Excellence, Relo Ops Integration</t>
        </is>
      </c>
      <c r="C90" t="inlineStr">
        <is>
          <t>Amazon.com</t>
        </is>
      </c>
      <c r="D90" t="inlineStr">
        <is>
          <t>indeed</t>
        </is>
      </c>
      <c r="E90" t="inlineStr"/>
      <c r="F90" t="inlineStr"/>
      <c r="G90" t="inlineStr">
        <is>
          <t>Dallas, TX, US</t>
        </is>
      </c>
      <c r="H90" s="1" t="n">
        <v>46020</v>
      </c>
      <c r="I9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1">
      <c r="A91" t="inlineStr">
        <is>
          <t>in-c539bc17175a8f59</t>
        </is>
      </c>
      <c r="B91" t="inlineStr">
        <is>
          <t>Program Manager, Relo Ops Excellence, Relo Ops Integration</t>
        </is>
      </c>
      <c r="C91" t="inlineStr">
        <is>
          <t>Amazon.com</t>
        </is>
      </c>
      <c r="D91" t="inlineStr">
        <is>
          <t>indeed</t>
        </is>
      </c>
      <c r="E91" t="inlineStr"/>
      <c r="F91" t="inlineStr"/>
      <c r="G91" t="inlineStr">
        <is>
          <t>Bellevue, WA, US</t>
        </is>
      </c>
      <c r="H91" s="1" t="n">
        <v>46020</v>
      </c>
      <c r="I9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2">
      <c r="A92" t="inlineStr">
        <is>
          <t>in-dca73b1f95cf5fc4</t>
        </is>
      </c>
      <c r="B92" t="inlineStr">
        <is>
          <t>Program Manager, Relo Ops Excellence, Relo Ops Integration</t>
        </is>
      </c>
      <c r="C92" t="inlineStr">
        <is>
          <t>Amazon.com</t>
        </is>
      </c>
      <c r="D92" t="inlineStr">
        <is>
          <t>indeed</t>
        </is>
      </c>
      <c r="E92" t="inlineStr"/>
      <c r="F92" t="inlineStr"/>
      <c r="G92" t="inlineStr">
        <is>
          <t>Nashville, TN, US</t>
        </is>
      </c>
      <c r="H92" s="1" t="n">
        <v>46020</v>
      </c>
      <c r="I9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3">
      <c r="A93" t="inlineStr">
        <is>
          <t>in-b51ba0f3c64faf9b</t>
        </is>
      </c>
      <c r="B93" t="inlineStr">
        <is>
          <t>Principal Product Manager Technical, Creative X - RAPID</t>
        </is>
      </c>
      <c r="C93" t="inlineStr">
        <is>
          <t>Amazon.com</t>
        </is>
      </c>
      <c r="D93" t="inlineStr">
        <is>
          <t>indeed</t>
        </is>
      </c>
      <c r="E93" t="inlineStr"/>
      <c r="F93" t="inlineStr"/>
      <c r="G93" t="inlineStr">
        <is>
          <t>New York, NY, US</t>
        </is>
      </c>
      <c r="H93" s="1" t="n">
        <v>45939</v>
      </c>
      <c r="I9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94">
      <c r="A94" t="inlineStr">
        <is>
          <t>in-e42e6683b0025e9e</t>
        </is>
      </c>
      <c r="B94" t="inlineStr">
        <is>
          <t>Principal Product Manager Technical, Creative X - RAPID</t>
        </is>
      </c>
      <c r="C94" t="inlineStr">
        <is>
          <t>Amazon.com</t>
        </is>
      </c>
      <c r="D94" t="inlineStr">
        <is>
          <t>indeed</t>
        </is>
      </c>
      <c r="E94" t="inlineStr"/>
      <c r="F94" t="inlineStr"/>
      <c r="G94" t="inlineStr">
        <is>
          <t>Seattle, WA, US</t>
        </is>
      </c>
      <c r="H94" s="1" t="n">
        <v>45939</v>
      </c>
      <c r="I9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95">
      <c r="A95" t="inlineStr">
        <is>
          <t>in-8ad873f1f1eba7dd</t>
        </is>
      </c>
      <c r="B95" t="inlineStr">
        <is>
          <t>Learning &amp; Development Program Manager, Americas - Bracco Diagnostics Inc.</t>
        </is>
      </c>
      <c r="C95" t="inlineStr">
        <is>
          <t>Bracco Medical Technologies</t>
        </is>
      </c>
      <c r="D95" t="inlineStr">
        <is>
          <t>indeed</t>
        </is>
      </c>
      <c r="E95" t="inlineStr"/>
      <c r="F95" t="inlineStr"/>
      <c r="G95" t="inlineStr">
        <is>
          <t>Eden Prairie, MN, US</t>
        </is>
      </c>
      <c r="H95" s="1" t="n">
        <v>46073</v>
      </c>
      <c r="I95" t="inlineStr">
        <is>
          <t>Bracco Diagnostics Inc. is a subsidiary of Bracco Imaging which is part of the overall Bracco Group. The Company specializes in the clinical development, marketing and sales of diagnostic contrast imaging agents. Bracco Diagnostics Inc. primarily markets its products to hospitals throughout the United States. Bracco Diagnostics Inc. is committed to the discovery, development, manufacturing and marketing of imaging agents and solutions aimed at providing a better use and management in terms of diagnostic efficacy, patient safety and cost effectiveness.
* 
**Job Purpose**
The Learning \&amp; Development (L\&amp;D) Program Manager is responsible for the day\-to\-day execution, coordination, and continuous improvement of learning and leadership development initiatives across the organization. This role sits within HR and serves as the operational backbone of the L\&amp;D function, ensuring programs are delivered effectively, systems and tools are optimized, and learners and leaders have the resources they need to grow.
This role is well\-suited for someone who thrives in an evolving environment, brings ideas forward, and is motivated by building clarity, momentum, and results rather than maintaining traditional models. While core L\&amp;D responsibilities are central to the role, success depends on strong ownership, follow\-through, and the ability to operate confidently without extensive structure in place.
This role is supported by a strong commitment to professional development, offering company‑funded learning, growth opportunities, and a workplace dedicated to providing opportunities for career advancement
**Main Responsibilities, Activities, Duties and Tasks**
**Program \&amp; Leadership Development Delivery**
* Own the end\-to\-end execution of leadership development programs, manager training initiatives, and learning workshops.
* Support the design and delivery of enterprise and regional leadership development experiences.
* Facilitate training sessions as needed, both virtually and in\-person.
* Ensure a consistent, high\-quality learner experience aligned with organizational values and priorities.
**Learning Content \&amp; Curriculum Development**
* Design, develop, and maintain learning materials, including slide decks, facilitator guides, participant resources, toolkits, and digital content.
* Create and maintain structured learning pathways and development plans for key roles and populations.
* Partner with subject matter experts and vendors to customize and deploy learning content.
* Adapt materials for multiple delivery formats (in\-person, virtual, hybrid, and self\-paced).
**Learning Systems, Tools \&amp; Platforms**
* Manage and optimize learning tools and platforms, including the Bracco internal Learning HUB, assessment tools (e.g., DiSC, et al.), and collaboration systems.
* Oversee content organization, access, and user experience across learning platforms.
* Drive adoption and utilization of learning resources through targeted communications and outreach.
**Vendor \&amp; Partner Management**
* Build and manage strong partnerships with external learning vendors and solution providers.
* Lead vendor engagement, including program design alignment, scheduling, and delivery oversight, in partnership with administrative support.
* Evaluate vendor offerings and continuously refine partnerships to ensure alignment with business priorities, leadership capabilities, and learning strategy.
**Communications \&amp; Stakeholder Enablement**
* Draft and manage L\&amp;D communications, including program announcements, invitations, reminders, pre\-work, and follow\-up resources.
* Create visually engaging learning and communication materials using tools such as Canva and PowerPoint.
* Serve as a key point of contact for HR Business Partners, leaders, facilitators, and program participants.
* Proactively follow up with stakeholders to keep initiatives moving forward.
**Measurement, Reporting \&amp; Continuous Improvement**
* Track participation, engagement, feedback, and outcomes across learning and leadership programs.
* Prepare dashboards, summaries, and insights to inform decision\-making.
* Identify opportunities to improve program design, delivery, and operational efficiency.
**Operational Excellence \&amp; Program Management**
* Maintain clear processes, documentation, templates, and shared resources to support scalability and consistency.
* Manage timelines, logistics, and coordination for all major learning initiatives.
* Identify potential risks and challenges, support issue resolution, and elevate decisions or resource needs when needed to keep programs on track.
* Balance structure with flexibility in a dynamic, evolving environment.
**Supervisory Responsibilities**
* N/A
**Education**
* Bachelor’s degree in Business, Organizational Development, Psychology, Education, or a related field preferred.
* Equivalent combination of education and hands\-on experience in learning, program coordination, or commercial operations will be considered.
**Professional Experience, Knowledge \&amp; Technical Skills**
**Required Experience \&amp; Skills:**
* 4\+ years of experience in learning, program management, commercial operations, HR, or a related field.
* Experience supporting leadership development, training delivery, and vendor\-managed learning solutions.
* Strong program and project management skills.
* Demonstrated ability to manage multiple priorities and deadlines.
* Comfort operating in evolving, less\-structured environments.
* Excellent communication and stakeholder management skills.
* Experience in creating professional learning and communication materials.
* Proficiency with learning platforms and digital collaboration tools.
**Preferred Attributes:**
* High level of initiative, persistence, and accountability.
* Strong business mindset and results orientation.
* Confidence engaging with leaders and influencing without authority.
* Curiosity and willingness to challenge traditional approaches.
* Passion for developing people and improving performance.
**Success in This Role requires the ability to:**
* Take ownership and drive work forward without waiting for perfect direction.
* Follow up consistently and confidently to ensure commitments are met.
* Bring ideas forward and see them through to execution.
* Navigate ambiguity with good judgment and resilience.
* Build trust and credibility across HR and the business.
* Deliver results that support real business and performance needs, not just programs.
**Soft Skills –** ***Company Values \&amp; Behaviours***
Adhere to the Bracco’s core values, including:
* Passion: Connecting People and Networking; Be Yourself
* Extraordinary: Leading People and Delegation; Courage
* Continuous Evolution: Insight and Learning Agility; Digital and Technology Orientation
* Sustainability: Long\-Term Value Creation; Accountability
**Professional Development \&amp; Growth**
The Company is committed to supporting the long‑term growth and success of our team members. This role includes access to a wide range of development opportunities, such as:
* Company‑funded professional development, including relevant certifications, credentials, and continuing education
* Access to internal and external learning resources, such as training programs, conferences, and industry‑specific materials
* Coaching, mentoring, and leadership development designed to support career advancement
* Opportunities to participate in cross‑functional and enterprise‑wide initiatives to broaden experience and influence
* A culture that values continuous learning, innovation, and career progression
**Core Relationships**
* HR Business Partners and Talent / Organizational Development colleagues
* People managers and leaders participating in development programs
* Internal subject matter experts across functions
* External learning and leadership development vendors
* Internal HR operations, systems, and communications partners
* Program participants and cohort members
**Certificates, Licenses, Registrations**
* Project or program management training or certification (formal or informal) a plus.
* Learning, facilitation, or assessment certifications valued when paired with strong execution and coordination experience.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The position is office\-based in Eden Prairie, MN as hybrid (three days in office, two days remote) with approximately 10% domestic travel.
Bracco Diagnostics Inc. is an equal opportunity employer. All qualified applicants will receive consideration for employment without regard to race, color, religion, sex, national origin, sexual orientation, gender identity, or any other protected status.</t>
        </is>
      </c>
    </row>
    <row r="96">
      <c r="A96" t="inlineStr">
        <is>
          <t>in-4af086472c14aa59</t>
        </is>
      </c>
      <c r="B96" t="inlineStr">
        <is>
          <t>Strategic Program Manager</t>
        </is>
      </c>
      <c r="C96" t="inlineStr">
        <is>
          <t>McKesson</t>
        </is>
      </c>
      <c r="D96" t="inlineStr">
        <is>
          <t>indeed</t>
        </is>
      </c>
      <c r="E96" t="inlineStr"/>
      <c r="F96" t="inlineStr"/>
      <c r="G96" t="inlineStr">
        <is>
          <t>Irving, TX, US</t>
        </is>
      </c>
      <c r="H96" s="1" t="n">
        <v>46072</v>
      </c>
      <c r="I9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MHS Compass team within McKesson's North American Pharmaceutical Services group is seeking a Strategic Program Manager in Las Colinas, TX. The Strategic Program Manager is the key point of contact for internal and external stakeholders. This individual is responsible for meeting the contractual requirements for their respective customer(s) while leading strategic initiatives to enhance the customer experience.
This position will require the incumbent to be **in\-office as needed.**
**Key Responsibilities**
* Manages external customers’ strategic programs and acts as a direct point of contact. Leads and participates in calls with external customers in order develop a relationship with the customer and keep an open line of communication.
* Execute vendor\-defined product allocation programs across various customers for supply constrained inventory. This includes communicating out to customer\-facing teams, transferring inventory across DCs/customer groups, submitting auto shipments, etc.
* Provide detailed reporting and analysis around forecast trending, omit analysis, fair share allocations, etc.
* Evaluate and determine process improvements and automation to attain operational excellence.
* Develop business presentations to explain the status of customers’ programs and current initiatives.
* Expected to seek out new information and utilize new technology to improve the ways of working.
* Other duties as assigned.
**Minimum Requirements**
Degree or equivalent and typically requires 4\+ years of relevant experience
**Education**
4\-year degree or equivalent experience
**Critical Skills**
* Degree or equivalent and 4\+ years of relevant experience in areas such as supply chain, product management, purchasing, marketing/sales, and/or finance
* Experience in supply chain, product management, purchasing, marketing/sales, and/or finance
* Strong analytical skills and ability to extract large amounts of transactional data from McKesson systems (SQL, Business Objects, SAP, SCORE, Hana, etc.)
* Organize and analyze data into meaningful and easily disseminated reporting via PC based tools (Power BI, Access, Excel, Word, PowerPoint, etc.)
* Prepare reports and recommendations that can be used to make timely and accurate decisions about service level and inventory issues.
**Additional Skills/knowledge**
* Excellent communication skills
* Strong relationship building and strategic partnering skills.
* Ability to understand and conduct supply chain/financial analysis and quantitative / qualitative assessment of data.
* Strong project management skills
* Ability to function in a fast\-paced, dynamic environment
* Ability to manage conflict resolution
* Ability to interpret data and information to evaluate business opportunities.
* Process Improvement mindset
This position offers the possibility of a hybrid work arrangement based on recent updates to our in\-office/work‑from‑home model. If located in DFW area, the selected candidate may be expected to work on‑site at our Las Colinas office a minimum of two (2\) days per week, with the remaining days worked remotely. Specific in‑office days may be designated according to team needs and business priorities.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$96,100 \- $160,100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97">
      <c r="A97" t="inlineStr">
        <is>
          <t>in-8ad873f1f1eba7dd</t>
        </is>
      </c>
      <c r="B97" t="inlineStr">
        <is>
          <t>Learning &amp; Development Program Manager, Americas - Bracco Diagnostics Inc.</t>
        </is>
      </c>
      <c r="C97" t="inlineStr">
        <is>
          <t>Bracco Medical Technologies</t>
        </is>
      </c>
      <c r="D97" t="inlineStr">
        <is>
          <t>indeed</t>
        </is>
      </c>
      <c r="E97">
        <f>HYPERLINK("https://www.indeed.com/viewjob?jk=8ad873f1f1eba7dd", "https://www.indeed.com/viewjob?jk=8ad873f1f1eba7dd")</f>
        <v/>
      </c>
      <c r="F97">
        <f>HYPERLINK("https://bracco.wd103.myworkdayjobs.com/en-US/BraccoCareers/job/USA-Eden-Prairie-Minnesota-55344/Learning---Development-Program-Manager--Americas---Bracco-Diagnostics-Inc_JR100017", "https://bracco.wd103.myworkdayjobs.com/en-US/BraccoCareers/job/USA-Eden-Prairie-Minnesota-55344/Learning---Development-Program-Manager--Americas---Bracco-Diagnostics-Inc_JR100017")</f>
        <v/>
      </c>
      <c r="G97" t="inlineStr">
        <is>
          <t>Eden Prairie, MN, US</t>
        </is>
      </c>
      <c r="H97" s="2" t="n">
        <v>46073</v>
      </c>
      <c r="I97" t="inlineStr">
        <is>
          <t>Bracco Diagnostics Inc. is a subsidiary of Bracco Imaging which is part of the overall Bracco Group. The Company specializes in the clinical development, marketing and sales of diagnostic contrast imaging agents. Bracco Diagnostics Inc. primarily markets its products to hospitals throughout the United States. Bracco Diagnostics Inc. is committed to the discovery, development, manufacturing and marketing of imaging agents and solutions aimed at providing a better use and management in terms of diagnostic efficacy, patient safety and cost effectiveness.
* 
**Job Purpose**
The Learning \&amp; Development (L\&amp;D) Program Manager is responsible for the day\-to\-day execution, coordination, and continuous improvement of learning and leadership development initiatives across the organization. This role sits within HR and serves as the operational backbone of the L\&amp;D function, ensuring programs are delivered effectively, systems and tools are optimized, and learners and leaders have the resources they need to grow.
This role is well\-suited for someone who thrives in an evolving environment, brings ideas forward, and is motivated by building clarity, momentum, and results rather than maintaining traditional models. While core L\&amp;D responsibilities are central to the role, success depends on strong ownership, follow\-through, and the ability to operate confidently without extensive structure in place.
This role is supported by a strong commitment to professional development, offering company‑funded learning, growth opportunities, and a workplace dedicated to providing opportunities for career advancement
**Main Responsibilities, Activities, Duties and Tasks**
**Program \&amp; Leadership Development Delivery**
* Own the end\-to\-end execution of leadership development programs, manager training initiatives, and learning workshops.
* Support the design and delivery of enterprise and regional leadership development experiences.
* Facilitate training sessions as needed, both virtually and in\-person.
* Ensure a consistent, high\-quality learner experience aligned with organizational values and priorities.
**Learning Content \&amp; Curriculum Development**
* Design, develop, and maintain learning materials, including slide decks, facilitator guides, participant resources, toolkits, and digital content.
* Create and maintain structured learning pathways and development plans for key roles and populations.
* Partner with subject matter experts and vendors to customize and deploy learning content.
* Adapt materials for multiple delivery formats (in\-person, virtual, hybrid, and self\-paced).
**Learning Systems, Tools \&amp; Platforms**
* Manage and optimize learning tools and platforms, including the Bracco internal Learning HUB, assessment tools (e.g., DiSC, et al.), and collaboration systems.
* Oversee content organization, access, and user experience across learning platforms.
* Drive adoption and utilization of learning resources through targeted communications and outreach.
**Vendor \&amp; Partner Management**
* Build and manage strong partnerships with external learning vendors and solution providers.
* Lead vendor engagement, including program design alignment, scheduling, and delivery oversight, in partnership with administrative support.
* Evaluate vendor offerings and continuously refine partnerships to ensure alignment with business priorities, leadership capabilities, and learning strategy.
**Communications \&amp; Stakeholder Enablement**
* Draft and manage L\&amp;D communications, including program announcements, invitations, reminders, pre\-work, and follow\-up resources.
* Create visually engaging learning and communication materials using tools such as Canva and PowerPoint.
* Serve as a key point of contact for HR Business Partners, leaders, facilitators, and program participants.
* Proactively follow up with stakeholders to keep initiatives moving forward.
**Measurement, Reporting \&amp; Continuous Improvement**
* Track participation, engagement, feedback, and outcomes across learning and leadership programs.
* Prepare dashboards, summaries, and insights to inform decision\-making.
* Identify opportunities to improve program design, delivery, and operational efficiency.
**Operational Excellence \&amp; Program Management**
* Maintain clear processes, documentation, templates, and shared resources to support scalability and consistency.
* Manage timelines, logistics, and coordination for all major learning initiatives.
* Identify potential risks and challenges, support issue resolution, and elevate decisions or resource needs when needed to keep programs on track.
* Balance structure with flexibility in a dynamic, evolving environment.
**Supervisory Responsibilities**
* N/A
**Education**
* Bachelor’s degree in Business, Organizational Development, Psychology, Education, or a related field preferred.
* Equivalent combination of education and hands\-on experience in learning, program coordination, or commercial operations will be considered.
**Professional Experience, Knowledge \&amp; Technical Skills**
**Required Experience \&amp; Skills:**
* 4\+ years of experience in learning, program management, commercial operations, HR, or a related field.
* Experience supporting leadership development, training delivery, and vendor\-managed learning solutions.
* Strong program and project management skills.
* Demonstrated ability to manage multiple priorities and deadlines.
* Comfort operating in evolving, less\-structured environments.
* Excellent communication and stakeholder management skills.
* Experience in creating professional learning and communication materials.
* Proficiency with learning platforms and digital collaboration tools.
**Preferred Attributes:**
* High level of initiative, persistence, and accountability.
* Strong business mindset and results orientation.
* Confidence engaging with leaders and influencing without authority.
* Curiosity and willingness to challenge traditional approaches.
* Passion for developing people and improving performance.
**Success in This Role requires the ability to:**
* Take ownership and drive work forward without waiting for perfect direction.
* Follow up consistently and confidently to ensure commitments are met.
* Bring ideas forward and see them through to execution.
* Navigate ambiguity with good judgment and resilience.
* Build trust and credibility across HR and the business.
* Deliver results that support real business and performance needs, not just programs.
**Soft Skills –** ***Company Values \&amp; Behaviours***
Adhere to the Bracco’s core values, including:
* Passion: Connecting People and Networking; Be Yourself
* Extraordinary: Leading People and Delegation; Courage
* Continuous Evolution: Insight and Learning Agility; Digital and Technology Orientation
* Sustainability: Long\-Term Value Creation; Accountability
**Professional Development \&amp; Growth**
The Company is committed to supporting the long‑term growth and success of our team members. This role includes access to a wide range of development opportunities, such as:
* Company‑funded professional development, including relevant certifications, credentials, and continuing education
* Access to internal and external learning resources, such as training programs, conferences, and industry‑specific materials
* Coaching, mentoring, and leadership development designed to support career advancement
* Opportunities to participate in cross‑functional and enterprise‑wide initiatives to broaden experience and influence
* A culture that values continuous learning, innovation, and career progression
**Core Relationships**
* HR Business Partners and Talent / Organizational Development colleagues
* People managers and leaders participating in development programs
* Internal subject matter experts across functions
* External learning and leadership development vendors
* Internal HR operations, systems, and communications partners
* Program participants and cohort members
**Certificates, Licenses, Registrations**
* Project or program management training or certification (formal or informal) a plus.
* Learning, facilitation, or assessment certifications valued when paired with strong execution and coordination experience.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The position is office\-based in Eden Prairie, MN as hybrid (three days in office, two days remote) with approximately 10% domestic travel.
Bracco Diagnostics Inc. is an equal opportunity employer. All qualified applicants will receive consideration for employment without regard to race, color, religion, sex, national origin, sexual orientation, gender identity, or any other protected status.</t>
        </is>
      </c>
    </row>
    <row r="98">
      <c r="A98" t="inlineStr">
        <is>
          <t>in-a781036f0be2f90a</t>
        </is>
      </c>
      <c r="B98" t="inlineStr">
        <is>
          <t>Early IT Program Manager, School of Information Technology, CECH</t>
        </is>
      </c>
      <c r="C98" t="inlineStr">
        <is>
          <t>University Of Cincinnati</t>
        </is>
      </c>
      <c r="D98" t="inlineStr">
        <is>
          <t>indeed</t>
        </is>
      </c>
      <c r="E98">
        <f>HYPERLINK("https://www.indeed.com/viewjob?jk=a781036f0be2f90a", "https://www.indeed.com/viewjob?jk=a781036f0be2f90a")</f>
        <v/>
      </c>
      <c r="F98">
        <f>HYPERLINK("https://jobs.uc.edu/job/Cincinnati-Early-IT-Program-Manager%2C-School-of-Information-Technology%2C-CECH-OH-45221/1358674500/?feedId=130800&amp;utm_source=Indeed&amp;utm_campaign=UC_Indeed", "https://jobs.uc.edu/job/Cincinnati-Early-IT-Program-Manager%2C-School-of-Information-Technology%2C-CECH-OH-45221/1358674500/?feedId=130800&amp;utm_source=Indeed&amp;utm_campaign=UC_Indeed")</f>
        <v/>
      </c>
      <c r="G98" t="inlineStr">
        <is>
          <t>Cincinnati, OH, US</t>
        </is>
      </c>
      <c r="H98" s="2" t="n">
        <v>46073</v>
      </c>
      <c r="I98" t="inlineStr">
        <is>
          <t>**Current UC employees must apply internally via** ***SuccessFactors***
 **Next Lives at the University of Cincinnati**
Founded in 1819, the University of Cincinnati ranks among the nation’s best urban public research universities. Home to more than 53,600 students, 12,000 faculty and staff, and over 360,000 living alumni, UC, a Carnegie 1 institution, combines research prowess with a physical setting The New York Times has called “the most ambitious campus design program in the country." UC's momentum has never been stronger as the anchor of the Cincinnati Innovation District, the oldest cooperative education (co\-op) program in the country with students earning $94 million annually through paid experiences, an academic health system, and as a member of the Big 12 Conference. The university contributes $10\.6 billion in economic impact to the city and $22\.7 billion to the state of Ohio. At UC, next is all of us. Learn more at uc.edu.
UC is a mission\-driven organization where we are committed to student success and positively transforming the community through scholarship and service. We thrive on innovation, making an impact, and fostering an environment where staff and faculty are key contributors to UC’s success.
**About the School of Information Technology**
----------------------------------------------
The School of Information Technology (SoIT) is a national leader in studying solutions and needs that connect people, information, and the technology of the time. The SoIT is home to Ohio's first Master of Science, and Doctor of Philosophy degrees in Information Technology. In addition, it is home to Ohio's first ABET accredited Bachelor of Science in Information Technology and a Bachelor of Science in Cybersecurity. The SoIT has been growing at 15% annually and currently serves more than 1,550 students with 33 full\-time faculty members, 38 full\-time staff, and 39 adjunct faculty. The SoIT is home to several centers including an NSA/DHS Center for Academic Excellence in Cyber Defense, the Information Technology Solutions Center, the Ohio Cyber Range Institute, Applied Machine Learning and Intelligence Center, the Justice, Law, and Information Technology Institute, and the Civic Technology Center. In 2017, the SoIT launched the Early IT as a collaborative ecosystem among educational institutions and industry to significantly advance the readiness of the state’s information technology talent.
The SoIT is an interdisciplinary, team\-oriented, mission\-driven, dynamic, and entrepreneurial environment. It empowers individuals to become passionate, solution\-minded Information Technology professionals by fostering continuous innovation, research, leadership development, interdisciplinary problem solving, and real\-world experience. More information about the SoIT can be found at http://cech.uc.edu/it.
The Early IT ecosystem is a collaborative partnership with K12 districts, community colleges, education service centers, and the industry with the goal of removing barriers to college education and career success for all. The SoIT collaborates with its partners to create pathways for learners to advance their degrees, create success experiences to enable learners to achieve their goals, and create practical experiences to equip the learners with advanced hands\-on technical skills, problem solving skills, and communication skills. More information on the Early IT ecosystem can be found at: https://www.cech.uc.edu/schools/it/early\-it.html
**Job Overview**
----------------
The SoIT is seeking a program manager to support the Early IT ecosystem. This includes managing relationships with the various academic and industry partners, collaborating with the Early IT team to problem solve, increase efficiency, innovate to ensure success, and managing the life cycle of projects and activities with the various partners. The program manager will report to the Associate Director for Early IT.
This position is 100% on\-site but may offer flexibility for a hybrid work option once training is complete. Hybrid work arrangements are at the discretion of the supervisor and are subject to change in accordance with the School of Information Technology telework policy and university policies.
**Essential Functions**
-----------------------
* Manage, design, develop, modify and present programs. Perform program needs assessment and make recommendations.
* Implement policies and procedures.
* Act as a liaison to internal departments, external entities, and community organizations.
* May prepare and edit reports and/or newsletters and develop publication materials.
* Perform related duties based on departmental needs. This job description can be changed at any time.
* Assist with managing the operation of the SoIT Early College program
* Assist with organizing events, workshops and other related activities such as Early IT Roundtable and Teacher Fellowship.
* Assist with developing and implementing marketing strategies to recruit students and program participants.
* Assist with managing relationships with current school partners.
* Coordinate with faculty and staff in support of the program.
* Assist with meeting grant requirements and development of new grant proposals.
**Required Education**
----------------------
* Bachelor's Degree.
* Seven (7\) years of relevant work experience and/or other specialized training can be used in lieu of education requirement.
**Required Trainings/Certifications**
-------------------------------------
N/A
**Required Experience**
-----------------------
Three (3\) years of relevant experience.
**Additional Qualification Considered**
---------------------------------------
* Experience with the Early IT ecosystem is preferred.
* Experience working in a school\-based setting; high school experience preferred.
* Experience working with school districts, especially in implementation of new programs.
* Experience working with multiple organizations such as regional consortiums.
* Understanding the administrative functions, academic programs, and requirements of a university.
* Ability to work in a fast\-paced environment.
**Physical Requirements/Work Environment**
------------------------------------------
* Office environment/no specific unusual physical or environmental demands.
**Application Process**
-----------------------
Review of the applications will start as soon as possible until the position is filled. Applicants must submit:
* Cover Letter
* CV/Resume
* At least three references
**Compensation and Benefits**
UC offers an exceptional benefits package designed to support your well\-being, financial security, and work\-life balance. Eligibility varies by position and FTE. Highlights include:
 **Salary/Hourly Pay Rate Information:** $50,000\-$55,000
**Comprehensive Tuition Remission**
UC provides tuition remission for you and your eligible dependents, covering tuition costs for nearly all undergraduate and graduate programs offered by the university.
**Robust Retirement Plans**
As a UC employee, you won’t contribute to Social Security (except Medicare). Instead, you’ll choose between state pension plans (OPERS, STRS) or an Alternative Retirement Plan (ARP), with UC contributing 14–18% of your salary based on position.
**Real Work\-Life Balance**
UC prioritizes work\-life balance with a generous time\-off policy, including:
Vacation and sick time
11 paid holidays and additional end\-of\-year paid time off (Winter Season Days)
6 weeks of paid parental leave for new parents
**Additional Benefits Include:**
* Competitive salary range of $50,000 \- $55,000 based on experience
* Comprehensive health coverage (medical, dental, vision, prescription)
* Flexible spending accounts \&amp; wellness programs
* Professional development \&amp; mentorship opportunities
For questions about the UC recruiting process or to request accommodations with the application, please contact Human Resources at **jobs@uc.edu****.**
 **Equal Opportunity Employer. Building a workplace where all qualified applicants will receive consideration for employment, including Individuals with Disabilities and Protected Veterans.**
REQ: 100830</t>
        </is>
      </c>
    </row>
    <row r="99">
      <c r="A99" t="inlineStr">
        <is>
          <t>in-727f39507be59802</t>
        </is>
      </c>
      <c r="B99" t="inlineStr">
        <is>
          <t>Product Manager - In-Flight Connectivity</t>
        </is>
      </c>
      <c r="C99" t="inlineStr">
        <is>
          <t>EchoStar</t>
        </is>
      </c>
      <c r="D99" t="inlineStr">
        <is>
          <t>indeed</t>
        </is>
      </c>
      <c r="E99">
        <f>HYPERLINK("https://www.indeed.com/viewjob?jk=727f39507be59802", "https://www.indeed.com/viewjob?jk=727f39507be59802")</f>
        <v/>
      </c>
      <c r="F99">
        <f>HYPERLINK("https://attract-careers1-echostar.icims.com/jobs/96998/job?utm_source=indeed_integration&amp;iis=Job%20Board&amp;iisn=Indeed&amp;indeed-apply-token=73a2d2b2a8d6d5c0a62696875eaebd669103652d3f0c2cd5445d3e66b1592b0f", "https://attract-careers1-echostar.icims.com/jobs/96998/job?utm_source=indeed_integration&amp;iis=Job%20Board&amp;iisn=Indeed&amp;indeed-apply-token=73a2d2b2a8d6d5c0a62696875eaebd669103652d3f0c2cd5445d3e66b1592b0f")</f>
        <v/>
      </c>
      <c r="G99" t="inlineStr">
        <is>
          <t>Melbourne, FL, US</t>
        </is>
      </c>
      <c r="H99" s="2" t="n">
        <v>46073</v>
      </c>
      <c r="I99" t="inlineStr">
        <is>
          <t>Company Summary:
EchoStar builds solutions that help families and communities stay connected. We’ll launch your career and empower you to change lives.  
Our brands include Boost Mobile, DISH TV, Gen Mobile, Hughes and Sling TV. We serve millions of customers with offerings ranging from satellite to streaming services and global to personal networking solutions.
Department Summary:
EchoStar has an exciting opportunity for a **Product Manager \- Aviation** for In\-Flight Connectivity to work in our Hughes Network Systems – Aero division.
Job Duties and Responsibilities:
This role is responsible for owning the product roadmap and leading hardware development programs from concept through certification. This position will be located at our office in Melbourne, FL. **Key Responsibilities:*** Own and manage the product roadmap for in\-flight connectivity hardware solutions
* Lead and manage hardware development projects from requirements definition through prototype
* Work with the technical team to compile technical requirements from multiple customers
* Create and maintain integrated project schedules
* Manage program budgets, labor forecasting, and cost control
* Coordinate staffing for multiple functions across multiple geographic locations
* Coordinate with marketing on product strategy and customer needs
* Manage rapid prototyping activities
* Manage risk
* Manage scope change
* Support proposal development
* Transition products to production and sustainment
* Effectively communicate and present data in oral and written formats
* Multi\-task and manage multiple projects simultaneously
* Ability to solve problems in a complex landscape
* This position requires occasional travel up to 15%
Skills, Experience and Requirements:
**Education and Experience:*** Bachelor's degree in Engineering or related technical field
* 5 years in the aviation or aerospace industry
* Previous experience successfully managing aviation hardware development programs
 **Preferred Qualifications:*** Project Management Professional (PMP) certification
* Familiarity with FAA and international certification programs
* Understanding of technical and contractual requirements flow\-downs
* Strong time management and problem\-solving skills
* Experience with DO\-160 qualification programs
* Ability to influence stakeholders to establish technical concurrence
Will be eligible for discretionary bonus, with funding based on company performance.  
Visa sponsorship not available for this position.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$93500\.00 \- $117000\.00 / Year</t>
        </is>
      </c>
    </row>
    <row r="100">
      <c r="A100" t="inlineStr">
        <is>
          <t>in-d271b8cad1ea9831</t>
        </is>
      </c>
      <c r="B100" t="inlineStr">
        <is>
          <t>Program Manager</t>
        </is>
      </c>
      <c r="C100" t="inlineStr">
        <is>
          <t>H&amp;R Block</t>
        </is>
      </c>
      <c r="D100" t="inlineStr">
        <is>
          <t>indeed</t>
        </is>
      </c>
      <c r="E100">
        <f>HYPERLINK("https://www.indeed.com/viewjob?jk=d271b8cad1ea9831", "https://www.indeed.com/viewjob?jk=d271b8cad1ea9831")</f>
        <v/>
      </c>
      <c r="F100">
        <f>HYPERLINK("https://click.appcast.io/t/47OSybtFuH_FzXbSqIWVglw6XIQskJH76ocmpl7DbJU=", "https://click.appcast.io/t/47OSybtFuH_FzXbSqIWVglw6XIQskJH76ocmpl7DbJU=")</f>
        <v/>
      </c>
      <c r="G100" t="inlineStr">
        <is>
          <t>MO, US</t>
        </is>
      </c>
      <c r="H100" s="2" t="n">
        <v>46073</v>
      </c>
      <c r="I100"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As the Program Manager – Corporate Systems, you will report to the Director of Corporate Systems and initiate, plan, execute, and control programs and projects involving multiple people, process, data, and technology components. This is a highly visible role where you will work across the organization to align and execute on requirements and deliverables to drive strategic and tactical goals of our stakeholders.
You will drive, measure, and be accountable for both short\- and long\-term program and project outcomes, ensuring delivery of meaningful value to our clients and to H\&amp;R Block.
 **Day to day, you’ll…**
Strategy, Planning \&amp; Alignment
* Own the end\-to\-end delivery strategy for a portfolio of Corporate Systems programs and projects, ensuring alignment with enterprise strategy, business priorities, and stakeholder outcomes across functions such as P\&amp;C, Finance, Customer Care, and Corporate teams.
* Translate strategic and tactical objectives into clear, executable programs, enabling manager\-owned roadmaps, sequencing initiatives to maximize value while managing interdependencies across people, process, data, and technology.
* Partner closely with business, technology, and vendor leaders to ensure every “next dollar invested” delivers the best possible return, balancing near\-term delivery with long\-term platform health and scalability.
* Anticipate and proactively manage delivery and operational risks, performing root\-cause analysis and driving mitigation strategies to protect business outcomes and continuity.
Program \&amp; Delivery Execution
* Drive cross\-functional delivery of complex Corporate Systems initiatives spanning Contact Center platforms, knowledge and casemanagement modernization, Intranet, CRM rationalization, and other enterprise priorities.
* Establish and lead program governance, providing clear visibility into progress, timelines, budgets, risks, and issues while ensuring alignment with agreedupon outcomes.
* Orchestrate execution across internal teams and external vendors, actively managing dependencies, integrations, and risks across multiple platforms and workstreams.
* Ensure consistent ontime and onbudget delivery, holding teams accountable while removing obstacles and enabling high performance.
Change, Adoption \&amp; Stakeholder Engagement
* Lead change management and adoption planning to ensure solutions are successfully embedded into daytoday operations across multiple stakeholder groups.
* Act as a trusted advisor to senior leaders, clearly communicating progress, tradeoffs, risks, and outcomes while aligning expectations across the organization.
* Drive shared understanding of program goals, impacts, and success measures so stakeholders are prepared to realize intended business and operational benefits.
Insights, Measurement \&amp; Value Realization
* Define, track, and report on program success metrics, including delivery performance, financial outcomes, and realized business value.
* Initiate and gain agreement on soft and hard benefits (both Business and IT), ensuring value realization plans are in place while operational risk is appropriately mitigated.
Financial \&amp; Budget Management
* Create and manage program and project budgets with accuracy and transparency.
What you'll bring to the team...:
* 8 years total experience
* BS/BA or equivalent through a combination of education and experience
* Thought leadership by staying up to date of new technologies, customer trends and expectations, and competitive insights
* Experience with contact center technologies, processes, and measures along with how they drive client experience
* Exceptional communication and collaboration skills, along with experience working and leading in a cross\-functional environment
* The ability to think strategically and tactically with a persistent problem\-solving mentality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$101,200\.00 \- $161,900\.00/Yr. Sponsored Job: \#LI\-SH1 \#LI\-Remote</t>
        </is>
      </c>
    </row>
    <row r="101">
      <c r="A101" t="inlineStr">
        <is>
          <t>in-9ecb8696ab095d81</t>
        </is>
      </c>
      <c r="B101" t="inlineStr">
        <is>
          <t>Principal Product Manager - Customer Data Platform</t>
        </is>
      </c>
      <c r="C101" t="inlineStr">
        <is>
          <t>GEICO</t>
        </is>
      </c>
      <c r="D101" t="inlineStr">
        <is>
          <t>indeed</t>
        </is>
      </c>
      <c r="E101">
        <f>HYPERLINK("https://www.indeed.com/viewjob?jk=9ecb8696ab095d81", "https://www.indeed.com/viewjob?jk=9ecb8696ab095d81")</f>
        <v/>
      </c>
      <c r="F101">
        <f>HYPERLINK("https://click.appcast.io/t/TwA4XjEmjtjs44oXHdUXX_pYMgA-lc3vemNlT1FZaSY=", "https://click.appcast.io/t/TwA4XjEmjtjs44oXHdUXX_pYMgA-lc3vemNlT1FZaSY=")</f>
        <v/>
      </c>
      <c r="G101" t="inlineStr">
        <is>
          <t>San Jose, CA, US</t>
        </is>
      </c>
      <c r="H101" s="2" t="n">
        <v>46073</v>
      </c>
      <c r="I10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2">
      <c r="A102" t="inlineStr">
        <is>
          <t>in-81a5ca9715d0c4f7</t>
        </is>
      </c>
      <c r="B102" t="inlineStr">
        <is>
          <t>Principal Product Manager - Customer Data Platform</t>
        </is>
      </c>
      <c r="C102" t="inlineStr">
        <is>
          <t>GEICO</t>
        </is>
      </c>
      <c r="D102" t="inlineStr">
        <is>
          <t>indeed</t>
        </is>
      </c>
      <c r="E102">
        <f>HYPERLINK("https://www.indeed.com/viewjob?jk=81a5ca9715d0c4f7", "https://www.indeed.com/viewjob?jk=81a5ca9715d0c4f7")</f>
        <v/>
      </c>
      <c r="F102">
        <f>HYPERLINK("https://click.appcast.io/t/eC5ZUJqkiMrxumOo8rrR4Y0csm9By54RIKjoj7USnYk=", "https://click.appcast.io/t/eC5ZUJqkiMrxumOo8rrR4Y0csm9By54RIKjoj7USnYk=")</f>
        <v/>
      </c>
      <c r="G102" t="inlineStr">
        <is>
          <t>Seattle, WA, US</t>
        </is>
      </c>
      <c r="H102" s="2" t="n">
        <v>46073</v>
      </c>
      <c r="I10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3">
      <c r="A103" t="inlineStr">
        <is>
          <t>in-82ff99e5e692ad30</t>
        </is>
      </c>
      <c r="B103" t="inlineStr">
        <is>
          <t>Senior Product Manager - Customer Data Platform</t>
        </is>
      </c>
      <c r="C103" t="inlineStr">
        <is>
          <t>GEICO</t>
        </is>
      </c>
      <c r="D103" t="inlineStr">
        <is>
          <t>indeed</t>
        </is>
      </c>
      <c r="E103">
        <f>HYPERLINK("https://www.indeed.com/viewjob?jk=82ff99e5e692ad30", "https://www.indeed.com/viewjob?jk=82ff99e5e692ad30")</f>
        <v/>
      </c>
      <c r="F103">
        <f>HYPERLINK("https://click.appcast.io/t/_i-v-jpVk48t4PcWLJXm6zkV2FKcXW6wRO3xpZ_Z8gI=", "https://click.appcast.io/t/_i-v-jpVk48t4PcWLJXm6zkV2FKcXW6wRO3xpZ_Z8gI=")</f>
        <v/>
      </c>
      <c r="G103" t="inlineStr">
        <is>
          <t>San Jose, CA, US</t>
        </is>
      </c>
      <c r="H103" s="2" t="n">
        <v>46073</v>
      </c>
      <c r="I10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4">
      <c r="A104" t="inlineStr">
        <is>
          <t>in-8be4cedb02be48a4</t>
        </is>
      </c>
      <c r="B104" t="inlineStr">
        <is>
          <t>Senior Product Manager - Customer Data Platform</t>
        </is>
      </c>
      <c r="C104" t="inlineStr">
        <is>
          <t>GEICO</t>
        </is>
      </c>
      <c r="D104" t="inlineStr">
        <is>
          <t>indeed</t>
        </is>
      </c>
      <c r="E104">
        <f>HYPERLINK("https://www.indeed.com/viewjob?jk=8be4cedb02be48a4", "https://www.indeed.com/viewjob?jk=8be4cedb02be48a4")</f>
        <v/>
      </c>
      <c r="F104">
        <f>HYPERLINK("https://click.appcast.io/t/n4jqhom0uwWzYC5cmULntT0sQVKufgTgAx5I4hFz7SI=", "https://click.appcast.io/t/n4jqhom0uwWzYC5cmULntT0sQVKufgTgAx5I4hFz7SI=")</f>
        <v/>
      </c>
      <c r="G104" t="inlineStr">
        <is>
          <t>Seattle, WA, US</t>
        </is>
      </c>
      <c r="H104" s="2" t="n">
        <v>46073</v>
      </c>
      <c r="I10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5">
      <c r="A105" t="inlineStr">
        <is>
          <t>in-6058e9a9b65635df</t>
        </is>
      </c>
      <c r="B105" t="inlineStr">
        <is>
          <t>Senior Product Manager - Customer Data Platform</t>
        </is>
      </c>
      <c r="C105" t="inlineStr">
        <is>
          <t>GEICO</t>
        </is>
      </c>
      <c r="D105" t="inlineStr">
        <is>
          <t>indeed</t>
        </is>
      </c>
      <c r="E105">
        <f>HYPERLINK("https://www.indeed.com/viewjob?jk=6058e9a9b65635df", "https://www.indeed.com/viewjob?jk=6058e9a9b65635df")</f>
        <v/>
      </c>
      <c r="F105">
        <f>HYPERLINK("https://click.appcast.io/t/RcyWSoEHsEgT18Yn2NaZiIJhCsRF6LYUEPml7d9a3q4=", "https://click.appcast.io/t/RcyWSoEHsEgT18Yn2NaZiIJhCsRF6LYUEPml7d9a3q4=")</f>
        <v/>
      </c>
      <c r="G105" t="inlineStr">
        <is>
          <t>San Francisco, CA, US</t>
        </is>
      </c>
      <c r="H105" s="2" t="n">
        <v>46073</v>
      </c>
      <c r="I10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6">
      <c r="A106" t="inlineStr">
        <is>
          <t>in-d7eaa69ce55f4f96</t>
        </is>
      </c>
      <c r="B106" t="inlineStr">
        <is>
          <t>Senior Product Manager - Customer Data Platform</t>
        </is>
      </c>
      <c r="C106" t="inlineStr">
        <is>
          <t>GEICO</t>
        </is>
      </c>
      <c r="D106" t="inlineStr">
        <is>
          <t>indeed</t>
        </is>
      </c>
      <c r="E106">
        <f>HYPERLINK("https://www.indeed.com/viewjob?jk=d7eaa69ce55f4f96", "https://www.indeed.com/viewjob?jk=d7eaa69ce55f4f96")</f>
        <v/>
      </c>
      <c r="F106">
        <f>HYPERLINK("https://click.appcast.io/t/fsyhmhQNqMSg2tIb8YZwwF2iILvZG3AeFhBzkLobP0o=", "https://click.appcast.io/t/fsyhmhQNqMSg2tIb8YZwwF2iILvZG3AeFhBzkLobP0o=")</f>
        <v/>
      </c>
      <c r="G106" t="inlineStr">
        <is>
          <t>Chevy Chase, MD, US</t>
        </is>
      </c>
      <c r="H106" s="2" t="n">
        <v>46073</v>
      </c>
      <c r="I10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7">
      <c r="A107" t="inlineStr">
        <is>
          <t>in-1af4e1240a09c541</t>
        </is>
      </c>
      <c r="B107" t="inlineStr">
        <is>
          <t>Principal Product Manager - Customer Data Platform</t>
        </is>
      </c>
      <c r="C107" t="inlineStr">
        <is>
          <t>GEICO</t>
        </is>
      </c>
      <c r="D107" t="inlineStr">
        <is>
          <t>indeed</t>
        </is>
      </c>
      <c r="E107">
        <f>HYPERLINK("https://www.indeed.com/viewjob?jk=1af4e1240a09c541", "https://www.indeed.com/viewjob?jk=1af4e1240a09c541")</f>
        <v/>
      </c>
      <c r="F107">
        <f>HYPERLINK("https://click.appcast.io/t/tGc_N1dBo126AiAqmfcu0chcTwTAbz2BYg-dH5Agsn4=", "https://click.appcast.io/t/tGc_N1dBo126AiAqmfcu0chcTwTAbz2BYg-dH5Agsn4=")</f>
        <v/>
      </c>
      <c r="G107" t="inlineStr">
        <is>
          <t>San Francisco, CA, US</t>
        </is>
      </c>
      <c r="H107" s="2" t="n">
        <v>46073</v>
      </c>
      <c r="I10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8">
      <c r="A108" t="inlineStr">
        <is>
          <t>in-966f0cdc4facae70</t>
        </is>
      </c>
      <c r="B108" t="inlineStr">
        <is>
          <t>Principal Product Manager - Customer Data Platform</t>
        </is>
      </c>
      <c r="C108" t="inlineStr">
        <is>
          <t>GEICO</t>
        </is>
      </c>
      <c r="D108" t="inlineStr">
        <is>
          <t>indeed</t>
        </is>
      </c>
      <c r="E108">
        <f>HYPERLINK("https://www.indeed.com/viewjob?jk=966f0cdc4facae70", "https://www.indeed.com/viewjob?jk=966f0cdc4facae70")</f>
        <v/>
      </c>
      <c r="F108">
        <f>HYPERLINK("https://click.appcast.io/t/9t3spA6TTnWGV_zEvAoYx6xFAZ1YWD55lDeMw5CeYZ8=", "https://click.appcast.io/t/9t3spA6TTnWGV_zEvAoYx6xFAZ1YWD55lDeMw5CeYZ8=")</f>
        <v/>
      </c>
      <c r="G108" t="inlineStr">
        <is>
          <t>New York, NY, US</t>
        </is>
      </c>
      <c r="H108" s="2" t="n">
        <v>46073</v>
      </c>
      <c r="I10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9">
      <c r="A109" t="inlineStr">
        <is>
          <t>in-8173655d1e83efc3</t>
        </is>
      </c>
      <c r="B109" t="inlineStr">
        <is>
          <t>Senior Product Manager - Customer Data Platform</t>
        </is>
      </c>
      <c r="C109" t="inlineStr">
        <is>
          <t>GEICO</t>
        </is>
      </c>
      <c r="D109" t="inlineStr">
        <is>
          <t>indeed</t>
        </is>
      </c>
      <c r="E109">
        <f>HYPERLINK("https://www.indeed.com/viewjob?jk=8173655d1e83efc3", "https://www.indeed.com/viewjob?jk=8173655d1e83efc3")</f>
        <v/>
      </c>
      <c r="F109">
        <f>HYPERLINK("https://click.appcast.io/t/rT-PfLVH3pRbsTn15jb3nyj0jokpLCK1j9c-sHroI4U=", "https://click.appcast.io/t/rT-PfLVH3pRbsTn15jb3nyj0jokpLCK1j9c-sHroI4U=")</f>
        <v/>
      </c>
      <c r="G109" t="inlineStr">
        <is>
          <t>New York, NY, US</t>
        </is>
      </c>
      <c r="H109" s="2" t="n">
        <v>46073</v>
      </c>
      <c r="I10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0">
      <c r="A110" t="inlineStr">
        <is>
          <t>in-55ea215169bdcedb</t>
        </is>
      </c>
      <c r="B110" t="inlineStr">
        <is>
          <t>Senior Product Manager - Customer Data Platform</t>
        </is>
      </c>
      <c r="C110" t="inlineStr">
        <is>
          <t>GEICO</t>
        </is>
      </c>
      <c r="D110" t="inlineStr">
        <is>
          <t>indeed</t>
        </is>
      </c>
      <c r="E110">
        <f>HYPERLINK("https://www.indeed.com/viewjob?jk=55ea215169bdcedb", "https://www.indeed.com/viewjob?jk=55ea215169bdcedb")</f>
        <v/>
      </c>
      <c r="F110">
        <f>HYPERLINK("https://click.appcast.io/t/JdauG5ZmAnyj1NuZ2REkjXwf7I9b0j52V9OhP7bRTi0=", "https://click.appcast.io/t/JdauG5ZmAnyj1NuZ2REkjXwf7I9b0j52V9OhP7bRTi0=")</f>
        <v/>
      </c>
      <c r="G110" t="inlineStr">
        <is>
          <t>Dallas, TX, US</t>
        </is>
      </c>
      <c r="H110" s="2" t="n">
        <v>46073</v>
      </c>
      <c r="I1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1">
      <c r="A111" t="inlineStr">
        <is>
          <t>in-9e78594d9c29c45a</t>
        </is>
      </c>
      <c r="B111" t="inlineStr">
        <is>
          <t>Principal Product Manager - Customer Data Platform</t>
        </is>
      </c>
      <c r="C111" t="inlineStr">
        <is>
          <t>GEICO</t>
        </is>
      </c>
      <c r="D111" t="inlineStr">
        <is>
          <t>indeed</t>
        </is>
      </c>
      <c r="E111">
        <f>HYPERLINK("https://www.indeed.com/viewjob?jk=9e78594d9c29c45a", "https://www.indeed.com/viewjob?jk=9e78594d9c29c45a")</f>
        <v/>
      </c>
      <c r="F111">
        <f>HYPERLINK("https://click.appcast.io/t/AK84GdD7zl1aCvKqWsUHoZR_MyxFEwhQBC0UJCOR7Zc=", "https://click.appcast.io/t/AK84GdD7zl1aCvKqWsUHoZR_MyxFEwhQBC0UJCOR7Zc=")</f>
        <v/>
      </c>
      <c r="G111" t="inlineStr">
        <is>
          <t>Dallas, TX, US</t>
        </is>
      </c>
      <c r="H111" s="2" t="n">
        <v>46073</v>
      </c>
      <c r="I11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2">
      <c r="A112" t="inlineStr">
        <is>
          <t>in-fe086e28b8d559f1</t>
        </is>
      </c>
      <c r="B112" t="inlineStr">
        <is>
          <t>Principal Product Manager - Customer Data Platform</t>
        </is>
      </c>
      <c r="C112" t="inlineStr">
        <is>
          <t>GEICO</t>
        </is>
      </c>
      <c r="D112" t="inlineStr">
        <is>
          <t>indeed</t>
        </is>
      </c>
      <c r="E112">
        <f>HYPERLINK("https://www.indeed.com/viewjob?jk=fe086e28b8d559f1", "https://www.indeed.com/viewjob?jk=fe086e28b8d559f1")</f>
        <v/>
      </c>
      <c r="F112">
        <f>HYPERLINK("https://click.appcast.io/t/rJtJgp5RSA7_XBBvYPV2Q-A6NWhRkWzToNvrDiO-TCU=", "https://click.appcast.io/t/rJtJgp5RSA7_XBBvYPV2Q-A6NWhRkWzToNvrDiO-TCU=")</f>
        <v/>
      </c>
      <c r="G112" t="inlineStr">
        <is>
          <t>Chevy Chase, MD, US</t>
        </is>
      </c>
      <c r="H112" s="2" t="n">
        <v>46073</v>
      </c>
      <c r="I11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3">
      <c r="A113" t="inlineStr">
        <is>
          <t>in-de3d506c9c7d4288</t>
        </is>
      </c>
      <c r="B113" t="inlineStr">
        <is>
          <t>Data Product Manager</t>
        </is>
      </c>
      <c r="C113" t="inlineStr">
        <is>
          <t>Munich Re</t>
        </is>
      </c>
      <c r="D113" t="inlineStr">
        <is>
          <t>indeed</t>
        </is>
      </c>
      <c r="E113">
        <f>HYPERLINK("https://www.indeed.com/viewjob?jk=de3d506c9c7d4288", "https://www.indeed.com/viewjob?jk=de3d506c9c7d4288")</f>
        <v/>
      </c>
      <c r="F113">
        <f>HYPERLINK("https://careers.munichre.com/en/job/hartford/data-product-manager/3342/35383415104", "https://careers.munichre.com/en/job/hartford/data-product-manager/3342/35383415104")</f>
        <v/>
      </c>
      <c r="G113" t="inlineStr">
        <is>
          <t>Hartford, CT, US</t>
        </is>
      </c>
      <c r="H113" s="2" t="n">
        <v>46073</v>
      </c>
      <c r="I113" t="inlineStr">
        <is>
          <t>**Location** Hartford, United States **Job type** Full\-Time **Work mode** Hybrid **Job level** Professional **Job ID** 12045 **Company** Munich Re America Services **Employment type** Regular **Area of expertise** Data, BI \&amp; Analytics
**All locations** Hartford, United States; Princeton, United States;
Munich Re America Services (MRAS) is a shared service organization that delivers services to all Munich Re US P\&amp;C Companies and other group entities.
This role supports Data and Analytics initiatives by contributing technical expertise and helping deliver data solutions from start to finish. The position assists in ensuring that data products are accurate, reliable, and aligned with business needs. Working closely with business and technology teams, this role helps improve data quality, usability, and adoption to support positive business outcomes.
**Major Accountabilities:**
* Align data initiatives with business goals and strategy
* Collaborate with business to define the vision, roadmap, and success metrics for data products (e.g., datasets, data platforms etc.)
* Gather, prioritize, and translate business requirements into data capabilities
* Partner with preferred suppliers to bring fit for purpose resources onto the delivery teams
* Manage projects leveraging an Agile delivery methodology
* Work with the business product owners to prioritize the product backlog for data engineering and analytics teams
* Write and refine user stories related to data ingestion, transformation, quality, governance, and access
* Balance new features, technical debt, and regulatory/compliance needs
* Partner with data engineers and data stewards to ensure accuracy, completeness, timeliness, and consistency
* Direct data engineering team to analyze functional requirements and drive the build of data pipelines to support solution delivery
* Own issue triage and prioritization for data defects
* Work closely with data engineers, architects, BI developers, DevSecOps and other platform (Databricks, Azure etc.) teams
* Deep understanding of data warehouses/data marts/ data lake / data API’s in cloud\-based environments
* Work with and/or lead data architects to ensure critical data sources/elements have been identified
* Work with management/architecture to align architecture solutions for the aggregation and provisioning of data globally
* Partner with data solution architects to ensure appropriate data availability in support of advanced data analytical needs for the organization
* Closely work with both logical/conceptual and physical data modelers to deliver optimized data models that support the required technical solution
* Provide estimates and estimation models for resourcing as needed for technical project delivery
* Provide status reporting and partner with the PMO where needed
* Supports all required IT organizational controls and will help to enable anything required where gapped for data specifically
* Capacity to lead transformational programs across multiple teams
**Qualifications:**
Basic Knowledge, Skills, And Experience:
* 8\+ years of experience across data architecture, data engineering, data management, and data delivery in Financial Services and/or Insurance organizations
* Experience in designing and building information assets leveraging modern technology platforms including cloud (Azure, AWS, Google, etc.)
* Experience with cloud data pipelining technologies such as Informatica IICS and ADF
* Experience with ETL/ELT pipelines using Databricks, Apache Distributed data processing frameworks (PySpark/Scala), and Delta Lake
* Experience with data platforms such as Databricks, Snowflake, Oracle/SQL Server/DB2/Etc. and Informatica MDM/RDM tooling
* Experience with Insurance platforms such as DuckCreek and/or Guidewire and their data components
* Experience collaborating with key business partners and functional teams to ensure requirements are made available and understood by the technical delivery team
* Experience working with global partners and leaders
* B.S. and/or M.S. in Computer Science or equivalent
* Previous experience helping to lead Data teams through organizational change to improve efficiency, reducing costs, and integrating business units and their capability requirements
* Proven track record of delivering projects on time and within budget
At Munich Re, we see Diversity, Equity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**Your Benefits**
-----------------
With us, you get more than just an exciting job. Enjoy a wide range of employee benefits tailored to your wellbeing and development. Please note that regional differences may apply.
Competitive Salary
We provide fair and competitive compensation that reflects your performance and commitment.
Company performance\-based Incentives
In addition to your salary, our variable compensation approach allows you to share in Munich Re's success.
Recognition and Special Rewards
We recognise outstanding individual contributions through a variety of targeted rewards and incentives.
Retirement Planning
We support your long\-term financial wellbeing with retirement solutions aligned with local regulations.
Inclusive Workplace Culture
We foster a respectful, inclusive, and values\-driven environment.
Learning \&amp; Development
We offer tailored learning opportunities with a strong focus on core skills and business\-critical knowledge.
Work\-Life\-Balance
Supporting your ability to balance family, leisure, and your career.
Health \&amp; Wellbeing
We support your physical and mental health through a range of programs and activities in each location.</t>
        </is>
      </c>
    </row>
    <row r="114">
      <c r="A114" t="inlineStr">
        <is>
          <t>in-4af086472c14aa59</t>
        </is>
      </c>
      <c r="B114" t="inlineStr">
        <is>
          <t>Strategic Program Manager</t>
        </is>
      </c>
      <c r="C114" t="inlineStr">
        <is>
          <t>McKesson</t>
        </is>
      </c>
      <c r="D114" t="inlineStr">
        <is>
          <t>indeed</t>
        </is>
      </c>
      <c r="E114">
        <f>HYPERLINK("https://www.indeed.com/viewjob?jk=4af086472c14aa59", "https://www.indeed.com/viewjob?jk=4af086472c14aa59")</f>
        <v/>
      </c>
      <c r="F114">
        <f>HYPERLINK("https://careers.mckesson.com/en/job/-/-/733/91955976400", "https://careers.mckesson.com/en/job/-/-/733/91955976400")</f>
        <v/>
      </c>
      <c r="G114" t="inlineStr">
        <is>
          <t>Irving, TX, US</t>
        </is>
      </c>
      <c r="H114" s="2" t="n">
        <v>46072</v>
      </c>
      <c r="I114"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MHS Compass team within McKesson's North American Pharmaceutical Services group is seeking a Strategic Program Manager in Las Colinas, TX. The Strategic Program Manager is the key point of contact for internal and external stakeholders. This individual is responsible for meeting the contractual requirements for their respective customer(s) while leading strategic initiatives to enhance the customer experience.
This position will require the incumbent to be **in\-office as needed.**
**Key Responsibilities**
* Manages external customers’ strategic programs and acts as a direct point of contact. Leads and participates in calls with external customers in order develop a relationship with the customer and keep an open line of communication.
* Execute vendor\-defined product allocation programs across various customers for supply constrained inventory. This includes communicating out to customer\-facing teams, transferring inventory across DCs/customer groups, submitting auto shipments, etc.
* Provide detailed reporting and analysis around forecast trending, omit analysis, fair share allocations, etc.
* Evaluate and determine process improvements and automation to attain operational excellence.
* Develop business presentations to explain the status of customers’ programs and current initiatives.
* Expected to seek out new information and utilize new technology to improve the ways of working.
* Other duties as assigned.
**Minimum Requirements**
Degree or equivalent and typically requires 4\+ years of relevant experience
**Education**
4\-year degree or equivalent experience
**Critical Skills**
* Degree or equivalent and 4\+ years of relevant experience in areas such as supply chain, product management, purchasing, marketing/sales, and/or finance
* Experience in supply chain, product management, purchasing, marketing/sales, and/or finance
* Strong analytical skills and ability to extract large amounts of transactional data from McKesson systems (SQL, Business Objects, SAP, SCORE, Hana, etc.)
* Organize and analyze data into meaningful and easily disseminated reporting via PC based tools (Power BI, Access, Excel, Word, PowerPoint, etc.)
* Prepare reports and recommendations that can be used to make timely and accurate decisions about service level and inventory issues.
**Additional Skills/knowledge**
* Excellent communication skills
* Strong relationship building and strategic partnering skills.
* Ability to understand and conduct supply chain/financial analysis and quantitative / qualitative assessment of data.
* Strong project management skills
* Ability to function in a fast\-paced, dynamic environment
* Ability to manage conflict resolution
* Ability to interpret data and information to evaluate business opportunities.
* Process Improvement mindset
This position offers the possibility of a hybrid work arrangement based on recent updates to our in\-office/work‑from‑home model. If located in DFW area, the selected candidate may be expected to work on‑site at our Las Colinas office a minimum of two (2\) days per week, with the remaining days worked remotely. Specific in‑office days may be designated according to team needs and business priorities.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$96,100 \- $160,100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115">
      <c r="A115" t="inlineStr">
        <is>
          <t>in-cfe5dac3c16bede7</t>
        </is>
      </c>
      <c r="B115" t="inlineStr">
        <is>
          <t>AIA Program Manager - East</t>
        </is>
      </c>
      <c r="C115" t="inlineStr">
        <is>
          <t>CHI Overhead Doors</t>
        </is>
      </c>
      <c r="D115" t="inlineStr">
        <is>
          <t>indeed</t>
        </is>
      </c>
      <c r="E115">
        <f>HYPERLINK("https://www.indeed.com/viewjob?jk=cfe5dac3c16bede7", "https://www.indeed.com/viewjob?jk=cfe5dac3c16bede7")</f>
        <v/>
      </c>
      <c r="F115">
        <f>HYPERLINK("https://jobs.nucor.com/job/Charlotte-AIA-Program-Manager-East-NC-28211/1351664300/?feedId=408100&amp;utm_source=Indeed&amp;utm_campaign=Nucor_Indeed", "https://jobs.nucor.com/job/Charlotte-AIA-Program-Manager-East-NC-28211/1351664300/?feedId=408100&amp;utm_source=Indeed&amp;utm_campaign=Nucor_Indeed")</f>
        <v/>
      </c>
      <c r="G115" t="inlineStr">
        <is>
          <t>Charlotte, NC, US</t>
        </is>
      </c>
      <c r="H115" s="2" t="n">
        <v>46072</v>
      </c>
      <c r="I115" t="inlineStr">
        <is>
          <t>**Job Details**
**Division:****CHI Overhead Doors**
**Location:****Charlotte****,** **NC****,** **United States**
**Other Available Locations:****North Carolina; Georgia; Tennessee**
**Welcome to Nucor, where our unique culture sets us apart. Joining Nucor means becoming part of North America's largest steel and steel products manufacturer, offering unmatched career opportunities and stability. We are known for our innovative sustainability practices and are the continent's largest recycler. Our vibrant culture, built on personal connections and teamwork, empowers every team member with the freedom to innovate and contribute to our collective success. Experience a workplace where safety, efficiency, and meaningful personal connections define every day, enriching both our teammates and the communities we serve.**
**Nucor supports its teammates with top\-tier benefits like Medical, Dental, Vision, and Disability Insurance, 401K and Roth accounts, Profit sharing, Pay\-for\-performance bonuses, Paid parental leave, Tuition reimbursement, Stock program, Scholarships and more.**
**Basic Job Functions:**
------------------------
CHI Overhead Doors is seeking a driven, organized, and professional candidate for the position of **AIA Program Manager** to lead CHI Overhead Doors AIA Lunch \&amp; Learn program and serve as a primary liaison to the architecture, design, and building community. This position will play a critical role in building brand awareness and generating high\-quality leads that support our national sales team and dealer network.
This hybrid position requires a strong communicator who can present confidently to groups of professionals, manage logistics independently, and represent CHI Overhead Doors sectional and rolling steel door solutions in the commercial and residential space.
The AIA Program Manager will be responsible for the full scope of AIA Lunch \&amp; Learn execution, including, but not limited to, scheduling and delivering accredited presentations, customizing sessions to specific verticals, and managing all related logistics such as travel, catering, and on\-site setup. The position also oversees post\-session follow\-up, including AIA certification and lead documentation in Microsoft Dynamics CRM.
This position will also lead efforts to develop and qualify architecture and design (A\&amp;D) leads, working closely with Regional Sales Managers, Commercial Sales Managers, dealers, and other CHI Overhead Doors teammates to coordinate presentations and share new opportunities. Maintaining accurate firm and contact records in Microsoft Dynamics and documenting session outcomes will be essential for success.
In addition, the successful candidate will contribute cross\-functionally by mentoring newer RSMs and CRMs on specific door solution applications, supporting dealer training in the field, and continuously improving the AIA presentation program and related processes.
The ideal candidate must have the ability to manage frequent nationwide travel (approx. 50%) and work effectively in a remote or hybrid setting. They must be comfortable balancing presentation delivery, logistics, and relationship\-building efforts in a fast\-paced, dynamic environment.
The successful candidate will uphold Nucor’s values such as integrity, work ethic, and personal responsibility. Safety is the most important part of all jobs within Nucor; therefore, candidates must be able to demonstrate the ability to initiate, lead, and uphold safety policies, practices, procedures, and housekeeping standards at all times.
**Compensation Data**
---------------------
**Starting Base Salary Range: $89,104\.19\-$98,231\.85**
ROA Bonus
ROA Bonus percentage is variable, determinate upon company performance each year, up to 33% of annual salary.
Profit\-Sharing
10% of Nucor’s pre\-tax earnings are contributed to the Profit Sharing Plan annually and distributed to all eligible teammates. A large portion is deposited into your profit\-sharing account, and a smaller portion is distributed in cash. Current 6\-year average \= 19\.88% of your eligible earnings. Eligible earnings include regular pay, overtime, and bonus.
**Benefits**
------------
C.H.I. Overhead Doors, a Nucor company, is proud to offer industry\-leading benefits to its teammates. Visit nucor.com/benefits to learn more. These benefits include, but are not limited to:
* Annual Profit\-Sharing Bonus
* 401K program with company match
* Paid maternity \&amp; Paternity leave
* Paid time off, 11 paid holidays, 1 personal day
* Short\-term disability/sick pay
* Zero\-deductible medical \&amp; dental insurance
* Vision insurance
* On\-Site Health Clinic in Arthur, IL (free for teammates' \&amp; their covered spouses \&amp; dependents)
* Teladoc (free virtual access to medical, dermatology, and mental health professionals)
* No\-cost physical therapy \&amp; wellness programs
* Nucor stock purchase plan with company match
**Minimum Qualifications:**
---------------------------
* Bachelor's Degree
**Preferred Qualifications:**
-----------------------------
* Familiarity with CHI Overhead Doors products, applications, and sales processes.
* Strong understanding of CHI Overhead Doors customer segments, applications, and value proposition. Experience with continuing education (CEU) programs is a plus.
* Understanding of CHI Overhead Doors key markets
* Previous experience coordinating or delivering educational presentations
* Microsoft Dynamics fluency
 ***Nucor is an Equal Opportunity/Affirmative Action Employer – M/F/Disabled/Vets – and a drug – free workplace***</t>
        </is>
      </c>
    </row>
    <row r="116">
      <c r="A116" t="inlineStr">
        <is>
          <t>in-7414165c15a8699a</t>
        </is>
      </c>
      <c r="B116" t="inlineStr">
        <is>
          <t>AIA Program Manager - West</t>
        </is>
      </c>
      <c r="C116" t="inlineStr">
        <is>
          <t>CHI Overhead Doors</t>
        </is>
      </c>
      <c r="D116" t="inlineStr">
        <is>
          <t>indeed</t>
        </is>
      </c>
      <c r="E116">
        <f>HYPERLINK("https://www.indeed.com/viewjob?jk=7414165c15a8699a", "https://www.indeed.com/viewjob?jk=7414165c15a8699a")</f>
        <v/>
      </c>
      <c r="F116">
        <f>HYPERLINK("https://jobs.nucor.com/job/Salt-Lake-City-AIA-Program-Manager-West-UT-84104/1351663900/?feedId=408100&amp;utm_source=Indeed&amp;utm_campaign=Nucor_Indeed", "https://jobs.nucor.com/job/Salt-Lake-City-AIA-Program-Manager-West-UT-84104/1351663900/?feedId=408100&amp;utm_source=Indeed&amp;utm_campaign=Nucor_Indeed")</f>
        <v/>
      </c>
      <c r="G116" t="inlineStr">
        <is>
          <t>Salt Lake City, UT, US</t>
        </is>
      </c>
      <c r="H116" s="2" t="n">
        <v>46072</v>
      </c>
      <c r="I116" t="inlineStr">
        <is>
          <t>**Job Details**
**Division:****CHI Overhead Doors**
**Location:****Salt Lake City****,** **UT****,** **United States**
**Other Available Locations:****Utah; Arizona; Colorado**
**Welcome to Nucor, where our unique culture sets us apart. Joining Nucor means becoming part of North America's largest steel and steel products manufacturer, offering unmatched career opportunities and stability. We are known for our innovative sustainability practices and are the continent's largest recycler. Our vibrant culture, built on personal connections and teamwork, empowers every team member with the freedom to innovate and contribute to our collective success. Experience a workplace where safety, efficiency, and meaningful personal connections define every day, enriching both our teammates and the communities we serve.**
**Nucor supports its teammates with top\-tier benefits like Medical, Dental, Vision, and Disability Insurance, 401K and Roth accounts, Profit sharing, Pay\-for\-performance bonuses, Paid parental leave, Tuition reimbursement, Stock program, Scholarships and more.**
**Basic Job Functions:**
------------------------
CHI Overhead Doors is seeking a driven, organized, and professional candidate for the position of **AIA Program Manager** to lead CHI Overhead Doors AIA Lunch \&amp; Learn program and serve as a primary liaison to the architecture, design, and building community. This position will play a critical role in building brand awareness and generating high\-quality leads that support our national sales team and dealer network.
This hybrid position requires a strong communicator who can present confidently to groups of professionals, manage logistics independently, and represent CHI Overhead Doors sectional and rolling steel door solutions in the commercial and residential space.
The AIA Program Manager will be responsible for the full scope of AIA Lunch \&amp; Learn execution, including, but not limited to, scheduling and delivering accredited presentations, customizing sessions to specific verticals, and managing all related logistics such as travel, catering, and on\-site setup. The position also oversees post\-session follow\-up, including AIA certification and lead documentation in Microsoft Dynamics CRM.
This position will also lead efforts to develop and qualify architecture and design (A\&amp;D) leads, working closely with Regional Sales Managers, Commercial Sales Managers, dealers, and other CHI Overhead Doors teammates to coordinate presentations and share new opportunities. Maintaining accurate firm and contact records in Microsoft Dynamics and documenting session outcomes will be essential for success.
In addition, the successful candidate will contribute cross\-functionally by mentoring newer RSMs and CRMs on specific door solution applications, supporting dealer training in the field, and continuously improving the AIA presentation program and related processes.
The ideal candidate must have the ability to manage frequent nationwide travel (approx. 50%) and work effectively in a remote or hybrid setting. They must be comfortable balancing presentation delivery, logistics, and relationship\-building efforts in a fast\-paced, dynamic environment.
The successful candidate will uphold Nucor’s values such as integrity, work ethic, and personal responsibility. Safety is the most important part of all jobs within Nucor; therefore, candidates must be able to demonstrate the ability to initiate, lead, and uphold safety policies, practices, procedures, and housekeeping standards at all times.
**Compensation Data**
---------------------
**Starting Base Salary Range: $89,104\.19\-$98,231\.85**
ROA Bonus
ROA Bonus percentage is variable, determinate upon company performance each year, up to 33% of annual salary.
Profit\-Sharing
10% of Nucor’s pre\-tax earnings are contributed to the Profit Sharing Plan annually and distributed to all eligible teammates. A large portion is deposited into your profit\-sharing account, and a smaller portion is distributed in cash. Current 6\-year average \= 19\.88% of your eligible earnings. Eligible earnings include regular pay, overtime, and bonus.
**Benefits**
------------
C.H.I. Overhead Doors, a Nucor company, is proud to offer industry\-leading benefits to its teammates. Visit nucor.com/benefits to learn more. These benefits include, but are not limited to:
* Annual Profit\-Sharing Bonus
* 401K program with company match
* Paid maternity \&amp; Paternity leave
* Paid time off, 11 paid holidays, 1 personal day
* Short\-term disability/sick pay
* Zero\-deductible medical \&amp; dental insurance
* Vision insurance
* On\-Site Health Clinic in Arthur, IL (free for teammates' \&amp; their covered spouses \&amp; dependents)
* Teladoc (free virtual access to medical, dermatology, and mental health professionals)
* No\-cost physical therapy \&amp; wellness programs
* Nucor stock purchase plan with company match
**Minimum Qualifications:**
---------------------------
* Bachelor's Degree
**Preferred Qualifications:**
-----------------------------
* Familiarity with CHI Overhead Doors products, applications, and sales processes.
* Strong understanding of CHI Overhead Doors customer segments, applications, and value proposition. Experience with continuing education (CEU) programs is a plus.
* Understanding of CHI Overhead Doors key markets
* Previous experience coordinating or delivering educational presentations
* Microsoft Dynamics fluency
 ***Nucor is an Equal Opportunity/Affirmative Action Employer – M/F/Disabled/Vets – and a drug – free workplace***</t>
        </is>
      </c>
    </row>
    <row r="117">
      <c r="A117" t="inlineStr">
        <is>
          <t>in-f2c3e756c99b8c2f</t>
        </is>
      </c>
      <c r="B117" t="inlineStr">
        <is>
          <t>Principal Technical Program Manager - Federal Health</t>
        </is>
      </c>
      <c r="C117" t="inlineStr">
        <is>
          <t>Oracle</t>
        </is>
      </c>
      <c r="D117" t="inlineStr">
        <is>
          <t>indeed</t>
        </is>
      </c>
      <c r="E117">
        <f>HYPERLINK("https://www.indeed.com/viewjob?jk=f2c3e756c99b8c2f", "https://www.indeed.com/viewjob?jk=f2c3e756c99b8c2f")</f>
        <v/>
      </c>
      <c r="F117">
        <f>HYPERLINK("https://eeho.fa.us2.oraclecloud.com/hcmUI/CandidateExperience/en/sites/CX_1/job/327348", "https://eeho.fa.us2.oraclecloud.com/hcmUI/CandidateExperience/en/sites/CX_1/job/327348")</f>
        <v/>
      </c>
      <c r="G117" t="inlineStr">
        <is>
          <t>US</t>
        </is>
      </c>
      <c r="H117" s="2" t="n">
        <v>46071</v>
      </c>
      <c r="I117" t="inlineStr">
        <is>
          <t>We are seeking a driven, strategic, analytical, and seasoned technical program manager (TPM) with experience in a high\-growth technology business. We are specifically looking for an experienced Technical Program Manager with experience at getting things done at scale. Think working with cross functional teams across a large organization, moving team towards a unified goal and north star. You drive results, not just facilitate. You possess high judgement and are a “roll your sleeve up” person with a bias for action. You need to possess strong ownership and a strong ability to collaborate. Within this role, you will be responsible for managing complex, cross\- organizational/functional programs that impact both product and business.
Our Oracle Health \&amp; Analytics Federal PMO team focuses on product operations and product strategy for Oracle Health, while building out a complete platform supporting modernized, automated healthcare. To be successful in this role you need to have an entrepreneurial spirit that promotes an energetic and creative environment. We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The Oracle Health team is building a team of highly analytical technical program managers to solve the critical and challenging problems that our customers face. In this role you will have the responsibility of ensuring that our customer’s business requirements are met.
Soft skills to motivate, direct without authority, mentor, and build bridges and relationships are a must. We are specifically looking for an experienced and customer centric technical program manager to join the Oracle Health Group. You will be responsible for managing complex, cross\- organizational programs that impact both product and business for Oracle Health and will have exposure to multiple critical business initiatives. Our team is expanding, and a strong program management leader is needed. You display a demonstrated ability to think broadly and strategically.
Career Level IC4
* Ability to obtain \&amp; maintain a Federal Security Clearance, which requires US Citizenship
* Drive projects/programs, processes and procedures that monitor and support the customer business objectives.
* Influence partner teams without direct authority to ensure business needs and goals are met.
* Manage roadmaps among cross\-functional teams as well as interrelated and independent application and / or infrastructure changes; track and report on program achievements.
* Drive execution for on\-time, on\-scope delivery of user and developer facing features.
* Ensure high standards and consistency for the Oracle customer experience.
* Recommend process improvements and serve as a partner concern point for all issues and questions associated with a project/program.
* Ensure that resource requirements needed to support a particular project/program are in place.
* Provide ongoing written and verbal release status updates to senior leadership. Influence partner teams without direct authority to ensure business needs and goals are met.
* Solid grasp of the business side of technology with an understanding and zeal for metrics/analysis to deliver on business objectives.
* Strong JIRA, Confluence, Excel and PowerPoint writing skills
* Own programs without ego
\#LI\-JO2</t>
        </is>
      </c>
    </row>
    <row r="118">
      <c r="A118" t="inlineStr">
        <is>
          <t>in-5d57766aa5928a57</t>
        </is>
      </c>
      <c r="B118" t="inlineStr">
        <is>
          <t>Data Center Operations Program Manager, JoinOCI</t>
        </is>
      </c>
      <c r="C118" t="inlineStr">
        <is>
          <t>Oracle</t>
        </is>
      </c>
      <c r="D118" t="inlineStr">
        <is>
          <t>indeed</t>
        </is>
      </c>
      <c r="E118">
        <f>HYPERLINK("https://www.indeed.com/viewjob?jk=5d57766aa5928a57", "https://www.indeed.com/viewjob?jk=5d57766aa5928a57")</f>
        <v/>
      </c>
      <c r="F118">
        <f>HYPERLINK("https://eeho.fa.us2.oraclecloud.com/hcmUI/CandidateExperience/en/sites/CX_1/job/327534", "https://eeho.fa.us2.oraclecloud.com/hcmUI/CandidateExperience/en/sites/CX_1/job/327534")</f>
        <v/>
      </c>
      <c r="G118" t="inlineStr">
        <is>
          <t>Broomfield, CO, US</t>
        </is>
      </c>
      <c r="H118" s="2" t="n">
        <v>46071</v>
      </c>
      <c r="I118" t="inlineStr">
        <is>
          <t>**Job Summary:**  
The Program Manager is responsible for planning, executing, and closing multiple interrelated projects within the organization. This role partners with cross\-functional teams—including engineering, product management, operations, and executive leadership—to deliver complex programs on time, within scope, and within budget. The successful candidate will possess strong leadership, organizational, and communication skills, ensuring program objectives align with corporate strategy.  
**Key Responsibilities:**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Mentor and guide project managers and junior team members.  
* 
**Qualifications:**
* Bachelor’s degree in Business, Engineering, Computer Science, or a related field; advanced degree preferred.
* 6\+ years of program or project management experience in a technology or enterprise environment.
* Strong familiarity with project management software and methodologies (e.g., Agile, Waterfall, hybrid).
* Proven experience managing complex, multi\-disciplinary programs.
* Excellent communication, negotiation, and stakeholder management skills.
* PMP or similar project management certification is an advantage.
Demonstrated ability to lead teams and deliver results in a fast\-paced, matrixed organization.  
* 
**Additional Information:**
* Some roles may require travel based on program needs.
* This position may require handling confidential and sensitive information; strong ethics and adherence to company compliance and security guidelines are essential.
Identifies, prioritizes, and successfully executes a broad portfolio of functional initiatives and programs. Plans and directs schedules for multiple programs running simultaneously. Partners closely with global cross\-functional teams to understand and capture requirements for programs. Navigates complex dependencies between cross\-functional teams and organizational priorities to optimize the critical path and addresses \&amp; mitigates risks. Effectively influences internal and external teams to prioritize; Drives mitigation plans and ensures ownership for each item and regular follow up through to program closure while ensuring resolution of risk and issues, escalating, as necessary. Provides rigorous management and analysis of overall portfolio budget (including spend and forecasted spend vs. budget, spend per program and historical trends, etc.). Establishes scalable frameworks (process, tools, etc.) for the end\-to\-end project and manages stakeholders applying project management standards and documentation best practices. Runs standups and sprint planning exercises for programs owned. Builds and maintains consistent reporting across numerous programs. Determines methods and procedures on new assignments and may coordinate activities of other personnel. Performs other duties as assigned.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li-4376313954</t>
        </is>
      </c>
      <c r="B2" t="inlineStr">
        <is>
          <t>Product Manager</t>
        </is>
      </c>
      <c r="C2" t="inlineStr">
        <is>
          <t>CorralData</t>
        </is>
      </c>
      <c r="D2" t="inlineStr">
        <is>
          <t>linkedin</t>
        </is>
      </c>
      <c r="E2" t="inlineStr"/>
      <c r="F2" t="inlineStr"/>
      <c r="G2" t="inlineStr"/>
      <c r="H2" t="inlineStr"/>
      <c r="I2" t="inlineStr">
        <is>
          <t>Product Manager
**Location:** 
 Remote, US\-Eastern hours
 About CorralData
 We're CorralData. Our AI\-powered analytics platform effortlessly and securely turns all company data into actionable insights — so every employee can visualize, understand, and act — all for less cost and time than traditional data management.
 We're people first and are nothing without our team. So we're hell bent on creating the best possible environment for our team to thrive. We hire the most brilliant people and ensure everyone has ample opportunity for growth. We're a startup for grown\-ups and are deeply rooted in the idea that life comes first, and good work will follow.
 About the Role
 This is a get\-stuff\-done role. You'll be the person who makes sure nothing falls through the cracks — owning the backlog, driving triage, managing QA, and keeping our engineering team and external vendors laser\-focused on the right work at the right time. You don't wait to be told what to do. You see the gap, close it, and move on to the next one.
 You'll directly manage our QA function and will own the day\-to\-day work — not the people — of our engineering team and external design and frontend vendors. You're the person who keeps the machine running.
 What You'll Own
**Backlog \&amp; Ticket Management** 
 — Own the backlog end\-to\-end. Write clear, actionable tickets. Keep the queue healthy, prioritized, and never stale. Engineering should always know exactly what to work on next.
**Triage \&amp; Prioritization** 
 — Be ruthless about what gets worked on and when. Establish and maintain a triage system that catches critical issues fast, communicates severity clearly, and keeps the team focused against limited resources.
**QA Oversight** 
 — Directly manage our QA person — so you're not doing QA yourself, but you're responsible for making sure it's done right. Ensure coverage is solid, release gates are enforced, and bugs don't ship twice.
**Vendor \&amp; Engineering Coordination** 
 — Manage the day\-to\-day work of our engineering team and external design and frontend vendors. Keep everyone unblocked, on scope, and on schedule.
**Delivery Accountability** 
 — Own on\-time, high\-quality releases. Track progress, surface blockers early, and communicate status without being asked.
**Bug \&amp; Issue Resolution** 
 — Own the full lifecycle of bugs from report to close. No dropped balls, no ambiguity about who owns what or when it'll be fixed.
 What Success Looks Like
 A backlog that is always clean, prioritized, and trusted by the engineering team. Bugs triaged within hours, not days, with clear owners and timelines. QA coverage that prevents regressions and gives the team confidence to ship. Vendors and engineers who are never blocked waiting on direction. Releases that go out on time with no surprises.
 What You Bring to the Table
 * 3\+ years of product management experience at a SaaS or analytics startup
* Proven experience running a backlog and managing day\-to\-day engineering execution in an agile environment
* Experience owning bug triage and QA coordination with a methodical, no\-nonsense approach
* Strong written communication — your tickets are clear, your updates are crisp, and your prioritization decisions are well\-reasoned
* You move fast, make decisions with imperfect information, and don't need hand\-holding
* You're Type A and proud of it
 Nice to Have
 * Experience with BI, analytics, or data platforms
* Familiarity with AI/LLM\-powered products
* Technical background or comfort reading SQL
* Experience with Linear, Notion, Figma, or similar tools
 As a CorralData Employee You:
 * Are a driver, not a passenger, and are looking to make a real impact leveraging emerging technology
* Thrive in a fast\-paced, highly\-iterative, and collaborative workplace where you can take ownership of your work and contribute to the success of others
* Are adept at absorbing a brief, asking thoughtful questions, and initiating and executing an effective plan to achieve success
* Value feedback as a fundamental component of your growth
* Can work against tight timelines while acting thoughtfully towards both the team and the clients
* Are ambitious and take initiative
* Always seek out ways to optimize processes, work smarter, and increase efficiencies
 Compensation
 Compensation is determined by years of experience and proven previous success in this role, level of expertise in the skills needed to perform this role at the highest level, and cost of living in your area of residency.
**Salary Range: $120,000–$140,000**</t>
        </is>
      </c>
    </row>
    <row r="3">
      <c r="A3" t="inlineStr">
        <is>
          <t>li-4359961520</t>
        </is>
      </c>
      <c r="B3" t="inlineStr">
        <is>
          <t>Product Manager I</t>
        </is>
      </c>
      <c r="C3" t="inlineStr">
        <is>
          <t>Restaurant Brands International</t>
        </is>
      </c>
      <c r="D3" t="inlineStr">
        <is>
          <t>linkedin</t>
        </is>
      </c>
      <c r="E3" t="inlineStr"/>
      <c r="F3" t="inlineStr"/>
      <c r="G3" t="inlineStr">
        <is>
          <t>Miami, FL</t>
        </is>
      </c>
      <c r="H3" t="inlineStr"/>
      <c r="I3"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We are seeking a Product Manager I for our franchisee insights tooling. As a Product Manager I, you will play a key role in defining the product roadmap and managing the development lifecycle to deliver franchisee insights across our international markets.
 RBI follows a 5 day, in\-office work schedule to support collaboration. Candidates should be comfortable working onsite 5 days per week out of our office in
 **Miami, FL** 
 .
 Role and Responsibilities
* Support the creation and maintenance of the product roadmap by helping prioritize features and enhancements based on business goals and franchisee needs
* Gather, define, and help groom change and feature requests, ensuring requirements are clear and aligned with intended business outcomes
* Partner closely with the Senior Product Manager and Engineering Manager to contribute to the long\-term vision and strategy for international franchisee technology
* Help coordinate and balance input from multiple stakeholders to support a consistent and effective product experience
* Deliver high\-quality work within defined timelines, with attention to detail and follow\-through
* Prepare and share product updates and status reports for senior leaders, field teams, and franchisee groups, with guidance from more senior product partners
* Assist with broader stakeholder communications by organizing updates, tracking feedback, and helping address questions or concerns
**Qualifications And Skills**
* 2\+ years of experience in product management, analytics, consulting, or a related role within a software or technology environment; internships and co\-op experience welcome
* Bachelor’s degree in Business, Engineering, Computer Science, or a related field
* Exposure to data, insights, or reporting tools; experience supporting product launches or feature rollouts is a plus
* Familiarity with restaurant operations, franchise models, or the QSR industry is an asset but not required
* Clear written and verbal communication skills, with the ability to explain concepts to both technical and non\-technical audiences
* Strong problem\-solving mindset with an interest in using data and structured thinking to inform decisions
* Ability to work collaboratively with cross\-functional partners (engineering, design, analytics, operations) and contribute to product initiatives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4">
      <c r="A4" t="inlineStr">
        <is>
          <t>li-4367692979</t>
        </is>
      </c>
      <c r="B4" t="inlineStr">
        <is>
          <t>Product Manager, Payments Intelligence</t>
        </is>
      </c>
      <c r="C4" t="inlineStr">
        <is>
          <t>Stripe</t>
        </is>
      </c>
      <c r="D4" t="inlineStr">
        <is>
          <t>linkedin</t>
        </is>
      </c>
      <c r="E4" t="inlineStr"/>
      <c r="F4" t="inlineStr"/>
      <c r="G4" t="inlineStr"/>
      <c r="H4" t="inlineStr"/>
      <c r="I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Intelligence organization optimizes each of the billions of dollars of transactions processed by Stripe annually on behalf of our users, maximizing successful transactions while minimizing payment costs and fraud. We own products like Radar and Authorization Boost, building fast and scalable services and creating intuitive user experiences. We serve real\-time predictions as part of Stripe’s payment infrastructure and architect controls that leverage ML to optimally manage users’ business.
 What you’ll do
 As a Product Manager on the Payments Intelligence team, you’ll be responsible for scoping, designing, and building intuitive features that help users maximize their revenue while minimizing their cost. You will partner with many functions at Stripe, with the opportunity to both work on infrastructure/platform systems, as well as produce direct user\-facing business impact.
 Day to day you’ll be working closely with a team of engineers and data scientists. You’ll collaborate with peers in Design, Product Marketing, Partnerships and many others to craft the vision for our Payments Intelligence engine and Payments Optimization products.
**Responsibilities**
* Develop the long\-term vision and strategy for our Payments Intelligence and Optimization products, prioritize accordingly, and create an execution roadmap
* Deeply understand our users’ needs by spending time with developers, sales, and support, and by observing patterns/trends across their feedback, the market, and our data
* Build and launch new capabilities and products that bring significant value to customers
* Set the pace, prioritization and execution for the team
* Work with a wide range of systems, processes and technologies to own and solve technical and product problems
* Collaborate with stakeholders across the organization such as Engineering, Design, Data Science, Marketing, Sales, Account Management, and Operations
* Build and coach your team on best practices in defining product requirements and how to deliver against those requirements and the overall roadmap
 Who you are
 We’re looking for someone who meets the minimum requirements to be considered for the role. If you meet these requirements, you are encouraged to apply. The preferred qualifications are a bonus, not a requirement.
**Minimum Requirements**
* Product Management experience: 8\+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user first principles, and deliver the right results
* Crisp communicator: High attention to detail including precise and effective communications, including with external customers/partners
* Results\-oriented: You enjoy doing whatever it takes to execute on complex projects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$162,400 \- $243,600\.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5">
      <c r="A5" t="inlineStr">
        <is>
          <t>li-4367910083</t>
        </is>
      </c>
      <c r="B5" t="inlineStr">
        <is>
          <t>Product Manager, Payments Intelligence</t>
        </is>
      </c>
      <c r="C5" t="inlineStr">
        <is>
          <t>Stripe</t>
        </is>
      </c>
      <c r="D5" t="inlineStr">
        <is>
          <t>linkedin</t>
        </is>
      </c>
      <c r="E5" t="inlineStr"/>
      <c r="F5" t="inlineStr"/>
      <c r="G5" t="inlineStr">
        <is>
          <t>San Francisco, CA</t>
        </is>
      </c>
      <c r="H5" t="inlineStr"/>
      <c r="I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Intelligence organization optimizes each of the billions of dollars of transactions processed by Stripe annually on behalf of our users, maximizing successful transactions while minimizing payment costs and fraud. We own products like Radar and Authorization Boost, building fast and scalable services and creating intuitive user experiences. We serve real\-time predictions as part of Stripe’s payment infrastructure and architect controls that leverage ML to optimally manage users’ business.
 What you’ll do
 As a Product Manager on the Payments Intelligence team, you’ll be responsible for scoping, designing, and building intuitive features that help users maximize their revenue while minimizing their cost. You will partner with many functions at Stripe, with the opportunity to both work on infrastructure/platform systems, as well as produce direct user\-facing business impact.
 Day to day you’ll be working closely with a team of engineers and data scientists. You’ll collaborate with peers in Design, Product Marketing, Partnerships and many others to craft the vision for our Payments Intelligence engine and Payments Optimization products.
**Responsibilities**
* Develop the long\-term vision and strategy for our Payments Intelligence and Optimization products, prioritize accordingly, and create an execution roadmap
* Deeply understand our users’ needs by spending time with developers, sales, and support, and by observing patterns/trends across their feedback, the market, and our data
* Build and launch new capabilities and products that bring significant value to customers
* Set the pace, prioritization and execution for the team
* Work with a wide range of systems, processes and technologies to own and solve technical and product problems
* Collaborate with stakeholders across the organization such as Engineering, Design, Data Science, Marketing, Sales, Account Management, and Operations
* Build and coach your team on best practices in defining product requirements and how to deliver against those requirements and the overall roadmap
 Who you are
 We’re looking for someone who meets the minimum requirements to be considered for the role. If you meet these requirements, you are encouraged to apply. The preferred qualifications are a bonus, not a requirement.
**Minimum Requirements**
* Product Management experience: 8\+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user first principles, and deliver the right results
* Crisp communicator: High attention to detail including precise and effective communications, including with external customers/partners
* Results\-oriented: You enjoy doing whatever it takes to execute on complex projects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6">
      <c r="A6" t="inlineStr">
        <is>
          <t>li-4367687963</t>
        </is>
      </c>
      <c r="B6" t="inlineStr">
        <is>
          <t>Product Manager, Payments Intelligence</t>
        </is>
      </c>
      <c r="C6" t="inlineStr">
        <is>
          <t>Stripe</t>
        </is>
      </c>
      <c r="D6" t="inlineStr">
        <is>
          <t>linkedin</t>
        </is>
      </c>
      <c r="E6" t="inlineStr"/>
      <c r="F6" t="inlineStr"/>
      <c r="G6" t="inlineStr"/>
      <c r="H6" t="inlineStr"/>
      <c r="I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Intelligence organization optimizes each of the billions of dollars of transactions processed by Stripe annually on behalf of our users, maximizing successful transactions while minimizing payment costs and fraud. We own products like Radar and Authorization Boost, building fast and scalable services and creating intuitive user experiences. We serve real\-time predictions as part of Stripe’s payment infrastructure and architect controls that leverage ML to optimally manage users’ business.
 What you’ll do
 As a Product Manager on the Payments Intelligence team, you’ll be responsible for scoping, designing, and building intuitive features that help users maximize their revenue while minimizing their cost. You will partner with many functions at Stripe, with the opportunity to both work on infrastructure/platform systems, as well as produce direct user\-facing business impact.
 Day to day you’ll be working closely with a team of engineers and data scientists. You’ll collaborate with peers in Design, Product Marketing, Partnerships and many others to craft the vision for our Payments Intelligence engine and Payments Optimization products.
**Responsibilities**
* Develop the long\-term vision and strategy for our Payments Intelligence and Optimization products, prioritize accordingly, and create an execution roadmap
* Deeply understand our users’ needs by spending time with developers, sales, and support, and by observing patterns/trends across their feedback, the market, and our data
* Build and launch new capabilities and products that bring significant value to customers
* Set the pace, prioritization and execution for the team
* Work with a wide range of systems, processes and technologies to own and solve technical and product problems
* Collaborate with stakeholders across the organization such as Engineering, Design, Data Science, Marketing, Sales, Account Management, and Operations
* Build and coach your team on best practices in defining product requirements and how to deliver against those requirements and the overall roadmap
 Who you are
 We’re looking for someone who meets the minimum requirements to be considered for the role. If you meet these requirements, you are encouraged to apply. The preferred qualifications are a bonus, not a requirement.
**Minimum Requirements**
* Product Management experience: 8\+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user first principles, and deliver the right results
* Crisp communicator: High attention to detail including precise and effective communications, including with external customers/partners
* Results\-oriented: You enjoy doing whatever it takes to execute on complex projects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7">
      <c r="A7" t="inlineStr">
        <is>
          <t>li-4376178632</t>
        </is>
      </c>
      <c r="B7" t="inlineStr">
        <is>
          <t>Product Manager – AI/ML</t>
        </is>
      </c>
      <c r="C7" t="inlineStr">
        <is>
          <t>Wiraa</t>
        </is>
      </c>
      <c r="D7" t="inlineStr">
        <is>
          <t>linkedin</t>
        </is>
      </c>
      <c r="E7" t="inlineStr"/>
      <c r="F7" t="inlineStr"/>
      <c r="G7" t="inlineStr"/>
      <c r="H7" t="inlineStr"/>
      <c r="I7" t="inlineStr">
        <is>
          <t>**About The Company**
 Extreme Networks, Inc. is a global leader in networking solutions that enable seamless and effortless connectivity experiences. Trusted by over 50,000 customers worldwide, the company leverages cutting\-edge technology such as machine learning, artificial intelligence, analytics, and automation to deliver innovative, cloud\-driven networking products and services. With a strong focus on digital transformation, Extreme Networks consistently demonstrates double\-digit growth year over year, positioning itself as a frontrunner in scalable and reliable network solutions. The company's commitment to inclusion and diversity is deeply embedded in its culture, fostering an environment where all employees thrive through embracing differences and promoting equal opportunities. For more information, visit Extreme's official website or follow their updates on social media platforms like Twitter, LinkedIn, and Facebook.
**About The Role**
 We are seeking a hands\-on AI/ML Product Builder to join our dynamic team and contribute to the development of Extreme’s next\-generation intelligence agents. This role involves designing and deploying end\-to\-end AI/ML solutions that form the foundational intelligence layer across our product ecosystem. You will be instrumental in building systems that monitor, diagnose, and optimize network performance through intelligent automation. As a mid\-level, builder\-oriented professional, you will combine strong product intuition with technical expertise in AI, utilizing tools such as vibe\-coding, rapid prototyping, and large language models (LLMs). Your work will directly impact how networks are managed, enabling more autonomous, self\-driving networks that learn and improve over time. This position offers a unique opportunity to shape the future of network intelligence, working at the intersection of AI/ML, systems thinking, and innovative product development.
**Qualifications**
* Proven experience building and shipping AI/ML features or agents, including LLMs, anomaly detection, predictive systems, or autonomous workflows
* Quick learner with a builder’s mindset, capable of rapidly understanding new concepts and translating ambiguity into prototypes
* Proficiency in using AI tools such as vibe\-coding platforms (Replit, Copilot, Windsurf), retrieval\-augmented generation (RAG), evaluation frameworks, and agent orchestration
* Ability to read/write lightweight code or scripts in Python, leveraging AI assistance for rapid prototyping
* Strong product instincts with the ability to simplify complex technical domains and prioritize features based on user value
* Familiarity with LLM orchestration, retrieval pipelines, vector stores, guardrails, and cost/latency trade\-offs
* Experience working with telemetry, logs, and event streams to identify automation opportunities
* Excellent asynchronous communication skills, especially in remote work environments
* Experience in networking and/or security is a plus but not required
* Minimum of 5\+ years in product management or hybrid technical/product roles
* At least 2\+ years of experience building and deploying AI/ML solutions end\-to\-end, including model evaluation and optimization
**Responsibilities**
* Collaborate closely with cross\-functional teams and network subject matter experts to define and develop AI/ML\-powered agents aimed at improving network reliability, performance, and operational efficiency
* Utilize AI tools to prototype agent behaviors, automations, evaluators, reasoning flows, and user experience interactions
* Partner with engineering teams to design and deploy agentic systems capable of multi\-step reasoning, action execution, outcome validation, and telemetry\-based learning
* Translate raw telemetry data, logs, observed patterns, and signals into clear models, insights, and agent behaviors
* Define agent policies, triggers, safety boundaries, and success metrics to ensure operational safety and effectiveness
* Establish clear product and outcome definitions, evaluation frameworks, and success criteria to guide development and deployment
* Work with design teams to create trustworthy, explainable AI/ML experiences, especially for diagnostics, troubleshooting, and decision support
* Collaborate with AI/ML engineers to optimize model performance, latency, cost, data quality, and decision accuracy
* Build feedback loops and evaluation systems to continuously improve agent performance and reliability over time
* Ensure all intelligence features adhere to enterprise\-grade safety, privacy, responsible AI, and operational standards
* Operate with a sense of urgency by simplifying complex problems, removing roadblocks, and delivering tangible value rapidly
**Benefits**
* Competitive salary ranging from $170,000 to $250,000 annually
* Comprehensive health, dental, and vision insurance plans
* Flexible work arrangements and remote\-first culture
* Opportunities for professional growth and development in AI/ML and networking domains
* Inclusive and diverse workplace environment that values innovation and collaboration
* Participation in pioneering projects shaping the future of self\-driving networks
 Equal Opportunity
 Extreme Networks is an equal opportunity employer. We are committed to fostering an inclusive workplace where all employees and applicants are treated with respect and dignity. We do not discriminate based on race, color, religion, national origin, gender, sexual orientation, gender identity, age, disability, veteran status, or any other protected category. We actively promote diversity and inclusion, ensuring that barriers to success are eliminated and that every individual has the opportunity to thrive. We encourage candidates from underrepresented groups to apply and join us in building a better connected future.</t>
        </is>
      </c>
    </row>
    <row r="8">
      <c r="A8" t="inlineStr">
        <is>
          <t>li-4374934855</t>
        </is>
      </c>
      <c r="B8" t="inlineStr">
        <is>
          <t>Product Owner I</t>
        </is>
      </c>
      <c r="C8" t="inlineStr">
        <is>
          <t>RemoteHunter</t>
        </is>
      </c>
      <c r="D8" t="inlineStr">
        <is>
          <t>linkedin</t>
        </is>
      </c>
      <c r="E8" t="inlineStr"/>
      <c r="F8" t="inlineStr"/>
      <c r="G8" t="inlineStr"/>
      <c r="H8" t="inlineStr"/>
      <c r="I8"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
      <c r="A9" t="inlineStr">
        <is>
          <t>li-4367512188</t>
        </is>
      </c>
      <c r="B9" t="inlineStr">
        <is>
          <t>Product Manager/Generalist - Product Impact (pi)</t>
        </is>
      </c>
      <c r="C9" t="inlineStr">
        <is>
          <t>ERG</t>
        </is>
      </c>
      <c r="D9" t="inlineStr">
        <is>
          <t>linkedin</t>
        </is>
      </c>
      <c r="E9" t="inlineStr"/>
      <c r="F9" t="inlineStr"/>
      <c r="G9" t="inlineStr">
        <is>
          <t>Concord, MA</t>
        </is>
      </c>
      <c r="H9" t="inlineStr"/>
      <c r="I9" t="inlineStr">
        <is>
          <t>ERG is a research and consulting firm that provides a wide range of support to federal, state, and commercial clients. ERG offers multidisciplinary teams with nationally recognized skills in engineering, science, economics, public health, informational technology, and communications. We hire people with the best minds and then provide them with a vibrant and flexible environment in which to develop their careers. The qualified individual must be highly motivated with the skills to prioritize, perform, and communicate effectively in a fast\-paced environment. 
 ERG is seeking a dynamic Product Manager / Product Generalist to join our team and play a pivotal role during a high\-impact delivery period. This position will drive both launch execution and post\-launch user insights while building the frameworks and processes that will ensure long\-term product management success as we continue to refine and scale the pi platform.
**About pi (Product Impact):** 
 pi is creating the digital infrastructure that turns credible, comparable environmental impact data into actionable insights across products and sectors. Our mission is to make complex life\-cycle data usable, understandable, and decision\-ready for real\-world applications.
 We work with Environmental Product Declarations (EPDs), Product Carbon Footprints (PCFs), Product Category Rules (PCRs), and other life\-cycle standards — translating them into intuitive tools, workflows, and APIs that empower organizations to make informed, sustainable choices.
 pi is gearing up for a March 2026 product launch and simultaneously planning the next wave of feature development and enhancements from March through June 2026 and beyond, setting the stage for scalable, long\-term impact.
**Job Description:** 
* Ensure a smooth and successful product launch by supporting the execution of launch\-critical features
* Lead structured user engagement to inform future pi tool development, including creating interview guides and test scenarios, conducting usability walkthroughs, validating workflows, and facilitating early concept or low\-fidelity testing
* Collaborate with the VP of Product to capture, synthesize, and distill user feedback into actionable themes and insights
* Translate agreed\-upon product direction into clear user stories, functional requirements, and acceptance criteria
* Partner with engineering to clarify scope, assumptions, and dependencies, ensuring alignment and timely delivery
* Maintain product documentation and backlogs with a focus on launch readiness and accuracy
* Establish frameworks and processes to support long\-term product management execution and success as the pi platform continues to evolve and scale
* Note: This role does not own product strategy, schemas, or standards; its primary focus is translating strategic direction into actionable outcomes and user\-centered learning
**Qualifications and Skills:** 
* Bachelor’s or Master’s degree in Environmental Engineering, Software Engineering, Life\-Cycle Assessment, or a related field
* 5–10 years of experience in SaaS product management, product operations, or closely related roles
* Proven experience with data\-intensive or platform\-based products
* Comfortable collaborating closely with engineers, including on backend\-focused feature
* Exceptional written communication and synthesis skills, with the ability to distill complex information into actionable insights
* Strong product generalist who thrives in execution\-focused, fast\-paced roles
* Experience supporting at least one B2B or B2C product launch
* Skilled at working within defined constraints and shared ownership environments
* Ability to translate messy or ambiguous inputs into clear, usable outputs
* Passionate about learning from users while avoiding over\-prescribed solutions
* Experience conducting user interviews, usability testing, or workflow validation sessions
* Exposure to sustainability, climate tech, or regulated data environments
* Familiarity with Product Category Rules (PCRs), Life\-Cycle Assessments (LCAs), and Environmental Product Declarations (EPDs)
* Understanding of corporate GHG accounting protocols and standards (Scope 1, 2, and 3\)
 ERG offers competitive salaries and excellent benefits, including health and dental insurance, life insurance, long\-term disability, educational benefits, FSAs, a generous 401k plan, profit sharing, an EAP, 11\-20 paid vacation days per year, 10 paid holidays per year, 56 hours or more of sick leave (based on the state you work in) per year (pro\-rated for part\-time) and more. The salary range for all positions depends on the years and type of experience. 
 ERG is an equal opportunity employer and complies with all applicable EEOC regulations. All qualified applicants will receive consideration for employment without regard to age, race, color, religion, sex, sexual preference, national origin, disability, or status as a protected veteran.  
 Please be aware, the only authentic corporate domain for ERG is https://www.erg.com.  ERG may, on occasion, screen applicants via telephone or video interviews via Skype, Teams, GoToMeeting, or another type of video platform. However, any candidate extended a job offer might be asked to meet in person with an ERG employee before providing confidential personal information associated with new employment. 
 If you’re a qualified individual with a disability or a disabled veteran, you have the right to request a reasonable accommodation if you are unable or limited in your ability to use or access ERG’s online application process as a result of your disability. To request accommodation, please contact Human Resources via email at Resumes\-Lex@erg.com or call (781\) 674\-7293\. 
 ERG fosters a friendly, flexible work environment. ERGers are dedicated to serving clients who are committed to making the world a better place. We promote and recognize principles of fairness and respect in the work we do, the partnerships we foster, and the culture we value both within and outside of our organization.</t>
        </is>
      </c>
    </row>
    <row r="10">
      <c r="A10" t="inlineStr">
        <is>
          <t>li-4376182443</t>
        </is>
      </c>
      <c r="B10" t="inlineStr">
        <is>
          <t>AI Product Manager</t>
        </is>
      </c>
      <c r="C10" t="inlineStr">
        <is>
          <t>Wiraa</t>
        </is>
      </c>
      <c r="D10" t="inlineStr">
        <is>
          <t>linkedin</t>
        </is>
      </c>
      <c r="E10" t="inlineStr"/>
      <c r="F10" t="inlineStr"/>
      <c r="G10" t="inlineStr"/>
      <c r="H10" t="inlineStr"/>
      <c r="I10" t="inlineStr">
        <is>
          <t>**About The Company**
 Hitachi Energy is a global technology leader dedicated to advancing electrification and powering a sustainable energy future through innovative power grid solutions with digital integration at the core. With a rich history spanning over a century, the company specializes in mission\-critical technologies such as high\-voltage systems, transformers, automation, and power electronics. Hitachi Energy's solutions are trusted by more than three billion people worldwide, enabling reliable and efficient energy distribution. Headquartered in Switzerland, the organization employs over 50,000 professionals across 60 countries and generates approximately $16 billion USD in annual revenue. The company's commitment to innovation, sustainability, and technological excellence positions it as a pioneer in addressing the world's most urgent energy challenges, including balancing rising electricity demand and decarbonizing power systems.
**About The Role**
 We are seeking an experienced AI Product Manager to lead the design and implementation of Proof of Concepts (PoCs) for Multi\-Agent Systems (MAS). This role is pivotal in driving innovation within enterprise AI applications by building intelligent agents, integrating them into distributed environments, and collaborating across cross\-functional teams to deliver scalable and impactful AI solutions. The AI Product Manager will spearhead discovery initiatives through stakeholder interviews and current\-state mapping, identify high\-value MAS opportunities, and translate these insights into comprehensive product artifacts such as problem statements, PRDs, user stories, acceptance criteria, and success metrics. Managing the entire lifecycle from PoC to MVP and production, defining MAS system architecture, and leveraging platform resources are key responsibilities. The role also involves running agile ceremonies, managing timelines, ensuring data security and quality, embedding responsible AI practices, and measuring the impact of deployed solutions. The ideal candidate will possess strong communication skills, technical expertise in MAS initiatives, and a proven track record in creating and implementing AI products, contributing to the company’s mission of delivering innovative and sustainable energy solutions.
**Qualifications**
* Bachelor’s or Master’s degree in Computer Science, Engineering, or a related field
* Proven experience in Multi\-Agent Systems (MAS) initiatives and AI product development
* Strong understanding of AI tools and their application in design processes
* Experience in creating and deploying data\-driven and AI\-powered products
* Excellent communication and influencing skills across technical and executive audiences
* Ability to explain complex technical ideas to diverse audiences
* Experience working collaboratively in cross\-functional teams
* Proficiency in English, both spoken and written
**Responsibilities**
* Lead discovery activities, including stakeholder interviews and current\-state process mapping (SIPOC, Swimlane, BPMN), to identify opportunities for MAS integration
* Conduct bottleneck and root\-cause analysis to surface high\-value MAS opportunities
* Translate insights into clear problem statements, product requirement documents (PRDs), user stories, acceptance criteria, and success metrics (OKRs/KPIs)
* Own the product lifecycle from PoC to MVP and production deployment, maintaining and prioritizing the development backlog
* Define MAS system architecture, specifying multi\-agent architectures, orchestration patterns, and integration points aligned with platform standards
* Partner with platform/Center of Excellence (CoE) teams to leverage models, frameworks, and reusable components; contribute to process maps, playbooks, and templates
* Manage agile ceremonies, coordinate cross\-functional teams (data, ML, security, application), and remove delivery blockers to ensure timely execution
* Lead readiness and adoption efforts, including UAT strategy, change management, and rollout planning to achieve measurable outcomes
* Coordinate with data owners to ensure trusted data access, quality, lineage, and system integration (CRM, ERP, MDM)
* Embed responsible AI principles by enforcing safety, privacy, fairness, and auditability in line with governance standards
* Track and communicate key metrics such as cycle\-time, accuracy, data quality, adoption, and cost\-to\-serve; iterate continuously based on feedback
* Serve as a single\-threaded owner responsible for reporting project status, risks, and decisions to sponsors and technical leadership
**Benefits**
* Comprehensive health, dental, and vision insurance plans
* Retirement savings options and financial planning resources
* Flexible work arrangements including remote work opportunities
* Generous paid time off and holiday leave
* Professional development programs and continuous learning opportunities
* Wellbeing initiatives supporting physical and mental health
* Collaborative and inclusive work environment fostering innovation
 Equal Opportunity
 Hitachi Energy is committed to fostering an inclusive environment where all employees and applicants are treated with respect and fairness. We provide equal employment opportunities regardless of race, color, religion, gender, gender identity or expression, sexual orientation, national origin, age, disability, or any other characteristic protected by applicable law. We believe diversity enriches our culture and drives innovation, and we welcome candidates from diverse backgrounds to join our team.</t>
        </is>
      </c>
    </row>
    <row r="11">
      <c r="A11" t="inlineStr">
        <is>
          <t>li-4376317156</t>
        </is>
      </c>
      <c r="B11" t="inlineStr">
        <is>
          <t>Product Manager</t>
        </is>
      </c>
      <c r="C11" t="inlineStr">
        <is>
          <t>Swooped</t>
        </is>
      </c>
      <c r="D11" t="inlineStr">
        <is>
          <t>linkedin</t>
        </is>
      </c>
      <c r="E11" t="inlineStr"/>
      <c r="F11" t="inlineStr"/>
      <c r="G11" t="inlineStr"/>
      <c r="H11" t="inlineStr"/>
      <c r="I11" t="inlineStr">
        <is>
          <t>**About Our Client** 
 Our client is currently partnering with a global supply chain solutions organization on a Product Manager opportunity. In this role, the individual will play a critical role in shaping the product strategy, driving execution, and delivering impactful solutions that meet both business objectives and customer value. This role will require a mix of strategic thinking, data\-driven decision\-making, and hands\-on leadership to optimize product outcomes.
**What it's like to work here:** 
 Our client empowers high\-performance teams to solve complex global challenges through creativity, partnership, and technology. Employees enjoy a supportive, collaborative environment where initiative and growth are celebrated. With a focus on work\-life balance and professional development, this company provides meaningful opportunities for technical and personal advancement in a truly global workplace.
**What you will get to do:** 
* Define and communicate the product vision, strategy, and outcome\-based roadmaps aligned with business goals and market trends.
* Leverage deep product knowledge and industry and market insights to develop competitive and innovative products.
* Continuously monitor revenue, costs, and product related metrics, driving initiatives for growth and profitability.
* Identify new business opportunities and collaborate with business development teams to assess product\-market fit.
* Conduct in\-depth research on customer needs, user behavior, and market trends to identify gaps and opportunities.
* Collaborate closely with project management, engineering, customers, customer\-facing, and marketing teams to ensure seamless discovery and delivery processes.
* Manage product operations to ensure smooth delivery, scalability, and ongoing support of products.
* Own product positioning and market messaging, translating product capabilities into customer value stories that enable Sales effectiveness and support consistent product narratives across all touchpoints.
* Maintain awareness of privacy, compliance, and regulatory standards to ensure products meet industry requirements.
* Utilize data analysis to measure product performance and identify areas for optimization.
* Lead initiatives to iterate and enhance products based on customer feedback and business priorities.
* Foster cross\-functional team collaboration to drive alignment and execution across stakeholders.
* Collaborate effectively with internal teams, external partners, and key stakeholders to manage expectations and communicate progress.
* Demonstrate championing skills by promoting the product vision and gaining buy\-in at all levels of the organization.
* Exhibit strong leadership skills by inspiring teams and driving product initiatives with clarity and purpose.
* Develop and mentor team members, fostering an environment of continuous learning and improvement.
* Implement process skills and techniques for efficient project management and delivery.
* Manage product lifecycles from ideation through delivery and post\-launch optimization.
**What will make you successful:** 
* Bachelors degree in business administration, product management, business analysis, Computer Science, or related field.
* 7\+ years of experience as a product manager.
* Proven track record of successful product development, discovery, delivery, and optimization.
* Strong analytical skills with experience in data analysis and performance measurement tools.
* Proven use of AI LLM tools such as ChatGPT, Claude, Perplexity, etc.
* Familiarity with Jira Product and Development, Figma, SmartSheet, and Confluence.
* Excellent communication, interpersonal, and stakeholder management skills.
* Deep understanding of industry trends, privacy, and compliance requirements.
* Demonstrated ability to work collaboratively across teams and departments.
* Experience with continuous improvement, agile methodologies, and product management frameworks.
* Must have the current and continuing right to work in the United States of America without restrictions or expirations.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2">
      <c r="A12" t="inlineStr">
        <is>
          <t>li-4367925856</t>
        </is>
      </c>
      <c r="B12" t="inlineStr">
        <is>
          <t>Product Manager, Payments Intelligence</t>
        </is>
      </c>
      <c r="C12" t="inlineStr">
        <is>
          <t>Stripe</t>
        </is>
      </c>
      <c r="D12" t="inlineStr">
        <is>
          <t>linkedin</t>
        </is>
      </c>
      <c r="E12" t="inlineStr"/>
      <c r="F12" t="inlineStr"/>
      <c r="G12" t="inlineStr">
        <is>
          <t>Seattle, WA</t>
        </is>
      </c>
      <c r="H12" t="inlineStr"/>
      <c r="I1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Intelligence organization optimizes each of the billions of dollars of transactions processed by Stripe annually on behalf of our users, maximizing successful transactions while minimizing payment costs and fraud. We own products like Radar and Authorization Boost, building fast and scalable services and creating intuitive user experiences. We serve real\-time predictions as part of Stripe’s payment infrastructure and architect controls that leverage ML to optimally manage users’ business.
 What you’ll do
 As a Product Manager on the Payments Intelligence team, you’ll be responsible for scoping, designing, and building intuitive features that help users maximize their revenue while minimizing their cost. You will partner with many functions at Stripe, with the opportunity to both work on infrastructure/platform systems, as well as produce direct user\-facing business impact.
 Day to day you’ll be working closely with a team of engineers and data scientists. You’ll collaborate with peers in Design, Product Marketing, Partnerships and many others to craft the vision for our Payments Intelligence engine and Payments Optimization products.
**Responsibilities**
* Develop the long\-term vision and strategy for our Payments Intelligence and Optimization products, prioritize accordingly, and create an execution roadmap
* Deeply understand our users’ needs by spending time with developers, sales, and support, and by observing patterns/trends across their feedback, the market, and our data
* Build and launch new capabilities and products that bring significant value to customers
* Set the pace, prioritization and execution for the team
* Work with a wide range of systems, processes and technologies to own and solve technical and product problems
* Collaborate with stakeholders across the organization such as Engineering, Design, Data Science, Marketing, Sales, Account Management, and Operations
* Build and coach your team on best practices in defining product requirements and how to deliver against those requirements and the overall roadmap
 Who you are
 We’re looking for someone who meets the minimum requirements to be considered for the role. If you meet these requirements, you are encouraged to apply. The preferred qualifications are a bonus, not a requirement.
**Minimum Requirements**
* Product Management experience: 8\+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user first principles, and deliver the right results
* Crisp communicator: High attention to detail including precise and effective communications, including with external customers/partners
* Results\-oriented: You enjoy doing whatever it takes to execute on complex projects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3">
      <c r="A13" t="inlineStr">
        <is>
          <t>li-4374944299</t>
        </is>
      </c>
      <c r="B13" t="inlineStr">
        <is>
          <t>Product Owner</t>
        </is>
      </c>
      <c r="C13" t="inlineStr">
        <is>
          <t>Equitasitinc</t>
        </is>
      </c>
      <c r="D13" t="inlineStr">
        <is>
          <t>linkedin</t>
        </is>
      </c>
      <c r="E13" t="inlineStr"/>
      <c r="F13" t="inlineStr"/>
      <c r="G13" t="inlineStr">
        <is>
          <t>Portland, OR</t>
        </is>
      </c>
      <c r="H13" t="inlineStr"/>
      <c r="I13" t="inlineStr">
        <is>
          <t>**Role: Product Owner \- Automation Framework** 
**Location: Portland, Oregon** 
**Exp: 7 to 10 years** 
**Keywords:** 
 Automation Framework, Virtualized Android, Linux/QNX, Qualcomm SOM, IFE Systems (all these are must to have)
**Job Description:** 
 · 7 to 10 years relevant mandatory experience.
 · Automation Framework (Virtualized Android Environment, Linux/QNX, Qualcomm SOM)
 · Team: Automation Scrum Team – In\-Flight Entertainment (IFE)
 · Work closely with Android platform engineers, QNX/Linux teams, Qualcomm chipset specialists, and virtualization architects.
 · Understand the automation framework architecture (hardware abstraction, virtualized interfaces, DUT orchestration, reporting pipelines).
 · Write clear, well\-structured epics, features, and user stories for automation tooling, framework improvements, APIs, and test execution workflows.
 · Refine backlog items with engineering teams to ensure clarity, feasibility, and alignment with the automation strategy.
 · Collaborate with Scrum Master and Engineering Lead to drive predictable, sprint\-based delivery.
**Key Responsibilities** 
**Product Leadership \&amp; Strategy** 
 · Own the vision, roadmap, and backlog for the Automation Framework for virtualized Android\- and Linux\-based IFE systems.
 · Prioritize automation features and capabilities based on business value, technical feasibility, team capacity, and program timelines.
 · Define KPIs for automation coverage, stability, efficiency, and adoption across multiple platform teams.
**Guide the team on automation needs for:** 
 · Virtualized Android environments
 · Linux and QNX subsystems
 · Qualcomm SOM\-based hardware
 · IFE system integration and certification workflows
**Stakeholder Management** 
 · Serve as the primary liaison between automation engineering and product/program stakeholders across PAC.
 · Gather requirements from system verification, platform SW teams, airline program teams, and integration labs.
 · Communicate roadmap, progress, risks, and dependencies with clarity and frequency.</t>
        </is>
      </c>
    </row>
    <row r="14">
      <c r="A14" t="inlineStr">
        <is>
          <t>li-4367907711</t>
        </is>
      </c>
      <c r="B14" t="inlineStr">
        <is>
          <t>Product Manager, Payments Intelligence</t>
        </is>
      </c>
      <c r="C14" t="inlineStr">
        <is>
          <t>Stripe</t>
        </is>
      </c>
      <c r="D14" t="inlineStr">
        <is>
          <t>linkedin</t>
        </is>
      </c>
      <c r="E14" t="inlineStr"/>
      <c r="F14" t="inlineStr"/>
      <c r="G14" t="inlineStr">
        <is>
          <t>Chicago, IL</t>
        </is>
      </c>
      <c r="H14" t="inlineStr"/>
      <c r="I1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Intelligence organization optimizes each of the billions of dollars of transactions processed by Stripe annually on behalf of our users, maximizing successful transactions while minimizing payment costs and fraud. We own products like Radar and Authorization Boost, building fast and scalable services and creating intuitive user experiences. We serve real\-time predictions as part of Stripe’s payment infrastructure and architect controls that leverage ML to optimally manage users’ business.
 What you’ll do
 As a Product Manager on the Payments Intelligence team, you’ll be responsible for scoping, designing, and building intuitive features that help users maximize their revenue while minimizing their cost. You will partner with many functions at Stripe, with the opportunity to both work on infrastructure/platform systems, as well as produce direct user\-facing business impact.
 Day to day you’ll be working closely with a team of engineers and data scientists. You’ll collaborate with peers in Design, Product Marketing, Partnerships and many others to craft the vision for our Payments Intelligence engine and Payments Optimization products.
**Responsibilities**
* Develop the long\-term vision and strategy for our Payments Intelligence and Optimization products, prioritize accordingly, and create an execution roadmap
* Deeply understand our users’ needs by spending time with developers, sales, and support, and by observing patterns/trends across their feedback, the market, and our data
* Build and launch new capabilities and products that bring significant value to customers
* Set the pace, prioritization and execution for the team
* Work with a wide range of systems, processes and technologies to own and solve technical and product problems
* Collaborate with stakeholders across the organization such as Engineering, Design, Data Science, Marketing, Sales, Account Management, and Operations
* Build and coach your team on best practices in defining product requirements and how to deliver against those requirements and the overall roadmap
 Who you are
 We’re looking for someone who meets the minimum requirements to be considered for the role. If you meet these requirements, you are encouraged to apply. The preferred qualifications are a bonus, not a requirement.
**Minimum Requirements**
* Product Management experience: 8\+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user first principles, and deliver the right results
* Crisp communicator: High attention to detail including precise and effective communications, including with external customers/partners
* Results\-oriented: You enjoy doing whatever it takes to execute on complex projects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5">
      <c r="A15" t="inlineStr">
        <is>
          <t>li-4367907755</t>
        </is>
      </c>
      <c r="B15" t="inlineStr">
        <is>
          <t>Sr Product Manager - Tech, FaST (Fashion Subsidiary Tech)</t>
        </is>
      </c>
      <c r="C15" t="inlineStr">
        <is>
          <t>Zappos Family of Companies</t>
        </is>
      </c>
      <c r="D15" t="inlineStr">
        <is>
          <t>linkedin</t>
        </is>
      </c>
      <c r="E15" t="inlineStr"/>
      <c r="F15" t="inlineStr"/>
      <c r="G15" t="inlineStr">
        <is>
          <t>New York, United States</t>
        </is>
      </c>
      <c r="H15" t="inlineStr"/>
      <c r="I15" t="inlineStr">
        <is>
          <t>**Description**
 The Post Purchase PM\-T owns the path for Fulfillment, Returns, and Customer Service for Amazon's Fashion subsidiaries (Shopbop and Zappos). The position requires working closely with customers, stakeholders, business, and operations teams to understand needs and motivations for critical projects, then having high influence on engineering to ensure we are building in a way that not only satisfies project needs but sets us up for the future.
 This position requires Think Big, Ownership, and Customer Obsession, combined with an ability to Deliver Results. The successful candidate will demonstrate strong data\-driven analytical skills, embrace experimentation, and communicate effectively across teams from business to tech to operations teams within our fulfillment centers, consistently delivering results through operational excellence.
 Key job responsibilities
* Oversee the complete product lifecycle from strategic planning through tactical execution
* Craft executive communications and present regularly to cross\-functional leaders
* Establish and align on the vision, product strategy, and roadmap that builds upon our current shopping experiences and supporting tools
* Cultivate and leverage partnerships across Amazon's technology community
* Define clear, measurable product goals with regular assessment cadence
**About The Team**
 Our team is intentional about attracting, developing, and retaining amazing talent from diverse backgrounds. Yes we do get to work on really cool services,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WI, Madison \- 151,200\.00 \- 204,600\.00 USD annually
**Company** 
 \- Zappos.com LLC
 Job ID: A3144382</t>
        </is>
      </c>
    </row>
    <row r="16">
      <c r="A16" t="inlineStr">
        <is>
          <t>li-4376304977</t>
        </is>
      </c>
      <c r="B16" t="inlineStr">
        <is>
          <t>Senior Product Manager, P&amp;C - Customer UI</t>
        </is>
      </c>
      <c r="C16" t="inlineStr">
        <is>
          <t>SafeLease</t>
        </is>
      </c>
      <c r="D16" t="inlineStr">
        <is>
          <t>linkedin</t>
        </is>
      </c>
      <c r="E16" t="inlineStr"/>
      <c r="F16" t="inlineStr"/>
      <c r="G16" t="inlineStr">
        <is>
          <t>Austin, TX</t>
        </is>
      </c>
      <c r="H16" t="inlineStr"/>
      <c r="I16" t="inlineStr">
        <is>
          <t>**About SafeLease**
 SafeLease is redefining how insurance is designed, priced, and distributed inside leased real estate. The company has built a vertically integrated insurance and software platform that embeds tenant protection and commercial coverage directly into speciality insurance operations, transforming insurance from a low\-value add\-on into a scalable, recurring revenue engine for operators.
 By combining purpose\-built software with in\-house underwriting and insurance program design, SafeLease treats insurance as a configurable product, enabling flexibility across coverage, pricing, and contracts while driving measurable NOI improvement and operational efficiency for customers. Today, SafeLease’s platform is used by more than 4,000 properties nationwide and has become a core part of how operators manage risk and monetize their tenant base.
 Founded four years ago, SafeLease is profitable, capital\-efficient, and backed by an enduring family office capital base. Having established a leadership position in self\-storage, the company is now investing further in product innovation and insurance expansion to extend its platform into adjacent commercial property verticals (manufactured housing, light industrial, hangars, marinas, etc.), with a clear ambition to build the leading insurance infrastructure for leased real estate.
**What You’ll Do On The Product Team**
 With the continued growth of our technical organization, we’re hiring a Senior Product Manager, Property and Casualty to steward our most essential product lines—grounding decisions in customer insight and driving the next phase of product implementation. In this role, you’ll own the account interfaces used by operators and third\-party agents, with a strong emphasis on defining intuitive UIs, conducting customer research and user testing, and partnering closely with design to deliver exceptional user experiences.
**Who You Are**
* You delight in delighting users. Making it easy for Agents and Operators alike to get quotes and manage their policies. Insurance may not be flashy, but it is critical for almost any business and the market size for commercial real estate is enormous. Your tool will be used to protect billions of dollars worth of assets.
* You’re a strategic, hands\-on leader who thrives at the intersection of customer insight, product strategy, and business impact. You’ll lead discovery efforts to deeply understand user needs, identify market whitespace, and translate signals from customer, market, and competitive data into actionable insights that shape strategy and roadmaps.
* You know how to drive clarity and focus—collaborating cross\-functionally with Engineering, Product, Finance, GTM, and Executive Leadership to define priorities, refine requirements, and ensure go\-to\-market readiness. You’re just as comfortable rolling up your sleeves to build an MVP, run a competitive analysis, or lead a product launch as you are presenting insights to senior leadership.
* You connect decisions to measurable outcomes, clearly communicating how your work drives growth and business performance. You’re customer\-obsessed and problem\-focused, with a balance of strategic vision and tactical execution. Analytical yet creative, you can interpret complex data, synthesize imperfect information, and turn ambiguity into action.
* Above all, you’re collaborative, resourceful, and outcome\-driven—an influential voice for what we’re building and why it matters, with no task too small and no challenge too big.
**Minimum Requirements**
* 3\+ years of relevant experience in product management or product consulting—preferably in B2B technology, with bonus points for experience in insurance, personal lines, or fintech services.
* Strong analytical and technical capability, including proficiency with data tools such as SQL, Python, Excel, Tableau, Metabase, or Power BI to support modeling, insights, and data\-driven decision\-making.
* Proven ability to translate technical features into clear business value for both technical and non\-technical audiences, including executive leadership.
* Experience conducting market and competitive analysis, developing strategic recommendations, and creating enablement materials that support product, technical, and go\-to\-market teams.
* Skilled in both qualitative and quantitative research methods, such as interviews, surveys, and statistical analysis.
* Demonstrated success presenting insights and strategic recommendations to senior leaders or C\-suite executives.
* Strong project management and cross\-functional leadership skills, with experience delivering product transformations, managing product lifecycles, and driving digital or operational improvements.
* Comfort utilizing AI tools to accelerate product management workflows and improve collaboration with full\-stack engineering teams.
* Expertise in Agile methodologies and familiarity with customer journey mapping, product lifecycle management, and modern product development practices.
* Excellent communication, problem\-solving, and storytelling abilities, with the ability to craft compelling presentations and data narratives.
* Bachelor’s Degree or equivalent experience required.
**Why SafeLease?**
**The tech:** 
 Our prospects convert fast because we’re solving real problems and delivering serious value to commercial real estate owners.
**The team:** 
 We’re a team of seasoned pros and sharp operators who know how to move fast and build smart. High standards, low ego.
**The stability:** 
 We’re well\-funded, growing fast, and we make sure our team shares in that success with competitive pay and equity.
**The employee experience:** 
 We also offer unlimited PTO, full health benefits, flexible work setups, and the kind of culture where people
 *want* 
 to show up to do their best work.
*If you don't have all the qualifications listed, don't worry! We understand everyone's career path is unique and still encourage you to apply if you feel this role is aligned with your career trajectory.*
*Employment at SafeLease is contingent upon a satisfactory verification of a general and criminal background check.*</t>
        </is>
      </c>
    </row>
    <row r="17">
      <c r="A17" t="inlineStr">
        <is>
          <t>li-4367903856</t>
        </is>
      </c>
      <c r="B17" t="inlineStr">
        <is>
          <t>Product Manager, Payments Intelligence</t>
        </is>
      </c>
      <c r="C17" t="inlineStr">
        <is>
          <t>Stripe</t>
        </is>
      </c>
      <c r="D17" t="inlineStr">
        <is>
          <t>linkedin</t>
        </is>
      </c>
      <c r="E17" t="inlineStr"/>
      <c r="F17" t="inlineStr"/>
      <c r="G17" t="inlineStr">
        <is>
          <t>Chicago, IL</t>
        </is>
      </c>
      <c r="H17" t="inlineStr"/>
      <c r="I1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Intelligence organization optimizes each of the billions of dollars of transactions processed by Stripe annually on behalf of our users, maximizing successful transactions while minimizing payment costs and fraud. We own products like Radar and Authorization Boost, building fast and scalable services and creating intuitive user experiences. We serve real\-time predictions as part of Stripe’s payment infrastructure and architect controls that leverage ML to optimally manage users’ business.
 What you’ll do
 As a Product Manager on the Payments Intelligence team, you’ll be responsible for scoping, designing, and building intuitive features that help users maximize their revenue while minimizing their cost. You will partner with many functions at Stripe, with the opportunity to both work on infrastructure/platform systems, as well as produce direct user\-facing business impact.
 Day to day you’ll be working closely with a team of engineers and data scientists. You’ll collaborate with peers in Design, Product Marketing, Partnerships and many others to craft the vision for our Payments Intelligence engine and Payments Optimization products.
**Responsibilities**
* Develop the long\-term vision and strategy for our Payments Intelligence and Optimization products, prioritize accordingly, and create an execution roadmap
* Deeply understand our users’ needs by spending time with developers, sales, and support, and by observing patterns/trends across their feedback, the market, and our data
* Build and launch new capabilities and products that bring significant value to customers
* Set the pace, prioritization and execution for the team
* Work with a wide range of systems, processes and technologies to own and solve technical and product problems
* Collaborate with stakeholders across the organization such as Engineering, Design, Data Science, Marketing, Sales, Account Management, and Operations
* Build and coach your team on best practices in defining product requirements and how to deliver against those requirements and the overall roadmap
 Who you are
 We’re looking for someone who meets the minimum requirements to be considered for the role. If you meet these requirements, you are encouraged to apply. The preferred qualifications are a bonus, not a requirement.
**Minimum Requirements**
* Product Management experience: 8\+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user first principles, and deliver the right results
* Crisp communicator: High attention to detail including precise and effective communications, including with external customers/partners
* Results\-oriented: You enjoy doing whatever it takes to execute on complex projects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$162,400 \- $243,600\.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8">
      <c r="A18" t="inlineStr">
        <is>
          <t>li-4374936741</t>
        </is>
      </c>
      <c r="B18" t="inlineStr">
        <is>
          <t>AI Product Manager - Remote</t>
        </is>
      </c>
      <c r="C18" t="inlineStr">
        <is>
          <t>RemoteHunter</t>
        </is>
      </c>
      <c r="D18" t="inlineStr">
        <is>
          <t>linkedin</t>
        </is>
      </c>
      <c r="E18" t="inlineStr"/>
      <c r="F18" t="inlineStr"/>
      <c r="G18" t="inlineStr"/>
      <c r="H18" t="inlineStr"/>
      <c r="I18"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
      <c r="A19" t="inlineStr">
        <is>
          <t>li-4367929754</t>
        </is>
      </c>
      <c r="B19" t="inlineStr">
        <is>
          <t>Staff Product Manager, Link Consumer Product</t>
        </is>
      </c>
      <c r="C19" t="inlineStr">
        <is>
          <t>Stripe</t>
        </is>
      </c>
      <c r="D19" t="inlineStr">
        <is>
          <t>linkedin</t>
        </is>
      </c>
      <c r="E19" t="inlineStr"/>
      <c r="F19" t="inlineStr"/>
      <c r="G19" t="inlineStr"/>
      <c r="H19" t="inlineStr"/>
      <c r="I1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Link Team**
 The way we buy is evolving: new payment methods, new purchase modalities, and new kinds of money.
 In the very immediate future we’ll be purchasing with AI agents, and they’ll almost inevitably become fully headless operating on our behalf and spending our money. Stablecoins are on the cusp of becoming mainstream and unlocking huge new capabilities for consumers. And at the same time being able to securely and simply share your reputation and identity become essential as robots operate on our behalf and money moves instantly.
 We are building Link for this future. Link is the wallet for the internet, for what’s next.
 Link is already used by over 200m consumers worldwide and growing exceptionally rapidly.
 What you’ll do
 You will be responsible for building the Link App experience on web and native: building the wallet product consumers need to feel confident, excited and inspired by all the new ways payments and identity are changing online.
 You will be a champion of our consumers’ experience and end\-to\-end owner of many core consumer features. You will be building new products and features to make Link a world\-class consumer brand. This will include working with Engineering, Design, GTM and others to help define, build and scale new and existing products. You will be expected to help define our consumer strategy, working directly with Link leadership, and gathering insights from our consumers and data.
**Responsibilities**
* Deeply understand user needs by spending time with consumers as well as Engineering, GTM and Operations teams, and by observing patterns and trends across their feedback and the market.
* Be the voice of the consumers both within Link and more broadly at Stripe.
* Work closely with our customers, product teams, and cross functional partners to build a comprehensive and frictionless experience for Link consumers.
* Help set an ambitious roadmap for product development and expansion of Link’s capabilities.
* Discover new parts of our business and lead them from nascent stages to maturity.
* Set the pace, prioritization and execution for the team.
* Collaborate with stakeholders across the organization such as Engineering, Design, Data Science, Marketing, Sales, Account Management, and Operations.
 Who you are
 You are a technical PM with a high degree of autonomy and drive. You feel tremendous ownership over the products you create. You are probably already exploring how AI can help you ship products faster and how it’ll change the role of product management (we certainly are); likely you’re already using AI tools to ship your own products even just as demos and prototypes (like us you probably have half a dozen side\-projects that never quite got finished). You know that the only thing that really matters is getting impactful, well crafted products into the hands of users.
 We’re looking for someone who meets the minimum requirements to be considered for the role. If you meet these requirements, you are encouraged to apply. The preferred qualifications are a bonus, not a requirement.
**Minimum Requirements**
* Brings 8\+ years of experience in a product or other technical role
* Has experience working on world\-class consumer products at scale. Has a high\-level of taste, judgment and design empathy. Is able to use data and insights rigorously to analyze the performance of products.
* Brings a desire for continuous product improvement and can optimize for shipping a portfolio of small, medium, and large releases.
* Has managed high\-stakes external partnerships, e.g. agreeing on milestones and executing on an integration into your product.
* Has strong written and verbal communication skills with a talent for precise articulations of customer problems.
* Takes an ownership mindset and works on whatever it takes to solve problems and delight consumers.
* Can put themselves in the shoes of consumers and be a steward of crafting great experiences.
* Can dig deep into the data, think from first principles, and deliver the right results. Can write and use SQL as needed.
* Has the ability to thrive with a high level of autonomy and responsibility.
**Preferred Qualifications**
* Experience working on consumer financial products.
* Conducting product market research and building buy\-in for product ideas from internal stakeholders and leadership.
* Experience building brand new products or working in a startup environment.
* Experience working with GTM teams to bring a new product to market.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$162,300 \- $243,600\.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0">
      <c r="A20" t="inlineStr">
        <is>
          <t>li-4376309663</t>
        </is>
      </c>
      <c r="B20" t="inlineStr">
        <is>
          <t>Product Manager II</t>
        </is>
      </c>
      <c r="C20" t="inlineStr">
        <is>
          <t>Microsoft</t>
        </is>
      </c>
      <c r="D20" t="inlineStr">
        <is>
          <t>linkedin</t>
        </is>
      </c>
      <c r="E20" t="inlineStr"/>
      <c r="F20" t="inlineStr"/>
      <c r="G20" t="inlineStr">
        <is>
          <t>Redmond, WA</t>
        </is>
      </c>
      <c r="H20" t="inlineStr"/>
      <c r="I20" t="inlineStr">
        <is>
          <t>**Overview**
 Surface works through a global ecosystem of distributors, resellers, and solution partners. This role as a
 **Product Manager II** 
 helps that ecosystem succeed by building a
 **scalable, partner\-facing platform** 
 that improves how partners
 **integrate** 
 ,
 **stay informed** 
 , and
 **track readiness** 
 as new capabilities roll out. You’ll partner closely with engineering and business stakeholders to turn partner needs into a cohesive product experience—one that reduces friction, increases transparency, and improves time\-to\-adoption across the channel.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product vision and roadmap for a partner\-facing platform that supports integration, communication, and readiness at scale.
* Define partner journeys for scenarios like change announcements, feature rollouts, readiness validation, and self\-service discovery (documentation, status visibility, guidance).
* Translate partner and internal stakeholder needs into requirements (user stories, success metrics, prioritization), and drive execution with engineering.
* Design feedback loops and instrumentation (telemetry, adoption signals, issue trends) to understand what’s working and where partners struggle.
* Lead rollout strategies (preview programs, staged deployments, change management) to improve quality and reduce disruption for external partners.
* Coordinate across functions (engineering, partner/business stakeholders, operations, support readiness, communications) to deliver consistent end\-to\-end experiences.
* Create clear external\-facing guidance that accelerates partner adoption and reduces recurring questions through better product experiences and content.
**Qualifications**
**Required Qualitifications:**
* Bachelor's Degree AND 2\+ years experience in product/service/program management or software development
+ OR equivalent experience.
**Preferred Qualifications**
* 3\+ years of experience in program management, product management, or software engineering on customer\- or partner\-facing products/services.
* Experience collaborating with engineering teams to ship software in iterative releases (requirements, backlog, milestones, launch/learn).
* Knowledge of hardware channel models (distributor/reseller ecosystems) and the operational realities of partner\-led selling and enablement.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
      <c r="A21" t="inlineStr">
        <is>
          <t>li-4376320294</t>
        </is>
      </c>
      <c r="B21" t="inlineStr">
        <is>
          <t>Product Manager</t>
        </is>
      </c>
      <c r="C21" t="inlineStr">
        <is>
          <t>Patriot Mobile</t>
        </is>
      </c>
      <c r="D21" t="inlineStr">
        <is>
          <t>linkedin</t>
        </is>
      </c>
      <c r="E21" t="inlineStr"/>
      <c r="F21" t="inlineStr"/>
      <c r="G21" t="inlineStr">
        <is>
          <t>Grapevine, TX</t>
        </is>
      </c>
      <c r="H21" t="inlineStr"/>
      <c r="I21" t="inlineStr">
        <is>
          <t>Patriot Mobile (PM) is America's only Christian conservative wireless provider. We offer broad coverage on dependable, nationwide 4G or 5G LTE networks. We are committed to providing our members with reliable wireless service and exceptional support while relentlessly fighting for our shared values. Patriot Mobile donates a portion of every dollar earned to support organizations that fight for First Amendment Religious Freedom and Freedom of Speech, Second Amendment Right to Bear Arms, Sanctity of Life, and the needs of our Veterans and First Responders.
**Job Overview**
 The
 **Manager, Telecom Product Management,** 
 is responsible for owning and scaling multiple product lines, including core cellular mobility and fixed wireless offerings in addition to value\-added services such as device protection products and other insurance products. This role operates at a portfolio level and is accountable for product strategy, roadmap execution, and lifecycle management across multiple products including new to be added product lines.
 Reporting to the Vice President of Product Development and Fulfillment, this role serves as the primary product leader for assigned product lines and is responsible for balancing customer experience, competitive positioning, product operations and profitability. The position requires strong cross\-functional leadership and the ability to manage complex initiatives in a growth\-stage environment.
**Essential Functions And Responsibilities**
*Product Strategy \&amp; Portfolio Ownership*
* Own product strategy and roadmap execution across multiple product lines, including cellular mobility and adjacent value\-added services including insurance for telecom and non\-telecom products.
* Define portfolio priorities and sequencing to ensure alignment with company strategy, customer needs, and financial objectives.
* Evaluate and recommend new product introductions, enhancements, lifecycle transitions, and end\-of\-life decisions.
* Maintain awareness of industry trends, competitive offerings, regulatory considerations, and emerging technologies to inform strategic direction.
*Product Lifecycle Management*
* Lead initiatives across the full product lifecycle, including discovery, validation, launch, optimization, and retirement.
* Direct competitive market analysis, feature benchmarking, pricing strategy, and margin analysis to support data\-driven decision\-making.
* Oversee changes across multiple product lines while managing dependencies and tradeoffs.
*Cross\-Functional Leadership \&amp; Stakeholder Management*
* Serve as the primary product point of contact across Fulfillment, Marketing, Customer Care, IT, Finance, Legal, and external partners.
* Partner with Fulfillment to translate product strategy into executable sourcing, inventory, and launch plans.
* Collaborate with Marketing on go\-to\-market strategy, promotions, bundling, and launch timing.
* Present product strategy, roadmaps, and business cases to executive leadership.
* Lead organizational readiness activities, including internal training, documentation, and enablement.
*Program \&amp; Change Management*
* Program owner for complex, cross\-functional initiatives involving multiple stakeholders and timelines.
* Manage risks, dependencies, and delivery milestones to ensure timely and compliant product launches.
* Support the development and adoption of scalable product management processes, standards, and best practices as the organization grows.
**Required Knowledge/Skills/Abilities**
* Strong understanding of telecommunications and mobility products including fixed wireless.
* Experience managing multiple product lines or a product portfolio.
* Familiarity with value\-added telecom services, such as device protection or insurance products.
* Demonstrated ability to lead cross\-functional teams without direct authority.
* Strong analytical and financial acumen, including pricing and margin analysis.
* Excellent written, verbal, and executive\-level communication skills.
* Ability to prioritize work, manage competing initiatives, and operate effectively in a growth environment.
* Data\-driven decision\-making mindset with experience using experimentation and validation techniques
**Education And Experience**
* Bachelor's degree in business, Marketing, Technology, or a related field preferred.
* 4\-7 years of experience in product management, product operations, or a related role.
* Prior experience in the telecommunications or mobility industry is strongly preferred.
* A background in insurance for mobility or non\-mobility products is a plus.
* Experience managing multiple products or programs simultaneously.
* Product Management certification preferred.
* Project Management or Agile methodology certification a plus.
**Physical Requirements**
* Must be able to stand or sit for long periods of time.
* Must be willing to work in an office full\-time.
 Patriot Mobile is an equal opportunity at\-will employer and does not discriminate against any employee or applicant for employment based on age, race, religion, color, disability, sex, sexual orientation, or national origin.</t>
        </is>
      </c>
    </row>
    <row r="22">
      <c r="A22" t="inlineStr">
        <is>
          <t>li-4334800757</t>
        </is>
      </c>
      <c r="B22" t="inlineStr">
        <is>
          <t>Staff Product Manager | Orders &amp; Fulfillment</t>
        </is>
      </c>
      <c r="C22" t="inlineStr">
        <is>
          <t>Square</t>
        </is>
      </c>
      <c r="D22" t="inlineStr">
        <is>
          <t>linkedin</t>
        </is>
      </c>
      <c r="E22" t="inlineStr"/>
      <c r="F22" t="inlineStr"/>
      <c r="G22" t="inlineStr"/>
      <c r="H22" t="inlineStr"/>
      <c r="I22"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At Square, we build tools that help sellers run every part of their business — from taking payments to managing inventory, staff, and online orders.
 We’re hiring multiple Product Managers for our Orders \&amp; Fulfillment team to lead critical parts of Square’s post\-checkout experience including the systems, tools, and customer\-facing surfaces that help our sellers in Food \&amp; Beverage, Retail, and Services reliably fulfill orders, scale operations, and support new operating models.
 The roles on this team span consumer experiences, seller\-facing workflows, and platform capabilities used across Square products, including some of the most heavily used surfaces in our POS. You’ll define and ship new ordering \&amp; fulfillment capabilities, from enabling sellers to operate drive\-through and catering workflows to giving consumers a great delivery, pickup, and shipment experience.
 These are not single\-feature roles. They are about owning complex, cross\-cutting problems that sit at the intersection of sellers, buyers, and the systems that connect them.
**What You’ll Work On**
 Depending on focus area, you’ll own product strategy and execution across areas such as:
* New fulfillment and operating models. Enabling capabilities like drive\-through, catering, delivery, pickup, and shipping grounded in the real operational constraints of businesses as they grow.
* Post\-checkout buyer experiences. Order tracking, status, notifications, and recovery flows that build trust and reduce anxiety when timing, availability, or fulfillment changes.
* Seller tools that power efficient fulfillment. High\-usage workflows in POS and supporting tools that help sellers manage throughput, timing, substitutions, delays, and exceptions to customers’ orders without slowing service.
* Order transparency and reliability. Systems and surfaces that make order state clear end\-to\-end, so buyers know what’s happening and sellers know how to act when things go wrong.
* Extensible fulfillment capabilities. Platform primitives and workflows that support new fulfillment types and help us support and grow with new types of sellers that have unique operating models.
* Cross\-product coordination. Working across design, engineering, operations, support, and partner teams to align roadmaps and deliver cohesive experiences across Square.
**You Will**
* Lead a roadmap that directly impacts millions of sellers’ growth and revenue
* Span multiple teams and product surfaces, sometimes without direct ownership of every dependency.
* Work on deeply operational seller experiences and customer\-facing experiences.
* Help define new categories of capability, not just improve existing flows.
* Navigate real tradeoffs: speed vs. flexibility, local optimization vs. global consistency, seller efficiency vs. buyer clarity
* Operate in problem spaces where failure modes matter as much as the happy path.
* Define and improve metrics around fulfillment speed, accuracy, and efficiency.
* Partner with design, engineering, and analytics to find bottlenecks and ship new experiences, tools, and other solutions that shorten time from order to handoff including leveraging AI where it can meaningfully improve speed, accuracy, or decision quality.
* Collaborating across Square teams to create a seamless end\-to\-end seller experience.
**You Have**
* 6\+ years of product management experience.
* A collaborative approach: You have a track record of driving alignment and delivering results with cross\-functional partners.
* Vision: You’ve formed, gained buy\-in, and driven key strategies shaping the multi\-year direction of your team.
* Results: You have a proven track record of shipping simple, elegant products at scale.
* Efficiency: You have excellent organization and prioritization skills.
* Analytical skills: You have a great ability to absorb and apply data to your decision making.
* Execution: You’re scrappy, solution\-oriented, and able to help the team push through obstacles and blockers to deliver value for our customers. Able to push through obstacles, and ready to roll up your sleeves wherever needed.
* Communication: You’re regarded as an excellent communicator, both written and verbal.
* Customer empathy: You have experience shaping product direction and execution based on customer needs. You have experience working through problems with high ambiguity and without a definitive answer. You’ve developed industry\-leading products that have gained a strong followership and product loyalty.
* Domain Experience: commerce, fulfillment, marketplaces, POS, logistics\-adjacent systems, or high\-throughput operational products is a plus, but not required.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3">
      <c r="A23" t="inlineStr">
        <is>
          <t>li-4373763978</t>
        </is>
      </c>
      <c r="B23" t="inlineStr">
        <is>
          <t>Product Manager</t>
        </is>
      </c>
      <c r="C23" t="inlineStr">
        <is>
          <t>NetApp</t>
        </is>
      </c>
      <c r="D23" t="inlineStr">
        <is>
          <t>linkedin</t>
        </is>
      </c>
      <c r="E23" t="inlineStr"/>
      <c r="F23" t="inlineStr"/>
      <c r="G23" t="inlineStr">
        <is>
          <t>Morrisville, NC</t>
        </is>
      </c>
      <c r="H23" t="inlineStr"/>
      <c r="I23"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Product Manager for NetApp StorageGRID, you will play a pivotal role in driving growth acceleration initiatives. Your expertise in product management and market acumen will be instrumental in developing strategies and processes that help us scale as the leading enterprise object storage solution. You will lead and collaborate with other product managers and technical marketing engineers and engineering to drive the outcomes
**Key Responsibilities**
* Build and execute product strategies for growth acceleration, and self\-enablement.
* Work closely with product development and engineering teams to guide product direction and roadmap based on industry trends and customer insights.
* Engage directly with customers and partners, providing expert advice, best practices, and support for seamless deployments.
* Perform competitive analysis and market research to stay abreast of industry developments and uncover new avenues for expansion.
* Act as a company spokesperson at industry events, conferences, and webinars, showcasing expertise in workloads
* Deliver training and enablement for sales and technical pre\-sales teams to ensure effective customer interactions.
* Generate compelling technical marketing content, such as videos, blogs, and presentations, to convey the benefits and technical capabilities of NetApp StorageGRID.
 Job Requirements
* Significant experience (12\+ years) in product management, technical marketing, or a related field within the cloud, storage or hi\-tech.
* Profound knowledge of Public Cloud Services, enterprise customer adoption of new services, hybrid cloud migration, enterprise workloads.
* Demonstrated ability in creating technical content and presenting persuasively to both technical and executive audiences.
* Exceptional communication, collaboration, and project management capabilities.
* Willingness to travel for customer engagements and industry events as necessary.
**Education \&amp; Qualifications**
 Preferred Qualifications:
* Experience with public cloud tools, growth practices and processes.
* Knowledge of building and monitoring key performance indicator to give visibility into leading and lagging trackers.
* Familiarity with Object Storage, Data Lakes, AI/ML, software development life cycle, security practices and other technologies pertinent to enterprise workloads.
 Education:
* Bachelor's Computer Science, or related technical discipline, required. Masters in related technical discipline or business required.
 Compensation:
 The target salary range for this position is 183,600 \- 272,800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4">
      <c r="A24" t="inlineStr">
        <is>
          <t>li-4367636116</t>
        </is>
      </c>
      <c r="B24" t="inlineStr">
        <is>
          <t>Senior Product Manager, Home Loans Consumer Experience</t>
        </is>
      </c>
      <c r="C24" t="inlineStr">
        <is>
          <t>SoFi</t>
        </is>
      </c>
      <c r="D24" t="inlineStr">
        <is>
          <t>linkedin</t>
        </is>
      </c>
      <c r="E24" t="inlineStr"/>
      <c r="F24" t="inlineStr"/>
      <c r="G24" t="inlineStr">
        <is>
          <t>San Francisco, CA</t>
        </is>
      </c>
      <c r="H24" t="inlineStr"/>
      <c r="I2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looking for a data\-driven and user\-centric Senior Product Manager to own and optimize our end\-to\-end home loan origination funnel across digital experiences. This role will be pivotal in enhancing member experiences and driving revenue growth through rigorous A/B and multivariate testing.
 You will be responsible for driving home loan originations by reducing friction, increasing application completions, and accelerating funding rates. You will drive innovative functionality that disrupts competitors and further differentiates SoFi’s home loan offering. The ideal candidate will be a growth\-focused operator who thrives at the intersection of conversion rate optimization and user experience.
 This role is inherently cross\-functional—you will work closely with engineering, design, data science, user research, marketing, operations, finance, risk, legal, compliance and executive teams to set a product strategy, define, and prioritize features. You’ll play the critical role of bridging the technical and business worlds to deliver product enhancements that delight our members and drive our business forward. You will be expected to set ambitious goals, sweat the details and deliver with urgency.
**What You’ll Do**
* Build disruptive innovative solutions in a customer\-centric environment
* Own and prioritize the product backlog for your engineering squad, writing detailed requirements and partnering closely with developers
* Own instrumentation and data for your products to drive deep understanding, innovation and product plans
* Collaborate cross\-functionally to align on requirements and timelines
* Experiment constantly to drive customer learnings and customer impact
* Operate in a fast\-paced agile environment, making trade\-offs and decisions to deliver iteratively while driving toward long\-term goals
* Work cross\-functionally with stakeholders across marketing, sales, operations, legal, compliance, capital markets, and executive management to translate customer needs into a product
* Be a champion of SoFi’s values
**What You’ll Need**
* Bachelor’s degree or higher, ideally in a technical, finance, or quantitative field
* 5\+ years of product management experience
* Experience developing and launching features across both 1st and 3rd party platforms, consistently prioritizing a superior user experience
* Superior communication skills, written and verbal. Experience presenting to executive leadership
* Experience delivering quality software that solves business and user needs
* Strong analytical and data\-driven mindset; able to dive into financial and operational metrics
* Experience owning end\-to\-end product delivery, from discovery through launch and iteration
* High bias for action and ownership—comfortable operating in ambiguous, cross\-functional environments
* Passion for your users! You do right by them, always
* Ability to work with remote teams
**Nice to have**
* Experience with hypothesis\-based product experimentation
* Experience speaking to actual users, empathizing with them and gathering insights, and translating those insights into meaningful product enhancements
* Experience in the Fintech space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5">
      <c r="A25" t="inlineStr">
        <is>
          <t>li-4376326319</t>
        </is>
      </c>
      <c r="B25" t="inlineStr">
        <is>
          <t>Product Manager</t>
        </is>
      </c>
      <c r="C25" t="inlineStr">
        <is>
          <t>NetApp</t>
        </is>
      </c>
      <c r="D25" t="inlineStr">
        <is>
          <t>linkedin</t>
        </is>
      </c>
      <c r="E25" t="inlineStr"/>
      <c r="F25" t="inlineStr"/>
      <c r="G25" t="inlineStr">
        <is>
          <t>Wichita, KS</t>
        </is>
      </c>
      <c r="H25" t="inlineStr"/>
      <c r="I25" t="inlineStr">
        <is>
          <t>**Job Summary**
 NetApp is looking for a senior product manager to join the Enterprise Storage Product Management team. A qualified candidate will have managed storage products in larger enterprise companies with a proven track record of delivering successful products and working in highly effective product management teams.
 This is an individual contributor role reporting to the Director of Product Management, He/she will work closely with the Product leadership teams, Sales, Engineering, Procurement, Marketing and Support teams to execute a compelling product strategy.
 The ideal candidate for this role has a background in building and scaling product(s), strong technical hardware, software and business acumen, and vision to deliver successful products that enable enterprise and commercial customers to meet their most challenging business and infrastructure demands in today’s rapidly evolving technology landscape.
**Job Responsibilities**
* Gather, validate, and evaluate product/market requirements through market and customer research, competitive and product research involving customer visits, advisory councils, industry events, analyst relationships, etc.
* Execute product vision, direction, and business plans, including product plans/roadmaps, product evolution and product lifecycle process.
* Collaborate with R\&amp;D to translate market requirements into innovative new technology and deliver solutions that accelerate time\-to\-value for customers and time\-to\-revenue for NetApp.
* Manage pricing and work with supply chain and procurement and vendor partners to improve margins and/or reduce costs.
* Work with OEM and ISV partners to expand storage business to new market segments and industries.
**Job Requirements**
* 10\+ years in product management.
* Experience in storage hardware and software product management.
* Experience in server, networking and storage technology related experience for data centers, and understanding of storage technologies such as FCP, iSCSI, NVMe over Fibre Channel, NVMeOF over TCP/RoCE, Internet Wide\-area RDMA Protocol (iWARP) for Ethernet and InfiniBand, SAS, and RAID.
* Experience with HPC storage architectures and parallel filesystems.
* Experience with AI data pipeline infrastructure.
* Ability to build and/or use tools/models for BOM, Sizing, Pricing, etc purposes.
* Strong analytical, problem solving, and organizational skills.
* Proven ability to collaborate cross\-functionally. Experience working with teams across geographies and business units.
* Excellent listening, oral, and written communication/presentation skills with strong ability to influence people at all levels and in various functions.
* Willingness to roll up your sleeves and do whatever is necessary.
**Preferred Requirements**
* P\&amp;L management experience.
* Experience with JIRA.
* Deep knowledge around CPUs, GPUs and DPUs and PCIe, NVMe and SSDs.
* Contract negotiation experience especially around reseller and OEM contract negotiations.
* MBA.
**Travel Requirements**
* 10% to 25% of travel will be required.
**Education**
* Bachelor’s or advanced degree in electrical engineering, computer science, or a related field.
**Compensation**
 The target salary range for this position is $184,000\-$230,000\.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6">
      <c r="A26" t="inlineStr">
        <is>
          <t>li-4367398997</t>
        </is>
      </c>
      <c r="B26" t="inlineStr">
        <is>
          <t>Product Manager, Financial Connections — Merchant Experience</t>
        </is>
      </c>
      <c r="C26" t="inlineStr">
        <is>
          <t>Stripe</t>
        </is>
      </c>
      <c r="D26" t="inlineStr">
        <is>
          <t>linkedin</t>
        </is>
      </c>
      <c r="E26" t="inlineStr"/>
      <c r="F26" t="inlineStr"/>
      <c r="G26" t="inlineStr">
        <is>
          <t>New York, United States</t>
        </is>
      </c>
      <c r="H26" t="inlineStr"/>
      <c r="I26"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Financial Connections is building the data connectivity layer for open finance and money movement. We are building tools for individuals and businesses to seamlessly share their financial data with Stripe and the businesses we power to unlock new product experiences, receive payouts, and make payments. We empower ambitious global businesses to build innovative products fast and run their entire financial lifecycle on Stripe, and we want you to be part of our story.
 Financial Connections is part of Link. Stripe created Link to reimagine how merchants and consumers do business. With Link, you can save your payment information to be used at hundreds of thousands businesses and you can connect \&amp; manage bank accounts.
 What you’ll do
 As the Product Manager for Merchant Experience within the Financial Connections team, you are the champion of our merchants’ experience. You’ll shape the roadmap that enables merchants to link and verify bank accounts, manage risk, build innovative products, and go live quickly across Stripe’s surfaces. You’ll work cross\-functionally with engineering, design, data science, compliance, legal, GTM, and partner product teams, and directly with users ranging from self\-serve developers to global platforms.
**You Will**
* Define and deliver novel APIs and Dashboard experiences for open banking
* Setting an ambitious roadmap for product development and expansion
* Build novel tools to help businesses manage risk with Stripe
* Continually raise the bar for reliability, latency, privacy, and product quality
* Incubate new bets to scale our business and develop more value for users
**Responsibilities**
* Own the roadmap for Merchant Experience, prioritizing the most impactful work to ship what our users need in line with our business goals
* Partner continuously with engineering, design, legal, compliance, support, sales, and marketing to shape product plans and ensure we ship comprehensive and frictionless experiences
* Partner with GTM functions to bring your product to market and ensure we see adoption and growth
* Be the voice of the merchant for Financial Connections and advocate within your team and across Stripe for your users’ needs
* Discover net\-new opportunities for our business and lead them from nascent stages to maturity
 Who you are
 We’re looking for someone who meets the minimum requirements to be considered for the role. If you meet these requirements, you are encouraged to apply. The preferred qualifications are a bonus, not a requirement.
**Minimum Requirements**
* Brings 5\-7\+ years of experience in a product role (ideally working on API\-focused products)
* Has an obsession with product quality, specifically an intuition for high\-performing, ergonomic, and long\-lasting API design
* Has strong written and verbal communication skills with a talent for precise articulations of customer problems
* Can put themselves in the shoes of their users and craft great experiences
* Takes an ownership mindset and works on whatever it takes to solve problems and delight users
* Can dig deep into the data, think from first principles, and deliver the right results
**Preferred Qualifications**
* Experience working on financial products
* Conducting product market research and building buy\-in for product ideas from internal stakeholders and leadership
* Experience building brand new products or working in a startup environment
* Experience working with GTM teams to bring a new product to market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7">
      <c r="A27" t="inlineStr">
        <is>
          <t>li-4374952096</t>
        </is>
      </c>
      <c r="B27" t="inlineStr">
        <is>
          <t>Senior/Lead Product Manager</t>
        </is>
      </c>
      <c r="C27" t="inlineStr">
        <is>
          <t>RemoteHunter</t>
        </is>
      </c>
      <c r="D27" t="inlineStr">
        <is>
          <t>linkedin</t>
        </is>
      </c>
      <c r="E27" t="inlineStr"/>
      <c r="F27" t="inlineStr"/>
      <c r="G27" t="inlineStr"/>
      <c r="H27" t="inlineStr"/>
      <c r="I27" t="inlineStr">
        <is>
          <t>About the Opportunity:
 This role leads the end\-to\-end delivery of product initiatives in the B2B payments space, focusing on embedded payment solutions integrated with accounts payable and procurement software. The position requires strategic thinking, cross\-functional collaboration, and execution rigor to translate customer and business needs into actionable product development plans. It serves as the key link between business stakeholders, engineering, and external partners to ensure timely delivery, user satisfaction, and measurable business impact.
 Responsibilities:
 • Define, implement, and manage a scalable product management framework with scoring and prioritization models.
 • Translate business cases and customer insights into clear product roadmaps and execution timelines.
 • Partner with P\&amp;L owners, engineering, operations, and sales to ensure consistent delivery of customer value.
 • Maintain company product roadmap including internal and external views.
 • Lead product development lifecycle from concept through delivery, managing scope, acceptance criteria, and release schedules.
 • Write business and technical requirement documents, including user stories, project plans, and user acceptance criteria.
 • Coordinate and drive the engineering team to deliver high\-quality, timely releases.
 • Monitor release readiness, user acceptance testing outcomes, and post\-launch performance to drive improvements.
 • Serve as the primary liaison between engineering and internal stakeholders including sales, operations, and fraud prevention.
 • Host regular roadmap reviews and cross\-functional alignment meetings to ensure transparency and prioritization.
 • Create and distribute executive\-level materials to communicate progress against plans, goals, and KPIs.
 • Collaborate with marketing and sales teams to support product launches and customer education efforts.
 • Define and manage internal and external product roadmaps incorporating stakeholder input and customer feedback.
 • Organize and prioritize customer requests and suggestions for future roadmap alignment.
 • Embed the voice of the customer into every stage of the product development lifecycle.
 • Build product solutions delivering measurable outcomes in security, compliance, automation, and partner/channel integrations.
 Requirements:
 • Bachelor’s degree required; MBA or technical graduate degree highly preferred.
 • 6\+ years of progressive product management experience, including leading small product teams (1\-3 members) for enterprise SaaS platforms.
 • Proven success defining and launching B2B products with cross\-functional teams.
 • Strong technical understanding of modern SaaS architecture, APIs, Agile/Scrum methodologies, and software development lifecycle (SDLC).
 • Experience with payments, fintech, AP/AR automation, or ERP\-integrated platforms strongly preferred.
 • Excellent written and verbal communication skills for conveying technical and strategic concepts to internal and external stakeholders.
 • Data\-driven mindset with comfort using KPIs to track product health, customer value, and ROI.
 • Proven ability to meet deadlines managing multiple concurrent projects and priorities.
 • Experience proactively escalating blockers before they impact deliverables.
 • Full ownership of cross\-functional initiatives from inception through delivery, including difficult decisions.
 • Regular, unprompted status updates to leadership and stakeholders.
 • Skilled in creating clear guidance documents, requirements, and team direction.
 • Experience communicating blockers and resource needs clearly and early.
 • Hands\-on experience implementing unified product roadmaps and consolidating tracking systems into a single source of truth.
 • Ability to create and maintain organized documentation accessible to the entire organization.
 • Experience managing intake processes and eliminating workflow confusion across stakeholders.
 • Maintaining sprint backlogs and ensuring engineering teams have ready work.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li-4367904823</t>
        </is>
      </c>
      <c r="B28" t="inlineStr">
        <is>
          <t>Staff Product Manager, Link Consumer Product</t>
        </is>
      </c>
      <c r="C28" t="inlineStr">
        <is>
          <t>Stripe</t>
        </is>
      </c>
      <c r="D28" t="inlineStr">
        <is>
          <t>linkedin</t>
        </is>
      </c>
      <c r="E28" t="inlineStr"/>
      <c r="F28" t="inlineStr"/>
      <c r="G28" t="inlineStr">
        <is>
          <t>Seattle, WA</t>
        </is>
      </c>
      <c r="H28" t="inlineStr"/>
      <c r="I2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Link Team**
 The way we buy is evolving: new payment methods, new purchase modalities, and new kinds of money.
 In the very immediate future we’ll be purchasing with AI agents, and they’ll almost inevitably become fully headless operating on our behalf and spending our money. Stablecoins are on the cusp of becoming mainstream and unlocking huge new capabilities for consumers. And at the same time being able to securely and simply share your reputation and identity become essential as robots operate on our behalf and money moves instantly.
 We are building Link for this future. Link is the wallet for the internet, for what’s next.
 Link is already used by over 200m consumers worldwide and growing exceptionally rapidly.
 What you’ll do
 You will be responsible for building the Link App experience on web and native: building the wallet product consumers need to feel confident, excited and inspired by all the new ways payments and identity are changing online.
 You will be a champion of our consumers’ experience and end\-to\-end owner of many core consumer features. You will be building new products and features to make Link a world\-class consumer brand. This will include working with Engineering, Design, GTM and others to help define, build and scale new and existing products. You will be expected to help define our consumer strategy, working directly with Link leadership, and gathering insights from our consumers and data.
**Responsibilities**
* Deeply understand user needs by spending time with consumers as well as Engineering, GTM and Operations teams, and by observing patterns and trends across their feedback and the market.
* Be the voice of the consumers both within Link and more broadly at Stripe.
* Work closely with our customers, product teams, and cross functional partners to build a comprehensive and frictionless experience for Link consumers.
* Help set an ambitious roadmap for product development and expansion of Link’s capabilities.
* Discover new parts of our business and lead them from nascent stages to maturity.
* Set the pace, prioritization and execution for the team.
* Collaborate with stakeholders across the organization such as Engineering, Design, Data Science, Marketing, Sales, Account Management, and Operations.
 Who you are
 You are a technical PM with a high degree of autonomy and drive. You feel tremendous ownership over the products you create. You are probably already exploring how AI can help you ship products faster and how it’ll change the role of product management (we certainly are); likely you’re already using AI tools to ship your own products even just as demos and prototypes (like us you probably have half a dozen side\-projects that never quite got finished). You know that the only thing that really matters is getting impactful, well crafted products into the hands of users.
 We’re looking for someone who meets the minimum requirements to be considered for the role. If you meet these requirements, you are encouraged to apply. The preferred qualifications are a bonus, not a requirement.
**Minimum Requirements**
* Brings 8\+ years of experience in a product or other technical role
* Has experience working on world\-class consumer products at scale. Has a high\-level of taste, judgment and design empathy. Is able to use data and insights rigorously to analyze the performance of products.
* Brings a desire for continuous product improvement and can optimize for shipping a portfolio of small, medium, and large releases.
* Has managed high\-stakes external partnerships, e.g. agreeing on milestones and executing on an integration into your product.
* Has strong written and verbal communication skills with a talent for precise articulations of customer problems.
* Takes an ownership mindset and works on whatever it takes to solve problems and delight consumers.
* Can put themselves in the shoes of consumers and be a steward of crafting great experiences.
* Can dig deep into the data, think from first principles, and deliver the right results. Can write and use SQL as needed.
* Has the ability to thrive with a high level of autonomy and responsibility.
**Preferred Qualifications**
* Experience working on consumer financial products.
* Conducting product market research and building buy\-in for product ideas from internal stakeholders and leadership.
* Experience building brand new products or working in a startup environment.
* Experience working with GTM teams to bring a new product to market.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$162,300 \- $243,600\.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9">
      <c r="A29" t="inlineStr">
        <is>
          <t>li-4367905798</t>
        </is>
      </c>
      <c r="B29" t="inlineStr">
        <is>
          <t>Staff Product Manager, Link Consumer Product</t>
        </is>
      </c>
      <c r="C29" t="inlineStr">
        <is>
          <t>Stripe</t>
        </is>
      </c>
      <c r="D29" t="inlineStr">
        <is>
          <t>linkedin</t>
        </is>
      </c>
      <c r="E29" t="inlineStr"/>
      <c r="F29" t="inlineStr"/>
      <c r="G29" t="inlineStr">
        <is>
          <t>San Francisco, CA</t>
        </is>
      </c>
      <c r="H29" t="inlineStr"/>
      <c r="I2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Link Team**
 The way we buy is evolving: new payment methods, new purchase modalities, and new kinds of money.
 In the very immediate future we’ll be purchasing with AI agents, and they’ll almost inevitably become fully headless operating on our behalf and spending our money. Stablecoins are on the cusp of becoming mainstream and unlocking huge new capabilities for consumers. And at the same time being able to securely and simply share your reputation and identity become essential as robots operate on our behalf and money moves instantly.
 We are building Link for this future. Link is the wallet for the internet, for what’s next.
 Link is already used by over 200m consumers worldwide and growing exceptionally rapidly.
 What you’ll do
 You will be responsible for building the Link App experience on web and native: building the wallet product consumers need to feel confident, excited and inspired by all the new ways payments and identity are changing online.
 You will be a champion of our consumers’ experience and end\-to\-end owner of many core consumer features. You will be building new products and features to make Link a world\-class consumer brand. This will include working with Engineering, Design, GTM and others to help define, build and scale new and existing products. You will be expected to help define our consumer strategy, working directly with Link leadership, and gathering insights from our consumers and data.
**Responsibilities**
* Deeply understand user needs by spending time with consumers as well as Engineering, GTM and Operations teams, and by observing patterns and trends across their feedback and the market.
* Be the voice of the consumers both within Link and more broadly at Stripe.
* Work closely with our customers, product teams, and cross functional partners to build a comprehensive and frictionless experience for Link consumers.
* Help set an ambitious roadmap for product development and expansion of Link’s capabilities.
* Discover new parts of our business and lead them from nascent stages to maturity.
* Set the pace, prioritization and execution for the team.
* Collaborate with stakeholders across the organization such as Engineering, Design, Data Science, Marketing, Sales, Account Management, and Operations.
 Who you are
 You are a technical PM with a high degree of autonomy and drive. You feel tremendous ownership over the products you create. You are probably already exploring how AI can help you ship products faster and how it’ll change the role of product management (we certainly are); likely you’re already using AI tools to ship your own products even just as demos and prototypes (like us you probably have half a dozen side\-projects that never quite got finished). You know that the only thing that really matters is getting impactful, well crafted products into the hands of users.
 We’re looking for someone who meets the minimum requirements to be considered for the role. If you meet these requirements, you are encouraged to apply. The preferred qualifications are a bonus, not a requirement.
**Minimum Requirements**
* Brings 8\+ years of experience in a product or other technical role
* Has experience working on world\-class consumer products at scale. Has a high\-level of taste, judgment and design empathy. Is able to use data and insights rigorously to analyze the performance of products.
* Brings a desire for continuous product improvement and can optimize for shipping a portfolio of small, medium, and large releases.
* Has managed high\-stakes external partnerships, e.g. agreeing on milestones and executing on an integration into your product.
* Has strong written and verbal communication skills with a talent for precise articulations of customer problems.
* Takes an ownership mindset and works on whatever it takes to solve problems and delight consumers.
* Can put themselves in the shoes of consumers and be a steward of crafting great experiences.
* Can dig deep into the data, think from first principles, and deliver the right results. Can write and use SQL as needed.
* Has the ability to thrive with a high level of autonomy and responsibility.
**Preferred Qualifications**
* Experience working on consumer financial products.
* Conducting product market research and building buy\-in for product ideas from internal stakeholders and leadership.
* Experience building brand new products or working in a startup environment.
* Experience working with GTM teams to bring a new product to market.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$162,300 \- $243,600\.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0">
      <c r="A30" t="inlineStr">
        <is>
          <t>li-4374952060</t>
        </is>
      </c>
      <c r="B30" t="inlineStr">
        <is>
          <t>Sr Product Owner, Digital Innovation</t>
        </is>
      </c>
      <c r="C30" t="inlineStr">
        <is>
          <t>RemoteHunter</t>
        </is>
      </c>
      <c r="D30" t="inlineStr">
        <is>
          <t>linkedin</t>
        </is>
      </c>
      <c r="E30" t="inlineStr"/>
      <c r="F30" t="inlineStr"/>
      <c r="G30" t="inlineStr"/>
      <c r="H30" t="inlineStr"/>
      <c r="I30" t="inlineStr">
        <is>
          <t>About the Opportunity:
 The Sr Product Owner, Digital Innovation, leads the development and continuous improvement of digital products and services for the organization. This role drives innovation, manages product backlogs, and ensures delivery of customer\-centric solutions that support the organization’s mission. The Product Owner works cross\-functionally to translate strategic vision into actionable plans, prioritizing features and enhancements that deliver measurable value to healthcare providers, patients, and institutional clients.
 Responsibilities:
 • Lead digital product discovery and innovation strategy by identifying unmet provider and patient needs through user research, journey mapping, prototyping, and rapid experimentation
 • Define the vision and strategic roadmap for new digital products and tools that enhance provider workflows and patient experiences, including next\-generation ordering, reporting, communication, and care\-enablement solutions
 • Partner cross\-functionally with Engineering, Clinical, Commercial, Operations, and Customer Experience teams to translate strategic opportunities into scalable, high\-impact digital solutions
 • Evaluate and incubate new digital product ideas, balancing customer value, clinical impact, technical feasibility, and business outcomes to guide investment and prioritization decisions
 • Champion user\-centric design by collaborating with clinicians, genetic counselors, and patients to deeply understand workflows and pain points, applying design thinking and rapid prototyping to create intuitive, accessible provider and patient experiences
 • Drive adoption of emerging and next\-generation technologies including AI\-powered decision support, intelligent test selection, personalized digital care pathways, and data\-driven patient engagement tools
 • Establish product success metrics and learning loops using qualitative feedback, adoption data, and performance insights to continuously refine product strategy
 • Ensure new digital products are built for scale, interoperability, and compliance, aligning efforts with security, regulatory, and quality requirements without slowing experimentation
 • Support the full digital product lifecycle from concept and validation through launch, optimization, and evolution while preserving strategic intent
 • Foster a culture of experimentation and continuous improvement, encouraging teams to pilot bold ideas, test hypotheses quickly, and apply learnings to future product strategy
 • Advance precision medicine and patient empowerment by enabling digital platforms that deliver personalized insights, clinical decision support, and meaningful engagement for providers and patients
 Requirements:
 • Bachelor’s degree in healthcare administration, business, computer science, health informatics, or related field; advanced degree in genetic counseling or digital health is a plus
 • 7\+ years in product management, product ownership, or digital product development within healthcare, diagnostics, or health tech
 • 5\+ years experience in the clinical genomics space
 • Experience with agile methodologies and cross\-functional teams preferred
 • Proven ability to deliver innovative, customer\-facing digital solutions
 • Experience with product management tools such as JIRA, Miro, and Figma
 • Strong strategic and innovative thinking skills
 • Excellent communication and stakeholder management abilities
 • Ability to synthesize user feedback and market trends into actionable product improvements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li-4373757843</t>
        </is>
      </c>
      <c r="B31" t="inlineStr">
        <is>
          <t>Principal Product Manager, IAP+</t>
        </is>
      </c>
      <c r="C31" t="inlineStr">
        <is>
          <t>Unity South APAC (SEA, ANZ, IND Subcont.)</t>
        </is>
      </c>
      <c r="D31" t="inlineStr">
        <is>
          <t>linkedin</t>
        </is>
      </c>
      <c r="E31" t="inlineStr"/>
      <c r="F31" t="inlineStr"/>
      <c r="G31" t="inlineStr">
        <is>
          <t>San Francisco, CA</t>
        </is>
      </c>
      <c r="H31" t="inlineStr"/>
      <c r="I31" t="inlineStr">
        <is>
          <t>The opportunity
 Unity is shaping the future of how developers understand and serve their players. As a Principal Product Manager for IAP\+, you'll be at the forefront of a groundbreaking transformation in how developers monetize their games. As transactions shift from app stores to web platforms, IAP\+ represents our strategic wedge to help creators capture more value while delivering seamless player experiences. You'll be responsible for leading the evolution of Unity's in\-app purchasing system, breaking down traditional boundaries between app and web commerce.
 This is your opportunity to help build a unified platform that empowers developers to attract, understand, and retain players across every touchpoint. We're looking for a forward thinker who will persevere through complexity and turn our vision of a true end\-to\-end platform into reality. Join us in serving the millions of players reached by Unity creators worldwide.
 What you'll be doing
* Help build the product strategy and roadmap for IAP\+, focusing on the critical transition from app\-based to web\-based transactions while maintaining seamless multi\-platform support
* Define and reach important metrics that demonstrate value for developers, including transaction success rates, integration efficiency, and revenue optimization across app and web channels
* Collaborate with multi\-functional teams across engineering, design, and business development to implement a cohesive platform experience that serves developers and players
* Partner with key decision makers to align IAP\+ with Unity's broader platform vision, ensuring tight integration with Unity Engine, Vector, and analytics capabilities
* Champion player\-first solutions by gathering insights from developers and end users, translating feedback into features that solve real monetization challenges
 What we're looking for
* Proven track record of shipping successful payment or commerce products at scale, with measurable impact on revenue and user experience
* Deep understanding of payment systems, including app store billing (Google Play, Apple App Store) and web\-based payment flows, with experience in AdTech or monetization ecosystems
* Effective written and verbal communication skills, with ability to influence technical and business audiences
* Demonstrated critical thinking abilities to navigate complex platform ecosystems and identify innovative solutions
* Data\-driven approach to product decisions, with ability to define and track important metrics that drive results
 You might also have
* Experience building developer\-facing tools or APIs, with commitment to creating intuitive experiences that enable creators to build better games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salary$179,500—$269,300 USD</t>
        </is>
      </c>
    </row>
    <row r="32">
      <c r="A32" t="inlineStr">
        <is>
          <t>li-4353044950</t>
        </is>
      </c>
      <c r="B32" t="inlineStr">
        <is>
          <t>Product Manager - Infusion Market</t>
        </is>
      </c>
      <c r="C32" t="inlineStr">
        <is>
          <t>Inovalon</t>
        </is>
      </c>
      <c r="D32" t="inlineStr">
        <is>
          <t>linkedin</t>
        </is>
      </c>
      <c r="E32" t="inlineStr"/>
      <c r="F32" t="inlineStr"/>
      <c r="G32" t="inlineStr">
        <is>
          <t>Canonsburg, PA</t>
        </is>
      </c>
      <c r="H32" t="inlineStr"/>
      <c r="I32"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**Location:** 
 This position is a hybrid role based out of our Canonsburg, PA office. The current expectation is that we are in office two days each week (Tuesday\-Wed), with extra additional days as required during the month.
**Overview:** 
 We are seeking a Product Manager with
 **infusion pharmacy experience** 
 to join our team. This role will focus on driving the development and enhancement of infusion\-related products and solutions, ensuring they meet clinical, operational, and regulatory requirements. The ideal candidate will have a strong understanding of infusion workflows, devices, and software integration within healthcare settings.
 The Product Manager is responsible for establishing deep product expertise from a product and market perspective by understanding buyer and user personas, features and functionality, ROI, value proposition, architecture, competitive landscape, voice of customer, and market trends. This person has strong communication and influencing skills and collaborates with cross\-functional stakeholders (i.e. development, marketing, sales, implementation, client success, legal/risk, finance) in efforts to support their product(s) in market. This person is responsible for understanding the jobs to be done and leverages market intelligence, regulatory shifts, client feedback, and internal stakeholder feedback to define and prioritize enhancements (features or operational tools) and new products into a product roadmap. A Product Manager is knowledgeable in the Agile framework and follows Agile processes in partnership with the Product Owner to write product requirements, communicate priorities for sprint and release plans, participates in backlog refinement and retrospectives. This role is also responsible for forecasting and tracking against budget, maintaining a product\-level P\&amp;L, and tracking product key performance indicators (KPIs).
**Duties and Responsibilities:**
* Translate the business strategy into product strategy and vision while working closely with Corporate Development to support buy and partner paths.
* Own and drive product roadmap, defining and planning releases, and driving on\-time delivery.
* Build product\-level revenue and booking forecasts, manage product profitability, and drive commercial success by leveraging key tools and data assets for analysis.
* Exhibit strong market knowledge surrounding your industry and product to drive insights about regulations, competition, industry\-shifts into the pricing, packaging, and positioning of your products.
* Lead product development, strategy, and design from concept to design to development to market launch.
* Develop new products and features by conducting market research, generating product requirements, developing marketing strategies, and determining specifications, release schedule, pricing, and positioning for product launch.
* Understand current and planned business offerings, programs, and processes, and work with business stakeholders to support these needs and requirements in our information technology solutions;
* Facilitate and conduct regular meetings with Product Management, Engineering, Implementation, Customer Support and additional stakeholders to ensure the understanding, clarification, and implementation of requirements in the development environment;
* Determines product pricing by utilizing market research data, reviewing production and sales costs, anticipating volume, and costing special and customized orders.
* Continuous customer engagement and development of customer relationships to drive voice of customer into new and existing product offerings and product positioning.
* Strong proficiency in analyzing data and translating it into actionable plans which are consumable to senior leaders and internal stakeholders.
* Strong collaboration with Product Owner to manage the roadmap, prioritize work, and refine requirements.
* Communicate with confidence and expertise your product strategy, vision, and performance to senior leadership at regular intervals including monthly business unit reviews and bi\-weekly cross\-business unit reviews.
* Maintain an expert level of knowledge regarding products, services, infrastructure and operations of Inovalon to achieve optimal insight into Inovalon's product development, capabilities, and functionality requirements.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and
* Fulfill those responsibilities and/or duties that may be reasonably provided by Inovalon for the purpose of achieving operational and financial success of the Employer.
**Job Requirements:**
* Minimum of 3\-5 years of business and/or data analysis experience;
* 3\-5 years experience billing in the following environments: transplants, oncology, and infusion
* Infusion pharmacy experience
* Experience in driving product development, preferably in an Agile software development environment;
* Experience leading meetings and presenting information to senior leadership;
* Strong analytical and problem\-solving skills;
* Ability to think strategically and define and layout a vision;
* Excellent verbal and written communication skills;
* Excellent interpersonal skills including effective listening and negotiation skills;
* Strong organization and time management skills;
* Strong work ethic and passion for product management
* Detail\-oriented with excellent follow\-up skills; and
**Education:**
* Bachelor’s Degree (preferred)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$95,800—$119,700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33">
      <c r="A33" t="inlineStr">
        <is>
          <t>li-4371636058</t>
        </is>
      </c>
      <c r="B33" t="inlineStr">
        <is>
          <t>Product Manager, Industrial Controls</t>
        </is>
      </c>
      <c r="C33" t="inlineStr">
        <is>
          <t>Agilix Solutions</t>
        </is>
      </c>
      <c r="D33" t="inlineStr">
        <is>
          <t>linkedin</t>
        </is>
      </c>
      <c r="E33" t="inlineStr"/>
      <c r="F33" t="inlineStr"/>
      <c r="G33" t="inlineStr"/>
      <c r="H33" t="inlineStr"/>
      <c r="I33" t="inlineStr">
        <is>
          <t>Agilix Solutions is seeking a Product Manager. This position will be responsible for driving the APR’s business strategy to accelerate growth in the Smart Components businesses. These businesses include industrial components, motor control, sensors, safety, condition monitoring, controllers, distributed I/O and networks.
 This position will be the technical liaison between Rockwell Automation and the distributor, provide technical, marketing, and commercial leadership for sales growth, be responsible to supporting the commercial plan for the Smart Components businesses and take a lead role in developing a competency plan to ensure that support functions (inside/outside sales) are adequately prepared to maximize share gain for the Smart Components businesses in their APR(s).
 The Smart Components specialist will be held accountable on the revenue performance of the assigned product segments.
 This role will report to the Automation Team Leader.
**Responsibilities**
**Sales Leadership Competencies:**
* Outcome\-based selling experience with understanding of industrial business drivers
* Be held accountable for creation and execution of plans to exceed growth targets in business revenue and management objectives
* Be comfortable influencing customer on value of RA solution vs competition
* Act as a trusted partner to the business units to provide productive voice of the customer and constructive feedback
* Coordinate sales teaming efforts, including Automation Specialist, required to identify and close account conversions and project sales opportunities
* Able to motivate, support and lead inside and outside sales reps to proactively implement business plan.
* Strong presentation skills in group and individual situations.
* Strong arbitration skills to effectively listen, communicate, and gain consensus
* Acts courageously by sharing viewpoints openly and directly with others, providing relevant and timely information and feedback, as required.
* Seek out and embrace relevant perspectives when assessing a situation or making a decision; demonstrate clear understanding of multiple viewpoint
**Technical Competencies**
* Serve as domain expert around Connected Components business and continuously build competency
* Ability to speak with customers, demonstrating technical expertise while instilling confidence and credibility
* Demonstrates the ability to describe and apply the fundamentals of industrial components, motor control, sensors, safety, condition monitoring, and machine\-level controls / architectures (controllers, distributed I/O and networks) in manufacturing environments.
* Have core competency for the current technology as it relates to the assigned products.
* Able to identify and demonstrate technology solutions for customer applications.
* Willingness and desire to participate in ongoing training to maintain technical competency in their product and complimentary product areas.
**Marketing Competencies**
* Able to analyze market conditions, develop an annual business plan and coordinate its implementation.
* Able to administer and implement marketing, promotion programs, and product launches from Rockwell Automation product businesses.
* Ability to understand market conditions, competitive forces, determine market share, and identify opportunities for growth.
* Ability to develop and implement strategies to attack competition and grow market penetration
* Ability to define and grow new markets for emerging product technologies.
**Qualifications**
* Bachelor of Science in Engineering –OR– equivalent combination of skills, experience, or education
* TÜV or exida certification for Functional Safety is preferred
* 3 years of experience / knowledge applying RA’s products or equivalent competitive solutions
* Travel to customers within assigned geography will be required
* Remain open to ideas; integrates multiple perspectives in decision\-making.
* Retain and convey a positive attitude in challenging circumstances
* Good technical writing \&amp; presentation skills with ability to present RA’s value proposition to mid / large size groups of customers (external and internal) both commercially and technically.
* Demonstrates ability to work independently and be self\-motivated
**Additional Functions Of Successful Smart Components Specialist**
* Shares distributed I/O responsibility and coordinates customer activities with Automation Specialist to ensure the right resource is engaged for given opportunities
* Participate in account planning and sales strategy focusing on new customer acquisition and existing customer expansion. Lead the sales force in promoting the solution to existing and new customers with presentations, demonstrations, technical pre\-sales and post\-sales support.
* Provides selection and design advice for most assigned products in common configurations and leverage the proper Rockwell Automation resources, as needed.
* Able to differentiate products/solutions from competition and promote the differences as meaningful benefits to the customer.
**Company\-Provided Benefits**
* Medical Insurance
* Dental Insurance
* Vision Insurance
* Health Savings Account
* 401(k) (Company match contributions and discretionary annual profit\-sharing plan)
* Company Sponsored Life Insurance
* Company Sponsored Short\-Term Disability
* Company Sponsored Long\-Term Disability
* Employee Assistance Program
* Monthly allocation of work\-from\-home days
**Voluntary Benefits**
* Legal Services
* Critical Illness
* Life Insurance
* Dependent Care/FSA
**About Agilix Solutions**
 With a robust history dating back nearly 130 years, Agilix Solutions delivers meaningful solutions to our customers in the industrial, commercial, and construction markets. We have longstanding partnerships with top manufacturers of automation, electrical, datacom, power transmission, safety, industrial supply, lighting, and solar solutions.
**Agilix Solutions Equal Opportunity / Diversity \&amp; Inclusion Statement**
 Agilix Solutions values the unique contributions and perspectives of our team members. We are committed to a policy of providing equal employment opportunities for training, compensation, transfer, promotion, and other aspects of employment for all qualified applicants and employees without regard to sex, race, color, religion, national origin, age, disability, sexual orientation or veteran status.
 Every effort is made to ensure that our hiring, salary administration, promotion and transfer are based solely on job requirements, job performance and job\-related criteria.
 Our policies and practices relating to compensation, benefits, transfer, retention, termination, training, self\-development opportunities, as well as social and recreational programs \- are administered without discrimination on the basis of race, color, religion, sex, age, national origin, disability, sexual orientation, veteran status or other basis prohibited by law.
 Agilix Solutions is an Equal Opportunity Employer.</t>
        </is>
      </c>
    </row>
    <row r="34">
      <c r="A34" t="inlineStr">
        <is>
          <t>li-4350334616</t>
        </is>
      </c>
      <c r="B34" t="inlineStr">
        <is>
          <t>Senior Lead Game Product Manager</t>
        </is>
      </c>
      <c r="C34" t="inlineStr">
        <is>
          <t>PopCap Games</t>
        </is>
      </c>
      <c r="D34" t="inlineStr">
        <is>
          <t>linkedin</t>
        </is>
      </c>
      <c r="E34" t="inlineStr"/>
      <c r="F34" t="inlineStr"/>
      <c r="G34" t="inlineStr">
        <is>
          <t>Kirkland, WA</t>
        </is>
      </c>
      <c r="H34" t="inlineStr"/>
      <c r="I34"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PopCap is seeking an experienced Senior Lead Game Product Manager to join our team.
 As a Senior Lead Product Manager, you will be responsible for defining and driving the Acquisition, Engagement, and Monetization strategies for Plants vs Zombies 3\. You must be passionate about representing the voice and needs of our players and business.
 This role will focus on the New Player Funnel and Live Service Operations, with opportunities to flex into other areas of Game Product Management as the project necessitates. You will report to the head Product Manager on the team.
 Product Management is a collaborative, cross\-functional discipline. Product Managers are expected to work closely with other PMs, Analysts, Developers, Marketing, and other stakeholders.
 This is a role that drives decisions using data. Performance metrics, research, and analysis are all tools you have experience using to inform growth efforts.
**Responsibilities**
* Manage and conduct operations impacting the live service player journey from the install funnel through to regular daily engagement
* Conduct and communicate in\-depth analysis of live player behavioral trends using data insights and strong business acumen to impact top line KPIs
* Track performance on a daily, monthly, and quarterly basis
* Communicate KPIs to internal and external stakeholders and adjust designs/plans accordingly
* Work closely with the game team and various stakeholders to gather requirements and help define the live service roadmap
* Influence partners to rally behind your ideas and effect change among various teammates and collaborators
* Define requirements for Data Analytics, A/B testing, push notifications, and other partner tools
* Hold an informed, expert perspective on established models for monetizing games
* Monitor competitive trends and best practices, third parties tools/partnerships, and internal business intelligence with the goal of identifying opportunities to fold into PopCap’s operations
* Leverage first\- and third\-party tools to define, track, and serve a variety of player segments
* Learn, have fun and build games that millions of people love to play
**Requirements**
* Strong analytical skills and experience with data\-driven product design and decision making
* Success building web or mobile consumer\-facing products in the past
* Experience with every phase and/or deep experience with the live service phase of the game development cycle
* Experience with multivariate testing in web or mobile products
* Experience defining specs or PRDs with clear business requirements, user flows, and wireframes
* Strong in Excel, able to create models and simulations of in\-game economies
* Experience balancing virtual economies, with an strong understanding of how economy design impacts the user experience
* Strong communication and writing skills
* Experience communicating both creative and technical feedback to diverse groups
* Passion for creating great freemium games, with the ability to identify flaws in design, art, and “feel”
* Self\-motivated team player that brings excitement and enthusiasm to work each day
* Carry a growth mindset that is open to feedback and outside\-the\-box thinking
* Loves games and has experience with PopCap titles (Plants vs Zombies, Bejeweled, etc.)
**Qualifications**
* BS/BA degree, ideally in a quantitative discipline; MS/MBA preferred
* 8\+ years of experience in product management in live service games, scaled consumer\-facing digital products, and/or a systems design background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 California (depending on location e.g. Los Angeles vs. San Francisco) \*$160,600 \- $249,300 USD
* Washington (depending on location e.g. Seattle vs. Spokane) \*$149,200 \- $205,500 USD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35">
      <c r="A35" t="inlineStr">
        <is>
          <t>li-4328322364</t>
        </is>
      </c>
      <c r="B35" t="inlineStr">
        <is>
          <t>Staff Product Manager, Sharing &amp; Virality</t>
        </is>
      </c>
      <c r="C35" t="inlineStr">
        <is>
          <t>Dropbox</t>
        </is>
      </c>
      <c r="D35" t="inlineStr">
        <is>
          <t>linkedin</t>
        </is>
      </c>
      <c r="E35" t="inlineStr"/>
      <c r="F35" t="inlineStr"/>
      <c r="G35" t="inlineStr"/>
      <c r="H35" t="inlineStr"/>
      <c r="I35"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**Role Description**
 As a Staff Product Manager focused on Sharing and Virality, you will lead Dropbox’s strategy and execution for one of the most critical and widely used user journeys in the product.
 In this role, you will be responsible for defining and driving the strategy and roadmap for sharing across web, mobile, and desktop surfaces. Your impact areas include simplifying complex sharing flows, balancing intuitive default experiences with advanced capabilities, planning and forecasting multi\-quarter initiatives, measuring the effectiveness of sharing and virality through rigorous metrics and experimentation, driving cross\-functional execution across multiple teams, and evaluating product and business tradeoffs to deliver meaningful customer and company value.
 You will play a critical part in shaping how millions of users collaborate and share content every week, while directly influencing Dropbox’s growth, retention, and revenue. You’ll get substantial senior leadership exposure, significant ownership and autonomy over a high\-visibility product area, and the opportunity to solve deeply complex problems at scale while delivering experiences that users understand, trust, and love.
**Responsibilities**
* Define and evangelize the long\-term product vision, strategy, and roadmap for Dropbox’s sharing and virality experiences across web, mobile, and desktop.
* Own the end\-to\-end sharing experience, including sharing UX, access management, and receiver experiences, spanning both frontend and backend systems.
* Simplify complex sharing flows, striking the right balance between intuitive default experiences and advanced capabilities for power users.
* Partner closely with engineering, design, data science, research, and cross\-product leaders to deliver high\-quality, scalable solutions.
* Make high\-impact, independent product decisions while aligning closely with senior leadership and executives on critical tradeoffs.
* Communicate clearly and persuasively with stakeholders, including presenting defensible product perspectives to the executive team.
**Requirements**
* 8–10\+ years of experience as a Product Manager, with ownership of complex, user\-facing systems at scale.
* Strong systems thinking and technical proficiency, with the ability to work closely with engineering teams on complex architectures.
* Deep experience using data, metrics, and experimentation to inform product decisions and drive outcomes.
* Demonstrated ability to lead large cross\-functional teams and to set strategy across organizational boundaries.
* Exceptional written and verbal communication skills, including executive\-level storytelling and alignment.
* Strong customer focus, with a track record of delivering simple, intuitive experiences in complex domains.
**Preferred Qualifications**
* Prior experience working on sharing, permissions, access control.
* Experience designing and optimizing virality loops or network effects in large\-scale products.
* Background in trust \&amp; safety or permissions\-heavy domains.
* Track record of leading long\-running, multi\-quarter initiatives with significant cross\-team dependencies.
**Compensation**
 US Zone 1
 This role is not available in Zone 1
 US Zone 2
 $212,700—$287,700 USD
 US Zone 3
 $189,000—$255,800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36">
      <c r="A36" t="inlineStr">
        <is>
          <t>li-4356822224</t>
        </is>
      </c>
      <c r="B36" t="inlineStr">
        <is>
          <t>Senior Product Manager – Performance Solutions</t>
        </is>
      </c>
      <c r="C36" t="inlineStr">
        <is>
          <t>FactSet</t>
        </is>
      </c>
      <c r="D36" t="inlineStr">
        <is>
          <t>linkedin</t>
        </is>
      </c>
      <c r="E36" t="inlineStr"/>
      <c r="F36" t="inlineStr"/>
      <c r="G36" t="inlineStr">
        <is>
          <t>Illinois, United States</t>
        </is>
      </c>
      <c r="H36" t="inlineStr"/>
      <c r="I3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Institutional Buyside business unit at FactSet is dedicated to delivering innovative tools for portfolio management, quantitative research, risk analysis, performance \&amp; attribution, and execution management. We serve the world’s largest asset managers, asset owners, and insurance companies, helping them navigate the complexities of the investment lifecycle with confidence.
 This role sits at the intersection of client workflows, regulatory and industry standards, and scalable technology. You will be responsible for ensuring FPS delivers a cohesive, competitive, and future\-ready performance platform that supports both core performance workflows and GIPS\-compliant reporting and governance.
 You will partner closely with Product, Engineering, Sales, Portfolio Services, Professional Services, and Support to define and execute a unified FPS roadmap that treats GIPS not as a standalone product, but as a first\-class, integrated capability within the broader performance ecosystem.
**Responsibilities**
 As the Senior Product Manager – Performance Solutions, you will oversee the full lifecycle of FactSet’s performance product suite, from discovery and strategy to execution and launch. This involves working across Product, Sales, Managed Services, Professional Services, and Support teams to prioritize enhancements and ensure we consistently meet and exceed client expectations.
**Your Primary Responsibilities Include**
**Product Insights**
* Develop deep expertise in institutional performance workflows, including performance calculation, attribution, reporting, and GIPS compliance.
* Understand end\-market dynamics, regulatory drivers, client operating models, and competitive offerings across both performance and GIPS solutions.
* Proactively validate market opportunities through client engagement, data analysis, and feedback to ensure solutions are valuable, viable, usable, and scalable.
* Define and track success metrics including product adoption, engagement, retention, ASV, and support cost efficiency.
**Product Strategy**
* Contribute to the product vision and roadmap for FPS, inclusive of GIPS capabilities, in alignment with FactSet’s broader Performance and Analytics strategies.
* Partner with Senior Principal and Principal Product leadership to ensure FPS and GIPS priorities are aligned with firm\-type strategies and long\-term platform direction.
* Define how GIPS capabilities integrate across FPS components such as calculation, data management, reporting, and governance workflows.
* Act as a product evangelist, clearly communicating strategy, trade\-offs, and priorities across stakeholders.
* Partner with Sales and Marketing on market validation, positioning, and growth opportunities related to FPS and GIPS.
**Product Execution**
* Lead cross\-functional teams to deliver on product vision, goals, and roadmap commitments.
* Plan releases, prioritize initiatives, and clearly define scope, user needs, and success criteria.
* Translate complex performance and GIPS requirements into actionable product requirements and acceptance criteria for engineering teams.
* Collaborate with UX Design to ensure workflows are intuitive, compliant, and scalable for sophisticated institutional users.
* Partner with Product Marketing and Sales Enablement on go\-to\-market messaging, client education, and adoption strategies.
* Set realistic launch goals, monitor outcomes, iterate quickly, and continuously refine based on client and market feedback.
**Operational Ownership**
* Serve as a subject matter expert for FPS and GIPS, supporting client conversations, escalations, and strategic engagements.
* Monitor post\-launch product health, including support escalations, usability issues, and operational efficiency.
* Identify opportunities to reduce complexity, improve client experience, and lower long\-term support costs through better product design.
 As part of this role, you will also monitor the ongoing performance of products post\-launch, ensuring they continue to meet client needs. This includes addressing support escalations, troubleshooting, and identifying opportunities to improve usability and reduce support costs.
**Qualifications**
 We’re looking for a driven individual with the skills, experience, and mindset to lead FactSet’s Performance Solutions to the next level.
**Key Qualifications Include**
* Bachelor’s degree in STEM, finance, economics, or a related field, or equivalent professional experience.
* 7–10 years of relevant experience, ideally in product management, performance solutions, or a related field.
* A product\-first mindset, with a strong focus on understanding client problems, defining clear goals, and experimenting to find the best solutions.
* Proven ability to lead and inspire cross\-functional teams, with the ability to influence stakeholders across engineering, design, and sales without direct authority.
* Strong decision\-making skills, including the ability to balance competing priorities and confidently say no to misaligned demands.
**COMPETENCIES**
* Insights: Demonstrates sharp analytical thinking and pragmatism in evaluating data and research. Regularly engages with users to gather insights and translate them into actionable product strategies.
* Strategy: Aligns product priorities with FactSet’s corporate and departmental goals, ensuring resources are focused on the most impactful initiatives. Actively communicates and promotes the strategy within the organization.
* Execution: Excels at managing multiple projects simultaneously, delivering high\-quality outcomes while maintaining a focus on efficiency and value.
* Leadership \&amp; Inclusion: An outstanding communicator who inspires trust and credibility. Acts as a subject matter expert and fosters collaboration across diverse teams.
**WHY JOIN US?**
 This role is a unique opportunity to make a lasting impact at FactSet, driving the evolution of a critical product suite that serves some of the most sophisticated financial professionals in the world. You’ll be at the forefront of product innovation, working closely with talented colleagues and clients to deliver solutions that address the real\-world challenges of performance management and attribution.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California Colorado and Canada is $120,000 \- $150,000**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7">
      <c r="A37" t="inlineStr">
        <is>
          <t>li-4356832204</t>
        </is>
      </c>
      <c r="B37" t="inlineStr">
        <is>
          <t>Senior Product Manager – Performance Solutions</t>
        </is>
      </c>
      <c r="C37" t="inlineStr">
        <is>
          <t>FactSet</t>
        </is>
      </c>
      <c r="D37" t="inlineStr">
        <is>
          <t>linkedin</t>
        </is>
      </c>
      <c r="E37" t="inlineStr"/>
      <c r="F37" t="inlineStr"/>
      <c r="G37" t="inlineStr">
        <is>
          <t>Colorado, United States</t>
        </is>
      </c>
      <c r="H37" t="inlineStr"/>
      <c r="I37"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Institutional Buyside business unit at FactSet is dedicated to delivering innovative tools for portfolio management, quantitative research, risk analysis, performance \&amp; attribution, and execution management. We serve the world’s largest asset managers, asset owners, and insurance companies, helping them navigate the complexities of the investment lifecycle with confidence.
 This role sits at the intersection of client workflows, regulatory and industry standards, and scalable technology. You will be responsible for ensuring FPS delivers a cohesive, competitive, and future\-ready performance platform that supports both core performance workflows and GIPS\-compliant reporting and governance.
 You will partner closely with Product, Engineering, Sales, Portfolio Services, Professional Services, and Support to define and execute a unified FPS roadmap that treats GIPS not as a standalone product, but as a first\-class, integrated capability within the broader performance ecosystem.
**Responsibilities**
 As the Senior Product Manager – Performance Solutions, you will oversee the full lifecycle of FactSet’s performance product suite, from discovery and strategy to execution and launch. This involves working across Product, Sales, Managed Services, Professional Services, and Support teams to prioritize enhancements and ensure we consistently meet and exceed client expectations.
**Your Primary Responsibilities Include**
**Product Insights**
* Develop deep expertise in institutional performance workflows, including performance calculation, attribution, reporting, and GIPS compliance.
* Understand end\-market dynamics, regulatory drivers, client operating models, and competitive offerings across both performance and GIPS solutions.
* Proactively validate market opportunities through client engagement, data analysis, and feedback to ensure solutions are valuable, viable, usable, and scalable.
* Define and track success metrics including product adoption, engagement, retention, ASV, and support cost efficiency.
**Product Strategy**
* Contribute to the product vision and roadmap for FPS, inclusive of GIPS capabilities, in alignment with FactSet’s broader Performance and Analytics strategies.
* Partner with Senior Principal and Principal Product leadership to ensure FPS and GIPS priorities are aligned with firm\-type strategies and long\-term platform direction.
* Define how GIPS capabilities integrate across FPS components such as calculation, data management, reporting, and governance workflows.
* Act as a product evangelist, clearly communicating strategy, trade\-offs, and priorities across stakeholders.
* Partner with Sales and Marketing on market validation, positioning, and growth opportunities related to FPS and GIPS.
**Product Execution**
* Lead cross\-functional teams to deliver on product vision, goals, and roadmap commitments.
* Plan releases, prioritize initiatives, and clearly define scope, user needs, and success criteria.
* Translate complex performance and GIPS requirements into actionable product requirements and acceptance criteria for engineering teams.
* Collaborate with UX Design to ensure workflows are intuitive, compliant, and scalable for sophisticated institutional users.
* Partner with Product Marketing and Sales Enablement on go\-to\-market messaging, client education, and adoption strategies.
* Set realistic launch goals, monitor outcomes, iterate quickly, and continuously refine based on client and market feedback.
**Operational Ownership**
* Serve as a subject matter expert for FPS and GIPS, supporting client conversations, escalations, and strategic engagements.
* Monitor post\-launch product health, including support escalations, usability issues, and operational efficiency.
* Identify opportunities to reduce complexity, improve client experience, and lower long\-term support costs through better product design.
 As part of this role, you will also monitor the ongoing performance of products post\-launch, ensuring they continue to meet client needs. This includes addressing support escalations, troubleshooting, and identifying opportunities to improve usability and reduce support costs.
**Qualifications**
 We’re looking for a driven individual with the skills, experience, and mindset to lead FactSet’s Performance Solutions to the next level.
**Key Qualifications Include**
* Bachelor’s degree in STEM, finance, economics, or a related field, or equivalent professional experience.
* 7–10 years of relevant experience, ideally in product management, performance solutions, or a related field.
* A product\-first mindset, with a strong focus on understanding client problems, defining clear goals, and experimenting to find the best solutions.
* Proven ability to lead and inspire cross\-functional teams, with the ability to influence stakeholders across engineering, design, and sales without direct authority.
* Strong decision\-making skills, including the ability to balance competing priorities and confidently say no to misaligned demands.
**COMPETENCIES**
* Insights: Demonstrates sharp analytical thinking and pragmatism in evaluating data and research. Regularly engages with users to gather insights and translate them into actionable product strategies.
* Strategy: Aligns product priorities with FactSet’s corporate and departmental goals, ensuring resources are focused on the most impactful initiatives. Actively communicates and promotes the strategy within the organization.
* Execution: Excels at managing multiple projects simultaneously, delivering high\-quality outcomes while maintaining a focus on efficiency and value.
* Leadership \&amp; Inclusion: An outstanding communicator who inspires trust and credibility. Acts as a subject matter expert and fosters collaboration across diverse teams.
**WHY JOIN US?**
 This role is a unique opportunity to make a lasting impact at FactSet, driving the evolution of a critical product suite that serves some of the most sophisticated financial professionals in the world. You’ll be at the forefront of product innovation, working closely with talented colleagues and clients to deliver solutions that address the real\-world challenges of performance management and attribution.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California Colorado and Canada is $120,000 \- $150,000**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8">
      <c r="A38" t="inlineStr">
        <is>
          <t>li-4356772385</t>
        </is>
      </c>
      <c r="B38" t="inlineStr">
        <is>
          <t>Senior Product Manager – Performance Solutions</t>
        </is>
      </c>
      <c r="C38" t="inlineStr">
        <is>
          <t>FactSet</t>
        </is>
      </c>
      <c r="D38" t="inlineStr">
        <is>
          <t>linkedin</t>
        </is>
      </c>
      <c r="E38" t="inlineStr"/>
      <c r="F38" t="inlineStr"/>
      <c r="G38" t="inlineStr">
        <is>
          <t>Los Angeles, CA</t>
        </is>
      </c>
      <c r="H38" t="inlineStr"/>
      <c r="I38"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Institutional Buyside business unit at FactSet is dedicated to delivering innovative tools for portfolio management, quantitative research, risk analysis, performance \&amp; attribution, and execution management. We serve the world’s largest asset managers, asset owners, and insurance companies, helping them navigate the complexities of the investment lifecycle with confidence.
 This role sits at the intersection of client workflows, regulatory and industry standards, and scalable technology. You will be responsible for ensuring FPS delivers a cohesive, competitive, and future\-ready performance platform that supports both core performance workflows and GIPS\-compliant reporting and governance.
 You will partner closely with Product, Engineering, Sales, Portfolio Services, Professional Services, and Support to define and execute a unified FPS roadmap that treats GIPS not as a standalone product, but as a first\-class, integrated capability within the broader performance ecosystem.
**Responsibilities**
 As the Senior Product Manager – Performance Solutions, you will oversee the full lifecycle of FactSet’s performance product suite, from discovery and strategy to execution and launch. This involves working across Product, Sales, Managed Services, Professional Services, and Support teams to prioritize enhancements and ensure we consistently meet and exceed client expectations.
**Your Primary Responsibilities Include**
**Product Insights**
* Develop deep expertise in institutional performance workflows, including performance calculation, attribution, reporting, and GIPS compliance.
* Understand end\-market dynamics, regulatory drivers, client operating models, and competitive offerings across both performance and GIPS solutions.
* Proactively validate market opportunities through client engagement, data analysis, and feedback to ensure solutions are valuable, viable, usable, and scalable.
* Define and track success metrics including product adoption, engagement, retention, ASV, and support cost efficiency.
**Product Strategy**
* Contribute to the product vision and roadmap for FPS, inclusive of GIPS capabilities, in alignment with FactSet’s broader Performance and Analytics strategies.
* Partner with Senior Principal and Principal Product leadership to ensure FPS and GIPS priorities are aligned with firm\-type strategies and long\-term platform direction.
* Define how GIPS capabilities integrate across FPS components such as calculation, data management, reporting, and governance workflows.
* Act as a product evangelist, clearly communicating strategy, trade\-offs, and priorities across stakeholders.
* Partner with Sales and Marketing on market validation, positioning, and growth opportunities related to FPS and GIPS.
**Product Execution**
* Lead cross\-functional teams to deliver on product vision, goals, and roadmap commitments.
* Plan releases, prioritize initiatives, and clearly define scope, user needs, and success criteria.
* Translate complex performance and GIPS requirements into actionable product requirements and acceptance criteria for engineering teams.
* Collaborate with UX Design to ensure workflows are intuitive, compliant, and scalable for sophisticated institutional users.
* Partner with Product Marketing and Sales Enablement on go\-to\-market messaging, client education, and adoption strategies.
* Set realistic launch goals, monitor outcomes, iterate quickly, and continuously refine based on client and market feedback.
**Operational Ownership**
* Serve as a subject matter expert for FPS and GIPS, supporting client conversations, escalations, and strategic engagements.
* Monitor post\-launch product health, including support escalations, usability issues, and operational efficiency.
* Identify opportunities to reduce complexity, improve client experience, and lower long\-term support costs through better product design.
 As part of this role, you will also monitor the ongoing performance of products post\-launch, ensuring they continue to meet client needs. This includes addressing support escalations, troubleshooting, and identifying opportunities to improve usability and reduce support costs.
**Qualifications**
 We’re looking for a driven individual with the skills, experience, and mindset to lead FactSet’s Performance Solutions to the next level.
**Key Qualifications Include**
* Bachelor’s degree in STEM, finance, economics, or a related field, or equivalent professional experience.
* 7–10 years of relevant experience, ideally in product management, performance solutions, or a related field.
* A product\-first mindset, with a strong focus on understanding client problems, defining clear goals, and experimenting to find the best solutions.
* Proven ability to lead and inspire cross\-functional teams, with the ability to influence stakeholders across engineering, design, and sales without direct authority.
* Strong decision\-making skills, including the ability to balance competing priorities and confidently say no to misaligned demands.
**COMPETENCIES**
* Insights: Demonstrates sharp analytical thinking and pragmatism in evaluating data and research. Regularly engages with users to gather insights and translate them into actionable product strategies.
* Strategy: Aligns product priorities with FactSet’s corporate and departmental goals, ensuring resources are focused on the most impactful initiatives. Actively communicates and promotes the strategy within the organization.
* Execution: Excels at managing multiple projects simultaneously, delivering high\-quality outcomes while maintaining a focus on efficiency and value.
* Leadership \&amp; Inclusion: An outstanding communicator who inspires trust and credibility. Acts as a subject matter expert and fosters collaboration across diverse teams.
**WHY JOIN US?**
 This role is a unique opportunity to make a lasting impact at FactSet, driving the evolution of a critical product suite that serves some of the most sophisticated financial professionals in the world. You’ll be at the forefront of product innovation, working closely with talented colleagues and clients to deliver solutions that address the real\-world challenges of performance management and attribution.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California Colorado and Canada is $120,000 \- $150,000**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39">
      <c r="A39" t="inlineStr">
        <is>
          <t>li-4356852254</t>
        </is>
      </c>
      <c r="B39" t="inlineStr">
        <is>
          <t>Senior Product Manager – Performance Solutions</t>
        </is>
      </c>
      <c r="C39" t="inlineStr">
        <is>
          <t>FactSet</t>
        </is>
      </c>
      <c r="D39" t="inlineStr">
        <is>
          <t>linkedin</t>
        </is>
      </c>
      <c r="E39" t="inlineStr"/>
      <c r="F39" t="inlineStr"/>
      <c r="G39" t="inlineStr">
        <is>
          <t>New York, NY</t>
        </is>
      </c>
      <c r="H39" t="inlineStr"/>
      <c r="I39"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Institutional Buyside business unit at FactSet is dedicated to delivering innovative tools for portfolio management, quantitative research, risk analysis, performance \&amp; attribution, and execution management. We serve the world’s largest asset managers, asset owners, and insurance companies, helping them navigate the complexities of the investment lifecycle with confidence.
 This role sits at the intersection of client workflows, regulatory and industry standards, and scalable technology. You will be responsible for ensuring FPS delivers a cohesive, competitive, and future\-ready performance platform that supports both core performance workflows and GIPS\-compliant reporting and governance.
 You will partner closely with Product, Engineering, Sales, Portfolio Services, Professional Services, and Support to define and execute a unified FPS roadmap that treats GIPS not as a standalone product, but as a first\-class, integrated capability within the broader performance ecosystem.
**Responsibilities**
 As the Senior Product Manager – Performance Solutions, you will oversee the full lifecycle of FactSet’s performance product suite, from discovery and strategy to execution and launch. This involves working across Product, Sales, Managed Services, Professional Services, and Support teams to prioritize enhancements and ensure we consistently meet and exceed client expectations.
**Your Primary Responsibilities Include**
**Product Insights**
* Develop deep expertise in institutional performance workflows, including performance calculation, attribution, reporting, and GIPS compliance.
* Understand end\-market dynamics, regulatory drivers, client operating models, and competitive offerings across both performance and GIPS solutions.
* Proactively validate market opportunities through client engagement, data analysis, and feedback to ensure solutions are valuable, viable, usable, and scalable.
* Define and track success metrics including product adoption, engagement, retention, ASV, and support cost efficiency.
**Product Strategy**
* Contribute to the product vision and roadmap for FPS, inclusive of GIPS capabilities, in alignment with FactSet’s broader Performance and Analytics strategies.
* Partner with Senior Principal and Principal Product leadership to ensure FPS and GIPS priorities are aligned with firm\-type strategies and long\-term platform direction.
* Define how GIPS capabilities integrate across FPS components such as calculation, data management, reporting, and governance workflows.
* Act as a product evangelist, clearly communicating strategy, trade\-offs, and priorities across stakeholders.
* Partner with Sales and Marketing on market validation, positioning, and growth opportunities related to FPS and GIPS.
**Product Execution**
* Lead cross\-functional teams to deliver on product vision, goals, and roadmap commitments.
* Plan releases, prioritize initiatives, and clearly define scope, user needs, and success criteria.
* Translate complex performance and GIPS requirements into actionable product requirements and acceptance criteria for engineering teams.
* Collaborate with UX Design to ensure workflows are intuitive, compliant, and scalable for sophisticated institutional users.
* Partner with Product Marketing and Sales Enablement on go\-to\-market messaging, client education, and adoption strategies.
* Set realistic launch goals, monitor outcomes, iterate quickly, and continuously refine based on client and market feedback.
**Operational Ownership**
* Serve as a subject matter expert for FPS and GIPS, supporting client conversations, escalations, and strategic engagements.
* Monitor post\-launch product health, including support escalations, usability issues, and operational efficiency.
* Identify opportunities to reduce complexity, improve client experience, and lower long\-term support costs through better product design.
 As part of this role, you will also monitor the ongoing performance of products post\-launch, ensuring they continue to meet client needs. This includes addressing support escalations, troubleshooting, and identifying opportunities to improve usability and reduce support costs.
**Qualifications**
 We’re looking for a driven individual with the skills, experience, and mindset to lead FactSet’s Performance Solutions to the next level.
**Key Qualifications Include**
* Bachelor’s degree in STEM, finance, economics, or a related field, or equivalent professional experience.
* 7–10 years of relevant experience, ideally in product management, performance solutions, or a related field.
* A product\-first mindset, with a strong focus on understanding client problems, defining clear goals, and experimenting to find the best solutions.
* Proven ability to lead and inspire cross\-functional teams, with the ability to influence stakeholders across engineering, design, and sales without direct authority.
* Strong decision\-making skills, including the ability to balance competing priorities and confidently say no to misaligned demands.
**COMPETENCIES**
* Insights: Demonstrates sharp analytical thinking and pragmatism in evaluating data and research. Regularly engages with users to gather insights and translate them into actionable product strategies.
* Strategy: Aligns product priorities with FactSet’s corporate and departmental goals, ensuring resources are focused on the most impactful initiatives. Actively communicates and promotes the strategy within the organization.
* Execution: Excels at managing multiple projects simultaneously, delivering high\-quality outcomes while maintaining a focus on efficiency and value.
* Leadership \&amp; Inclusion: An outstanding communicator who inspires trust and credibility. Acts as a subject matter expert and fosters collaboration across diverse teams.
**WHY JOIN US?**
 This role is a unique opportunity to make a lasting impact at FactSet, driving the evolution of a critical product suite that serves some of the most sophisticated financial professionals in the world. You’ll be at the forefront of product innovation, working closely with talented colleagues and clients to deliver solutions that address the real\-world challenges of performance management and attribution.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California Colorado and Canada is $120,000 \- $150,000**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40">
      <c r="A40" t="inlineStr">
        <is>
          <t>li-4376319418</t>
        </is>
      </c>
      <c r="B40" t="inlineStr">
        <is>
          <t>Commercial Product Manager</t>
        </is>
      </c>
      <c r="C40" t="inlineStr">
        <is>
          <t>Teknor Apex Company</t>
        </is>
      </c>
      <c r="D40" t="inlineStr">
        <is>
          <t>linkedin</t>
        </is>
      </c>
      <c r="E40" t="inlineStr"/>
      <c r="F40" t="inlineStr"/>
      <c r="G40" t="inlineStr">
        <is>
          <t>Pawtucket, RI</t>
        </is>
      </c>
      <c r="H40" t="inlineStr"/>
      <c r="I40" t="inlineStr">
        <is>
          <t>When Alfred Fain founded a small Rhode Island tire store in 1924, at the time no one could have predicted how Teknor Apex would become an international custom compounder sought out by companies around the world. After a nearly hundred\-year journey that’s carried us through acquisitions and expansion, we now have nine U.S. locations, as well as operations in Belgium, Singapore, Germany, and China.
 Throughout this global expansion Teknor has remained a privately held company, and today Fain’s grandson sits at the helm, maintaining the family’s tradition of fostering deep employee and customer relationships. These relationships are what allow us—together—to deliver customized compound solutions and help our customer’s create better products.
 “Manufacturing is a team sport, and we work together to achieve our goals.” \~Jon Fain
**Overview**
 Teknor Apex is a leading global provider of custom polymer compounding solutions, driven by a passion for innovation and a deep understanding of materials science. With operations in the U.S., Belgium, Germany, Singapore, and China, we deliver a wide variety of thermoplastic compounding solutions (vinyl, engineered materials, TPE, TPV and sustainable resins) to customers worldwide. Guided by our core values of innovation, partnership, sustainability, and integrity, we foster a collaborative and inclusive culture that empowers our people to shape the future of the polymer industry.
 We are seeking an experienced
 **Product Manager** 
 with a background in polymers, plastics, or compounding to drive the growth and profitability of our product portfolio. This role is responsible for developing and executing product line strategies that support Teknor Apex’s overall business objectives, with a strong emphasis on polymer materials innovation, product lifecycle management, and market development.
 As a key member of the Commercial organization, the Product Manager will collaborate closely with R\&amp;D, sales, operations, and marketing teams to deliver differentiated polymer solutions that meet customer needs and support long\-term business success.
 Strong preference for candidate to be open to relocating to our corporate offices in Pawtucket, RI. Relocation assistance is available.
 If remote\- must be able to travel up to 60\-70%.
**Key Responsibilities**
* Product Strategy: Develop and execute product line strategies aligned with business objectives. This includes analyzing customer needs, resin trends, market trends, and the competitive landscape to identify opportunities within the polymer and compounding industry for product growth, innovation, and differentiation. The Product Manager supports the development of product roadmaps and contributes to go\-to\-market plans that ensure alignment with overall business goals.
* Product Portfolio Development: Translate customer insights and market requirements into product attributes and specifications. Partner closely with technical teams on product development, prototyping, and commercialization. Coordinate product launch activities, ensuring that positioning, marketing tools, and sales enablement resources are in place to drive adoption and success.
* Portfolio Management: Manage assigned polymer product lines across the lifecycle, from introduction and growth through maturity and rationalization. Evaluate portfolio performance by resin family and application segment to optimize profitability, growth, and value proposition to ensure alignment with business objectives. Provide support for new product introductions and product extensions within assigned markets, ensuring they contribute to portfolio health and profitability.
* Product Integration \&amp; Commercialization: Ensure that products are effectively integrated into end\-user applications. Collaborate with operations and technical service teams on scale\-up and product ramping to ensure smooth commercialization. Support application development for key markets such as automotive, consumer products, construction, and wire \&amp; cable. Monitor product pricing and margins, support value pricing strategies, and identify opportunities for optimization within the portfolio.
* Maximize Product Profitability: Track the financial performance of product lines and monitor profitability drivers. Collaborate with commercial teams to develop and support pricing strategies. Identify opportunities to expand product lines into new markets and applications, strengthening both revenue and margin performance.
* Product Roadmap: Build market insight for assigned product lines by understanding the competitive landscape and monitoring polymer market trends, resin innovations, and customer application requirements \&amp; industry trends. Support the definition and execution of go\-to\-market strategies, working closely with marketing to develop product collateral, sales tools, and training materials that drive effective product positioning and market penetration.
* Cross\-Functional Collaboration: Work collaboratively with sales, marketing, technical, and supply chain teams to ensure effective execution of product strategies. Provide training and resources to commercial teams, while gathering and communicating voice\-of\-customer insights throughout the organization to support data\-driven decision making.
**Profile**
* Proven track record of success in product management within the polymer, plastics, or compounding industry, with experience developing and executing product strategies that drive measurable business results.
* Skilled in managing and rationalizing product portfolios across multiple businesses, markets, and customer segments.
* Strong understanding of polymer materials, resin systems, and compounding processes.
* Strong business acumen with the ability to balance technical and commercial considerations. Adept at market planning, business case development, and product positioning.
* Core capabilities include product and portfolio analysis, profitability assessment, lifecycle management, stage\-gate process execution, market and segment strategy development, value proposition validation, voice of customer insights, and go\-to\-market planning.
* Demonstrated ability to influence and collaborate across levels of the organization; able to communicate effectively, manage conflicts, and align cross\-functional teams toward common goals.
* Highly organized with the ability to prioritize, multitask, and lead complex projects within defined timelines.
* Strong interpersonal and team\-building skills with experience working in a global, matrixed environment.
* Experience in B2B marketing, particularly within specialty materials, plastics, or chemicals industries, is preferred.
**Requirements**
* At least 5\-8 years of experience in product management function in multinational polymer, resin, or plastic compounding organization.
* Experience in speciality plastics, chemicals or materials industries preferred.
* Strong analytical, financial, and business acumen.
* Experience supporting customers in automotive, industrial, medical or consumer goods markets preferred.
* Demonstrated ability to manage product lifecycle and deliver profitable growth.
* Ability to travel up to 20–25% domestically and internationally.
* Cross regional and cross\-cultural working experience.
* A degree in engineering or chemistry, MBA desirable.
 Strong preference for candidate to be open to relocating to our corporate offices in Pawtucket, RI. Relocation assistance is available.
 If remote\- must be able to travel up to 60\-70%.
*This description is a summary of principal responsibilities and is not intended to include all duties that may be assigned.*
*Teknor Apex is an equal opportunity employer and does not discriminate against any protected status under state or federal laws. Must be 18 years of age or older to work at Teknor Apex.*</t>
        </is>
      </c>
    </row>
    <row r="41">
      <c r="A41" t="inlineStr">
        <is>
          <t>li-4356792391</t>
        </is>
      </c>
      <c r="B41" t="inlineStr">
        <is>
          <t>Senior Product Manager – Performance Solutions</t>
        </is>
      </c>
      <c r="C41" t="inlineStr">
        <is>
          <t>FactSet</t>
        </is>
      </c>
      <c r="D41" t="inlineStr">
        <is>
          <t>linkedin</t>
        </is>
      </c>
      <c r="E41" t="inlineStr"/>
      <c r="F41" t="inlineStr"/>
      <c r="G41" t="inlineStr">
        <is>
          <t>Connecticut, United States</t>
        </is>
      </c>
      <c r="H41" t="inlineStr"/>
      <c r="I4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Institutional Buyside business unit at FactSet is dedicated to delivering innovative tools for portfolio management, quantitative research, risk analysis, performance \&amp; attribution, and execution management. We serve the world’s largest asset managers, asset owners, and insurance companies, helping them navigate the complexities of the investment lifecycle with confidence.
 This role sits at the intersection of client workflows, regulatory and industry standards, and scalable technology. You will be responsible for ensuring FPS delivers a cohesive, competitive, and future\-ready performance platform that supports both core performance workflows and GIPS\-compliant reporting and governance.
 You will partner closely with Product, Engineering, Sales, Portfolio Services, Professional Services, and Support to define and execute a unified FPS roadmap that treats GIPS not as a standalone product, but as a first\-class, integrated capability within the broader performance ecosystem.
**Responsibilities**
 As the Senior Product Manager – Performance Solutions, you will oversee the full lifecycle of FactSet’s performance product suite, from discovery and strategy to execution and launch. This involves working across Product, Sales, Managed Services, Professional Services, and Support teams to prioritize enhancements and ensure we consistently meet and exceed client expectations.
**Your Primary Responsibilities Include**
**Product Insights**
* Develop deep expertise in institutional performance workflows, including performance calculation, attribution, reporting, and GIPS compliance.
* Understand end\-market dynamics, regulatory drivers, client operating models, and competitive offerings across both performance and GIPS solutions.
* Proactively validate market opportunities through client engagement, data analysis, and feedback to ensure solutions are valuable, viable, usable, and scalable.
* Define and track success metrics including product adoption, engagement, retention, ASV, and support cost efficiency.
**Product Strategy**
* Contribute to the product vision and roadmap for FPS, inclusive of GIPS capabilities, in alignment with FactSet’s broader Performance and Analytics strategies.
* Partner with Senior Principal and Principal Product leadership to ensure FPS and GIPS priorities are aligned with firm\-type strategies and long\-term platform direction.
* Define how GIPS capabilities integrate across FPS components such as calculation, data management, reporting, and governance workflows.
* Act as a product evangelist, clearly communicating strategy, trade\-offs, and priorities across stakeholders.
* Partner with Sales and Marketing on market validation, positioning, and growth opportunities related to FPS and GIPS.
**Product Execution**
* Lead cross\-functional teams to deliver on product vision, goals, and roadmap commitments.
* Plan releases, prioritize initiatives, and clearly define scope, user needs, and success criteria.
* Translate complex performance and GIPS requirements into actionable product requirements and acceptance criteria for engineering teams.
* Collaborate with UX Design to ensure workflows are intuitive, compliant, and scalable for sophisticated institutional users.
* Partner with Product Marketing and Sales Enablement on go\-to\-market messaging, client education, and adoption strategies.
* Set realistic launch goals, monitor outcomes, iterate quickly, and continuously refine based on client and market feedback.
**Operational Ownership**
* Serve as a subject matter expert for FPS and GIPS, supporting client conversations, escalations, and strategic engagements.
* Monitor post\-launch product health, including support escalations, usability issues, and operational efficiency.
* Identify opportunities to reduce complexity, improve client experience, and lower long\-term support costs through better product design.
 As part of this role, you will also monitor the ongoing performance of products post\-launch, ensuring they continue to meet client needs. This includes addressing support escalations, troubleshooting, and identifying opportunities to improve usability and reduce support costs.
**Qualifications**
 We’re looking for a driven individual with the skills, experience, and mindset to lead FactSet’s Performance Solutions to the next level.
**Key Qualifications Include**
* Bachelor’s degree in STEM, finance, economics, or a related field, or equivalent professional experience.
* 7–10 years of relevant experience, ideally in product management, performance solutions, or a related field.
* A product\-first mindset, with a strong focus on understanding client problems, defining clear goals, and experimenting to find the best solutions.
* Proven ability to lead and inspire cross\-functional teams, with the ability to influence stakeholders across engineering, design, and sales without direct authority.
* Strong decision\-making skills, including the ability to balance competing priorities and confidently say no to misaligned demands.
**COMPETENCIES**
* Insights: Demonstrates sharp analytical thinking and pragmatism in evaluating data and research. Regularly engages with users to gather insights and translate them into actionable product strategies.
* Strategy: Aligns product priorities with FactSet’s corporate and departmental goals, ensuring resources are focused on the most impactful initiatives. Actively communicates and promotes the strategy within the organization.
* Execution: Excels at managing multiple projects simultaneously, delivering high\-quality outcomes while maintaining a focus on efficiency and value.
* Leadership \&amp; Inclusion: An outstanding communicator who inspires trust and credibility. Acts as a subject matter expert and fosters collaboration across diverse teams.
**WHY JOIN US?**
 This role is a unique opportunity to make a lasting impact at FactSet, driving the evolution of a critical product suite that serves some of the most sophisticated financial professionals in the world. You’ll be at the forefront of product innovation, working closely with talented colleagues and clients to deliver solutions that address the real\-world challenges of performance management and attribution.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California Colorado and Canada is $120,000 \- $150,000**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42">
      <c r="A42" t="inlineStr">
        <is>
          <t>li-4374952089</t>
        </is>
      </c>
      <c r="B42" t="inlineStr">
        <is>
          <t>Program Manager</t>
        </is>
      </c>
      <c r="C42" t="inlineStr">
        <is>
          <t>RemoteHunter</t>
        </is>
      </c>
      <c r="D42" t="inlineStr">
        <is>
          <t>linkedin</t>
        </is>
      </c>
      <c r="E42" t="inlineStr"/>
      <c r="F42" t="inlineStr"/>
      <c r="G42" t="inlineStr"/>
      <c r="H42" t="inlineStr"/>
      <c r="I42" t="inlineStr">
        <is>
          <t>About the Opportunity:
 An experienced Program Manager is sought to lead new product initiatives from development through launch. The role connects engineering, product, and go\-to\-market teams to ensure critical programs deliver impact on time and with quality.
 Responsibilities:
 • Drive programs from kickoff through launch, ensuring delivery against timelines and quality standards
 • Establish and maintain program plans including scope, milestones, resources, and critical path activities
 • Partner with teams to assess capacity, manage trade\-offs, and sequence work for business impact and velocity
 • Identify, document, and manage cross\-team dependencies to prevent blockers and ensure seamless handoffs
 • Ensure teams have tools, information, and resources; escalate blockers and secure decisions as needed
 • Define, track, and report on program KPIs and health metrics; investigate variances and deploy countermeasures
 • Build and maintain dashboards and status reports for visibility into progress, risks, and blockers
 • Conduct risk assessments, maintain risk registers, and develop mitigation and contingency plans • Drive post\-launch retrospectives and continuous improvement initiatives, capturing lessons learned
 Requirements:
 • 5\+ years of program or project management experience in a corporate environment
 • Proven success managing programs from development through adoption
 • Experience with agile methodologies and software development lifecycle
 • Expertise in dependency mapping and managing risk registers
 • Track record of early identification of off\-track programs and implementing countermeasures
 • Strong analytical skills with ability to define, track, and act on KPIs
 • Excellent cross\-functional collaboration and stakeholder management skills
 • Proficiency with program management tools such as Jira, Asana, or similar platforms
 • Demonstrated impact using a structured business system methodology
 Nice to Have:
 • Technical background or degree in a related field
 • PMP, PgMP, or similar program management certification
 About the Organization:
 The organization is a global industrial technology innovator driving transformation across environmental, health and safety compliance, industrial monitoring, product design, and healthcare safety solutions. The team leverages software\-powered workflow solutions, data intelligence, and AI automation to address challenges globally, with a focus on workplace safety and sustainability. The organization embraces a dynamic, inclusive culture promoting learning, growth, and continuous improvement through a proven business system.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3">
      <c r="A43" t="inlineStr">
        <is>
          <t>li-4376312354</t>
        </is>
      </c>
      <c r="B43" t="inlineStr">
        <is>
          <t>Operations Program Manager</t>
        </is>
      </c>
      <c r="C43" t="inlineStr">
        <is>
          <t>Swooped</t>
        </is>
      </c>
      <c r="D43" t="inlineStr">
        <is>
          <t>linkedin</t>
        </is>
      </c>
      <c r="E43" t="inlineStr"/>
      <c r="F43" t="inlineStr"/>
      <c r="G43" t="inlineStr"/>
      <c r="H43" t="inlineStr"/>
      <c r="I43" t="inlineStr">
        <is>
          <t>**About Our Client** 
 Our client is growing its team of passionate creatives and builders on a mission to make design accessible to all. The platform helps teams bring ideas to life—whether you're brainstorming, creating a prototype, translating designs into code, or iterating with AI. From idea to product, the organization empowers teams to streamline workflows, move faster, and work together in real time from anywhere in the world. If you're excited to shape the future of design and collaboration, join the team!
 Program management goes beyond tracking timelines—it’s about enabling scale, driving clarity, and delivering meaningful outcomes in a fast\-moving, product\-led organization. The company is looking for a strong individual contributor to lead complex, cross\-functional programs that help Product Support scale while maintaining a high\-quality customer and specialist experience.
**About The Role** 
 As an
 **Operations Program Manager** 
 on Product Support, you’ll own high\-impact initiatives that sit at the intersection of support operations, tooling, and process improvement. You’ll work closely with partners across Product Support, Engineering, Product, Analytics, Legal, and Security to turn ambiguous problems into structured plans and shipped outcomes. This role has real impact both internally—by enabling specialists to do their best work—and externally—by improving how customers experience support as the organization grows.
 This is a full time role that can be held from one of our US hubs or remotely in the United States.
**Key Responsibilities** 
* Own and drive complex, cross\-functional programs that improve the scalability, efficiency, and quality of Product Support
* Lead initiatives end\-to\-end, from problem definition and planning through execution, rollout, and iteration
* Partner closely with Engineering, Product, Data, and Support teams to deliver tooling, workflow, and process improvements
* Bring structure to ambiguous problem spaces by defining scope, success metrics, milestones, risks, and operating rhythms
* Support change management and adoption for new tools and processes, ensuring teams are set up for success through transitions
* Identify and surface insights from support data, customer feedback, and operational signals to inform prioritization and improvements
* Communicate progress, tradeoffs, and decisions clearly to stakeholders and leadership
**Required Qualifications** 
* Proven ability to lead complex programs as a Program Manager or similar role, with clear ownership from start to finish
* Experience working with Customer Support, Product Support, or Customer Operations teams
* Comfort partnering with technical teams and operating across both operational and technical problem spaces
* Strong communication and influencing skills, with the ability to drive alignment without direct authority
* A high\-ownership mindset, strong attention to detail, and comfort navigating ambiguity in fast\-paced environments
**Preferred Qualifications** 
* Worked on support tooling, internal tools, or operational workflows
* Supported community, social, or forum\-based support channels
* Exposure to global or multi\-language support environments
* Partnered with workforce management, vendor operations, or analytics functions
**Compensation and Benefits** 
 If based in the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**Salary Range:** 
**$122,000—$178,000 USD** 
*Examples of accommodations include but are not limited to:* 
* Holding interviews in an accessible location
* Enabling closed captioning on video conferencing
* Ensuring all written communication be compatible with screen readers
* Changing the mode or format of interviews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44">
      <c r="A44" t="inlineStr">
        <is>
          <t>li-4376327241</t>
        </is>
      </c>
      <c r="B44" t="inlineStr">
        <is>
          <t>Program Manager</t>
        </is>
      </c>
      <c r="C44" t="inlineStr">
        <is>
          <t>Entryway NC</t>
        </is>
      </c>
      <c r="D44" t="inlineStr">
        <is>
          <t>linkedin</t>
        </is>
      </c>
      <c r="E44" t="inlineStr"/>
      <c r="F44" t="inlineStr"/>
      <c r="G44" t="inlineStr">
        <is>
          <t>Raleigh, NC</t>
        </is>
      </c>
      <c r="H44" t="inlineStr"/>
      <c r="I44" t="inlineStr">
        <is>
          <t>**COMPANY DESCRIPTION** 
 Entryway is a national 501(c)(3\) organization that transitions individuals and families out of homelessness and into economic self‑sufficiency. We partner with the $1\.3 trillion multifamily housing industry to create pathways to stable employment, housing, and long‑term opportunity for individuals experiencing situational homelessness.
 As a catalyst for change, Entryway brings together property management companies, employers, service providers, and community partners to break down traditional barriers and create a coordinated ecosystem of support. With more than 200 partner organizations nationwide, we work at the intersection of housing and employment to deliver a proven, industry‑powered model.
 Unlike traditional nonprofits that must choose between prioritizing housing or employment, Entryway delivers both simultaneously. Through our network of property management partners, participants gain access to stable jobs with a living wage, benefits, and on‑site housing opportunities. Combined with career‑advancing training and individualized case management, this integrated approach creates the conditions for long‑term success.
 In North Carolina, the Program Manager plays a critical role in bringing this model to life — building relationships with local partners, supporting participants through every step of their journey, and ensuring the Entryway program operates with excellence, compassion, and measurable impact.
**PROGRAM MANAGER** 
 The Program Manager is responsible for overseeing the full lifecycle of Entryway NC’s program delivery from participant recruitment and training through placement, onboarding, and aftercare. This position is central to ensuring the success of individuals and to supporting the overall quality and outcomes of Entryway’s mission\-driven workforce and housing stabilization programs.
 This is a remote position based in the Triangle area of North Carolina. The Program Manager will work primarily from a home office and must be comfortable managing responsibilities independently, maintaining a professional and productive remote workspace, and traveling locally for meetings, events, and partner engagement as needed.
 The Program Manager ensures operational excellence, strong industry partnerships, and a high\-quality participant experience that leads to sustained employment and housing success. This role engages directly with participants and requires knowledge of case management services, focuses on program coordination, relationship management, training facilitation, and partner engagement.
 The Program Manager (or Director) must demonstrate strong organizational skills, professionalism, and compassion, along with a deep commitment to improving opportunities for individuals experiencing situational homelessness. This position reports directly to the Executive Director.
**KEY RESPONSIBILITIES** 
**Program Management \&amp; Delivery** 
* Oversee the daily operation of the Entryway NC program, including candidate screening, training coordination, participant support, and volunteer engagement.
* Manage the participant roster and oversee training enrollment, resume development, interview preparation, and coaching.
* Design, plan, and facilitate (or co\-facilitate) workshops, hands\-on training activities, hiring events, and partner engagement experiences that support strong program outcomes.
* Maintain a structured and positive participant experience, ensuring clear communication, timely support, and a motivating environment throughout the program cycle.
* Strengthen and maintain collaborative partnerships with industry employers, hiring managers, HR leaders, and recruiters to support a seamless recruitment\-to\-placement process.
* Coordinate participant hiring and onboarding processes, ensuring both participant and employer satisfaction and addressing any needs or barriers that arise.
* Provide ongoing aftercare support to placed participants through scheduled check\-ins, site visits, and proactive coaching to support job retention and long\-term stability.
**Partnerships, Outreach \&amp; Community Engagement** 
* Build and maintain productive relationships with referral sources, community partners, volunteers, training partners, and industry partners and stakeholders.
* Gather and develop participant success stories, testimonials, and qualitative data to support communications, development, and grant reporting needs.
* Support donor cultivation and stewardship activities through participation in events, facility tours, and relationship\-building opportunities.
* Represent Entryway NC at community events, meetings, and industry functions to strengthen visibility, partnerships, and recruitment pipelines.
**Data, Evaluation \&amp; Compliance** 
* Maintain accurate program data and participant records using client management systems, such as TraxSolutions and others.
* Ensure compliance with reporting, tracking, evaluation, and funder requirements.
* Monitor program outcomes, identify trends, and collaborate with leadership to recommend improvements or adjustments.
* Support market\-level goals and initiatives by contributing insights, performance data, and recommendations.
**Operational \&amp; Organizational Support** 
* Contribute to strategic planning conversations related to program growth, curriculum enhancements, and partner engagement.
* Collaborate with staff across markets and with national Entryway teams to share best practices and strengthen organizational consistency.
* Assist with marketing and social media content related to program events, participant milestones, and employer partnerships (as needed).
* Perform other duties as assigned by the Executive Director.
**QUALIFICATIONS** 
**Required** 
* Bachelor’s degree preferred; equivalent work experience considered.
* Demonstrated passion for Entryway’s mission of advancing economic mobility through employment, housing, and career development opportunities.
* Strong communication skills with the ability to engage effectively across diverse audiences (participants, employers, volunteers, and community partners).
* Excellent organizational and time\-management skills; ability to manage multiple priorities and deadlines.
* Strong problem\-solving skills and the ability to make sound, timely decisions in a fast\-paced environment.
* Professionalism, compassion, and the ability to motivate and support individuals experiencing housing instability.
* Ability to work occasional nights and weekends for events or program needs.
* Proficiency in Microsoft Office Suite and comfort with learning new software platforms.
**Preferred** 
* Experience supporting individuals who are working to overcome barriers such as housing insecurity or other obstacles to stability and opportunity.
* Prior experience in nonprofit programming, workforce development, training coordination, or volunteer management.
* Social media, design and/or content creation experience (Canva preferred).
* Familiarity with MailChimp or Classy (a bonus)
* Familiarity with Salesforce or other CRM platforms.
* Established connections with local employers, community partners, or industry associations.</t>
        </is>
      </c>
    </row>
    <row r="45">
      <c r="A45" t="inlineStr">
        <is>
          <t>li-4374938369</t>
        </is>
      </c>
      <c r="B45" t="inlineStr">
        <is>
          <t>Principal Technical Program Manager</t>
        </is>
      </c>
      <c r="C45" t="inlineStr">
        <is>
          <t>RemoteHunter</t>
        </is>
      </c>
      <c r="D45" t="inlineStr">
        <is>
          <t>linkedin</t>
        </is>
      </c>
      <c r="E45" t="inlineStr"/>
      <c r="F45" t="inlineStr"/>
      <c r="G45" t="inlineStr"/>
      <c r="H45" t="inlineStr"/>
      <c r="I45" t="inlineStr">
        <is>
          <t>About the Opportunity:
 The organization delivers affordable, connected, whole\-person virtual healthcare to employers 24/7 through app, website, or phone across all 50 states. The Principal Technical Program Manager plays a key role in advancing strategic priorities by leading complex, cross\-functional programs within a dedicated domain. This senior individual contributor role focuses on blending strategic portfolio management with deep program execution to prioritize, resource, and deliver work for maximum business impact.
 Responsibilities:
 • Drive execution of high\-visibility, cross\-functional initiatives in the Technology and Product organization.
 • Establish and manage a portfolio of initiatives aligned to company priorities and resource capacity.
 • Design and implement intake, prioritization, and governance mechanisms.
 • Partner with business and functional leaders for capacity assessment, workload balancing, and resource allocation.
 • Embed consistent program management frameworks, tools, and rituals within the domain.
 • Facilitate coordination and communication between the PMO and assigned department.
 • Guide teams in adopting program management best practices.
 • Track progress, manage risks, and communicate outcomes through structured reporting and storytelling.
 Requirements:
 • 8 to 10\+ years of program management experience with ownership of large, complex, or multi\-year initiatives.
 • Proven success in establishing or improving portfolio management processes including intake, prioritization, capacity planning, and governance.
 • Experience working in or alongside Technology functions within healthcare or similarly complex, regulated environments.
 • Ability to influence senior leaders and drive alignment across diverse stakeholders.
 • Solid change management and communication skills.
 • Strong analytical, organizational, and communication skills, able to distill complexity into clear actions and decisions.
 • Comfortable balancing strategic portfolio management with hands\-on delivery leadership.
 Benefits \&amp; Perks:
 • Comprehensive health, medical, dental, and vision coverage options.
 • Disability and life coverage.
 • Monthly medical waiver allowance for those waiving medical coverage.
 • Remote\-first work environment.
 • Flexible paid time off including Summer Fridays.
 • Employer match 401k plan.
 • Monthly phone stipend.
 • Access to virtual care solutions (Urgent Care, Mental Health, and Primary Care) starting from day one.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6">
      <c r="A46" t="inlineStr">
        <is>
          <t>li-4367662991</t>
        </is>
      </c>
      <c r="B46" t="inlineStr">
        <is>
          <t>Technical Program Manager, Learning Innovation - Education Services, Technical Program Manager, Learning Innovation - Education Services</t>
        </is>
      </c>
      <c r="C46" t="inlineStr">
        <is>
          <t>NVIDIA</t>
        </is>
      </c>
      <c r="D46" t="inlineStr">
        <is>
          <t>linkedin</t>
        </is>
      </c>
      <c r="E46" t="inlineStr"/>
      <c r="F46" t="inlineStr"/>
      <c r="G46" t="inlineStr">
        <is>
          <t>Santa Clara, CA</t>
        </is>
      </c>
      <c r="H46" t="inlineStr"/>
      <c r="I46" t="inlineStr">
        <is>
          <t>Want to build innovative solutions with groundbreaking tech? We are seeking a strategic operator to product and program manage the development of NVIDIA’s agentic, personalized, socratic learning solution.
 The ideal candidate will partner across teams to drive data ingestion, agent roadmap development, model evaluation, and ecosystem integration. They will work closely with Legal, SecOps, engineering, and external partners to ensure the solution is enterprise\-ready for external deployment. They will also collaborate with internal teams to deliver measurable learner impact at global scale and establish feedback mechanisms that advise retraining, optimization, and roadmap decisions. If you are passionate about building AI solutions, we want to hear from you!
**What You’ll Be Doing**
* Lead end\-to\-end program management for AI agents, from concept through deployment
* Own data preparation, ingestion pipelines, and readiness for model training and evaluation
* Define agent functionality roadmap in partnership with engineering and business leaders
* Design and operationalize structured feedback loops to support model evaluation, retraining, and agent optimization
* Integrate internally developed agents into the broader agentic ecosystem
* Drive cross\-functional alignment with Legal, SecOps, and partner teams to ensure scalability, security, and compliance
* Coordinate execution across training team to ensure agent effectiveness and learner impact
* Establish measurable success metrics for agent performance, adoption, and learning outcomes
* Communicate clearly with senior leaders on progress, tradeoffs, and decisions
**What We Need To See**
* BS/BA degree or equivalent experience
* 12\+ years of experience in technical program management, product operations, or platform delivery within a technology environment
* Experience leading AI/ML\-adjacent programs, data pipelines, or agent\-based systems
* Solid grasp of data workflows, model evaluation processes, and improvements guided by user responses
* Proven track record to lead complex, cross\-functional initiatives across engineering, legal, security, and business teams
* Excellent communication, stakeholder management, and execution skills
* Strong analytical and problem\-solving skills with a bias for action
**Ways To Stand Out From The Crowd**
* Experience scaling agentic AI solutions or agent\-based systems within training teams of large enterprises
* Hands\-on experience with model feedback loops, evaluation frameworks, or AI lifecycle management
* Strong understanding of enterprise security, compliance, and deployment readiness
* Track record of delivering AI solutions with measurable learner impact
 Your base salary will be determined based on your location, experience, and the pay of employees in similar positions. The base salary range is 200,000 USD \- 322,000 USD.
 You will also be eligible for equity and benefits.
 Applications for this job will be accepted at least until February 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JR2012201</t>
        </is>
      </c>
    </row>
    <row r="47">
      <c r="A47" t="inlineStr">
        <is>
          <t>li-4376306568</t>
        </is>
      </c>
      <c r="B47" t="inlineStr">
        <is>
          <t>Clinical AI Integration and Technical Readiness Product Manager (Remote)</t>
        </is>
      </c>
      <c r="C47" t="inlineStr">
        <is>
          <t>GovCIO</t>
        </is>
      </c>
      <c r="D47" t="inlineStr">
        <is>
          <t>linkedin</t>
        </is>
      </c>
      <c r="E47" t="inlineStr"/>
      <c r="F47" t="inlineStr"/>
      <c r="G47" t="inlineStr"/>
      <c r="H47" t="inlineStr"/>
      <c r="I47" t="inlineStr">
        <is>
          <t>**Overview**
 GovCIO is currently hiring for an AI Clinical Integration and AI Technical Readiness Product Manager to oversee the technical readiness, clinical integration validation, and clinical workflow alignment of AI\-enabled technologies deployed within VA clinical environments. This role ensures that AI solutions function reliably within CPRS, VistA, and related systems and are technically prepared for training, pilot, and enterprise use.
 This position focuses on technical product ownership, integration, and readiness, not software development, end\-user training, or adoption activities.
 This is a fully remote position within the United States.
**Responsibilities**
**AI Product Technical Ownership**
* Serve as the primary technical owner for AI\-enabled clinical products from pilot through readiness assessment.
* Maintain a comprehensive understanding of AI system behavior within clinical workflows and environments.
* Ensure AI products meet defined clinical and technical readiness and reliability standards prior to broader deployment.
**Clinical Integration and Readiness**
* Coordinate leadership, clinical, and technical readiness activities with VA Medical Center pilot sites.
* Validate configuration, access, and workflow prerequisites for AI\-enabled technologies.
* Identify technical risks or readiness gaps and recommend mitigation actions.
**Integration Validation Oversight**
* Oversee integration validation and technical testing activities performed by technical testing teams.
* Review and assess test findings, defect reports, and validation results.
* Confirm that integration issues are appropriately diagnosed and resolved in coordination with vendors and VA OIT.
**Technical Troubleshooting and Issue Resolution**
* Lead technical root cause analysis for integration, configuration, or infrastructure\-related issues.
* Coordinate with vendor engineering teams, VA OIT, and site technical staff to support issue resolution.
* Verify corrective actions and confirm restored or expected system functionality.
**Technical Documentation and Reporting**
* Develop and maintain technical readiness documentation, validation summaries, and risk assessments.
* Provide concise technical updates and readiness reports to VA leadership and stakeholders.
* Ensure traceability between technical findings, remediation actions, and readiness outcomes.
**Coordination and Prioritization**
* Prioritize technical issues, readiness activities, and validation workstreams based on clinical impact and risk.
* Coordinate across multiple AI initiatives as directed, ensuring consistent technical standards and practices.
**Qualifications**
**Required Skills and Experience**
* Bachelor’s or Master's degree in a clinical discipline, health informatics, computer science, engineering, or a related field plus 10\+ years of VA Clinical experience.
* Demonstrated experience leading enterprise projects in a healthcare environment.
* Strong understanding of clinical workflows and how technology integrates into provider\-facing systems.
* Experience coordinating with engineering, infrastructure, and vendor teams to resolve technical issues.
* Ability to analyze technical problems, synthesize findings, and communicate clearly to both technical and clinical stakeholders.
**Preferred Skills And Experience**
* Experience working with AI\-enabled or data\-driven clinical technologies.
* Experience supporting clinical technology systems in healthcare environments.
* Familiarity with CPRS, VistA, or comparable electronic health record environments.
* Experience supporting pilot deployments or readiness validation of clinical technologies.
* Background in technical project and product management, systems integration, and/or solution validation.
* Experience working within federal healthcare or large integrated healthcare delivery systems.
**Competencies**
* 
+ Clinical acumen and experience working with cross\-functional teams in a healthcare environment.
+ Experience delivering healthcare solutions across local, regional, and national environments.
+ Problem\-solving, Technical troubleshooting, and root cause analysis
+ Clinical workflow understanding and analysis
+ Integration validation and system testing
+ Clear written and verbal communication
+ Stakeholder coordination across clinical and technical teams
+ Change Management
+ Risk identification and mitigation
**Clearance** 
**Required:** 
 Ability to obtain and maintain a Suitability/Public Trust Clearance.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$170,000\.00 /Yr.</t>
        </is>
      </c>
    </row>
    <row r="48">
      <c r="A48" t="inlineStr">
        <is>
          <t>li-4345533141</t>
        </is>
      </c>
      <c r="B48" t="inlineStr">
        <is>
          <t>Principal Program Manager - Sales Performance Management (SPM) SaaS Product</t>
        </is>
      </c>
      <c r="C48" t="inlineStr">
        <is>
          <t>SAP</t>
        </is>
      </c>
      <c r="D48" t="inlineStr">
        <is>
          <t>linkedin</t>
        </is>
      </c>
      <c r="E48" t="inlineStr"/>
      <c r="F48" t="inlineStr"/>
      <c r="G48" t="inlineStr">
        <is>
          <t>Houston, TX</t>
        </is>
      </c>
      <c r="H48" t="inlineStr"/>
      <c r="I48"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We are seeking a Principal Program Manager for Sales Performance Management (SPM) SaaS Product to orchestrate strategic programs within the global Sales Performance Management organization at SAP. You will engage with a broad group of stakeholders across the SPM business, including Sales, marketing, services, success, and operations. You will also build/leverage a network of stakeholders within other SAP groups, partners and customers, leaning on your strong collaboration, ideation and influence skills to ensure cross team communication, transparency and awareness of all aspects of the strategic program, including scope, timelines, resources, customer and partner activities, program success measures, as well as product and engineering related deliverables. These strategic programs support our growth targets and are central to our strategic objectives across our end to end business.
**Key Responsibilities Include The Following**
- Strategic Decision\-Making
* 
+ Leverage your curiosity and understanding of innovative opportunities in the market to differentiate our portfolio in the market
+ Lead rigorous evaluations and recommendations for build vs. buy vs. partner choices for new features, integrations, and platform capabilities.
+ Conduct market and competitive analysis, total cost of ownership, time\-to\-market, and technical feasibility studies to inform decisions.
+ Define clear success criteria, KPIs, and acceptance plans for chosen solutions.
- Vendor \&amp; Partner Management
* 
+ Evaluate and manage relationships with vendors and technology partners, including contract and SLA considerations.
+ Define integration patterns, data contracts, and operational requirements for partner\-built components.
+ Represent the company in partner negotiations and technical integrations.
- Program \&amp; Project Management
* 
+ Own planning, sequencing, and delivery of cross\-functional product programs, spanning multiple planning cycles.
+ Produce detailed plans with milestones, resourcing, risk logs, dependency maps, and budgets.
+ Drive day\-to\-day program execution, remove blockers, and ensure on\-time, high\-quality delivery.
- Cross\-Functional Collaboration
- 
* Work closely with product managers, engineering leads, designers, security, and GTM teams to align requirements and trade\-offs.
* Facilitate discovery workshops, requirements gathering, and stakeholder alignment sessions.
* Communicate progress, risks, and outcomes to senior leadership with clear, data\-backed updates.
* In partnership with services, partners and support, deliver individual project status and risk profile for major pre\-defined milestones per implementation project
* Lead rigorous evaluations and recommendations for build vs. buy vs. partner choices for new features, integrations, and platform capabilities.
* Collaborate with services, support and engineering to track repeat project issues that require investment to permanently resolve
* Capture retrospectives with support customer success partners, services, support and partners on key implementation efforts post project close
**What You Bring**
* 10 years of experience in program management, and product development within a SaaS environment. PMP certification highly desired; Lean Six Sigma certification also desired but not required
* Proven experience leading build/buy/partner decisions for complex product initiatives and delivering cross\-functional programs.
* Positive, energetic, engaging interpersonal style
* Strong strategic thinking, analytical capability, and structured decision\-making.
* Expert program and project management skills: scoping, planning, risk management, and stakeholder communication.
* Familiarity with SaaS architecture concepts (multi\-tenancy, APIs, cloud services), and pragmatic technical fluency.
* Hands\-on with agile methodologies (Scrum, Kanban) and tools like Jira, Confluence, or Asana.
* Excellent written and verbal communication; able to influence senior stakeholders.
* Proven ability to delivery on\-time, on budget, meeting customer and internal program objectives
* Ability to influence cross\-functional teams and core team members to execute successfully
* Experience effectively collaborating with others either in a formal team setting or on dynamic project\-based teams to produce joint work products
* Cross\-functional collaboration and stakeholder management skills
* Continuous improvement mindset to iterate on work methods and work products to improve their efficiency, quality, and impact
* Ability to work and communicate with internal and external stakeholders with varying functions and seniority
* Experience with incentive strategies for revenue generating roles, sales planning, customer segmentation and/or go to market models desired
* Proficiency in Microsoft Office applications (Word, Excel, Outlook, PowerPoint)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164700 \- 374,200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443388 \| Work Area: Solution and Product Management \| Expected Travel: 0 \- 10% \| Career Status: Professional \| Employment Type: Regular Full Time \| Additional Locations:</t>
        </is>
      </c>
    </row>
    <row r="49">
      <c r="A49" t="inlineStr">
        <is>
          <t>li-4367019176</t>
        </is>
      </c>
      <c r="B49" t="inlineStr">
        <is>
          <t>Senior Program Manager - Defense and Aerospace</t>
        </is>
      </c>
      <c r="C49" t="inlineStr">
        <is>
          <t>Frontgrade Technologies</t>
        </is>
      </c>
      <c r="D49" t="inlineStr">
        <is>
          <t>linkedin</t>
        </is>
      </c>
      <c r="E49" t="inlineStr"/>
      <c r="F49" t="inlineStr"/>
      <c r="G49" t="inlineStr">
        <is>
          <t>Exeter, NH</t>
        </is>
      </c>
      <c r="H49" t="inlineStr"/>
      <c r="I49" t="inlineStr">
        <is>
          <t>For more than six decades, the skilled thinkers, makers, and doers at Frontgrade have embraced our mission to solve complex technology challenges across the U.S. and around the globe.
 We’re the leading provider of high reliability and radiation assured solutions for defense, space, intelligence, commercial, and civil applications, and our products are designed to perform in the harshest of environments. From human spaceflight and space exploration to missile defense, electronic warfare, and healthcare tech advancements, our talented team stays in lockstep with our customers to ensure the success of their missions.
 Do you want to help shape the future? In an environment where innovation and ideas go hand\-in\-hand? Then come join the Frontgrade Team!
**Why Work For Us**
 We take care of our people and provide competitive health, wealth and wellbeing benefits – from day one. You’ll also discover learning and development opportunities so you can take your career to the next level – and beyond.
**Other benefits include:**
* Competitive Benefits: Medical (FSA \+ HSA), Dental, and Vision
* Immediate 401K Vesting/Matching
* Career Opportunity and Growth
* Tuition Reimbursement
* Student Loan Repayment
* Generous PTO and 11 paid Holidays per year (8 regular and 3 floating)
* 8 weeks of 100% Paid Family Leave
* Profit Sharing Plan applies to all non\-Annual Incentive Plan and non\-Sales Incentive Plan employees.
**Overview**
 The Program Manager IV manages the overall execution of the project and coordination of the project team by communicating with stakeholders, managing project reporting on deliverables, supporting project delivery and aligning with the company’s overall goals.
**Responsibilities**
**KEY RESPONSIBILITIES**
* Administer the project risk management process and prepare risk management plans
* Analyze plans, specifications, proposals, and other documentation to prepare bid estimates for projects
* Assess, plan, and engage project resources as needed throughout the life of the project
* Understanding of Earner Value Management
* Communicate the project plan, including objectives and responsibilities, to the project team
* Communicate with the customers and the project team, and conduct project meetings
* Drive project delivery and ensure excellence in project deliverables
* Assist with proposal formation
* Maintain a project risk register and ensure that the project risk profile is accurate and current
* Manage and oversee all aspects of customer service including scheduling
**Qualifications**
**QUALIFICATIONS \&amp; EXPERIENCE**
* Minimum eight (8\) years of experience in a specialized functional discipline. OR (12\) years of experience may be considered in lieu of a Bachelors Degree. OR (6\) years of experience may be considered w/ a Masters Degree. OR (3\) years of experience may be considered w/ a PhD.
* Business / Commerce (Bachelor's degree) or Engineering (Bachelor's degree) or Related Field of Study (Bachelor's degree)
* Applicable experience in lieu of a Degree may be considered.
**Additional Information**
* This position requires access to technology, materials, software or hardware that is controlled by either ITAR or EAR U.S. export laws. As a condition to this job offer, in order to be employed in this position, you must be able to obtain an U.S. Government export license(s), as required by law.
* Pay Range: $114,500 \- $145,500 annually. Applicable pay within the posted range may vary based on factors including, but not limited to, geographical location, job function of the position, education, and experience of the successful candidate.
**WE ARE AN EQUAL OPPORTUNITY EMPLOYER**
 We welcome differences and celebrate new ideas. We believe the diversity of our people inspires our creativity and drives our innovation. Everyone is welcome here, regardless of race, color, religion, sex, sexual orientation, gender identity, national origin, age, disability, protected veteran status, or genetic information.
 We are committed to working with and providing reasonable accommodations to individuals with disabilities. If you need a reasonable accommodation due to a disability for any part of the employment process, please email Careers@Frontgrade.com.
 If you have relevant skills that are not reflected in your resume, we welcome your application and encourage you to share more in an optional cover letter or to join our Talent Community Connect Portal \- Connect (icims.com).</t>
        </is>
      </c>
    </row>
    <row r="50">
      <c r="A50" t="inlineStr">
        <is>
          <t>li-4376304557</t>
        </is>
      </c>
      <c r="B50" t="inlineStr">
        <is>
          <t>Senior Community Relations Program Manager</t>
        </is>
      </c>
      <c r="C50" t="inlineStr">
        <is>
          <t>Northwell Health</t>
        </is>
      </c>
      <c r="D50" t="inlineStr">
        <is>
          <t>linkedin</t>
        </is>
      </c>
      <c r="E50" t="inlineStr"/>
      <c r="F50" t="inlineStr"/>
      <c r="G50" t="inlineStr">
        <is>
          <t>New York, NY</t>
        </is>
      </c>
      <c r="H50" t="inlineStr"/>
      <c r="I50" t="inlineStr">
        <is>
          <t>180645
**Job Description**
 Provides guidance to team members to plan and organize the strategic outreach plans in support of solutions to community involvement. Develops strategies related to outreach programs in collaboration with the leadership. Interfaces with various internal stakeholders and community resources in the development, implementation, and evaluation of community programs and services.
 Job Responsibility
* Provides guidance to team members to develop and maintain a community relations strategy, objectives, and budget; reports operational performance, justification, and/or corrective action.
* Analyzes effectiveness of strategies to determine go\-forward plans, including future investments.
* Evaluates performance of marketing plans, promotional programs, and fundraising materials.
* Coordinates materials, event coordination and staff coverage to accomplish the objectives of programs or campaigns.
* Ensures communication of opportunities to the leadership of being involved in community events and organizations.
* Facilitates collaboration with internal stakeholders to maintain contact and cooperate with organizations for fundraising and ongoing programs.
* Integrates the needs of outside groups with the goals, services and programs of the area and the organization.
* Ensures collection, review, and recommendation of action for all external and internal donation requests.
* Ensures logistical coordination for key visitors and guests.
* Operates under limited guidance and work assignments involve moderately complex to complex issues where the analysis of situations or data requires in\-depth evaluation of variable factors.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3\-5 years of relevant experience, required.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51">
      <c r="A51" t="inlineStr">
        <is>
          <t>li-4376329091</t>
        </is>
      </c>
      <c r="B51" t="inlineStr">
        <is>
          <t>Program Manager</t>
        </is>
      </c>
      <c r="C51" t="inlineStr">
        <is>
          <t>Michigan Medicine</t>
        </is>
      </c>
      <c r="D51" t="inlineStr">
        <is>
          <t>linkedin</t>
        </is>
      </c>
      <c r="E51" t="inlineStr"/>
      <c r="F51" t="inlineStr"/>
      <c r="G51" t="inlineStr">
        <is>
          <t>Ann Arbor, MI</t>
        </is>
      </c>
      <c r="H51" t="inlineStr"/>
      <c r="I51" t="inlineStr">
        <is>
          <t>**Job Summary**
 The Program Manager provides administrative and operational leadership for the University of Michigan Radiation Oncology community practice program. This role serves as a key liaison between academic leadership, community site leaders, joint venture partners, and cross\-functional teams to ensure consistent, high\-quality clinical operations across a geographically distributed practice.
 The Program Manager is responsible for managing physician practice coverage requests and coordinating clinical coverage across sites, supporting operational change initiatives, partnering in financial stewardship, assisting with faculty credentialling and payor enrollment, and establishing performance metrics that promote quality, efficiency, and an exceptional patient experience. This position requires a highly collaborative leader who can build strong relationships, navigate complex healthcare environments, and proactively identify and resolve operational challenges.
 This position reports to the Chief Department Administrator with additional direction from the Associate Chair of Community Practices.
 This position will be hybrid in nature and will require periodic travel to University of Michigan Radiation Oncology community practice locations across the state of Michigan.
 Mission Statement
 The mission of the University of Michigan is to serve the people of Michigan and the world through preeminence in creating, communicating, preserving and applying knowledge, art, and academic values, and in developing leaders and citizens who will challenge the present and enrich the future.
 Responsibilities\*
* Build and maintain strong working relationships with site\-based clinical and administrative leaders; remain informed of local practice activities, needs, and challenges.
* Manage physician coverage requests and coordinate clinical practice coverage across community sites to ensure continuity of care and operational stability.
* Support and lead change management initiatives, including communication planning, staff engagement, training, and adoption of new workflows, systems, and processes.
* Identify operational risks, barriers, and improvement opportunities; develop and implement mitigation and performance improvement strategies.
* Collaborate with clinical leadership to ensure programs align with evidence\-based care standards and operational best practices.
* Partner with joint venture practices in the management of program budgets; monitor expenditures and promote cost\-effective use of resources.
* Work closely with the Academic Medical Center (AMC) Finance team to ensure timely and accurate processing of payments for clinical services provided.
* Establish, monitor, and report on program metrics and key performance indicators (KPIs) related to quality, efficiency, patient experience, and compliance.
* Facilitate stakeholder engagement across physicians, administrators, operational teams, and external partners regarding practice initiatives and priorities.
* Collaborate with cross\-functional partners including clinical operations, IT, finance, physics, revenue cycle (for joint venture sites), compliance, and administrative teams to support practice initiatives.
 Required Qualifications\*
* 3\+ years of Radiation Oncology clinical operations experience.
* Demonstrated experience working across multiple stakeholders and departments in complex healthcare environments.
* Strong organizational, communication, and problem\-solving skills.
* Experience with budget monitoring and financial coordination in a healthcare setting.
 Desired Qualifications\*
* Bachelor's degree in healthcare administration, business administration, or related field or equivalent combination of education and experience.
* Familiarity with performance metrics, quality improvement, and change management methodologies.
* Experience working with joint venture or partner organizations.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The University of Michigan conducts background checks on all job candidates upon acceptance of a contingent offer and may use a third party administrator to conduct background checks. Background checks are performed in compliance with the Fair Credit Reporting Act.
 U\-M EEO Statement
 The University of Michigan is an equal employment opportunity employer.</t>
        </is>
      </c>
    </row>
    <row r="52">
      <c r="A52" t="inlineStr">
        <is>
          <t>li-4376328059</t>
        </is>
      </c>
      <c r="B52" t="inlineStr">
        <is>
          <t>eDiscovery Program Manager (Top Secret Clearance Required)</t>
        </is>
      </c>
      <c r="C52" t="inlineStr">
        <is>
          <t>CGS Federal (Contact Government Services)</t>
        </is>
      </c>
      <c r="D52" t="inlineStr">
        <is>
          <t>linkedin</t>
        </is>
      </c>
      <c r="E52" t="inlineStr"/>
      <c r="F52" t="inlineStr"/>
      <c r="G52" t="inlineStr">
        <is>
          <t>Massachusetts, United States</t>
        </is>
      </c>
      <c r="H52" t="inlineStr"/>
      <c r="I52" t="inlineStr">
        <is>
          <t>**eDiscovery Program Manager** 
 Employment Type: Full\-Time, Executive\-LevelDepartment: Legal CGS is seeking a dedicated eDiscovery Program Manager to join a fast\-paced and hard\-working team to assist with any legal accounts. As an eDiscovery Program Manager, you will play a key role in supporting various aspects of the company's portfolio.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success:The Contractor shall provide the following services to include but not limited to: \- The Contractor shall provide Discovery Program contractor staff management support to include, but not limited to the following activities: \- Contractor shall oversee all administrative logistical support for the contract to include, notifying the Government of schedule changes, work assignments and coverage, documenting daily tasks, and work location changes; \- Contractor shall insure that daily time entry is recorded by all contract staff; \- Contractor shall coordinate all administrative activities associated with the arrival of new contract staff with the appropriate FBI security, IT, and other administrative units; \- Contractor shall mentor and assist new team members to perform daily tasks; \- Contractor shall promptly and thoroughly address any performance or personnel issues that arise within the contracted staff; \- Contractor shall manage client expectations and deliverables and clearly and timely communicate with clients;\- Contractor shall initiate process improvement initiatives; \- Quotes shall facilitate communication, planning, recommendations, and resource management across internal and external stakeholders; \- Contractor shall provide technical and eDiscovery subject matter expertise to support the full life cycle management of the resources assigned to the program and contract; \- Contractor shall participate in teleconferences or meetings to review, educate, and support program objectives; \- Contractor shall assist in managing the Legal Clerical mailbox and tasks; \- Contractor shall develop and track clerical and IT project schedules, milestones, and deliverables; \- Contractor shall assist with providing information sought by client that are relevant to support Change Requests and Contract Modifications; \- Contractor shall oversee and monitor all scheduled system maintenances in accordance with established policies and procedures; \- Contractor shall review system and application logs and related reports to verify completion of scheduled jobs such as backups; \- Contractor shall review and report technical assessments to include required tasks, estimated time frames, and effort for any scope project; \- Contractor shall oversee and monitor Veritas eDiscovery version 10 or industry recognized review platform processes; \- Contractor shall oversee and monitor the system administration of Microsoft Exchange \- 2019 and 2022; \- Contractor shall oversee and monitor the administration and support of Microsoft Windows server 2016/2019/2022 in a large physical and virtual infrastructure; \- Contractor shall oversee and monitor the performance of DNS, WINS, DHCP, and LDAP compliant directories; \- Contractor shall oversee and monitor Discovery’s IT infrastructure, cloud technologies (Microsoft Azure/Amazon AWS) and network architecture; \- Contractor shall comply with contract terms and conditions; work collaboratively with the COR to define and execute all reports and other deliverables; \- Contractor shall ensure operational coverage for all critical areas to meet 24 hours, 7 days a week, 365\-day requirements and priorities as identified by OGC Leadership; \- Contractor shall formulate and enforce work standards; assign contractor schedules; \- Contractor shall present and communicate instructions, and in writing reports or documents that convey the findings/results of analysis to non\-technical audiences; \- Contractor shall work collaboratively with the COR and OGC Government Leads to define and execute all reports and other deliverables; \- Contractor shall provide the Task Lead(s) and COR with cost and staffing estimates relative to the completion of existing tasks, as well as the possible addition of future\- Contractor shall plan, organize, direct and support all activities identified in the contract; \- Contractor shall ensure conformance with RFQ schedules and costs; \- Contractor shall monitor employee performance and productivity; \- Contractor shall develop and implement training programs and remedial actions as necessary; \- Contractor shall review work discrepancies; \- Contractor shall prepare, review and submit required reports and communicating policies, purpose and goals of the organization to subordinates; \- Contractor shall be responsible for the overall RFQ performance and quality assurance; \- Contractor shall provide timekeeping and invoicing for labor hours, travel and ODCs, if any; \- Contractor shall ensure that program/project schedule, performance and deliverables are met; \- Contractor shall maintain a qualified and certified, as appropriate, Contractor work force to meet the Government’s needs under this RFQ; \- Contractor shall provide direct supervision, program control, scheduling and management of the Contractor personnel consistent with priorities and assignments by the OGC program; \- Contractor shall develop and implement training programs and remedial actions as necessary; \- Contractor shall assist in all project management task performance; \- Contractor shall prepare, review and submit required reports and communicating policies, purpose and goals of the organization to subordinates; \- Contractor shall resolve problems, issues or conflicts, as required; \- Contractor shall prioritize tasks and assignments to Contractor work force based on Government’s direction and best practices;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innovation!Explore additional job opportunities with CGS on our Job Board:https://cgsfederal.com/join\-our\-team/For more information about CGS please visit: https://www.cgsfederal.com or contact:Phone: \+1 (888\) 680\-5916Email: \[email protected] \#CJ $156,986\.20 \- $213,052\.70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3">
      <c r="A53" t="inlineStr">
        <is>
          <t>li-4315239281</t>
        </is>
      </c>
      <c r="B53" t="inlineStr">
        <is>
          <t>MarTech Business Product Owner Adobe (AJO, AEP, CJA)  US or Europe</t>
        </is>
      </c>
      <c r="C53" t="inlineStr">
        <is>
          <t>SAP</t>
        </is>
      </c>
      <c r="D53" t="inlineStr">
        <is>
          <t>linkedin</t>
        </is>
      </c>
      <c r="E53" t="inlineStr"/>
      <c r="F53" t="inlineStr"/>
      <c r="G53" t="inlineStr">
        <is>
          <t>Atlanta, GA</t>
        </is>
      </c>
      <c r="H53" t="inlineStr"/>
      <c r="I53"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**NOTE \*\*\*\***
* You must have expertise with Adobe Journey Optimizer (AJO) at least one of the following Adobe Experience Platform (AEP), and Customer Journey Analytics (CJA)
* We are open to applicants in the Eastern US and Europe
 SAP’s Marketing Automation and Platform (MAP) team is seeking a
 **Business Product Owner** 
**to lead Adobe projects** 
 delivering personalized, relevant, and scalable customer experiences across the entire customer journey. You will collaborate with cross\-functional teams across marketing, data, and technology to design, implement, and optimize end\-to\-end B2B journeys and analytics solutions. By connecting systems and insights, you will help drive measurable business outcomes, accelerate pipeline, and improve engagement across account
**What You'll Do**
* Define the business product vision, strategy, and business roadmap for Adobe Journey Optimizer (AJO), Adobe Experience Platform (AEP), and Customer Journey Analytics (CJA), aligned with technical roadmaps and SAP business goals.
* Ensure implementations comply with SAP internal policies, data privacy regulations, and industry standards.
* Collaborate with project management and cross\-functional teams to capture business requirements and define use cases across journeys and analytics.
* Co\-design customer journeys with Adobe, ensuring they reflect real\-world buyer behavior, account dynamics, and business goals.
* Partner with internal data teams to ensure CRM, marketing automation, and other systems are integrated, providing clean and actionable data.
* Lead user acceptance testing (UAT) from a business perspective, validating that journeys and analytics implementations meet expectations, business rules, and KPIs.
* Drive stakeholder adoption by preparing teams for new processes, creating enablement content, delivering training, and supporting change management.
* Monitor journey and analytics performance post\-launch, iterating and optimizing based on insights.
* Manage product backlog, prioritize features, and guide development teams through delivery.
* Participate in governance bodies such as steering committees, architecture boards, change advisory boards (CAB), and portfolio review meetings.
* Assign SAP subject matter experts (SMEs) to project tasks as required.
* Define governance and user model expectations for AJO, AEP, and CJA usage.
**What You Bring**
* 5\+ years of proven experience as a Product Owner or Product Manager in marketing automation, CRM, journey orchestration, or analytics platforms.
* Hands\-on expertise with Adobe Journey Optimizer (AJO) at least one of the following; Adobe Experience Platform (AEP), and Customer Journey Analytics (CJA)
* Omnichannel Marketing business understanding with business strategy experience who can translate the business strategy to the Tech stakeholders.
* Strong understanding of B2B marketing, sales processes, and customer experience design.
* Ability to define, monitor, and act on KPIs demonstrating business value.
* Skilled in backlog management, agile delivery, and cross\-functional alignment.
* Strong communication and facilitation skills with the ability to drive adoption and support change management.
* Knowledge of data privacy, compliance standards, and governance frameworks.
* Bachelor’s or Master’s degree in Computer Science, Marketing Technology, Data Science, Business Administration, or a related field.
**The Team**
 Join the Marketing Automation and Platform (MAP) team, which unifies audience activation, marketing automation, and channel technologies to accelerate cross\-channel activation, scale automation, and drive continuous innovation. All in pursuit of delivering true omnichannel personalization at scale.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$168,800 \- 306200T4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438766 \| Work Area: Consulting and Professional Services \| Expected Travel: 0 \- 10% \| Career Status: Professional \| Employment Type: Regular Full Time \| Additional Locations: Virtual \- USA</t>
        </is>
      </c>
    </row>
    <row r="54">
      <c r="A54" t="inlineStr">
        <is>
          <t>li-4376312283</t>
        </is>
      </c>
      <c r="B54" t="inlineStr">
        <is>
          <t>Strategic Program Manager</t>
        </is>
      </c>
      <c r="C54" t="inlineStr">
        <is>
          <t>McKesson</t>
        </is>
      </c>
      <c r="D54" t="inlineStr">
        <is>
          <t>linkedin</t>
        </is>
      </c>
      <c r="E54" t="inlineStr"/>
      <c r="F54" t="inlineStr"/>
      <c r="G54" t="inlineStr">
        <is>
          <t>Irving, TX</t>
        </is>
      </c>
      <c r="H54" t="inlineStr"/>
      <c r="I54"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MHS Compass team within McKesson's North American Pharmaceutical Services group is seeking a Strategic Program Manager in Las Colinas, TX. The Strategic Program Manager is the key point of contact for internal and external stakeholders. This individual is responsible for meeting the contractual requirements for their respective customer(s) while leading strategic initiatives to enhance the customer experience.
 This position will require the incumbent to be
 **in\-office as needed.**
****Key Responsibilities****
* Manages external customers’ strategic programs and acts as a direct point of contact. Leads and participates in calls with external customers in order develop a relationship with the customer and keep an open line of communication.
* Execute vendor\-defined product allocation programs across various customers for supply constrained inventory. This includes communicating out to customer\-facing teams, transferring inventory across DCs/customer groups, submitting auto shipments, etc.
* Provide detailed reporting and analysis around forecast trending, omit analysis, fair share allocations, etc.
* Evaluate and determine process improvements and automation to attain operational excellence.
* Develop business presentations to explain the status of customers’ programs and current initiatives.
* Expected to seek out new information and utilize new technology to improve the ways of working.
* Other duties as assigned.
**Minimum Requirements**
 Degree or equivalent and typically requires 4\+ years of relevant experience
**Education**
 4\-year degree or equivalent experience
****Critical Skills****
* Degree or equivalent and 4\+ years of relevant experience in areas such as supply chain, product management, purchasing, marketing/sales, and/or finance
* Experience in supply chain, product management, purchasing, marketing/sales, and/or finance
* Strong analytical skills and ability to extract large amounts of transactional data from McKesson systems (SQL, Business Objects, SAP, SCORE, Hana, etc.)
* Organize and analyze data into meaningful and easily disseminated reporting via PC based tools (Power BI, Access, Excel, Word, PowerPoint, etc.)
* Prepare reports and recommendations that can be used to make timely and accurate decisions about service level and inventory issues.
**Additional Skills/knowledge**
* Excellent communication skills
* Strong relationship building and strategic partnering skills.
* Ability to understand and conduct supply chain/financial analysis and quantitative / qualitative assessment of data.
* Strong project management skills
* Ability to function in a fast\-paced, dynamic environment
* Ability to manage conflict resolution
* Ability to interpret data and information to evaluate business opportunities.
* Process Improvement mindset
 This position offers the possibility of a hybrid work arrangement based on recent updates to our in\-office/work‑from‑home model. If located in DFW area, the selected candidate may be expected to work on‑site at our Las Colinas office a minimum of two (2\) days per week, with the remaining days worked remotely. Specific in‑office days may be designated according to team needs and business priorities.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$96,100 \- $160,100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55">
      <c r="A55" t="inlineStr">
        <is>
          <t>li-4376319050</t>
        </is>
      </c>
      <c r="B55" t="inlineStr">
        <is>
          <t>Program Manager</t>
        </is>
      </c>
      <c r="C55" t="inlineStr">
        <is>
          <t>Talent Bridge</t>
        </is>
      </c>
      <c r="D55" t="inlineStr">
        <is>
          <t>linkedin</t>
        </is>
      </c>
      <c r="E55" t="inlineStr"/>
      <c r="F55" t="inlineStr"/>
      <c r="G55" t="inlineStr">
        <is>
          <t>Los Angeles, CA</t>
        </is>
      </c>
      <c r="H55" t="inlineStr"/>
      <c r="I55" t="inlineStr">
        <is>
          <t>* **Title:** 
 Program Manager
* **Employment Type:** 
 Full\-Time
* **Location:** 
 East Los Angeles, CA 90033
* **Schedule:** 
 Monday–Friday, 8:00 AM–5:00 PM (extended hours as needed)
* **Compensation:** 
 $70,000–$80,000 per year (DOE)
**Role** 
 One of our clients is hiring a Substance Use Disorder (SUD) Program Manager to lead outpatient and intensive outpatient drug and alcohol treatment programs. This role supports operational excellence, staff development, regulatory compliance, and high\-quality clinical care within a community\-based recovery setting.
**About the Role** 
 The Program Manager partners closely with leadership to oversee daily program operations while maintaining a strong clinical presence. This position blends people leadership, compliance oversight, counseling responsibilities, and community outreach to ensure effective, sustainable recovery services.
**Key Responsibilities** 
* Support day\-to\-day program operations, staffing coordination, and timely delivery of client services
* Train, mentor, supervise, and evaluate staff, interns, and volunteers
* Lead recruitment, scheduling, and performance management activities
* Ensure compliance with state and county regulations and maintain required program certifications (DMC, AOD)
* Oversee CalOMS submissions and other required reporting
* Monitor billing practices, SAPC procedures, and financial performance to support program sustainability
* Facilitate group and individual counseling sessions and oversee treatment planning
* Ensure quality of care, documentation accuracy, and regulatory adherence
* Lead outreach and partnership efforts with DCFS, parole, probation, and community agencies
* Promote awareness of substance use risks and recovery resources within the community
**Ideal Qualifications** 
* Certified Substance Use Disorder Counselor with Clinical Supervision credentials (required)
* 5\+ years of experience in human services or community\-based substance use treatment programs
* 3\+ years of experience leading or supervising teams
* Familiarity with SAPC billing and reimbursement procedures
* Strong understanding of recovery models, including 12\-step programs
* Experience developing treatment curricula and conducting observed drug testing
* Proficiency in Microsoft Office and clinical documentation systems
* Reliable transportation, valid California driver’s license, and willingness to travel between program sites (mileage reimbursed)
**More About the Opportunity** 
* Leadership role with direct impact on community health and recovery outcomes
* Balance of clinical work and program management
* Collaborative, mission\-driven environment
* Opportunity to shape program quality, staff development, and outreach strategy
**Apply Now**</t>
        </is>
      </c>
    </row>
    <row r="56">
      <c r="A56" t="inlineStr">
        <is>
          <t>li-4325999588</t>
        </is>
      </c>
      <c r="B56" t="inlineStr">
        <is>
          <t>HR Vendor Program Manager</t>
        </is>
      </c>
      <c r="C56" t="inlineStr">
        <is>
          <t>Kyndryl</t>
        </is>
      </c>
      <c r="D56" t="inlineStr">
        <is>
          <t>linkedin</t>
        </is>
      </c>
      <c r="E56" t="inlineStr"/>
      <c r="F56" t="inlineStr"/>
      <c r="G56" t="inlineStr"/>
      <c r="H56" t="inlineStr"/>
      <c r="I56"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Are you ready to take on an exhilarating role as a HR Vendor Program Manager at Kyndryl? Prepare to embark on a journey where you will be at the helm of delivering value\-add transformative programs for Kyndryl and our customers. Your ultimate mission? To deliver a truly extraordinary outcome for our customers and propel our business to new heights.
 As a HR Vendor Program Manager, you have the ability to break down a strategic vision into discrete interconnected projects, each one delivering its own critical component to realize the vision. As the interface for the project managers leading each interconnected project, your choices will have a resounding impact across projects and secure successful program outcomes.
 Equipped with the power of data and analysis, you will possess the unique ability to predict, understand, and influence the outcomes of each project. Your strategic foresight will fuel effective decision\-making, as you navigate the intricate complexities of our interconnected projects, establishing objective and milestone commitments, managing risk, and ensuring budgets and time requirements are appropriately defined. You will successfully deliver the scope of each program by assembling a Kyndryl team with the required skills and provide ongoing coaching and mentoring to our dedicated project managers and teams.
 As a Kyndryl HR Vendor Program Manager, you'll play a vital role in our mission, bringing innovation and collaboration to the table. Join us and be part of a team that's revolutionizing the future while charting an exciting career path filled with growth and opportunities. Apply now and let's transform the future together.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 Bachelors degree.
* Minimum 5\+ years of project or program management experience working with strategic suppliers.
* Experience in procurement managing vendor relationships and contracts.
* Hands on knowledge of SAP Ariba and Fieldglass with understanding of how the sourcing works, supplier on\-boarding process, and balance of trade.
* Proven track record of successfully managing complex IT projects or programs, preferably in a services business, with experience of working with customers across multiple project phases, industries and geographies
* Expertise in cost \&amp; scope management, change control, and overall project governance and managing supplier performance.
* Experience in identifying and tracking dependent tasks across projects, proactively identifying and mitigating risks related to dependencies, and guiding effective staffing choices to leverage expertise and/or knowledge between projects
* Proficiency with establishing program governance and management systems, managing interdependencies of various projects to develop a master schedule, cost benefit assessment and trade\-off decisions, and asset and resource prioritization
* Knowledge of business intelligence, data analysis, dashboards, business intelligence reporting, business metrics, and operational reporting
* Ability to thrive in a dynamic agile environment, adapting to changing priorities while remaining outcome focused
* Proficiency in MS Project.
**Preferred Skills And Experience**
* Advanced degree.
* Human Resource experience preferred.
* Leadership experience.
* Negotiation experience preferred.
* Understanding market trends.
* Project Management certification such as PMP (Project Management Professional) or PRINCE2 (Projects IN Controlled Environments) or PgMP (Program Management Professional)
* Familiarity with Agile methodologies (e.g., Scrum, Kanban) and DevOps practices
* Flexible with up to 10% global travel.
**Compensation**
 The compensation range for the position in the U.S. is $120,360 to $228,840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$132,480 to $274,560
 Colorado: $120,360 to $228,840
 New York City: $144,480 to $274,560
 Washington: $132,480 to $251,640
 Washington DC: $132,480 to $251,640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All qualified applicants will receive consideration for employment without regard to race, color, religion, sex, sexual orientation, gender identity, national origin, disability, or status as a protected veteran.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row>
    <row r="57">
      <c r="A57" t="inlineStr">
        <is>
          <t>li-4367610473</t>
        </is>
      </c>
      <c r="B57" t="inlineStr">
        <is>
          <t>Program Manager, Clinical Compliance</t>
        </is>
      </c>
      <c r="C57" t="inlineStr">
        <is>
          <t>Blue Cross Blue Shield of Massachusetts</t>
        </is>
      </c>
      <c r="D57" t="inlineStr">
        <is>
          <t>linkedin</t>
        </is>
      </c>
      <c r="E57" t="inlineStr"/>
      <c r="F57" t="inlineStr"/>
      <c r="G57" t="inlineStr">
        <is>
          <t>Hingham, MA</t>
        </is>
      </c>
      <c r="H57" t="inlineStr"/>
      <c r="I57" t="inlineStr">
        <is>
          <t>**Ready to help us transform healthcare? Bring your true colors to blue.**
**The Role**
 The Medicare Clinical Program Manager will focus on utilization management compliance and CMS audit readiness activities such as evaluating and supporting Health and Medical Management’s (HMM) and delegate’s CMS regulations and reporting.
 This position leverages analytical, leadership and organizational skills to perform audits, summarize and communicate findings to various levels in the organization, perform gap analysis, risk assessment, project management, and collaboratively develop mitigation strategies.
**The Team**
 As an integral part of HMM Quality and Compliance team, the Medicare Clinical Program Manager works through the influence as an individual contributor while collaborating and providing guidance to HMM teams, company leaders within and outside of HMM, and to external delegates to achieve compliant processes.
**Key Responsibilities**
* Understand CMS regulations and evaluate Medicare utilization management related compliance including:
+ Monitor, audit, track and summarize key findings to various levels in the organization
+ Assess/audit medical records and UM letters against medical necessity criteria regulatory criteria and CMS chapter guidelines
+ Review applicable policies and procedures to ensure all are up to date and reflect the appropriate compliance with CMS requirements
* Lead internal audits that identify risks and areas for improvement in processes, policies, and systems
* Communicate audit findings, risk insights, and recommendations effectively to diverse audiences, from operational teams to executive leadership.
* Act as a resource/ subject matter expert and sharing expertise
* Build trusting and credible relationships to engage stakeholders, provide consultation, and influence decision making
* Lead meetings with effective planning and facilitation
* Collaborate with business area leaders and cross\-functional teams to develop, implement, and monitor effective workflows and policies
* Lead projects and work with teams on implementing new or updated regulatory requirements
* Other responsibilities as assigned by Senior Manager
**Key Qualifications**
* Strong critical thinking, planning, organization, and time management skills including the ability to meet deadlines, problem solve, and manage multiple competing priorities
* Demonstrated management and leadership skills including building trusting and credible relationships \&amp; consensus building, negotiating, influencing, the ability to manage change, and provide constructive feedback
* Strong written communication, meeting facilitation, and presentation skills
* Ability to work autonomously and drive initiatives to successful and timely completion.
* Strong computer skills: ability to navigate, interpret, \&amp; analyze information from the utilization management medical management data as well as proficient in Care Prominence (i.e. MHK), Word, Excel, Adobe Acrobat, PowerPoint, and MS Outlook.
* Knowledge of compliance and QI techniques and theory
**Education And Experience**
* RN or clinical professional degree with active Massachusetts clinical license with 3\-5 years of clinical experience Inpatient Care or medical policy experience preferred
* Bachelor’s degree required
* 3 \-5 years of Utilization Management experience at a health plan or equivalent managed care organization
* 1\-2 years experience of managing people or projects
* 2\-5 years of experience working with utilization management regulatory and accreditation standards, such as NCQA, Massachusetts utilization review regulations, Rhode Island utilization review regulations, Federal Employee Plan, including experience with auditing and monitoring corrective action plans.
**Minimum Education Requirements**
 High school degree or equivalent required unless otherwise noted above
 Location
 Hingham
 Time Type
 Full time
 Salary Range: $95,490\.00 \- $116,710\.00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58">
      <c r="A58" t="inlineStr">
        <is>
          <t>li-4374942533</t>
        </is>
      </c>
      <c r="B58" t="inlineStr">
        <is>
          <t>Technical Product Manager - Data Annotation &amp; Labelling</t>
        </is>
      </c>
      <c r="C58" t="inlineStr">
        <is>
          <t>Skild AI</t>
        </is>
      </c>
      <c r="D58" t="inlineStr">
        <is>
          <t>linkedin</t>
        </is>
      </c>
      <c r="E58" t="inlineStr"/>
      <c r="F58" t="inlineStr"/>
      <c r="G58" t="inlineStr">
        <is>
          <t>San Mateo, CA</t>
        </is>
      </c>
      <c r="H58" t="inlineStr"/>
      <c r="I58"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Technical Product Manager \- Data Annotation \&amp; Labelling with 5\+ years of experience to lead and scale the full operations lifecycle for robotics data collection. This individual will manage a cross\-functional team, build scalable systems, and make a significant impact in a rapidly evolving space. This role is crucial for driving execution and continuously improving workflows and systems to support rapid growth. This is a high visibility role that will have enormous impact on the company’s trajectory. 
**Responsibilities** 
* Own and scale the full lifecycle for products pertaining to robotics data collection, labelling and annotation from physical setups to contractor management and annotation pipelines.
* Drive data operations programs collaborating with operations managers, technicians and engineering
* Build 0\-1 solutions for large scale data pipelines
* Work with executive leadership to develop data operations strategy and align these to overall corporate goal
**Preferred Qualifications** 
* 5\+ years of experience in a fast\-paced, startup\-like environment
* 2\+ years in a technical role (e.g., engineer, program manager, product manager) at a technology company
* Strong technical problem\-solving skills, with the ability to quickly learn complex systems
* Proven track record of supporting cross\-functional stakeholders across customers, product, and engineering
* Proven ability to communicate effectively with senior management
* Ability to define and drive technology strategy
* Previous entrepreneurial experience
* Experience building products or initiatives from 0 to 1
* BS/MS in Technical discipline
 Base Salary Range: $100,000 USD \- $300,000 USD</t>
        </is>
      </c>
    </row>
    <row r="59">
      <c r="A59" t="inlineStr">
        <is>
          <t>li-4374952346</t>
        </is>
      </c>
      <c r="B59" t="inlineStr">
        <is>
          <t>Product Manager</t>
        </is>
      </c>
      <c r="C59" t="inlineStr">
        <is>
          <t>hackajob</t>
        </is>
      </c>
      <c r="D59" t="inlineStr">
        <is>
          <t>linkedin</t>
        </is>
      </c>
      <c r="E59" t="inlineStr"/>
      <c r="F59" t="inlineStr"/>
      <c r="G59" t="inlineStr">
        <is>
          <t>Atlanta, GA</t>
        </is>
      </c>
      <c r="H59" t="inlineStr"/>
      <c r="I59" t="inlineStr">
        <is>
          <t>***hackajob** 
 is collaborating with
 **Sage** 
 to connect them with exceptional tech professionals for this role.*
 Sage is a global leader in accounting, payroll, and people management software. Millions of businesses trust us to pay their people accurately and stay compliant every time.
 We are now accelerating our growth in the US construction market, one of the most complex and opportunity\-rich sectors in workforce management. Following our acquisition of Criterion HCM, we are expanding its powerful capabilities to help medium\-sized contractors run payroll, manage people, and stay compliant with confidence and control.
 We are looking for a bold, customer\-obsessed Product Manager to shape the next generation of Sage HCM for Construction. You will lead the evolution of a proven platform and help create a category\-defining product that makes workforce management effortless for contractors, where job sites are dynamic, rules are complex, and every pay cheque matters.
 This is a rare opportunity to build at scale with the backing of a trusted global brand, the momentum of a high\-growth acquisition, and the freedom to create products that simplify complexity for one of the world’s most vital industries.
 \*\*\* This is a hybrid position \- you will work 3 days a week from our Atlanta office. \*\*\*
**What You Will Do**
* Define the vision and roadmap for Sage’s Construction HCM offering, building on Criterion’s foundation to serve the US mid\-market with precision and impact.
* Lead discovery and validation with contractors, payroll administrators, and accountants across general and specialist trades to understand their workflows and pain points.
* Design for complexity without friction by bringing together time, job cost, HR, and payroll data into intelligent workflows that manage multiple pay groups, job sites, union rules, and multi\-state taxation.
* Partner with legal and compliance experts to maintain certified payroll reporting, prevailing wage, Davis\-Bacon, and local or state tax requirements.
* Drive seamless integration across Sage’s Construction suite including ERP, Project Management, Time, and HR as well as external systems such as time\-tracking, benefits, and certified payroll portals.
* Prioritise for impact, balancing customer outcomes, commercial opportunity, and technical feasibility to deliver a clear, confident roadmap.
* Collaborate with Product Marketing to position Sage HCM for the Construction market, refine pricing and packaging, and enable go\-to\-market success.
* Measure what matters by tracking indicators such as active companies, pay\-run success, certified payroll accuracy, and time to first pay run.
**What You’ll Get**
* The opportunity to redefine how the construction industry pays and manages its workforce.
* A collaborative, mission\-driven culture that values customer impact over process.
* The backing of a trusted brand with a bold vision for Construction and Mid\-Market growth in North America.
**Required Skills**
* Proven product management experience in payroll, HCM, or ERP products serving the US market.
* Deep understanding of construction industry operations including job costing, certified payroll, prevailing wage, and union or non\-union labour rules.
* Ability to translate complex compliance and workflow challenges into clear user stories and product experiences.
* Strong collaboration skills across Engineering, Design, Compliance, Marketing, and Sales.
* Data\-driven and outcome\-focused approach, using insight and evidence to prioritise and iterate effectively.
**Nice To Have**
* Experience with Sage Construction or competitors such as Procore, Viewpoint, or QuickBooks Contractor Payroll.
* Familiarity with AIA billing, project cost accounting, and time\-tracking integrations.
* Prior work in B2B SaaS targeting mid\-market construction, trades, or field\-based industries.
* Exposure to union contract management or certified payroll submission processes (e.g., LCPtracker, eMars).
* Prior experience or a desire to learn AI related technologies.</t>
        </is>
      </c>
    </row>
    <row r="60">
      <c r="A60" t="inlineStr">
        <is>
          <t>li-4357021725</t>
        </is>
      </c>
      <c r="B60" t="inlineStr">
        <is>
          <t>Digital Product Manager II</t>
        </is>
      </c>
      <c r="C60" t="inlineStr">
        <is>
          <t>UPMC</t>
        </is>
      </c>
      <c r="D60" t="inlineStr">
        <is>
          <t>linkedin</t>
        </is>
      </c>
      <c r="E60" t="inlineStr"/>
      <c r="F60" t="inlineStr"/>
      <c r="G60" t="inlineStr">
        <is>
          <t>Pittsburgh, PA</t>
        </is>
      </c>
      <c r="H60" t="inlineStr"/>
      <c r="I60" t="inlineStr">
        <is>
          <t>Are you passionate about creating innovative digital experiences that truly make a difference? At UPMC Health Plan, we’re committed to delivering human\-centered solutions at the intersection of design, technology, health care, and wellness. We’re growing our product management practice and looking for a Digital Product Manager II to join our team.
 This is your opportunity to work on a portfolio of cutting\-edge digital products and features that will redefine how people engage with their health care. You’ll collaborate with business partners, technical teams, designers, strategists, and innovators to bring ideas to life.
**What You’ll Do**
 As a
 **Digital Product Manager II** 
 , you’ll be the bridge between business, technology, and design—turning complex challenges into actionable solutions. Here’s what your day\-to\-day will look like:
* Lead cross\-functional collaboration with engineering, design, marketing, and finance teams to execute strategic plans for your product portfolio.
* Translate big ideas into reality by developing clear business requirements and user stories that guide product design and architecture.
* Shape the vision by gathering insights, informing strategy, and managing roadmaps that balance customer experience, performance, and operational needs.
* Drive innovation through prototyping, testing, and working closely with researchers and technical teams to validate concepts.
* Build alignment across stakeholders and champion products that delight users and keep them engaged.
* Stay ahead of the curve by continuously learning about health care trends and Agile/SAFe practices.
**What We’re Looking For**
* A strategic thinker who thrives in dynamic, sometimes ambiguous environments.
* Someone who can distill complexity into clarity and translate problems into actionable roadmaps.
* A collaborator who loves working across disciplines and building consensus.
* Commercial expertise and critical thinking skills to tackle health care’s toughest challenges.
**Why You’ll Love Working Here**
* Impact that matters: Your work will help improve health outcomes for millions.
* Collaborative culture: Work with passionate innovators who care about making a difference.
* Growth opportunities: Continuous learning and development in a fast\-evolving industry.
 This is a hybrid role with a regular in\-office presence. You’ll typically work on\-site two days per week, with additional office time as needed to support business priorities.
* Bachelor's degree MIS, Information Technology, HCI, Business, or equivalent
* 3\-7 Years experience in Product Management, Business Analysis, Systems Analysis, or related field
* Experience contributing to large digital efforts (1y\+/multi\-million\-dollar product development efforts in the web and Mobile space)
* Strong project management skills
* Experience working across disciplines (IT, Marketing, Sales, etc.) and analyzing stakeholder needs
* Ability to apply great ideas from multiple diverse sources to find the best solution to a problem or set of problems
* Self\- starter with ability to deal with ambiguity and to adapt and embrace change
* Skill with computers and mobile devices; able to use and adopt necessary software productivity products and new platforms as needed
* Stakeholder communication and negotiation and Health insurance or healthcare experience
* Agile/Scrum exposure as a Product Owner or Scrum Master
* Experience presenting to all levels of an organization
* Analytics/data\-driven background
* Experience with multi\-channel digital asset delivery
* Experience collaborating with diverse groups to create requirements in Job Story (JTBD) format
**Licensure, Certifications, and Clearances:**
* Act 34
**UPMC is an Equal Opportunity Employer/Disability/Veteran**</t>
        </is>
      </c>
    </row>
    <row r="61">
      <c r="A61" t="inlineStr">
        <is>
          <t>li-4367618342</t>
        </is>
      </c>
      <c r="B61" t="inlineStr">
        <is>
          <t>Staff Product Manager - Trust Accounting - 100% Remote - NAM-EST</t>
        </is>
      </c>
      <c r="C61" t="inlineStr">
        <is>
          <t>Hostaway</t>
        </is>
      </c>
      <c r="D61" t="inlineStr">
        <is>
          <t>linkedin</t>
        </is>
      </c>
      <c r="E61" t="inlineStr"/>
      <c r="F61" t="inlineStr"/>
      <c r="G61" t="inlineStr">
        <is>
          <t>New York, United States</t>
        </is>
      </c>
      <c r="H61" t="inlineStr"/>
      <c r="I61" t="inlineStr">
        <is>
          <t>**NOTE: This is a FULLY remote role, but the candidate must be within North America \- EST to collaborate with their team, peers, and internal customers. You do not have to be in the specific country or city shown in this listing, but please only apply if you are physically based within North America \- EST.** 
 If you’re based in North America you’ll need to be in EST timezone to work as close as possible to the team.
 Hostaway is a SaaS scale\-up that is transforming the vacation rental industry. With innovative solutions and partnerships with giants like Airbnb, VRBO, and Booking, we're taking on the competition and winning. Leveraging our customer\-centric core values, we consistently deliver results that encourage growth, learning, and innovation for our team, our customers, and the industry.
 Profitable, high\-growth, and the first short\-term rental PMS unicorn 🦄. Join us at our most exciting stage yet! Learn more about our recent valuation and story here.
**About The Role** 
 Hostaway powers the future of short\-term rental property management. Our platform helps property managers scale their operations, delight guests, and grow revenue with innovative technology tailored to the vacation rental industry.
 As a Staff Product Manager for Trust Accounting, you'll play a key role in shaping the future of how property managers handle financial compliance and accounting workflows. You will be responsible for defining and executing the product strategy for our embedded trust accounting solution, ensuring it meets the stringent regulatory requirements while delivering an exceptional user experience.
 You'll work closely with a cross\-functional team of engineers, designers, legal experts, and accounting professionals to deliver a seamless and compliant trust accounting system that helps our users manage their financial operations with confidence. To be successful in this role you will have to put yourself in the shoes of both property managers and accountants, being directly involved in the user research.
 To be successful in this role you will have to put yourself in the shoes of both property managers and accountants, being directly involved in the user research.
**Your Mission** 
* Develop and champion a product vision and roadmap for our Trust Accounting solution that aligns with the overall company strategy and regulatory compliance requirements.
* Plan and execute thorough customer research and analysis to deeply understand the needs and pain of property managers and accountants, translating those insights along with legal requirements into product specifications and user stories.
* Collaborate closely with UX/UI designers to create intuitive and user\-friendly experiences that simplify complex accounting workflows.
* Partner with legal and accounting subject matter experts to ensure all regulatory requirements are properly addressed while maintaining excellent user experience.
* Prioritize and manage the product backlog, ensuring alignment with business objectives, compliance needs, and user requirements.
* Oversee the entire product development lifecycle, from ideation and design to development, testing, and launch of trust accounting features.
* Define and analyze the metrics that determine success, ensuring the product not only meets compliance standards but also demonstrably simplifies the financial operations of the Property Managers we serve.
* Spearhead the discovery of our reporting and insights layer. You'll identify the essential compliance reports, operational dashboards, and financial statements that provide clarity, ensure audit\-readiness, and deliver indispensable value to our users.
**Job requirements** 
* Significant experience in product management (typically 6\+ years), with a specific focus on accounting software systems.
* Proven leadership in managing complex, cross\-domain products from ideation to launch, working closely with engineering teams to make ideas turn into real solutions.
* Deep understanding of financial operations, compliance and accounting systems, ideally in the US landscape.
* Strong customer empathy and experience translating insights into impactful product decisions.
* Proven ability to own complex product strategies and deliver industry\-leading solutions
* Excellent analytical and problem\-solving skills with the ability to interpret data and translate it into actionable insights.
* A strong ability to work with subject matter experts to detect and extract pain points into tangible, user\-centric but compliant product solutions.
**What We Offer** 
* Competitive Compensation: We offer competitive pay based on market rates in the country of the applicant.
* 100% Remote: Enjoy the freedom to work from anywhere within your country of residence—be it a co\-working space, your home office, or even your dining room table. The choice is yours. Just don’t ask to work in our office (we don’t have one).
* Equity: Every role in our company comes with valuable stock options in a fast\-growing and profitable company. This ensures we all share in the company’s success.
* Values\-Driven Leadership: Our Core Values are not just words we’ve written to make us feel good. We leverage them daily when making strategic and tactical decisions.
* Professional Growth: Our rapid growth offers unparalleled learning and development opportunities, along with a multitude of career advancement opportunities.
* Annual Paid Leave: The specific amounts vary by country and are aligned with country and/or contract\-specific norms.
* Geographic Specific Benefits: As an international employer, we offer different country\-specific benefits such as Health Insurance and Pensions in countries where these perks are customary. The specifics depend on the country of the applicant.
* Dynamic Team Culture: As a global company with team members in over 40 countries, our diverse and international culture fuels our innovation and creativity, providing a key pillar to our success (and making it a lot of fun to work here).
 Thank you for your interest. If you apply for this role, you will receive an email from our Talent Acquisition team after your application has been reviewed alongside the qualifications for this role and the qualifications of others who have applied.</t>
        </is>
      </c>
    </row>
    <row r="62">
      <c r="A62" t="inlineStr">
        <is>
          <t>li-4350167872</t>
        </is>
      </c>
      <c r="B62" t="inlineStr">
        <is>
          <t>Senior Lead Game Product Manager</t>
        </is>
      </c>
      <c r="C62" t="inlineStr">
        <is>
          <t>PopCap Games</t>
        </is>
      </c>
      <c r="D62" t="inlineStr">
        <is>
          <t>linkedin</t>
        </is>
      </c>
      <c r="E62" t="inlineStr"/>
      <c r="F62" t="inlineStr"/>
      <c r="G62" t="inlineStr">
        <is>
          <t>Los Angeles, CA</t>
        </is>
      </c>
      <c r="H62" t="inlineStr"/>
      <c r="I62"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PopCap is seeking an experienced Senior Lead Game Product Manager to join our team.
 As a Senior Lead Product Manager, you will be responsible for defining and driving the Acquisition, Engagement, and Monetization strategies for Plants vs Zombies 3\. You must be passionate about representing the voice and needs of our players and business.
 This role will focus on the New Player Funnel and Live Service Operations, with opportunities to flex into other areas of Game Product Management as the project necessitates. You will report to the head Product Manager on the team.
 Product Management is a collaborative, cross\-functional discipline. Product Managers are expected to work closely with other PMs, Analysts, Developers, Marketing, and other stakeholders.
 This is a role that drives decisions using data. Performance metrics, research, and analysis are all tools you have experience using to inform growth efforts.
**Responsibilities**
* Manage and conduct operations impacting the live service player journey from the install funnel through to regular daily engagement
* Conduct and communicate in\-depth analysis of live player behavioral trends using data insights and strong business acumen to impact top line KPIs
* Track performance on a daily, monthly, and quarterly basis
* Communicate KPIs to internal and external stakeholders and adjust designs/plans accordingly
* Work closely with the game team and various stakeholders to gather requirements and help define the live service roadmap
* Influence partners to rally behind your ideas and effect change among various teammates and collaborators
* Define requirements for Data Analytics, A/B testing, push notifications, and other partner tools
* Hold an informed, expert perspective on established models for monetizing games
* Monitor competitive trends and best practices, third parties tools/partnerships, and internal business intelligence with the goal of identifying opportunities to fold into PopCap’s operations
* Leverage first\- and third\-party tools to define, track, and serve a variety of player segments
* Learn, have fun and build games that millions of people love to play
**Requirements**
* Strong analytical skills and experience with data\-driven product design and decision making
* Success building web or mobile consumer\-facing products in the past
* Experience with every phase and/or deep experience with the live service phase of the game development cycle
* Experience with multivariate testing in web or mobile products
* Experience defining specs or PRDs with clear business requirements, user flows, and wireframes
* Strong in Excel, able to create models and simulations of in\-game economies
* Experience balancing virtual economies, with an strong understanding of how economy design impacts the user experience
* Strong communication and writing skills
* Experience communicating both creative and technical feedback to diverse groups
* Passion for creating great freemium games, with the ability to identify flaws in design, art, and “feel”
* Self\-motivated team player that brings excitement and enthusiasm to work each day
* Carry a growth mindset that is open to feedback and outside\-the\-box thinking
* Loves games and has experience with PopCap titles (Plants vs Zombies, Bejeweled, etc.)
**Qualifications**
* BS/BA degree, ideally in a quantitative discipline; MS/MBA preferred
* 8\+ years of experience in product management in live service games, scaled consumer\-facing digital products, and/or a systems design background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 California (depending on location e.g. Los Angeles vs. San Francisco) \*$160,600 \- $249,300 USD
* Washington (depending on location e.g. Seattle vs. Spokane) \*$149,200 \- $205,500 USD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3">
      <c r="A63" t="inlineStr">
        <is>
          <t>li-4352354234</t>
        </is>
      </c>
      <c r="B63" t="inlineStr">
        <is>
          <t>Senior Product Manager</t>
        </is>
      </c>
      <c r="C63" t="inlineStr">
        <is>
          <t>GAF</t>
        </is>
      </c>
      <c r="D63" t="inlineStr">
        <is>
          <t>linkedin</t>
        </is>
      </c>
      <c r="E63" t="inlineStr"/>
      <c r="F63" t="inlineStr"/>
      <c r="G63" t="inlineStr">
        <is>
          <t>Georgetown, TX</t>
        </is>
      </c>
      <c r="H63" t="inlineStr"/>
      <c r="I63" t="inlineStr">
        <is>
          <t>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**Team Summary**
 GAF Energy is transforming the rooftop solar industry to generate “Energy from Every Roof”. As a Standard Industries company, GAF Energy works in partnership with North America’s largest roofing and waterproofing manufacturer, GAF, offering builders, homeowners, and contractors elegant, roof\-integrated energy solutions. For more information about GAF Energy, visit www.gaf.energy.
**Job Summary**
 GAF Energy is seeking a talented hardware product leader to own the development and evolution of GAF Energy's hardware product offerings, including solar roofing, energy storage, vehicle charging, and future energy service offerings to contractors, homeowners, and home builders. GAF Energy tailored offerings include both products manufactured by GAF Energy (Timberline Solar) and 3rd party products packaged together as turnkey solutions to meet the needs of the market.
 This role will be responsible for conducting rolling market analysis and driving alignment across the leadership team to set, prioritize, and specify roadmap for the growth, development and successful commercialization of new product offerings.
 The ideal candidate will have deep technical knowledge and experience with residential renewable energy products, impeccable written and verbal communication skills, and the ability to interface seamlessly between the business teams to drive a unified vision.
**Essential Duties**
* Drive the product vision and roadmap for GAF Energy's hardware product offerings, including GTM.
* Conduct market, contractor, builder and customer research to inform and develop product and services growth strategy, taking into account new developments in the way that both solar and roofing projects are sold, installed, and serviced.
* Build business cases to support the development of new applications in key markets.
* Create detailed requirements and product recommendations. Develop strong supporting justification for new offerings and assist in running pilots in the market.
* Collaborate and convey product dependencies, requirements, and approvals, including bankability, financing approval, software, hardware, field operations, and sales teams.
* Support integration of products into internal systems and track performance metrics.
* Monitor, track, and communicate the performance of current product offerings. Push improvements that deliver high quality, reliability and responsiveness for customers.
**Qualifications Required**
* Bachelor’s Degree in Engineering, Business, Supply Chain, or similar field(s) of study required
* 3\+ years proven work experience within renewable energy, solar energy storage, EV charging, roofing, construction, project management, or similar industries
* 3\+ years proven work experience as a product manager (or related position), including managing product roadmaps, process development, and new product launches
* Experience and understanding of residential renewable energy financing (lease, ppa, loan), bankability requirements for residential energy products, and AVL approval processes.
* Strong project management capabilities and success in delivering new ideas from concept all the way through to commercialization.
* Comfort working across multiple departments to form cross\-functional teams as needed for individual projects.
**Qualifications Preferred**
* Entrepreneurial, self\-starter and self\-motivated with the ability to work both independently and with diverse teams
* Outstanding communication skills, both oral and written
* Creative Problem Solver\- You can assess situations with lighting speed and identify risks, challenges, and trade\-offs to craft solution options. You understand that there’s always more than one way to solve a problem and don’t get caught up on the “one right answer”.
* Expert Communicator\- You know how to adapt your communications to the audience to drive an initiative forward. You are comfortable in front of any audience and can facilitate complex discussions into unified decisions and actions.
* Intellectually Curious \- Although you bring strong technical chops, you strive to learn more about the industry, products, competitors, technical advancements, and our customers every day. You understand that a product leader's superpower is knowing what’s around the corner, not just what’s relevant now.
 Base salary and/or rate of pay ranges listed are exclusive of fringe benefits and potential bonuses. Individual compensation offers will be determined based on a variety of factors, including but not limited to geographic location, relevant candidate experience and skill, education, and/or qualifications.
 Base Salary Range: $128,000\-$176,000
**How We Protect What Matters Most:**
 1\. We offer a wide range of health insurance options that include medical, dental, and vision for you and your family. 2\. Our Family\-Building benefits support the many different journeys to fertility and parenthood. 3\. Our robust 401K plan includes an employer match contribution with your pre\-tax and/or Roth contributions. 4\. Other exciting programs and perks are available to help employees achieve work\-life balance, including (but not limited to) a wellness program, free financial coaching, a referral program, and product rebates when purchased for an employee’s primary residence. 5\. Professional growth and development are very important to us! We offer internal training programs and courses, as well as a generous tuition reimbursement program. 6\. We're committed to fostering a culture that reflects our values to connect, empower, evolve, and inspire. We offer many opportunities for employees to connect with one another, including through our Employee Resource Groups who focus on education and allyship for all of our employees.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is>
      </c>
    </row>
    <row r="64">
      <c r="A64" t="inlineStr">
        <is>
          <t>li-4350383850</t>
        </is>
      </c>
      <c r="B64" t="inlineStr">
        <is>
          <t>Senior Lead Game Product Manager</t>
        </is>
      </c>
      <c r="C64" t="inlineStr">
        <is>
          <t>PopCap Games</t>
        </is>
      </c>
      <c r="D64" t="inlineStr">
        <is>
          <t>linkedin</t>
        </is>
      </c>
      <c r="E64" t="inlineStr"/>
      <c r="F64" t="inlineStr"/>
      <c r="G64" t="inlineStr">
        <is>
          <t>Austin, TX</t>
        </is>
      </c>
      <c r="H64" t="inlineStr"/>
      <c r="I64"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PopCap is seeking an experienced Senior Lead Game Product Manager to join our team.
 As a Senior Lead Product Manager, you will be responsible for defining and driving the Acquisition, Engagement, and Monetization strategies for Plants vs Zombies 3\. You must be passionate about representing the voice and needs of our players and business.
 This role will focus on the New Player Funnel and Live Service Operations, with opportunities to flex into other areas of Game Product Management as the project necessitates. You will report to the head Product Manager on the team.
 Product Management is a collaborative, cross\-functional discipline. Product Managers are expected to work closely with other PMs, Analysts, Developers, Marketing, and other stakeholders.
 This is a role that drives decisions using data. Performance metrics, research, and analysis are all tools you have experience using to inform growth efforts.
**Responsibilities**
* Manage and conduct operations impacting the live service player journey from the install funnel through to regular daily engagement
* Conduct and communicate in\-depth analysis of live player behavioral trends using data insights and strong business acumen to impact top line KPIs
* Track performance on a daily, monthly, and quarterly basis
* Communicate KPIs to internal and external stakeholders and adjust designs/plans accordingly
* Work closely with the game team and various stakeholders to gather requirements and help define the live service roadmap
* Influence partners to rally behind your ideas and effect change among various teammates and collaborators
* Define requirements for Data Analytics, A/B testing, push notifications, and other partner tools
* Hold an informed, expert perspective on established models for monetizing games
* Monitor competitive trends and best practices, third parties tools/partnerships, and internal business intelligence with the goal of identifying opportunities to fold into PopCap’s operations
* Leverage first\- and third\-party tools to define, track, and serve a variety of player segments
* Learn, have fun and build games that millions of people love to play
**Requirements**
* Strong analytical skills and experience with data\-driven product design and decision making
* Success building web or mobile consumer\-facing products in the past
* Experience with every phase and/or deep experience with the live service phase of the game development cycle
* Experience with multivariate testing in web or mobile products
* Experience defining specs or PRDs with clear business requirements, user flows, and wireframes
* Strong in Excel, able to create models and simulations of in\-game economies
* Experience balancing virtual economies, with an strong understanding of how economy design impacts the user experience
* Strong communication and writing skills
* Experience communicating both creative and technical feedback to diverse groups
* Passion for creating great freemium games, with the ability to identify flaws in design, art, and “feel”
* Self\-motivated team player that brings excitement and enthusiasm to work each day
* Carry a growth mindset that is open to feedback and outside\-the\-box thinking
* Loves games and has experience with PopCap titles (Plants vs Zombies, Bejeweled, etc.)
**Qualifications**
* BS/BA degree, ideally in a quantitative discipline; MS/MBA preferred
* 8\+ years of experience in product management in live service games, scaled consumer\-facing digital products, and/or a systems design background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 California (depending on location e.g. Los Angeles vs. San Francisco) \*$160,600 \- $249,300 USD
* Washington (depending on location e.g. Seattle vs. Spokane) \*$149,200 \- $205,500 USD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5">
      <c r="A65" t="inlineStr">
        <is>
          <t>li-4376311810</t>
        </is>
      </c>
      <c r="B65" t="inlineStr">
        <is>
          <t>FOIA Disclosure Product Manager</t>
        </is>
      </c>
      <c r="C65" t="inlineStr">
        <is>
          <t>CGS Federal (Contact Government Services)</t>
        </is>
      </c>
      <c r="D65" t="inlineStr">
        <is>
          <t>linkedin</t>
        </is>
      </c>
      <c r="E65" t="inlineStr"/>
      <c r="F65" t="inlineStr"/>
      <c r="G65" t="inlineStr">
        <is>
          <t>Massachusetts, United States</t>
        </is>
      </c>
      <c r="H65" t="inlineStr"/>
      <c r="I65" t="inlineStr">
        <is>
          <t>FOIA Disclosure Product ManagerEmployment Type: Full\-Time, Experienced Department: Information Technology
 CGS is seeking a FOIA Disclosure Product Manager to join our team supporting the IT mission of a large federal agency. This position will allow candidates to demonstrate expertise in performing product management and product marketing tasks.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Drive the SecureRelease product and business\-planning process across cross\-functional teams of the company\- Analyze consumer needs, current market trends, and potential partnerships from an ROI and build vs. buy perspective\- Assess current competitor offerings, seeking opportunities for differentiation\- Analyze product requirements and develop appropriate programs to ensure they’re successfully achieved\- Develop, implement, and maintain production timelines across multiple departments\- Drive the execution of the SecureRelease product, including product research, market research, competitive analysis, planning, positioning, roadmap development, requirements development, and product launch\- Translate product strategy into detailed requirements for prototype construction and final product development by engineering teams\- Create product strategy documents that describe business cases, high\-level use cases, technical requirements, revenue, and ROI\- Analyze market data to develop sales strategies, and define product objectives for effective marketing communications plans\- Collaborate closely with engineering, production, marketing, and sales teams on the development, QA, and release of products and balance of resources to ensure success for the entire organization\- Develop product positioning and messaging that differentiates Deloitte and its features across primary market segments\- Manage and deliver Release Notes\- Schedule walkthroughs\- Manage client notifications\- Schedule product deployment\- Manage the feature requests queue and priorities
 Qualifications:\- Bachelor’s degree in product design or engineering\- Strong experience in a dynamic product management role\- Proven experience overseeing all elements of the product development lifecycle\- Highly effective cross\-functional team management\- Previous experience delivering finely\-tuned product marketing strategies\- Exceptional writing and editing skills combined with strong presentation and public speaking skills
 Ideally, you will also have:\- Master’s degree in product design or engineering\- Previous software and web development experience\- Proven experience working as a product developer in a non\-managerial role
 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Board:https://cgsfederal.com/join\-our\-team/
 For more information about CGS please visit: https://www.cgsfederal.com or contact:Email: \[email protected]sklfsd
 \#CJ$116,480 \- $158,080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6">
      <c r="A66" t="inlineStr">
        <is>
          <t>li-4350247861</t>
        </is>
      </c>
      <c r="B66" t="inlineStr">
        <is>
          <t>Senior Lead Game Product Manager</t>
        </is>
      </c>
      <c r="C66" t="inlineStr">
        <is>
          <t>PopCap Games</t>
        </is>
      </c>
      <c r="D66" t="inlineStr">
        <is>
          <t>linkedin</t>
        </is>
      </c>
      <c r="E66" t="inlineStr"/>
      <c r="F66" t="inlineStr"/>
      <c r="G66" t="inlineStr">
        <is>
          <t>Redwood City, CA</t>
        </is>
      </c>
      <c r="H66" t="inlineStr"/>
      <c r="I66"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PopCap is seeking an experienced Senior Lead Game Product Manager to join our team.
 As a Senior Lead Product Manager, you will be responsible for defining and driving the Acquisition, Engagement, and Monetization strategies for Plants vs Zombies 3\. You must be passionate about representing the voice and needs of our players and business.
 This role will focus on the New Player Funnel and Live Service Operations, with opportunities to flex into other areas of Game Product Management as the project necessitates. You will report to the head Product Manager on the team.
 Product Management is a collaborative, cross\-functional discipline. Product Managers are expected to work closely with other PMs, Analysts, Developers, Marketing, and other stakeholders.
 This is a role that drives decisions using data. Performance metrics, research, and analysis are all tools you have experience using to inform growth efforts.
**Responsibilities**
* Manage and conduct operations impacting the live service player journey from the install funnel through to regular daily engagement
* Conduct and communicate in\-depth analysis of live player behavioral trends using data insights and strong business acumen to impact top line KPIs
* Track performance on a daily, monthly, and quarterly basis
* Communicate KPIs to internal and external stakeholders and adjust designs/plans accordingly
* Work closely with the game team and various stakeholders to gather requirements and help define the live service roadmap
* Influence partners to rally behind your ideas and effect change among various teammates and collaborators
* Define requirements for Data Analytics, A/B testing, push notifications, and other partner tools
* Hold an informed, expert perspective on established models for monetizing games
* Monitor competitive trends and best practices, third parties tools/partnerships, and internal business intelligence with the goal of identifying opportunities to fold into PopCap’s operations
* Leverage first\- and third\-party tools to define, track, and serve a variety of player segments
* Learn, have fun and build games that millions of people love to play
**Requirements**
* Strong analytical skills and experience with data\-driven product design and decision making
* Success building web or mobile consumer\-facing products in the past
* Experience with every phase and/or deep experience with the live service phase of the game development cycle
* Experience with multivariate testing in web or mobile products
* Experience defining specs or PRDs with clear business requirements, user flows, and wireframes
* Strong in Excel, able to create models and simulations of in\-game economies
* Experience balancing virtual economies, with an strong understanding of how economy design impacts the user experience
* Strong communication and writing skills
* Experience communicating both creative and technical feedback to diverse groups
* Passion for creating great freemium games, with the ability to identify flaws in design, art, and “feel”
* Self\-motivated team player that brings excitement and enthusiasm to work each day
* Carry a growth mindset that is open to feedback and outside\-the\-box thinking
* Loves games and has experience with PopCap titles (Plants vs Zombies, Bejeweled, etc.)
**Qualifications**
* BS/BA degree, ideally in a quantitative discipline; MS/MBA preferred
* 8\+ years of experience in product management in live service games, scaled consumer\-facing digital products, and/or a systems design background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 California (depending on location e.g. Los Angeles vs. San Francisco) \*$160,600 \- $249,300 USD
* Washington (depending on location e.g. Seattle vs. Spokane) \*$149,200 \- $205,500 USD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7">
      <c r="A67" t="inlineStr">
        <is>
          <t>li-4374940612</t>
        </is>
      </c>
      <c r="B67" t="inlineStr">
        <is>
          <t>Technical Program Manager, Research</t>
        </is>
      </c>
      <c r="C67" t="inlineStr">
        <is>
          <t>Deepgram</t>
        </is>
      </c>
      <c r="D67" t="inlineStr">
        <is>
          <t>linkedin</t>
        </is>
      </c>
      <c r="E67" t="inlineStr"/>
      <c r="F67" t="inlineStr"/>
      <c r="G67" t="inlineStr"/>
      <c r="H67" t="inlineStr"/>
      <c r="I67"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AI stands at the cusp of a paradigm shift. Current approaches to voice interaction are fundamentally limited by the scarcity and diversity of audio data, combined with the prohibitive computational costs of processing high\-dimensional audio at scale. These challenges have created a gap between the promise of universal voice interaction and today’s reality. While our research scientists pioneer new approaches in Latent Space Models (LSMs) to solve these fundamental challenges, we need exceptional technical program leadership to turn these breakthroughs into shipped products. The complexity of our mission (spanning audio compression, generative modeling, and multimodal systems) demands rigorous cross\-functional execution, precise dependency management, and relentless focus on delivering the technical systems that turn research breakthroughs into real\-world impact. As our research matures and the path from experiment to product grows shorter, we need a Technical Program Manager embedded in the work: someone who drives delivery, owns risk, and makes sure Research, Product, DataOps, and Engineering are always moving together.
**What You'll Do**
 You will be embedded in Deepgram’s Research organization, working at the intersection of research output and technical delivery. This is not a role where “done” is always easy to define. You’ll be working with teams where timelines shift as experiments succeed or fail, where a model that looked ready last week needs another iteration this week, and where earning the trust of researchers matters as much as building the right process. Your job is to bring structure and delivery discipline to that environment without making it feel like a software release cycle.
 When you arrive, you’ll inherit a portfolio of active cross\-functional programs spanning STT and TTS model development, data pipeline work, and evaluation infrastructure. In your first 90 days, success looks like: having a clear map of what’s in flight, who owns what, and where the risks are; having established a working rhythm with Research, Product, DataOps, and Engineering leads; and having driven at least one meaningful delivery milestone across teams. Concretely, over time you will:
* Own end\-to\-end delivery of new model versions and features for our flagship STT and TTS offerings, coordinating tightly across Research, Product, DataOps, and Engineering to hit milestones and ship on time
* Define and champion lightweight but effective processes that bring visibility and accountability to researchers’ daily workflows without adding unnecessary overhead or stifling scientific creativity
* Map dependencies and risks across all active cross\-functional projects; maintain a clear picture of where things stand, where they’re at risk, and what needs to happen to keep execution on track
* Run cross\-functional programs end\-to\-end: scope definition, timeline management, stakeholder communication, risk mitigation, and launch readiness
* Troubleshoot cross\-team blockers quickly and build reliable partnerships across the technical organization so that handoffs between teams are smooth and accountability is clear
* Own proactive communication across all levels of the organization: leadership should always have an accurate read on project health, and teams should always know how their work fits into the bigger picture
* Respond quickly to shifting priorities, translating decisions made upstream into clear implications for timelines, team capacity, and cross\-functional dependencies
**You'll Love This Role If You**
 We are seeking a Technical Program Manager who:
* Can drive delivery of complex, multi\-team technical programs without losing sight of the details that make or break a launch
* Excels at identifying dependencies and risks early, before they become frictional forces or blockers that slow research or delay product timelines
* Has the technical depth to sit in a room with ML researchers and engineers and understand what’s actually being built
* Knows how to bring just enough process to an environment that runs fast and resists overhead and knows when to enforce structure versus get out of the way
* Can build trusted relationships across Research, Product, DataOps, and Engineering, and hold those teams accountable to each other without creating friction
* Communicates status and risk clearly to both technical and non\-technical stakeholders, and knows when to escalate
 If you find yourself thinking about how to untangle a cross\-team dependency while still reading through a model evaluation report, if you’re equally comfortable running a launch readiness review and a technical scoping session, you might be the TPM we need. This role demands a rare combination of technical credibility, execution discipline, and emotional intelligence to keep complex programs moving across a fast\-paced research organization.
**It’s Important to Us That You Have**
* 5\+ years of experience as a Technical Program Manager or Engineering Program Manager, ideally with meaningful time spent supporting or embedded in an AI/ML Research organization
* In\-depth, working knowledge of how machine learning systems are built (i.e., data pipelines, model training, evaluation, and serving) that allows you to engage meaningfully with researchers and engineers on technical tradeoffs
* Proven track record of delivering complex, multi\-workstream technical programs on time across teams with competing priorities
* Demonstrated ability to map cross\-functional dependencies and technical risk across concurrent projects, with clear status communication to all stakeholders
* Experience designing lightweight processes that improve execution velocity and accountability in research or engineering environments without adding bureaucratic overhead
* Strong analytical skills for evaluating program health, spotting bottlenecks early, and making data\-informed prioritization decisions
* Excellent communication in both directions: crisp updates for senior leadership, clear direction for researchers
* A pragmatic, roll\-up\-your\-sleeves orientation: we need you to be equally effective at the strategic level and in the details
* Bonus points for experience with speech or audio projects — audio data collection and labeling, audio model evaluation (including human eval), or shipping products where audio quality is the core user experience
**How We Generated This Job Description**
 This job description was written as a collaboration between a DG Research staff member and Claude\-4\.6\-Sonnet using our Research Program Manager JD, Engineering TPM JD, and several external Research TPM JDs as context. We think the produced JD maintains strong alignment with our vision for pioneering voice AI while focusing on the crucial program management aspects that will enable our research teams to succeed.
**Benefits \&amp; Perks\***
**Holistic health**
* Medical, dental, vision benefits
* Annual wellness stipend
* Mental health support
* Life, STD, LTD Income Insurance Plans
**Work/life blend**
* Unlimited PTO
* Generous paid parental leave
* Flexible schedule
* 12 Paid US company holidays
* Quarterly personal productivity stipend
* One\-time stipend for home office upgrades
* 401(k) plan with company match
* Tax Savings Programs
**Continuous learning**
* Learning / Education stipend
* Participation in talks and conferences
* Employee Resource Groups
* AI enablement workshops / sessions
* For candidates outside of the US, we use an Employer of Record model in many countries, which means benefits are administered locally and governed by country\-specific regulations. Because of this, benefits will differ by region — in some cases international employees receive benefits US employees do not, and vice versa. As we scale, we will continue to evaluate where we can create more alignment, but a 1:1 global benefits structure is not always legally or operationally possible.
 Backed by prominent investors including Y Combinator, Madrona, Tiger Global, Wing VC and NVIDIA, Deepgram has raised over $215M in total funding. If you're looking to work on cutting\-edge technology and make a significant impact in the AI industry, we'd love to hear from you!
 Deepgram is an equal opportunity employer. We want all voices and perspectives represented in our workforce. We are a curious bunch focused on collaboration and doing the right thing. We put our customers first, grow together and move quickly.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We are happy to provide accommodations for applicants who need them.</t>
        </is>
      </c>
    </row>
    <row r="68">
      <c r="A68" t="inlineStr">
        <is>
          <t>li-4373756948</t>
        </is>
      </c>
      <c r="B68" t="inlineStr">
        <is>
          <t>Sr. Mech Product Manager-Tech, Data Center Engineering</t>
        </is>
      </c>
      <c r="C68" t="inlineStr">
        <is>
          <t>myGwork - LGBTQ+ Business Community</t>
        </is>
      </c>
      <c r="D68" t="inlineStr">
        <is>
          <t>linkedin</t>
        </is>
      </c>
      <c r="E68" t="inlineStr"/>
      <c r="F68" t="inlineStr"/>
      <c r="G68" t="inlineStr">
        <is>
          <t>Seattle, WA</t>
        </is>
      </c>
      <c r="H68" t="inlineStr"/>
      <c r="I68" t="inlineStr">
        <is>
          <t>**This job is with Amazon, an inclusive employer and a member of myGwork – the largest global platform for the LGBTQ\+ business community. Please do not contact the recruiter directly.**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 Review, update, and approve equipment submittals
* Work with global liquid cooling equipment suppliers and manufacturers
* Build trust and relationships with different stakeholders (e.g. reliability, operations, design, compliance)
* Work on concurrent projects, in multiple geographic zones
* Understand and explain complex systems in clear and concise language
* Develop Product Roadmaps
* Listen to the voice of the customer to understand technical and business requirements
* Work with global supplier and manufacturers to design new products
* Contribute to our global body of knowledge and drive a cycle of continuous improvement at a global scale
* Ability and willingness to travel domestic and internationally for up to 30% to 40% of the year.
 A day in the life
 Our Technical Product Managers work closely with key partners to innovate, create, manage, and deliver world class products to be deployed in our data centers. Our product manager work passionately to define customer requirements, development compelling product strategies to drive business value, and partner with cross functional teams and external vendors to make their strategies a reality at AWS scale!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 5\+ years of technical product or program management experience
* 3\+ years of designing, deploying, or operating direct\-to\-chip or immersion forms of rack\-level liquid cooling
**Preferred Qualifications**
* 7\+ years of technical product or program management experience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OH, COLUMBUS \- 151,200\.00 \- 204,600\.00 USD annually
 USA, TX, Austin \- 151,200\.00 \- 204,600\.00 USD annually
 USA, VA, Herndon \- 151,200\.00 \- 204,600\.00 USD annually
 USA, WA, Seattle \- 151,200\.00 \- 204,600\.00 USD annually]]\&gt;</t>
        </is>
      </c>
    </row>
    <row r="69">
      <c r="A69" t="inlineStr">
        <is>
          <t>li-4334801368</t>
        </is>
      </c>
      <c r="B69" t="inlineStr">
        <is>
          <t>Principal Connectivity Product Manager</t>
        </is>
      </c>
      <c r="C69" t="inlineStr">
        <is>
          <t>ICE</t>
        </is>
      </c>
      <c r="D69" t="inlineStr">
        <is>
          <t>linkedin</t>
        </is>
      </c>
      <c r="E69" t="inlineStr"/>
      <c r="F69" t="inlineStr"/>
      <c r="G69" t="inlineStr">
        <is>
          <t>New York, NY</t>
        </is>
      </c>
      <c r="H69" t="inlineStr"/>
      <c r="I69" t="inlineStr">
        <is>
          <t>**Overview**
**Job Purpose**
 ICE Data Services, a subsidiary of Intercontinental Exchange, is looking for a Principal Connectivity Product Manager to join the ICE Global Network (IGN) product team based in NYC. The ICE Global Network offers unique content, delivery and execution services through an ultra\-secure, highly resilient network. The IGN team manages the Connectivity business including Colocation, Connectivity, Hosting, Content access and Wireless. This role is an opportunity for you to be at the center of the fast\-paced IGN business.
 The Manager will be mainly responsible for our colocation offering in Mahwah (home of the New York Stock Exchange and the National Market System) and our suite of global connectivity options (Ethernet ports, SDN, Cloud, etc.). The Manager will be in charge of the entire life cycle: market analysis, business case, Go\-To\-Market plan, market/regulation monitoring, industry best\-practices, innovation, ad\-hoc Sales support.
 The Manager will work closely with both internal and external teams, including engineering and operations teams (network, data center, PMO), sales, relationship management, legal, compliance and regulatory, as well as clients and strategic partners to ensure technical and commercial success. The role draws on subject matter expertise, business acumen, technical proficiency, and strong communication skills.
**Responsibilities**
* Develop a strong understanding of the Mahwah ecosystem including the ICE\-owned colocation facility, the community (trading participants, vendors, carriers, service providers), the ICE Global Network offering and the regulatory environment.
* Take ownership and manage the suite of IGN colocation products offered in Mahwah and ensure competitiveness, value\-add and compliance. Supervise projects and product launches, report key timelines to management and escalate when needed.
* Build and maintain strong relationships with key internal stakeholders involved in the management of the Mahwah facility (datacenter teams, network teams, NYSE business, NYSE technical teams, SIAC, legal and regulatory teams). Monitor changes (technical, regulatory, financial) impacting the IGN offering. Manage communication (internal / external), documentation update, and ad\-hoc requests to support the business.
* Monitor and build knowledge about third\-party colocation facilities across the globe to understand offerings, best practices and trends. Identify opportunities and risks to bring to management’s attention.
* Develop a strong understanding of the IGN connectivity solutions (Ethernet ports, Cloud\-based, SDN\-based, etc…) and manage the global offering in collaboration with the wider IGN product team. Identify improvements, enhancements, adjustments and gaps, and work with the relevant team on the execution plan.
* Identify new solutions (or enhancements) and bring them to market
+ Work with engineering on new technical solution (high\-level\-design) and associated costs
+ Build business case with full P\&amp;L and present to senior management
+ If approved, lead the go\-to\-market plan and supervise the launch:
- Validate the technical solution with engineering (low\-level design)
- Define the product and work on commercial strategy and pricing
- Join the project steering committees, report back key information to senior business management
- Deliver collateral documents (internal/external). Train Sales and Pre\-Sales teams.
- Work with marketing on PR, social media and campaigns
- Supervise the launch and work very closely with Sales to analyze feedback and manage adjustments if needed
- Set KPIs to measure success and performance of new products, and report KPIs to senior management
* Meet with IGN customers during QBR\-type events. Capture, analyze, translate and transmit feedback. Build business cases when opportunity arises. Walk customers through IGN initiatives and roadmap.
* Engage with third parties and partners for existing and new products. Attend industry events. Monitor technologies (change, trend, new development) relevant to the business.
* Act as Subject Matter Expert for connectivity and colocation solutions, contribute to RFPs or ad\-hoc opportunities and support the Sales team.
* Collaborate with the wider IGN product team on the third\-party CSPs (Content Service Providers) available on the network. Monitor changes (technical, financial, legal), translate those changes into internal projects or activities, oversee IGN readiness and communication (internal and customers).
**Knowledge And Experience**
* University degree, preferably in technology, engineering, or business
* 6\+ years of experience in a product role or as a technical expert dealing with financial network services or related sectors. Ideally, the candidate would have worked for a trading venue or a financial market service provider (Extranet, ASP, ISV) and has experience and exposure to the following:
+ Market participants, exchanges, and alternative trading systems
+ Market data and order entry protocols
+ Electronic and algorithmic trading technologies and trading strategies
* Results oriented with a strong work ethic and an eagerness to take on new assignments and challenges
* Strong communication and presentation skills
* Solid understanding of trading venue infrastructures (edge network, gateways, matching engine, feed handlers) with exposure to market data and order entry protocols.
* Strong knowledge of data center environments (space \&amp; power, racking and patching, cross\-connects, meet\-me\-rooms)
* Proficient knowledge of telecommunications / networks (lower layers of OSI model with a strong focus on Layer 2 and Layer 3 protocols and solutions such as VCC, Layer 3 VPN, multicast distribution, TCP connection, etc…)
* Familiar with Americas\-based trading venues and/or venue connectivity model (technical solution, costs, redistribution model, etc…)
* Familiar with regulation governing colocations facilities and legal documentation (master agreement, policies, terms \&amp; conditions, order form)
* Strong client focus and able to work effectively in cross\-functional teams
* Rigorous focus to ensure and monitor compliance to relevant regulations
* Effective time management and able to prioritize multiple tasks in a demanding and fast paced environment
**New York Base Salary Range**
 The expected base salary for this role, if located in New York, is between $120,000 \- 195,000 USD.  The base salary range does not include Intercontinental Exchange’s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
 Intercontinental Exchange, Inc. is an Equal Opportunity Employer. All qualified applicants will receive consideration for employment without regard to legally protected characteristics.</t>
        </is>
      </c>
    </row>
    <row r="70">
      <c r="A70" t="inlineStr">
        <is>
          <t>li-4367917587</t>
        </is>
      </c>
      <c r="B70" t="inlineStr">
        <is>
          <t>Principal Product Manager - CTJ - TS/SCI</t>
        </is>
      </c>
      <c r="C70" t="inlineStr">
        <is>
          <t>Microsoft</t>
        </is>
      </c>
      <c r="D70" t="inlineStr">
        <is>
          <t>linkedin</t>
        </is>
      </c>
      <c r="E70" t="inlineStr"/>
      <c r="F70" t="inlineStr"/>
      <c r="G70" t="inlineStr">
        <is>
          <t>Redmond, WA</t>
        </is>
      </c>
      <c r="H70" t="inlineStr"/>
      <c r="I70" t="inlineStr">
        <is>
          <t>**Overview**
 You will join a team operating at the center of Microsoft’s most strategic and technically complex Government and industry partnerships. You’ll be part of a group that bridges deep product expertise with the realities customers face when deploying mission‑critical solutions across regulated and air‑gapped cloud environments. In this team, you will help shape how Microsoft responds to high‑visibility customer needs, clarify ambiguous requirements, and coordinate the right engineering and product leaders to accelerate outcomes. You will thrive here if you enjoy solving hard problems, influencing across organizational boundaries, and representing Microsoft with clarity, confidence, and credibility in front of some of our most demanding partners.
 As a Product Manager in this role, you will lead strategic customer engagements where technical requirements are complex, stakes are high, and rapid clarity is critical. You will translate customer asks into actionable product needs, coordinate engineering teams across Microsoft to validate paths forward, and ensure escalations move from confusion to resolution with discipline and transparency. You will operate as the connective tissue between customers and product groups, helping partners understand what’s possible today and what can be engineered for tomorrow. This opportunity will allow you to accelerate your career growth, develop deep cross‑Microsoft product and engineering acumen, and hone your ability to drive clarity and execution across highly technical organizations. Flexible work options are available, and you can work from home partially based on business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Anticipate and analyze customer needs across multiple feature areas, using qualitative feedback and telemetry to identify patterns, uncover unmet requirements, and shape actionable problem statements for high‑visibility engagements.
* Lead cross‑customer and cross‑team engagement sessions to collect insight, validate understanding, and ensure technical and business requirements are interpreted correctly for complex, regulated, or air‑gapped cloud scenarios.
* Act as a subject‑matter expert in competitive and market analysis, bringing informed perspective into customer escalations, scenario design, and tradeoff decisions that influence Microsoft’s direction in sensitive Government and industry environments.
* Draft and refine product framing and strategy documents that translate ambiguous customer asks into clear scenarios, user stories, integrated workflows, and roadmap proposals spanning multiple product areas.
* Own roadmap definition for your feature areas, prioritizing backlogs, identifying dependencies, negotiating tradeoffs with engineering partners, and adapting plans as new customer inputs emerge.
* Define and track success and performance metrics for strategic customer engagements, partnering with engineering and data science teams to establish responsible telemetry, analyze outcomes, and drive data‑grounded decisions.
* Drive scenarios from private preview through public preview to general availability, partnering with Product Marketing and cross‑functional teams to define release criteria, customer‑ready narratives, and change‑management plans.
* Embody our culture and values
**Qualifications**
**Required Qualifications:**
* Bachelor's Degree AND 8\+ years experience in product/service/program management or software development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Secret/SCI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1">
      <c r="A71" t="inlineStr">
        <is>
          <t>li-4376316591</t>
        </is>
      </c>
      <c r="B71" t="inlineStr">
        <is>
          <t>Program Manager</t>
        </is>
      </c>
      <c r="C71" t="inlineStr">
        <is>
          <t>Roush</t>
        </is>
      </c>
      <c r="D71" t="inlineStr">
        <is>
          <t>linkedin</t>
        </is>
      </c>
      <c r="E71" t="inlineStr"/>
      <c r="F71" t="inlineStr"/>
      <c r="G71" t="inlineStr">
        <is>
          <t>Livonia, MI</t>
        </is>
      </c>
      <c r="H71" t="inlineStr"/>
      <c r="I71" t="inlineStr">
        <is>
          <t>Roush works alongside the best and brightest to do incredibly cool things you wouldn't believe. At Roush, you're part of building the future. Are you someone that has a passion for providing innovative solutions to complex challenges? Do you want to work someplace where creativity and new ideas are encouraged? If so, then keep reading.
 We fuse technology and engineering to provide product development solutions to customers in a diverse range of industries. Widely recognized for providing engineering, testing, prototype, and manufacturing services to the transportation industry, Roush also provides significant support to the aerospace, defense and theme park industries. With over 2,400 employees in facilities throughout the United States, Europe, Asia, and South America, our unique combination of creativity and tenacity activates big ideas on a global stage.
 The Program Manager will manage multiple programs and teams to ensure program goals are achieved. The role will interact with multiple customers and cross functional teams. The Program Manager will lead program teams(s) from quoting through completion of programs. This role is supporting the Roush Contract Manufacturing division located in Livonia, MI.
**Responsibilities**
* Manage business aspects of multiple concurrent programs and ensure financial targets and timing are met while maintaining established quality standards.
* Manage, lead, train, coach, and mentor program team(s) related to their job responsibilities.
* Plan, schedule, and oversee coordinator activities and monitor program(s) status.
* Actively maintain customer relationships to ensure customer satisfaction and quality of service.
* Managing all activities associated with materials, budgeting, and production for assigned programs(s).
* Act as liaison with the customer and program staff to properly identify and process scope changes, address issues and communicate regarding program milestones.
* Managing program related correspondence and documents through designated document management systems.
* Ensuring adherence to Roush’s standards of quality, safety, and best practices along with customer specific requirements.
* Direct and manage coordination groups that assign goals for subcontractors.
* Develop and execute large program plans. Manage day\-to\-day build operations supporting department management. Manage the execution of continuous quality improvement activities.
* Collect data from customers, suppliers, Bill of Material, and other resources to prepare presentations and reports. Review program(s) status daily and report percentage of completion.
**Minimum requirements:**
* Bachelor’s degree in business or engineering.
* Minimum of 4 years of managing projects and programs.
* Minimum of 2 years of formal or informal leadership experience.
* U.S. citizen under International Traffic in Arms Regulations (ITAR) compliance.
* Demonstrated knowledge of program management tools and processes (change control, risk identification, phase gate).
* Proven customer relationship skills including the ability to interpret customer requests and deliverables with a focus on cost, quality and delivery.
* Possess excellent written and verbal communication skills, able to effectively host presentations and work with cross functional teams.
* Expert skills in Microsoft Office: Word, Excel, and Project. Microsoft Excel is a large part of job responsibilities.
* Must have excellent organizational skills, attention to detail, the ability to follow directions and prioritize a wide range of assignments.
**Preferred skills/experience:**
* Experience with people management and team leadership, direct or indirect.
* Working knowledge of program management tools (risk analyses, communication plans, timing plans, business cases, comprehensive financial analyses).
* Strong leadership and management skills, ability to solve complex problems, work independently, and be customer focused while managing cost, quality, and delivery.
* Experienced with Google applications.
 Our full\-time benefits include: medical, dental, vision, life insurance, earned sick time, STD, LTD, 401K, tuition reimbursement, employee referral bonuses, paid vacation, paid holidays.
 Visit our website: www.roush.com
 Like us on Facebook: www.facebook.com/RoushCareers
 Roush is an EO employer – Veterans/Disabled and other protected categories
 If you need a reasonable accommodation for our employment application process due to disability, please contact Roush Talent Acquisition at (734\) 779\-7087\.</t>
        </is>
      </c>
    </row>
    <row r="72">
      <c r="A72" t="inlineStr">
        <is>
          <t>li-4376195959</t>
        </is>
      </c>
      <c r="B72" t="inlineStr">
        <is>
          <t>Program Manager</t>
        </is>
      </c>
      <c r="C72" t="inlineStr">
        <is>
          <t>Swooped</t>
        </is>
      </c>
      <c r="D72" t="inlineStr">
        <is>
          <t>linkedin</t>
        </is>
      </c>
      <c r="E72" t="inlineStr"/>
      <c r="F72" t="inlineStr"/>
      <c r="G72" t="inlineStr"/>
      <c r="H72" t="inlineStr"/>
      <c r="I72" t="inlineStr">
        <is>
          <t>**About Our Client** 
 Our client powers manufacturing uptime through the delivery of an unparalleled condition monitoring experience, with a passion to care about the assets customers care for every day. The team includes world\-renowned engineers and distinguished business leaders united by a common goal – To build the future of predictive maintenance. As the organization enters the next phase of rapid growth, people are sought to help lead the journey.
**About The Role** 
 Our client is looking for a driven
 **Program Manager** 
 to serve as the strategy engine for a critical domain within the company. This isn’t a traditional Program Management position – in this role, the individual will ensure the collection of projects and programs are fit for purpose to meet the objectives and key results for the domain while driving specific projects and programs directly. The Program Manager will partner with functions across the company to deeply understand their needs and requirements while also providing relevant and actionable information on their portfolio of projects.
**Key Responsibilities** 
* **PMO Championing and Maturation** 
 : PMO thought partnership. Coaching and organizational change management.
* **Project Management** 
 : Charter, scope and success criteria alignment and management. Stakeholder analysis and communication planning. WBS and schedule development and management. Risk identification and mitigation. Team mobilization. Procedure and SOP oversight. Testing and QA management. Release management/transition to BAU. Lessons learned and continuous improvement.
* **Program Management** 
 : OKR alignment and scoping. Business case creation and vetting. Interdependency identification and management. Cost and return forecasting. Status reporting and communication.
* **Portfolio Management** 
 : Risk and opportunity identification. Demand triage. Prioritization and stack ranking. Resource capacity planning. Aggregate, multi\-stakeholder reporting.
* **Business Analysis** 
 : Assessment and improvement opportunity identification. Change impact assessment: Solution architecture.
* **Requirements Management** 
 : Scope decomposition. Requirements traceability matrix development and management. Test case development oversight.
**Required Qualifications** 
* **PMO experience** 
 : 5\-7 years of leadership experience in program management. Demonstrated success managing cross‑functional teams, collaborating with senior executive stakeholders, and delivering large‑scale innovation initiatives.
* **Cross‑functional delivery** 
 : Experience working across product, operations, finance and marketing functions to drive program success (on\-time, on\-budget, on\-scope).
* **Technical fluency** 
 : Strong understanding of supply\-chain processes and technologies, customer relationship management (CRM) processes and technologies.
* **Communication and stakeholder management** 
 : Excellent communication skills with the ability to introduce new project, program and portfolio management concepts and demonstrate their value.
* **PPM Tool Expert** 
 : Demonstrated ability to navigate and adapt PPM tools for a diverse community of stakeholder needs.
**Preferred Qualifications** 
* **PMI PMP Certification**
* **Education** 
 : Bachelor’s degree in business, supply chain, computer science, data science, artificial intelligence, engineering or a related quantitative field.
* **Continuous learner/growth mindset** 
 : Commitment to staying abreast of emerging capabilities and best practices; known for quickly moving from theoretical knowledge to real\-world application.
* **PMO Adjacent Domain Expertise** 
 : Demonstrated ability to identify and optimize process and technology integrations with peripheral concepts.
**What They Offer** 
 Our client is a remote\-first company that puts people at the center of everything it does. The company wants team members to thrive, offering a range of benefits and perks designed to support well\-being, growth, and work\-life balance.
* Competitive compensation package including stock options
* Flexible work schedule
* Comprehensive benefits including retirement plan match
* Opportunity to make a real impact every day
* Work with a dynamic and growing team
* Unlimited PTO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73">
      <c r="A73" t="inlineStr">
        <is>
          <t>li-4373761647</t>
        </is>
      </c>
      <c r="B73" t="inlineStr">
        <is>
          <t>Sr Principal Technical Program Manager - Federal Health</t>
        </is>
      </c>
      <c r="C73" t="inlineStr">
        <is>
          <t>Oracle</t>
        </is>
      </c>
      <c r="D73" t="inlineStr">
        <is>
          <t>linkedin</t>
        </is>
      </c>
      <c r="E73" t="inlineStr"/>
      <c r="F73" t="inlineStr"/>
      <c r="G73" t="inlineStr"/>
      <c r="H73" t="inlineStr"/>
      <c r="I73" t="inlineStr">
        <is>
          <t>**Job Description**
 We are seeking a seasoned Sr. Technical Program Manager who has a proven track record in excellence and can partner effectively to drive impact. This role will be responsible for understanding customer and program requirements within the overall business context and transforming them into high\-value outcomes. You will work with internal/external teams to align vision, define objectives, manage risks, create functional solutions, define/implement plans, and ultimately deliver impact. It is the expectation that the Senior Technical Program Manager becomes a Subject Matter Expert in the space influencing the direction, strategy, and design of the solutions. A successful candidate will have excellent written and oral communication skills, cross\-organizational and program management skills, and thrive in a highly innovative, fast\-paced, evolving, and ambiguous environment.
 Career Level \- IC5
**Responsibilities**
**RESPONSIBILITIES**
**Must be a US Citizen eligible to obtain and maintain a Federal Security Clearance**
* Gather requirements and define proper solutions (process \+ tech) with the mindset of quality, extensibility, and scalability.
* Influence direction of solutions with a strategic view on future aspirations
* Ensure proper business case/ROI has been done for feature prioritization
* Effectively manage prioritization discussions as they relate to features/requirements and roadmap; Work with product, design, and engineering teams to determine product strategy and prioritize feature projects.
* Manage expectations, alignment, and communications with customers and stakeholders through cadenced meetings, reports, statuses, reviews, etc.
* Drive effective teamwork, communication, collaboration and dedication across Engineering, Product Management, Operations, Support, and other key partners of the Oracle Health Sovereign team
* Help define and deliver sophisticated programs with competing priorities by influencing roadmaps and priorities of key partners
* Work with multi\-functional teams to establish and maintain our roadmap, setting appropriate expectations and ensuring our product and services meet our high operational excellence standards
* Drive execution for timely, on\-scope delivery of user and developer facing features
* Ensure high standards and consistency for the Oracle customer experience
* Recommend process improvements and serve as a partner concern point for all issues and questions associated with a program
* Provide on\-going written and verbal release status updates to leadership
* Demonstrate flexibility and resilience in response to changing or ambiguous situations, advising changes through appropriate review and approval mechanisms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4">
      <c r="A74" t="inlineStr">
        <is>
          <t>li-4350157825</t>
        </is>
      </c>
      <c r="B74" t="inlineStr">
        <is>
          <t>IT Program Manager - ERP</t>
        </is>
      </c>
      <c r="C74" t="inlineStr">
        <is>
          <t>Universal Technical Institute, Inc.</t>
        </is>
      </c>
      <c r="D74" t="inlineStr">
        <is>
          <t>linkedin</t>
        </is>
      </c>
      <c r="E74" t="inlineStr"/>
      <c r="F74" t="inlineStr"/>
      <c r="G74" t="inlineStr">
        <is>
          <t>Phoenix, AZ</t>
        </is>
      </c>
      <c r="H74" t="inlineStr"/>
      <c r="I74" t="inlineStr">
        <is>
          <t>**Overview**
 The IT Program Manager provides strategic leadership across multiple interrelated IT projects within enterprise programs. This role manages program resources, budgets, risks, cross\-functional dependencies, and ensures delivery of integrated solutions that support long\-term business value. The IT Program Manager leads governance structures, facilitates executive stakeholder engagement, and oversees change management and benefits realization across the program lifecycle.
**Pay Range: $108,000 \- $144,000**
**What We Offer**
*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**Specific Accountabilities**
* Lead End\-to\-End Implementation Drive planning, coordination, and execution of ERP (Workday), CRM, and SIS programs across all phases: requirements, design, development/configuration, testing, business readiness, OCM, and deployment.
* Business \&amp; IT Alignment Partner with functional leaders to align technology solutions with business processes and compliance requirements.
* Vendor \&amp; Partner Management Manage relationships with Workday and Salesforce implementation partners, ensuring deliverables meet contractual obligations and quality standards.
* Risk \&amp; Issue Management Proactively identify risks related to data migration, system performance, and change adoption; develop mitigation strategies.
* Governance \&amp; Steering Committees Facilitate executive\-level governance forums, presenting program health, KPIs, and strategic recommendations.
* Organizational Change Management (OCM) Oversee OCM strategies to ensure stakeholder engagement, training, and adoption of new systems.
**Qualifications**
**Education / Experience:**
* Bachelor’s degree in Computer Science, Information Technology, Business Administration, or related field (required)
* Master’s degree (preferred)
* Ten (10\) years of experience in IT program and project management, including enterprise\-level initiatives (required)
* Experience in management of complex, cross\-functional IT initiatives
* Expert understanding of Program Management, and Adaptive Project Management methodologies as well as agile frameworks and ways of working
**Licenses / Certifications**
* PMP Certification (Required)
* PgMT Certification (preferred)
* Valid, state\-issued driver's license (required)
**Skills**
* Deep ERP/CRM Expertise: Hands\-on experience with Workday Finance modules and Salesforce Sales/Service Cloud.
* Data Migration \&amp; Integration: Strong understanding of ETL processes, APIs, and middleware for large\-scale system integrations.
* Testing Leadership: Expertise in managing UAT, SIT, and regression testing for enterprise applications.
* Budget \&amp; Financial Control: Ability to manage multi\-million\-dollar program budgets and vendor contracts.
* Executive Communication: Skilled in presenting complex program updates to C\-suite stakeholders.
**Abilities**
* Strategic Leadership: Ability to lead multi\-year, multi\-system transformation programs.
* Decision\-Making Under Ambiguity: Navigate complex organizational structures and competing priorities.
* Cross\-Functional Collaboration: Build strong partnerships across Finance, Marketing, Student Services, and IT.
**Experience**
* Mandatory:
* Direct leadership of at least one Workday ERP or Salesforce CRM implementation from initiation to deployment.
* Preferred:
* Experience with Student Information Systems.
* Background in higher education or large\-scale corporate environments
**Standard Abilities**
* Able and willing to:
* Communicate, think, learn, and reason
* Use computers and computer systems (including hardware and software) to process transactions, store documents, enter data, or perform assigned tasks
* Safely ambulate and/or maneuver when on\-site at Company locations
* Demonstrate and utilize active listening, inductive reasoning, information ordering and category flexibility
* Ability to use good judgment, problem\-solving and decision\-making skills
* Ability to maintain confidentiality and manage sensitive information with discretion
* Ability to work in a fast\-paced environment where deadlines are essential and multiple projects are worked simultaneously
* Ability to gain, understand and apply information and data as it relates essential functions of the position
* Ability to foster long\-term relationships with stakeholders</t>
        </is>
      </c>
    </row>
    <row r="75">
      <c r="A75" t="inlineStr">
        <is>
          <t>li-4367691292</t>
        </is>
      </c>
      <c r="B75" t="inlineStr">
        <is>
          <t>Program Manager</t>
        </is>
      </c>
      <c r="C75" t="inlineStr">
        <is>
          <t>AFL</t>
        </is>
      </c>
      <c r="D75" t="inlineStr">
        <is>
          <t>linkedin</t>
        </is>
      </c>
      <c r="E75" t="inlineStr"/>
      <c r="F75" t="inlineStr"/>
      <c r="G75" t="inlineStr">
        <is>
          <t>Duncan, SC</t>
        </is>
      </c>
      <c r="H75" t="inlineStr"/>
      <c r="I75" t="inlineStr">
        <is>
          <t>We are seeking a Program Manager to join our Data Center/AI team.
 *This position will be working on a hybrid schedule from our Duncan, SC or Dallas, TX location!*
*The Program Manager is responsible for organizing and leading a cross\-functional team, consisting of Customer Service, Scheduling, Material Planning, Purchasing, Logistics and Manufacturing, to meet Client’s expectations on deliveries, as well as resolving logistical and operational issues in timely manners. Overall, the Client Success Manager will lead the organization through improved white glove customer service and support, providing increased Client satisfaction.*
**What We Offer**
* Flexible time off policy
* Hybrid work schedule and possible remote to qualifying employees
* 401K Company match (up to 4% \- dollar for dollar)
* Professional development, training, and tuition reimbursement programs
* Excellent medical, dental, vision, and life insurance policy options
* Opportunities for career advancement with an industry leading company!
**Responsibilities**
* Creates reporting formats and delivers reports to key clients. Such reports may include delivery performances, quality metrics, inventory risks, manufacturing capacities, etc.
* Creates reporting formats and delivers reports to internal management team, including the Department Managers, Product Managers, Data Center Sr. Vice President and the Products Solution President, related to the performance of key Client accounts. These reports may include monthly highlights, inventory, lead times, on\-time\-delivery metrics, client complaints, revenues, bookings, backlogs, etc.
* Establish with Product Managers and Department Managers key metric objectives, and coordinate with cross\-functional team members to achieve such objectives
* Run production meetings with cross\-functional team, consisting of Customer Service, Scheduling, Material Planning, Purchasing, Logistics and Manufacturing
* Resolve problems related to logistics, customer service and support
* Understand and recommend improvements to Department Managers to achieve objectives for key metrics
* Escalate issues in operations that will detrimentally affect client satisfaction to respective Department Managers
* Key internal contact for clients, providing white glove service and support
**Personal Qualities**
* Strong sense of ownership and accountability
* Exhibits a strong preference for organization, planning, and efficiency
* Self\-motivated
* Strong interpersonal and report writing skills
* Ability to work independently
* Must have a strong interest in servicing the clients
* Ability to lead cross\-functional and cross\-cultural team
* Must have a strong interest in operation excellence, performance metrics and data analysis
**Qualifications**
* 4\-year college degree in any discipline or equivalent work experience
* Minimum of 8 years of working experience
* 4 to 8 plus years of Supervisory/Leadership position in Customer Service is preferred
* 4 to 8 plus years of project management experience
* Excellent oral and written communications skills
* Some travel to meet with clients and some travel to overseas manufacturing facilities when necessary
* Advanced/Expert level of MS Excel; proficient usage of additional MS Office Products (Word, PowerPoint, Outlook, and Teams) Power BI knowledge a plus</t>
        </is>
      </c>
    </row>
    <row r="76">
      <c r="A76" t="inlineStr">
        <is>
          <t>li-4376325907</t>
        </is>
      </c>
      <c r="B76" t="inlineStr">
        <is>
          <t>Product Manager</t>
        </is>
      </c>
      <c r="C76" t="inlineStr">
        <is>
          <t>Lensa</t>
        </is>
      </c>
      <c r="D76" t="inlineStr">
        <is>
          <t>linkedin</t>
        </is>
      </c>
      <c r="E76" t="inlineStr"/>
      <c r="F76" t="inlineStr"/>
      <c r="G76" t="inlineStr">
        <is>
          <t>Denver, CO</t>
        </is>
      </c>
      <c r="H76" t="inlineStr"/>
      <c r="I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**Required Skills**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Preferred Qualifications:
* Experience building 0\-1 products, platform/ecosystem products, or marketplaces
* Experience in a consumer focused technology company
**Public Compensation**
 $205,000/year to $277,000/year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77">
      <c r="A77" t="inlineStr">
        <is>
          <t>li-4376331273</t>
        </is>
      </c>
      <c r="B77" t="inlineStr">
        <is>
          <t>Senior Product Manager</t>
        </is>
      </c>
      <c r="C77" t="inlineStr">
        <is>
          <t>Copper</t>
        </is>
      </c>
      <c r="D77" t="inlineStr">
        <is>
          <t>linkedin</t>
        </is>
      </c>
      <c r="E77" t="inlineStr"/>
      <c r="F77" t="inlineStr"/>
      <c r="G77" t="inlineStr">
        <is>
          <t>Berkeley, CA</t>
        </is>
      </c>
      <c r="H77" t="inlineStr"/>
      <c r="I77" t="inlineStr">
        <is>
          <t>**Overview**
 As a Senior Product Manager at Copper, you will play a pivotal role in defining and executing the roadmap for our next generation of electrified home appliances. Reporting directly to the VP of Product, you will bridge the gap between hardware and software, ensuring our products deliver exceptional value to a growing and diverse ecosystem of customers, from appliance manufacturers integrating Copper technology to multifamily buildings deploying large fleets of battery equipped appliances to single\-family homeowners looking to upgrade their cooking experience and electrify their homes.
 This role is designed for a self\-starter who thrives in ambiguity and is comfortable driving complex projects forward using a combination of data and intuition based on your deep understanding of our customers. You will balance strategic planning with tactical execution, exhibiting excellent judgment on when to make autonomous decisions and when to consult with leadership. You will work cross\-functionally with engineering, marketing, design, operations, and sales to bring products to market that reduce reliance on fossil fuels and increase energy resilience.
 We value a diverse workplace, and are assembling our team to match these values at this early stage. We especially welcome different backgrounds, experiences, abilities, and perspectives, and strongly encourage people of all ethnic backgrounds and genders to apply.
**What you'll do**
* **Drive Product Strategy:** 
 Partner with the VP of Product to define and manage our product roadmap, balancing the needs of our customers and the technical resources available to deploy.
* **Manage the Full Lifecycle:** 
 Oversee the product lifecycle from ideation to launch and beyond for both hardware devices and their companion software experiences.
* **Cross\-Functional Leadership:** 
 Serve as the connective tissue between hardware engineering, software development, and commercial teams to ensure technical feasibility meets market requirements.
* **Customer Discovery:** 
 Conduct user research and gather feedback across our distinct customer segments to validate features and uncover new opportunities.
* **Prioritize \&amp; Execute:** 
 Translate high\-level business goals into detailed requirements and user stories. Make occasionally challenging prioritization decisions to keep projects on track while maintaining high quality.
* **Data\-Driven Decision Making:** 
 Define product success metrics and use data to iterate and improve performance over time.
**What you'll bring**
* **Proven Experience:** 
 4\-7\+ years of product management experience, preferably in a startup or high\-growth environment where you have worn multiple hats.
* **Strong Technical Foundation:** 
 Experience shipping hardware products with a significant software component. You understand the longer lead times of physical builds and how to synchronize them with agile software sprints.
* **Versatility:** 
 Experience managing products for both B2B and B2C audiences. You are comfortable discussing technical specs with appliance manufacturers one hour and consumer UX with homeowners the next.
* **Autonomy \&amp; Judgment:** 
 You are a "manager of one" who can unblock yourself and drive progress independently, but you possess the maturity to know when a decision requires executive input.
* **Communication Skills:** 
 Exceptional ability to communicate complex technical concepts to non\-technical stakeholders and business requirements to engineering teams.
* **Mission Alignment:** 
 A genuine passion for electrification, decarbonization, and building products that have a tangible positive impact on the world.
**Location**
 This is a full\-time, in\-office role that is on site four days per week minimum. Our office is located in Berkeley, CA.
**Compensation \&amp; Benefits**
 The salary range for this role is $180,000 \- $210,000 per year. We are committed to equitable compensation, and we offer a generous benefits package to make sure you have the support you need. We cover 100% of the premiums for our employees and 50% of the premiums for their dependents on our base plans for medical, dental, and vision insurance. We offer a 401(k) plan for employees to contribute to, in addition to many other benefits. Every employee, regardless of gender identity or expression, is eligible for 16 weeks of paid parental leave after three months of employment (eight weeks through Channing Copper and eight weeks CA Paid Family Leave).
**Equal Employment Opportunity**
 We are committed to creating an equitable and inclusive environment for all our employees and are seeking to build a team that reflects the diversity of the people we hope to serve with our products. We are proud to be an equal opportunity employer.
**About Us**
 Channing Copper's vision is a future where every home is electrified with abundant clean energy. Our mission is to make decarbonization accessible to everyone by selling electric home appliances that enrich their daily lives. We're reducing the cost of electrification by integrating batteries into household appliances, starting with the stove. Our work has been funded by the Department of Energy, in an effort to reduce reliance on fossil fuels and increase energy resilience with products that are high\-performance, safe, intuitive, and robust. As we build our team and pursue our mission, we do it with a strong sense of our core values because it's not just what you do, it's how you do it. You'll see this in high\-level decisions, how we run meetings, our day\-to\-day work, hiring, and our interactions with customers and the broader community. We intend to have a massive impact on our team, our neighborhood, and the world.</t>
        </is>
      </c>
    </row>
    <row r="78">
      <c r="A78" t="inlineStr">
        <is>
          <t>li-4376327875</t>
        </is>
      </c>
      <c r="B78" t="inlineStr">
        <is>
          <t>Product Owner (REMOTE)</t>
        </is>
      </c>
      <c r="C78" t="inlineStr">
        <is>
          <t>Lensa</t>
        </is>
      </c>
      <c r="D78" t="inlineStr">
        <is>
          <t>linkedin</t>
        </is>
      </c>
      <c r="E78" t="inlineStr"/>
      <c r="F78" t="inlineStr"/>
      <c r="G78" t="inlineStr">
        <is>
          <t>Chantilly, VA</t>
        </is>
      </c>
      <c r="H78" t="inlineStr"/>
      <c r="I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Koniag Government Services. Clicking "Apply Now" or "Read more" on Lensa redirects you to the job board/employer site. Any information collected there is subject to their terms and privacy notice.
 Koniag Technology Solutions, a Koniag Government Services company, is seeking a Product Owner to support KTS and our government customer. This position requires the candidate to be able to obtain a Public Trust. This position is remote. This position is for a Future New Business Opportunity.
 We offer competitive compensation and an extraordinary benefits package including health, dental and vision insurance, 401K with company matching, flexible spending accounts, paid holidays, three weeks paid time off, and more.
 Koniag Technology Solutions, a Koniag Government Services company, is seeking an experienced Product Owner to join a development team supporting both established projects and building applications from the ground up. The ideal candidate is an experienced leader and team player that is passionate about technology and committed to lifelong learning, possessing the ability to apply their technical knowledge, skills, and experience to solve complex/real\-world problems.
**Responsibilities**
 The successful candidate will be performing Product Owner duties to support the defining project scope and objectives for complex custom software development and COTS integration in an enterprise class web application environment. Principal responsibilities will include but are not limited to:
**In Collaboration With The Government Product Owner (when Applicable)**
* Builds, edits and maintains the team backlog
* Breaks down solution themes and epics into understandable stories, defects, and enablers
* Prioritizes backlog items based on user value, time and other team dependencies
* Reviews and reprioritizes the backlog as part of the prep work for Iteration Planning
* Coordinates dependencies with other Product Owner Liaisons
* Provides story detail and priorities during Iteration Planning
* Has responsibility of accepting the final iteration plan
* Coordinates with Scrum Master, Dev Team, Product Manager Liaison, Government Product Manager, Government Product Owner (when applicable)
* Coordinates with Architecture team to vet architectural requests
* Ensures receipt of stories/work/tasks from team regarding adherence to non\-functional requirements for their application(s)
* Provides Just\-In\-Time story elaboration
* Applies Behavior\-Driven Development
* Coordinates with Government Product Owner's to accept stories as done
* Provides Acceptance Criteria that assures quality and user expectations
* Understands enabler work and assists with the sequencing of that work
* Coordinates with the team regarding capacity allocation
* Participates in team demo and retrospectives
* Orchestrates the Systems Demo for value stream stakeholders
* Works across teams to define and implement improvement stories based on Inspect and Adapt events
* Ensures that teams demonstrate the most critical aspects of the solution to the stakeholders
**Education And Experience**
* Bachelor's degree \- Computer Science or Technical Journalism preferred
* At least 7 years' experience supporting software/hardware development efforts
* 10\+ years of relevant work experience in lieu of a degree would be acceptable, especially if the experience is multi\-functional (i.e., operations and development)
**Required Skills And Competencies**
 The successful candidate will have experience in the following:
* Strong technical writing skills, with the ability to concisely describe business requirements
* Ability to use a variety of software for creating UML diagrams and mockups as well as written documents for communicating (examples include Atlassian suite, Visio, ARIS, Word, Excel, and PowerPoint)
* Documentation of business requirements. Examples of documentation include business requirement specifications (BSR), context diagrams, use cases, and user stories
* Understanding of Web\-based enterprise software, .Net Framework, C\#, javascript, AJAX, and databases
* Working knowledge of database systems
* Understanding of user interfaces and most common approaches found in GUIs
* Presentation of requirements findings and mockups for review with sponsors and end users
* Ability to understand formulas used in financial calculations and to describe relevant workflows
**Desired Skills**
* Experience working with a wide range of personnel, including business sponsors, product owners, government project managers, development teams, and end users at all levels of the organization
* Working experience with requirement tools (i.e., Jira/Confluence)
* Familiarity with formalized requirements management frameworks (including requirements traceability) such as IEEE, ITIL, CMMI.
* Solid understanding of Agile development methodologies
* Experience using tracking and versioning software such as Codebeamer and Subversion.
* Experience in writing business requirements used to create enterprise class web\-based software.
* Familiarity with data modeling concepts
* Familiarity with integrating COTS and custom software as part of an enterprise software solution (Experience with SAS, SAP, or Pega preferred)
* Ability to research document repositories and existing code.
* Willingness to assist with in development testing
**Security Requirement**
* Ability to obtain a public trust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
***Equal Opportunity Employer/Veterans/Disabled. Shareholder Preference in accordance with Public Law 88\-352***
**Job Details**
**Job Family** 
**Proposal Positions**
**Pay Type** 
**Salary**
 If you have questions about this posting, please contact support@lensa.com</t>
        </is>
      </c>
    </row>
    <row r="79">
      <c r="A79" t="inlineStr">
        <is>
          <t>li-4376341248</t>
        </is>
      </c>
      <c r="B79" t="inlineStr">
        <is>
          <t>Sr Principal Product Manager - Remote</t>
        </is>
      </c>
      <c r="C79" t="inlineStr">
        <is>
          <t>Lensa</t>
        </is>
      </c>
      <c r="D79" t="inlineStr">
        <is>
          <t>linkedin</t>
        </is>
      </c>
      <c r="E79" t="inlineStr"/>
      <c r="F79" t="inlineStr"/>
      <c r="G79" t="inlineStr">
        <is>
          <t>Eden Prairie, MN</t>
        </is>
      </c>
      <c r="H79" t="inlineStr"/>
      <c r="I7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Sr. Principal Product Manager \- Enterprise Cloud Platform, serves as the business champion for Enterprise Cloud Platform solutions across Enterprise Imaging product lines. Optum Enterprise Imaging provides cloud and on\-premises solutions for multi\-specialty care areas such as diagnostic radiology, cardiology, and other care area solutions. Cloud Platform provides infrastructure and services for clinical workflow, vendor neutral archive and enterprise viewing solutions for healthcare providers and administrators.
 In this role, you'll maintain an innovative and compelling Platform strategy for IT applications in Health IT domain, including infrastructure such as edge devices. You will be responsible for working closely with cloud providers to adopt and maintain a strategy for cloud transformation and optimization. The Sr. Principal Product Manager will translate customer and business needs around IT infrastructure and services into a viable strategy for cloud platform and own the executable roadmap for the platform. The Principal Product Manager will own the cloud platform strategy that provides cost\-effective, reliable and secure platform for business application.
 The ideal candidate brings strong familiarity with cloud\-native SaaS delivery models, including concepts such as multi\-tenancy, workload isolation, and usage\-based cost drivers. This individual partners closely with Engineering and Cloud Ops to shape platform direction.
 You'll enjoy the flexibility to work remotely \* from anywhere within the U.S. as you take on some tough challenges. For all hires in the Minneapolis or Washington, D.C. area, you will be required to work in the office a minimum of four days per week.
**Primary Responsibilities**
* Develop platform strategy: Collaborate with cross\-functions to define the overall product strategy, aligning it with the business goals and objectives
* Product plan and roadmap: Create and maintain a platform roadmap that outlines the platform vision, key features, and timeline for development
* Define platform\-level functional and non\-functional requirements (availability, performance expectations, cost drivers) in collaboration with engineering and cloud architecture teams
* Prioritize initiatives based on business impact, internal and external customer needs, and development capacity
* Lead a team of Platform product owners and product managers, provide coaching and development of individuals to lead a cohesive platform mission
* Cross\-functional collaboration: Work closely with engineering, Cloud\-Ops, Peer Product management for applications, Services and GTM/Sales teams to ensure successful development, release and GTM plan for platform services
* Understand and communicate cloud cost impacts of platform decisions, supporting FinOps practices at a product level (e.g., cost\-to\-serve insights, right\-sizing considerations) while partnering with Cloud Ops and Finance
* Partner with Engineering to evaluate major cloud platform decisions (e.g., service selection, scaling approaches) from a business, customer, and product perspective, without taking on architectural design
* Ensure platform roadmap decisions align with SaaS operational needs, including observability, reliability, maintainability, and upgrade paths
* In partnership with Cloud providers and Cloud Ops teams, drive cloud resource optimization, cost efficiency of cloud storage, compute and related resources to support P\&amp;L view of cloud consumption overall across all Enterprise Imaging applications and services
* Leverage internal synergies with broader Optum organization on cloud environment, consumption, and efficiencies
* Engage and support customer conversations as the cloud platform SME for new sales opportunities or support during implementation
* Develop and maintain cloud vendor relations, working closely with the Business development team on contracts, pricing, resourcing and support needs
* Serve as subject matter expert for cloud platform working closely with engineering and Cloud\-Ops teams and support sales and services to provide strategic direction, functional and operational capabilities
* Serve as subject matter expert for our public cloud provider to support the Enterprise Imaging portfolio of cloud products, including sizing of cloud resources, cost\-effective utilization of cloud compute, storage and communication.
* Drive consistency and innovation in the use of cloud technology across Enterprise Imaging cloud solutions
* Serve as a point of contact to bring vendor partners into activities with key customers as necessary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a relevant field
* 8\+ years as a Product Manager and 3\+ years as a Product Owner
* 5\+ years with cloud platform and applications
* Solid understanding of core cloud concepts such as object storage, compute elasticity, networking basics, and managed service offerings
* Demonstrated ability to collaborate with cloud architects and engineering teams to make informed tradeoffs regarding scalability, performance, and cost
* Demonstrated ability to translate customer requirements into platform capabilities for a modern SaaS environment
**Preferred Qualifications**
* Master's degree in computer science, or information technology or equivalent graduate degree
* Cloud Certification from Google Cloud or competitive Cloud Provider(s)
* 10\+ years of experience in product management
* 5\+ years of experience managing direct reports such as Product Owners and Product Managers
* 5\+ years in cloud platform and SaaS transformation
* Preferred experience includes
* Experience in healthcare and Clinical IT domain
* Experience supporting or productizing a multi tenant SaaS platform, including conceptual understanding of tenancy models and operational impacts
* Experience working with cloud architects and engineering teams to assess public cloud services for use in production SaaS offerings
* Effectively managing products through key stages of the lifecycle in a regulated industry
* Delivering IT infrastructure solutions to the healthcare provider market
* Evaluating public cloud infrastructure capabilities for use in cloud\-native SaaS products Specific experience with Google Cloud Platform is highly preferred
* Expertise in cloud resource (compute, storage, network) optimization, capacity planning, cost effective solutions to manage multi\-tenant systems in the public cloud
* Knowledge of dynamic scaling, multitenancy, and solutions delivering performance at scale in the public cloud environment
* Familiarity with observability concepts (monitoring, logging, basic SLI/SLO frameworks) in collaboration with platform engineering teams
* Knowledge of Health IT interoperability standards such as DICOM and HL7/FHIR
* Successful track record of developing cloud services and cloud solutions
* Outstanding verbal and written communication skills
**Working Conditions/Physical Requirements**
* General office demands
* Ability to work remotely
**Travel**
* Up to 25% travel may be required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If you have questions about this posting, please contact support@lensa.com</t>
        </is>
      </c>
    </row>
    <row r="80">
      <c r="A80" t="inlineStr">
        <is>
          <t>li-4374943916</t>
        </is>
      </c>
      <c r="B80" t="inlineStr">
        <is>
          <t>Principal Product Manager - Customer Data Platform</t>
        </is>
      </c>
      <c r="C80" t="inlineStr">
        <is>
          <t>GEICO</t>
        </is>
      </c>
      <c r="D80" t="inlineStr">
        <is>
          <t>linkedin</t>
        </is>
      </c>
      <c r="E80" t="inlineStr"/>
      <c r="F80" t="inlineStr"/>
      <c r="G80" t="inlineStr">
        <is>
          <t>New York, NY</t>
        </is>
      </c>
      <c r="H80" t="inlineStr"/>
      <c r="I8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1">
      <c r="A81" t="inlineStr">
        <is>
          <t>li-4374946841</t>
        </is>
      </c>
      <c r="B81" t="inlineStr">
        <is>
          <t>Principal Product Manager - Customer Data Platform</t>
        </is>
      </c>
      <c r="C81" t="inlineStr">
        <is>
          <t>GEICO</t>
        </is>
      </c>
      <c r="D81" t="inlineStr">
        <is>
          <t>linkedin</t>
        </is>
      </c>
      <c r="E81" t="inlineStr"/>
      <c r="F81" t="inlineStr"/>
      <c r="G81" t="inlineStr">
        <is>
          <t>San Francisco, CA</t>
        </is>
      </c>
      <c r="H81" t="inlineStr"/>
      <c r="I8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2">
      <c r="A82" t="inlineStr">
        <is>
          <t>li-4374936995</t>
        </is>
      </c>
      <c r="B82" t="inlineStr">
        <is>
          <t>Product Manager, CB Mobile</t>
        </is>
      </c>
      <c r="C82" t="inlineStr">
        <is>
          <t>hackajob</t>
        </is>
      </c>
      <c r="D82" t="inlineStr">
        <is>
          <t>linkedin</t>
        </is>
      </c>
      <c r="E82" t="inlineStr"/>
      <c r="F82" t="inlineStr"/>
      <c r="G82" t="inlineStr">
        <is>
          <t>Philadelphia, PA</t>
        </is>
      </c>
      <c r="H82" t="inlineStr"/>
      <c r="I82" t="inlineStr">
        <is>
          <t>***hackajob** 
 is collaborating with
 **Comcast** 
 to connect them with exceptional tech professionals for this role.*
 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Comcast Business Mobile is a critical part of the Comcast Business portfolio, powering the mobility needs of small business customers. The Product Management team owns and evolves the platforms and tools that enable our assisted sales experience across retail, partner, and internal channels. We are seeking a collaborative, customer focused Product Manager to own the end to end assisted sales platform for Comcast Business Mobile. This individual will define, plan, and execute the development of features that improve sales and care workflows, streamline processes, and enhance the overall sales experience. The ideal candidate brings strong experience in product delivery, stakeholder engagement, and process mapping. They will work closely with engineering, solutions architects, UX, digital teams, and sales operations to ensure features meet business needs, integrate seamlessly across systems, and support efficient and intuitive assisted sales journeys. This individual will report to the Senior Manager, Product Management.
**Job Description**
**Core Responsibilities**
* Own and evolve the Comcast Business Mobile assisted sales platform, ensuring it supports intuitive, efficient, and scalable sales and customer care workflows across channels.
* Plan and execute feature development that advances platform functionality, improves user experience, and reduces operational friction.
* Assess and document current‑state and future‑state process flows, identifying process impacts, system dependencies, workflow gaps, and required changes resulting from new features.
* Translate business cases, user needs, and process insights into clear business requirements and acceptance criteria for engineering, UX, and technical partners.
* Partner with solutions engineering, developers, UX, and digital teams to ensure feature designs and implementations meet requirements and align with overall platform strategy.
* Work closely with Sales Operations to ensure assisted sales and customer care workflows meet channel needs and align to operational and procedural realities.
* Coordinate testing and validation efforts, partnering with end‑to‑end and launch readiness testing teams to ensure features function as intended and support business workflows.
* Lead release coordination and status reporting, collaborating with program management and technical teams to track delivery, identify risks, and ensure successful deployments.
* Participate in cross\-functional collaboration across Comcast Business Mobile and Xfinity Mobile stakeholders to drive alignment and seamless experiences across organizations.
* Exercise sound judgment and independent decision\-making to resolve blockers, drive clarity, and ensure high‑quality product outcomes.
* Be on\-site in the Philadelphia office four days per week.
* Other duties and responsibilities as assigned.
**Minimum Requirements**
* 5–10 years of related experience in product management, consulting, business process design, business operations, or similar fields.
* Experience with product delivery, requirements definition, and process mapping within complex or cross\-functional environments.
* Telecommunications or wireless industry experience is a plus.
* Experience working with matrixed teams, including engineering, UX, digital, operations, and sales organizations.
* Strong analytical and problem‑solving skills, with the ability to synthesize complex workflows and distill them into clear requirements and actions.
* Excellent communication skills and the ability to present ideas, progress, and decisions to stakeholders at various levels.
* Comfortable working with ambiguous, evolving, or incomplete information and driving clarity through structured thinking.
* Self\-starter with the ability to quickly learn complex systems, processes, and constraints.
* High level of collaboration, interpersonal skills, and stakeholder management capability.
* Technical aptitude and comfort working with engineering and architecture teams to understand system behavior, dependencies, and integration impacts.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Strategic Objectives; Product Design; Product Management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83">
      <c r="A83" t="inlineStr">
        <is>
          <t>li-4374946842</t>
        </is>
      </c>
      <c r="B83" t="inlineStr">
        <is>
          <t>Principal Product Manager - Customer Data Platform</t>
        </is>
      </c>
      <c r="C83" t="inlineStr">
        <is>
          <t>GEICO</t>
        </is>
      </c>
      <c r="D83" t="inlineStr">
        <is>
          <t>linkedin</t>
        </is>
      </c>
      <c r="E83" t="inlineStr"/>
      <c r="F83" t="inlineStr"/>
      <c r="G83" t="inlineStr">
        <is>
          <t>San Jose, CA</t>
        </is>
      </c>
      <c r="H83" t="inlineStr"/>
      <c r="I8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4">
      <c r="A84" t="inlineStr">
        <is>
          <t>li-4374943914</t>
        </is>
      </c>
      <c r="B84" t="inlineStr">
        <is>
          <t>Senior Product Manager - Customer Data Platform</t>
        </is>
      </c>
      <c r="C84" t="inlineStr">
        <is>
          <t>GEICO</t>
        </is>
      </c>
      <c r="D84" t="inlineStr">
        <is>
          <t>linkedin</t>
        </is>
      </c>
      <c r="E84" t="inlineStr"/>
      <c r="F84" t="inlineStr"/>
      <c r="G84" t="inlineStr">
        <is>
          <t>San Jose, CA</t>
        </is>
      </c>
      <c r="H84" t="inlineStr"/>
      <c r="I8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5">
      <c r="A85" t="inlineStr">
        <is>
          <t>li-4374961175</t>
        </is>
      </c>
      <c r="B85" t="inlineStr">
        <is>
          <t>Principal Product Manager - Customer Data Platform</t>
        </is>
      </c>
      <c r="C85" t="inlineStr">
        <is>
          <t>GEICO</t>
        </is>
      </c>
      <c r="D85" t="inlineStr">
        <is>
          <t>linkedin</t>
        </is>
      </c>
      <c r="E85" t="inlineStr"/>
      <c r="F85" t="inlineStr"/>
      <c r="G85" t="inlineStr">
        <is>
          <t>Dallas, TX</t>
        </is>
      </c>
      <c r="H85" t="inlineStr"/>
      <c r="I8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6">
      <c r="A86" t="inlineStr">
        <is>
          <t>li-4364744342</t>
        </is>
      </c>
      <c r="B86" t="inlineStr">
        <is>
          <t>Product Manager, Enterprise</t>
        </is>
      </c>
      <c r="C86" t="inlineStr">
        <is>
          <t>State Affairs</t>
        </is>
      </c>
      <c r="D86" t="inlineStr">
        <is>
          <t>linkedin</t>
        </is>
      </c>
      <c r="E86" t="inlineStr"/>
      <c r="F86" t="inlineStr"/>
      <c r="G86" t="inlineStr"/>
      <c r="H86" t="inlineStr"/>
      <c r="I86" t="inlineStr">
        <is>
          <t>State Affairs is the nation’s leading news and policy intelligence platform focused on state governments. We combine nonpartisan coverage of Statehouses across the country alongside state government data and AI\-native tools into a singular platform.
 We inform and empower decision makers, policy professionals and citizens through our award\-winning journalism and data – delivering profound insights to help our customers decode and act on state politics and policy. We’re building a category\-defining business that will reshape America as we strengthen visibility into what’s happening and why at the state level.
 We are hiring a Product Manager, Enterprise, to join our team located in Washington, DC and San Francisco, California.
 Our largest national customers do not just need data; they need a system that creates order out of chaos. You will not just be building features; you will be designing the "operating system" for large\-scale government affairs teams. Your focus is on how complex organizations consume information, collaborate across hierarchies, and integrate our intelligence into their broader corporate ecosystems.
 As the Product Manager, Enterprise, you will be responsible for the following:
* Signal\-to\-Noise Strategy: Develop product logic that prioritizes relevance over volume. You must deeply understand how to algorithmically surface business\-critical information for users managing nationwide portfolios.
* Organizational Dynamics: Design for the complexity of large teams. You will tackle challenges related to governance, permissions, information sharing, and collaboration flows between leadership and local operators.
* Ecosystem Interoperability: Own the strategy for how our platform "plays well with others." You will focus on making our data portable and seamlessly integrated into the diverse software stacks (CRMs, ERPs, Communication tools) of Fortune 500 companies.
* Holistic Value Delivery: Shift the focus from individual user actions to organizational ROI. You will identify features that help entire departments demonstrate their value to the C\-Suite.
* AI Engineering: Write and run evals, prototype with code, understand model architecture tradeoffs, use AI agents to automate your work, and use LLMs with MCPs.
**Essential Qualifications For This Position Include**
* Bachelor’s degree in Computer Science, Engineering, Statistics, Mathematics or related field.
* 5\+ years of professional work experience in Product Management, specifically within B2B SaaS or Enterprise software.
* Prior professional work experience in an Agile/Scrum environment, collaborating daily with engineering and design counterparts to ship software iteratively.
* Prior professional work experience balancing the conflicting needs of different user personas (e.g., The Executive Buyer vs. The Daily User) within a single client account.
* Prior professional work experience conducting user interviews and validation with high\-value clients.
* Ability to map out complex workflows and identify bottlenecks in large organizations.
* Ability to define success metrics (KPIs), analyze user engagement data, and use quantitative insights to defend prioritization decisions.
* Knowledge of how to build extensible solutions and APIs rather than one\-off custom features.
**Preferred Qualifications For This Position Include**
* Prior professional experience working corporate government affairs
* Prior professional work experience in a start\-up organization
 This is an onsite work opportunity and our teams operate from the State Affairs office in Washington, DC and San Francisco, California. State Affairs offers a competitive salary and a comprehensive benefits package to employees.
 The annual salary range for this role as it is posted is $180,000 to $210,000 for candidates working from the State Affairs office in Washington, DC and San Francisco, CA. The final job level and annual salary will be determined based on the education, qualification, knowledge, skills, ability, and experience of the final candidate(s), and calibrated against relevant market data and internal team equity. Benefits listed in this posting may vary depending on the nature of your employment with State Affairs.
 Pursuant to the San Francisco Fair Chance Ordinance, we will consider for employment qualified applicants with arrest and conviction records.
 Candidates must be authorized to work in the United States without the need for current or future company sponsorship.
 State Affairs is an equal opportunity employer and makes employment decisions on the basis of merit and business needs. State Affairs does not discriminate against applicants on the basis of race, color, religion, sex, sexual orientation, gender, gender identity, national origin, veteran status, disability, or any other protected characteristic in accordance with federal, state, and local law.
 State Affairs is committed to providing reasonable accommodations for qualified individuals with disabilities as they go through our job application and interview process. If you need assistance or an accommodation due to a disability, you may contact us at jobs@stateaffairs.com
 By submitting your application, you affirm the content contained therein is true and accurate in all respects. Please note that prior to employment, State Affairs will obtain background checks for employment purposes that may include, where permitted by law, the following: identify verification, prior employment verification, personal and professional references, educational verification, and criminal history. For certain roles, further background checks covering additional information and activities may be initiated.
 "By clicking "Submit Application" you are consenting to the use and retention of the information you have provided as set forth in the State Affairs Privacy Policy.</t>
        </is>
      </c>
    </row>
    <row r="87">
      <c r="A87" t="inlineStr">
        <is>
          <t>li-4343975279</t>
        </is>
      </c>
      <c r="B87" t="inlineStr">
        <is>
          <t>Lead Product Manager</t>
        </is>
      </c>
      <c r="C87" t="inlineStr">
        <is>
          <t>Setpoint</t>
        </is>
      </c>
      <c r="D87" t="inlineStr">
        <is>
          <t>linkedin</t>
        </is>
      </c>
      <c r="E87" t="inlineStr"/>
      <c r="F87" t="inlineStr"/>
      <c r="G87" t="inlineStr"/>
      <c r="H87" t="inlineStr"/>
      <c r="I87" t="inlineStr">
        <is>
          <t>**About The Role**
 Behind many of life’s most important transactions — buying a house, applying for a mortgage, getting a small business loan, or refinancing a credit card — is a network of credit relationships. Setpoint provides critical operational infrastructure for relationships between the world’s largest banks, credit funds and capital markets counterparties. We’re building trust in this system of credit.
 We are looking for a
 **Lead Product Manager** 
 to join our team!
 This is an opportunity to have a big impact in a rapidly growing startup that requires Product to drive multiple facets of the GTM engine. You will be owning one of our three core product pillars, DataOS, and launching features for one of the biggest growth levers for the company. The ideal candidate can quickly achieve expert status, collaborate with internal and external stakeholders, and thrive in the dynamic environment.
**Who Will Love This Job**
* An independent problem\-solver \- you can understand what’s most important quickly and independently build solutions
* An owner \- you are comfortable taking full responsibility for outcomes and driving clear, high\-quality execution across teams
* A scrappy team player – you thrive in early\-stage environments with lots of moving parts, priorities, roles and responsibilities
* An intuitive all\-round athlete \- you are comfortable converting complex ideas into solutions, and are excited about product ops, sales, and customer experience as well
* A strategic thinker \- you use data to drive business ideas, prioritization decisions, product ideas and technical designs
* A great communicator – you possess excellent written and verbal communication skills and attention to detail, you can communicate to leadership, engineering and sales with equal ease and effectiveness
* An analytical executor \- you can analyze and synthesize big datasets, operating with zero\-defect and can be hands\-on with our capital and engineering teams
**What You’ll Do**
* Own the DataOS product roadmap, providing leverage to Engineering and effectively prioritizing work that generates the highest value for the business and aligns with company\-wide initiatives
* Work closely with Engineering, Ops/Fulfillment and Client Success internal teams to onboard new clients to the DataOS platform, identifying and implementing process improvements to scale implementations
* Collaborate with Setpoint Co\-Founders and VP of Product to expand TAM across asset classes and customer segments by extending core capabilities, building AI\-enhanced tools for Fulfillment partners and contributing to GTM efforts that accelerate adoption
**You Should Have**
* 7\+ years of product experience, ideally B2B enterprise product experience
* 2\+ years of financial services or consulting experience (nice to have)
* Experience in real estate tech, fintech or complex operational systems (nice to have)
* Experience managing enterprise clients, building data and customer\-centric products
* Strong analytical, problem\-solving, and presentation skills
* Ability to deal with ambiguity; can bring structure and focus to complex questions
* Ability to prioritize appropriately, and meet deadlines in high\-pressure environments
* Demonstrated track record of using data and insights to drive business decisions
* Comfort with technical enterprise products and structured finance products
**About Setpoint**
 Setpoint provides purpose\-built capital and technology to asset\-backed borrowers and lenders. Our platform is the funding operating system for originators: it verifies and stores documents; automates critical calculations and compliance reporting; and digitizes assets like homes or cars. Setpoint’s technology makes warehouse transactions instant and error free.
 In August 2024, Setpoint announced the successful completion of its $31 million Series B funding round. 645 Ventures led the round, with significant strategic investments from Citi and Wells Fargo, alongside Andreessen Horowitz, NextView Ventures, Floating Point, Henry Kravis, Zillow founder’s 75 \&amp; Sunny, Vesta Ventures, Fifth Wall, Eltura Ventures, and Outrunner Capital.
 We offer a comprehensive benefits package that includes competitive salaries, stock options, medical, dental, and vision coverage, 401(k), short term and long term disability coverage, and flexible vacation. We have offices in Austin, TX, New York City, NY, and Salt Lake City, UT with hybrid roles based in these locations and an expectation of two days a week in office (Tuesdays and Thursdays).
 Compensation: $165,000 \- $175,000 OTE dependent on multiple factors, which may include the candidate's skills, experience, location, and other qualifications.
*Setpoint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88">
      <c r="A88" t="inlineStr">
        <is>
          <t>li-4356504068</t>
        </is>
      </c>
      <c r="B88" t="inlineStr">
        <is>
          <t>Senior Product Manager</t>
        </is>
      </c>
      <c r="C88" t="inlineStr">
        <is>
          <t>Mattermost</t>
        </is>
      </c>
      <c r="D88" t="inlineStr">
        <is>
          <t>linkedin</t>
        </is>
      </c>
      <c r="E88" t="inlineStr"/>
      <c r="F88" t="inlineStr"/>
      <c r="G88" t="inlineStr"/>
      <c r="H88" t="inlineStr"/>
      <c r="I88" t="inlineStr">
        <is>
          <t>At Mattermost, we build the \#1 collaborative workflow solution for defense, intelligence, security, and critical infrastructure organizations. Trusted by governments, financial institutions, and technology companies, our platform enables secure, efficient operations for the world’s most critical teams.
 We’re dedicated to empowering organizations to operate with confidence, reducing risks, and accelerating productivity. Guided by our core values of Customer Obsession, Earn Trust, Self Awareness, Ownership and High Impact, we collaborate closely with our customers to deliver solutions that meet complex needs and drive success.
 To learn more, visit www.mattermost.com
 Mattermost is looking for a
 **Senior Product Manager** 
 to lead the evolution of our cyber\-intelligent workflows. This is a "rocket ship" role designed for a product leader who wants to build the next generation of mission\-critical infrastructure. You will be responsible for defining how the world’s most sensitive organizations operationalize cyber resilience, including mission\-critical enterprises, critical national infrastructure (CNI) organizations, and intelligence agencies.
 In this role, you won't just be managing features; you will be pioneering the emerging category of Intelligent Mission Environments (IME). You will lead the development of Playbooks, Boards, and agentic capabilities that allow sovereign organizations to maintain command and control in the face of sophisticated cyber threats.
**Core Responsibilities**
* Product Vision \&amp; Strategy: Define and deliver cyber\-intelligent workflows that strengthen resilience for mission\-critical environments. You will evolve Mattermost Playbooks and Boards into an automated, AI\-accelerated operational engine.
* Operational Orchestration: Design "human\-in\-the\-loop" automation and low\-code/no\-code workflow orchestration systems tailored for CNI cyber operations, intelligence agencies, and joint command operations.
* Market Leadership: Position Mattermost as the \#1 sovereign collaborative workflow platform for mission\-critical enterprises and national\-security organizations.
* Customer Advocacy: Translate the complex requirements of NATO, defense agencies, and national infrastructure providers into actionable product value.
* Revenue \&amp; Value Realization: Drive $ / seat growth by ensuring our workflow and resilience capabilities justify premium positioning within our Enterprise Advanced and future IME offerings.
* Cross\-Functional Execution: Partner closely with Engineering, Design, and Customer\-facing teams to align deliveries with global customer \&amp; market requirements.
**Who You Are**
* Mission\-Focused Strategist: You have a deep understanding of cybersecurity operations, incident response, and mission\-critical command and control.
* Workflow Architect: You are obsessed with how teams coordinate under pressure. You have experience with workflow orchestration, automation, or secure interoperability.
* Sovereign Tech Champion: You understand the unique needs of customers who require high\-trust, air\-gapped, or highly regulated environments.
* High\-Growth Leader: You are looking for a role that scales. You are ready to develop the domain depth required to grow into a Principal PM leading a global portfolio.
**Qualifications**
* Experience: 5\+ years of Product Management experience, preferably in high\-growth Cybersecurity, GovTech, or Enterprise SaaS.
* Domain Expertise: Fluency with cyber\-defense frameworks, critical infrastructure protection, or military operational workflows.
* Technical Proficiency: Deep understanding of automation platforms, API\-first ecosystems, and how AI/agentic capabilities can be applied to operational resilience.
* Communication: Proven ability to communicate complex technical roadmaps to executive leadership and high\-stakes customers.
* Security \&amp; Certifications: Professional cybersecurity credentials such as CISSP are highly valued and considered an asset for this role.
**Compensation**
 Mattermost takes a market\-based approach to pay. Actual compensation may vary based on location, skills, experience, qualifications, and market conditions. U.S. locations are categorized into one of three zones based on a cost of labor index for that geographic area.
* 
+ Zone A: 187,456 \- 253,617
+ Zone B: 178,083 \- 240,936
+ Zone C: 168,710 \- 228,255
 These ranges may be updated in the future. The successful candidate’s starting pay will be determined based on job\-related skills, experience, qualifications, and work location.
 Posting Range
 $168,000 \- $250,000 USD
 Mattermost is an EEO Employer, we are a remote\-first, open\-source company.
 We are continually working to expand our hiring in more countries and regions, ensuring compliance with local laws and regulations, which takes time.
 Mattermost values your unique perspective—we welcome all applicants. We encourage individuals from all backgrounds to apply and are committed to assessing candidates based on their skills and qualifications. We do not tolerate discrimination against staff or applicants based on race, religion, national origin, age, disability, pregnancy status, veteran status, or other personal characteristics.
 If you require accommodations during the interview process, please let us know—we’re happy to assist.</t>
        </is>
      </c>
    </row>
    <row r="89">
      <c r="A89" t="inlineStr">
        <is>
          <t>li-4376342183</t>
        </is>
      </c>
      <c r="B89" t="inlineStr">
        <is>
          <t>Product Manager, Healthcare SaaS - Patient Support (Remote)</t>
        </is>
      </c>
      <c r="C89" t="inlineStr">
        <is>
          <t>Lensa</t>
        </is>
      </c>
      <c r="D89" t="inlineStr">
        <is>
          <t>linkedin</t>
        </is>
      </c>
      <c r="E89" t="inlineStr"/>
      <c r="F89" t="inlineStr"/>
      <c r="G89" t="inlineStr">
        <is>
          <t>Orlando, FL</t>
        </is>
      </c>
      <c r="H89" t="inlineStr"/>
      <c r="I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AssistRx. Clicking "Apply Now" or "Read more" on Lensa redirects you to the job board/employer site. Any information collected there is subject to their terms and privacy notice.
 AssistRx is a leading healthcare technology company dedicated to accelerating patient access to life\-changing therapies. Through our premier patient solutions platform and advanced technology ecosystem, we partner with pharmaceutical manufacturers, specialty pharmacies, and healthcare providers to simplify the patient journey and eliminate barriers to treatment.
 Our suite of solutions—including iAssist®, Hub Lite™, Prior Authorization, Benefits Verification, Copay Support, specialty pharmacy integrations, and digital engagement tools—empowers patients to start and stay on therapy faster.
 At AssistRx, we blend technology, talent, and compassion to drive better healthcare outcomes for the patients and brands we serve.
 We are seeking a strategic, customer\-centric, and execution\-focused Product Manager to lead the evolution of our patient support program (PSP) solutions for pharmaceutical and biotech clients. This role sits at the intersection of patient experience, technology, and commercial strategy—driving offerings such as field\-based nurse support, reimbursement assistance, specialty pharmacy coordination, patient education, data workflows, and digital engagement tools (apps, portals, messaging workflows, and more).
 You will own product strategy, roadmap development, and cross\-functional execution to improve patient access, adherence, satisfaction, and program outcomes, while ensuring alignment with brand strategy, compliance requirements, and client expectations.
 Key ResponsibilitiesProduct Strategy \&amp; Vision
* Develop and execute a clear product roadmap for PSP\-related capabilities—including services, data workflows, and digital engagement tools.
* Align product initiatives with evolving client needs, regulatory requirements, and market trends in patient access and support services.
 Customer \&amp; Market Insight
* Partner with commercial teams, clients, and operations to deeply understand PSP workflows, pain points, and success metrics.
* Conduct competitive intelligence and market analysis to support product differentiation and value\-driven positioning.
 Cross\-Functional Leadership
* Collaborate with engineering, UX/UI, data science, operations, and clinical teams to deliver scalable, secure, and intuitive product features.
* Work closely with legal, compliance, and privacy stakeholders to ensure adherence to HIPAA, GDPR, and industry\-specific regulatory standards.
 Lifecycle Ownership
* Own the full product lifecycle—from ideation and requirements definition through development, launch, and ongoing optimization.
* Monitor product performance, adoption, patient outcomes, and client satisfaction to drive continuous innovation.
 Client Engagement \&amp; Enablement
* Support client onboarding and implementation by translating business requirements into product configurations and enhancements.
* Serve as the product subject matter expert during client meetings, workshops, and advisory discussions.
 Product Development Execution
* Work effectively within Agile/Scrum teams, contributing to sprint planning, backlog prioritization, and iterative roadmap delivery.
* Write clear, concise user stories, acceptance criteria, and business requirements that translate complex needs into action.
* Utilize product management tools (Jira, Confluence, Aha!, Productboard) to manage roadmaps, documentation, and communication.
**Requirements**
* Bachelor’s degree in life sciences, business, data analytics, or related field.
* 5\+ years of product management experience in B2B SaaS, healthcare technology, or tech\-enabled services.
* Experience in life sciences, healthcare delivery, pharmaceutical services, or patient support programs.
* Familiarity with PSP workflows: hub services, copay programs, prior authorization, benefits investigations, nurse support.
* Strong understanding of data privacy, compliance, and interoperability standards (HIPAA, HL7, FHIR, GDPR).
* Demonstrated success working in Agile/Scrum environments.
* Excellent communication, stakeholder engagement, and analytical skills.
**Preferred**
* Master’s degree in business, life sciences, healthcare administration, or related field.
* Experience working with pharmaceutical manufacturers, hub providers, or specialty pharmacies.
* Exposure to digital health tools (patient portals, apps, engagement platforms).
* Knowledge of EMR/EHR integrations, claims data, and real\-world evidence (RWE).
* Experience creating outcomes dashboards or patient journey analytics.
* Experience supporting AI\-driven workflows or automation tools.
* Consulting or client\-facing implementation experience.
**Benefits**
* Supportive, progressive, fast\-paced environment
* Competitive pay structure
* Matching 401(k) with immediate vesting
* Medical, dental, vision, life, \&amp; short\-term disability insurance
* Opportunity to impact patient outcomes through data\-driven healthcare technology.
* Collaborative and mission\-driven culture that values innovation and continuous learning.
* Access to cutting\-edge cloud technologies and modern data engineering tools.
* Competitive compensation, comprehensive benefits, and career growth opportunities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If you have questions about this posting, please contact support@lensa.com</t>
        </is>
      </c>
    </row>
    <row r="90">
      <c r="A90" t="inlineStr">
        <is>
          <t>li-4374956251</t>
        </is>
      </c>
      <c r="B90" t="inlineStr">
        <is>
          <t>Product Owner – Life and Annuity Solutions</t>
        </is>
      </c>
      <c r="C90" t="inlineStr">
        <is>
          <t>hackajob</t>
        </is>
      </c>
      <c r="D90" t="inlineStr">
        <is>
          <t>linkedin</t>
        </is>
      </c>
      <c r="E90" t="inlineStr"/>
      <c r="F90" t="inlineStr"/>
      <c r="G90" t="inlineStr">
        <is>
          <t>Jersey City, NJ</t>
        </is>
      </c>
      <c r="H90" t="inlineStr"/>
      <c r="I90" t="inlineStr">
        <is>
          <t>***hackajob** 
 is collaborating with
 **Verisk** 
 to connect them with exceptional tech professionals for this role.*
**Description**
 Verisk is seeking a strategic and execution\-focused Product Owner to drive continued innovation and platform evolution for the life and annuity market. This is an opportunity to own product direction for a growing platform and make a meaningful impact on how insurers and annuity providers serve their customers.
 As a Product Owner, you will be the bridge between customer needs and technical execution. You will translate market needs into a clear product vision and manage a high\-velocity development backlog to bring that vision to life.
**Responsibilities**
* Product Discovery: Collaborate with external customers and internal stakeholders to identify pain points and validate demand for new products or enhancements to existing products.
* Backlog Management: Own, prioritize, and maintain the product backlog. Translate complex requirements into actionable user stories and acceptance criteria for our engineering teams, balancing new development with ongoing platform improvements.
* Strategic Roadmap: Define the "what" and the "why" behind product features, ensuring the development team is always working on the items with the highest business impact. Partner with leadership and customer teams to define go\-to\-market strategy and provide input on customer roadmaps.
* Stakeholder Alignment: Serve as the primary point of contact for product progress, providing transparency to leadership, and ensuring the final product meets the specific regulatory and technical needs of the life insurance sector.
* Sales Enablement: Support product demos and sales conversations as needed.
* Release Management: Work closely with developers and architects from initial concept through production release and post\-launch iteration. Engage with Sales and Delivery teams to ensure smooth customer delivery.
**Qualifications**
* Experience: 3\+ years of experience as a Product Owner or similar role in an Agile environment. Experience with insurance technology solutions preferred. FAST experience a plus.
* Domain Knowledge: Deep understanding of the Life and Annuity industry.
* Technical Acumen: Experience with Jira or similar tools and a solid understanding of the software development lifecycle. Familiarity with APIs, microservices concepts, and data formats such as XML/JSON.
* Communication: Exceptional ability to communicate across business and technical stakeholders and build consensus across teams.
* Adaptability: Comfort navigating ambiguity, managing competing priorities, and making trade\-off decisions in a dynamic environment.</t>
        </is>
      </c>
    </row>
    <row r="91">
      <c r="A91" t="inlineStr">
        <is>
          <t>li-4356594058</t>
        </is>
      </c>
      <c r="B91" t="inlineStr">
        <is>
          <t>Senior Outbound Product Manager</t>
        </is>
      </c>
      <c r="C91" t="inlineStr">
        <is>
          <t>Mattermost</t>
        </is>
      </c>
      <c r="D91" t="inlineStr">
        <is>
          <t>linkedin</t>
        </is>
      </c>
      <c r="E91" t="inlineStr"/>
      <c r="F91" t="inlineStr"/>
      <c r="G91" t="inlineStr"/>
      <c r="H91" t="inlineStr"/>
      <c r="I91" t="inlineStr">
        <is>
          <t>At Mattermost, we build the \#1 collaborative workflow solution for defense, intelligence, security, and critical infrastructure organizations. Trusted by governments, financial institutions, and technology companies, our platform enables secure, efficient operations for the world’s most critical teams.
 We’re dedicated to empowering organizations to operate with confidence, reducing risks, and accelerating productivity. Guided by our core values of Customer Obsession, Earn Trust, Self Awareness, Ownership and High Impact, we collaborate closely with our customers to deliver solutions that meet complex needs and drive success.
 To learn more, visit www.mattermost.com
 Mattermost is the leading secure collaboration platform for mission\-critical technical teams. We have built a world\-class product that solves the most complex collaboration challenges for mission\-critical organizations, and are now looking for a
 **Senior Outbound Product Manager** 
 who will unlock our next order of magnitude in growth.
 In this role, you will translate technical engineering solutions into high\-fidelity, market\-ready narratives that resonate with the world's most mission\-critical buyers across defense, intelligence, security, and critical infrastructure. By bridging the gap between high\-level summaries and deep\-dive technical value, you will become the primary catalyst for our revenue engine reducing sales cycles, accelerating win rates, and empowering our channel partners to sell at scale.
 In this role, you have a rare chance to build the blueprint for how the product is articulated and demonstrated to the market, with direct access to senior leadership, co\-founders, and external market leaders.
**Core Responsibilitie**
* Product Messaging and Positioning: Develop and iterate on product value articulation aligned to defined ICPs and market strategy that connects with enterprise and national security audiences, including champions, economic buyers, implementation partners, and internal audiences.
* Market Narrative \&amp; Technical Storytelling: Define and deliver the product story within the broader Mattermost narrative, in partnership with Marketing. You’ll take complex technical themes such as ABAC, E2E encryption, or identity management, and turn them into compelling, high\-stakes narratives for the world’s most mission\-critical buyers.
* Sales \&amp; Partner Collateral: Own the creation of high quality demo videos, roadmap announcements, technical data sheets, use case specific\-messaging and positioning, presentations, and press release content \- in close partnership with Marketing, which owns final external publication \- that empower sales and channel partners in effectively selling our product suite.
* Market Insights: Conduct market research and gather competitive intelligence to inform product strategy and positioning.
* Sales Enablement: Create and deliver sales enablement materials, including playbooks, battle cards, customer case studies, and product presentations, including articulating our pricing, packaging, and true\-up models such that sales and channel partners can move at high velocity.
* Front\-Line Field Engagement: Spend 30% of your time in the field, leading high\-impact demos at customer sites and representing Mattermost at key industry events. You are the face of the product, capturing the customer intelligence that will directly shape our future roadmap. Partner closely with Marketing and Revenue teams to ensure field insights are shared and incorporated into broader GTM strategy.
* AI\-Powered Execution: Work with high autonomy that leverages an AI\-first workflow to prototype, draft, and iterate on new assets.
**Who You Are**
* Technical Force: You don't just talk about products; you understand them. You can dive deep into technical architecture and emerge with a story that resonates with a CISO or a Military Commander.
* Content Builder: You have a "builder" mindset. You enjoy the process of creating, whether it’s a demo, a complex presentation, or a roadmap launch, and you take pride in technical accuracy and messaging resonance.
* Force Multiplier: You thrive in "army of one" environments. You are comfortable collaborating across Engineering, Sales, and Marketing, using AI and existing frameworks to scale your impact.
* High\-Growth Leader: You are looking for a role that scales. You are ready to develop the domain depth required to grow into an industry leader, shaping product roadmap via market intelligence.
**Qualifications** 
* Experience: 5\+ years in Product Management, Technical Product Marketing, or Sales Engineering, preferably in high\-growth Cybersecurity, GovTech, or Enterprise SaaS.
* Communication Mastery: Exceptional ability to present and write about complex technical topics. You must be able to explain not just what a feature is, but why it wins in a competitive landscape, and why should the market care.
* Commercial Acumen: Deep understanding of government and enterprise software sales motions, including pricing strategies, packaging, and the mechanics of channel enablement.
* Technical Literacy: Fluency with the developer/DevOps ecosystem, security protocols (e.g. ABAC, encryption), and the ability to work alongside engineering to "productize" demo environments in partnership with Marketing.
* Execution\-First: A proven track record of independently shipping high\-quality sales enablement collateral and product announcements.
* Security \&amp; Certifications: Professional cybersecurity credentials such as CISSP are highly valued and considered an asset for this role.
* Security Clearance Eligibility:
+ This role may require the candidate to obtain and maintain a U.S. security clearance in the future. As such, applicants must be U.S. citizens and eligible to obtain a U.S. government security clearance.
+ Applicants must meet eligibility requirements for access to export\-controlled information as defined by U.S. export control laws, including EAR and ITAR.
**Compensation**
 Mattermost takes a market\-based approach to pay. Actual compensation may vary based on location, skills, experience, qualifications, and market conditions. U.S. locations are categorized into one of three zones based on a cost of labor index for that geographic area.
* 
+ Zone A: 187,456 \- 253,617
+ Zone B: 178,083 \- 240,936
+ Zone C: 168,710 \- 228,255
 These ranges may be updated in the future. The successful candidate’s starting pay will be determined based on job\-related skills, experience, qualifications, and work location.
 Posting Range
 $168,000 \- $250,000 USD
 Mattermost is an EEO Employer, we are a remote\-first, open\-source company.
 We are continually working to expand our hiring in more countries and regions, ensuring compliance with local laws and regulations, which takes time.
 Mattermost values your unique perspective—we welcome all applicants. We encourage individuals from all backgrounds to apply and are committed to assessing candidates based on their skills and qualifications. We do not tolerate discrimination against staff or applicants based on race, religion, national origin, age, disability, pregnancy status, veteran status, or other personal characteristics.
 If you require accommodations during the interview process, please let us know—we’re happy to assist.</t>
        </is>
      </c>
    </row>
    <row r="92">
      <c r="A92" t="inlineStr">
        <is>
          <t>li-4374953726</t>
        </is>
      </c>
      <c r="B92" t="inlineStr">
        <is>
          <t>Assistant Insurance Product Manager</t>
        </is>
      </c>
      <c r="C92" t="inlineStr">
        <is>
          <t>GEICO</t>
        </is>
      </c>
      <c r="D92" t="inlineStr">
        <is>
          <t>linkedin</t>
        </is>
      </c>
      <c r="E92" t="inlineStr"/>
      <c r="F92" t="inlineStr"/>
      <c r="G92" t="inlineStr">
        <is>
          <t>Cleveland, OH</t>
        </is>
      </c>
      <c r="H92" t="inlineStr"/>
      <c r="I9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**Job Summary**
**GEICO** 
 is seeking an analytical and strategic
 **Assistant Insurance Product Manager** 
 to join our growing team and support the development and implementation of our insurance products. This is an exciting opportunity for a detail\-oriented professional with an interest in building GEICO's product portfolio.
 The ideal applicant would be skilled in managing large programs/initiatives, would be highly technical and drive the sales experience. We are looking for a committed, experienced, and energetic individual to join our growing product team. Under general direction, executes end\-to\-end ownership of assigned states, products, processes, or product features. This includes identifying and executing strategic plans to position assigned area for long\-term success.
**Key Responsibilities**
* Utilize analytical problem solving and leadership skills to execute and deliver product initiatives
* Prior experience managing insurance products includes being an insurance product analyst.
* Full ownership of high\-complexity business problems, plan items, product features, and/or product lines
* Build strong relationships with other business units and leads strategic direction for the long\-term success of assigned areas.
* Solves complex problems despite limited or imperfect data.
* Analyzes, selects, and implements new and complex pricing and product design strategies.
* Manage relationships with external parties, including vendors, insurance organizations, and regulators.
* Advocates company position in legal and compliance matters.
**Qualifications**
* Must have a bachelor’s degree or equivalent work experience.
* 5 or more years of experience in product management, insurance, data analysis or a related field (insurance experience is strongly preferred).
* Must be able to think strategically and possess strong leadership skills
* Must have strong relationship building, negotiation, and influencing skills
* Must be action oriented with superior problem\-solving skills and the ability to make decisions independently
**Why Join Us**
* Opportunity to work with cutting\-edge technologies and innovative projects.
* Collaborative and inclusive work environment.
* Competitive salary and benefits package.
* Career growth and development opportunities.
**Annual Salary**
 $97,375\.00 \- $151,700\.00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3">
      <c r="A93" t="inlineStr">
        <is>
          <t>li-4373779369</t>
        </is>
      </c>
      <c r="B93" t="inlineStr">
        <is>
          <t>Digital Technical Product Manager Senior – Life Company Digital eCommerce Acquisition</t>
        </is>
      </c>
      <c r="C93" t="inlineStr">
        <is>
          <t>USAA</t>
        </is>
      </c>
      <c r="D93" t="inlineStr">
        <is>
          <t>linkedin</t>
        </is>
      </c>
      <c r="E93" t="inlineStr"/>
      <c r="F93" t="inlineStr"/>
      <c r="G93" t="inlineStr">
        <is>
          <t>Phoenix, AZ</t>
        </is>
      </c>
      <c r="H93" t="inlineStr"/>
      <c r="I9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talented
 **Senior Digital Technical Product Manager** 
 to lead the discovery, delivery, and performance of digital and technology products that serve LifeCo and its members. In this role, you will collaborate with cross\-functional partners to solve complex challenges and enhance the end‑to‑end digital shopping experience for life insurance.
 You will translate customer insights and business objectives into actionable technical requirements, ensuring best‑in‑class user experiences that drive key performance (KPIs) and risk indicators (KRIs). A strong emphasis will be placed on delivering measurable impact on member behavior as they quote and purchase life insurance products digitally.
 Using Human‑Centered Design and Design Thinking methodologies, you will shape and launch innovative digital shopping experiences that strengthen member engagement, trust, and conversion.
 We offer a flexible work environment that requires an individual to be
 **in the office 4 days per week.** 
 This position will be based on the
 **San Antonio, TX; Phoenix, AZ.; Colorado Springs, CO; Charlotte, NC; Plano, TX; Chesapeake, VA. or Tampa, FL campus** 
 . Relocation assistance is
 **not** 
 available for this position.
**What You'll Do**
* Independently leverages Digital or Technology research, business and market intelligence, and data\-driven insights to identify opportunities, propose solutions, create and maintain roadmaps, and improve performance.
* Translates Digital or Technology product and experience opportunities (customer “needs” and “wants” as well as all other input forms into problems, gaps, etc.) into initiatives (i.e., requirements, epics, features) and drives execution strategy.
* Shepherds complex Digital or Technology product and experience opportunities from idea to market validation through collaboration with all relevant stakeholders and SMEs (Business, UX, Technology, Ops, Marketing, etc.).
* Leads the development of Business Case artifacts and hypotheses for scoping and prioritization of efforts.
* Continuously leverages advanced data\-driven problem\-solving techniques and analytical rigor to understand and report on product and experience performance against KPIs/KRIs.
* Generates meaningful insights through a variety of tools and resources to uncover areas of opportunity to inform Digital or Technology product and experience improvements.
* Leads cross\-functional product teams and relationships to discover and build new Digital or Technology products, experiences, and features by collaborating with stakeholders and organizational leaders to coordinate product development efforts aligned with strategic priorities.
* Prepares compelling presentations, and other forms of communication standards and templates, to present and communicate complex concepts to a diverse audience, including senior leadership.
* Conducts internal and external research and conducts situational analysis to identify and apply industry best practices and trends to increase effectiveness of Digital or Technology products.
* Begins to bring in “big picture” thinking and seeks to drive clarity among team and stakeholders.
* Maintains and applies advanced knowledge of the Business, Technology, UX, and relevant experiences and processes, and an academic understanding of Product Management.
* Serves as a resource to team members and assists with on\-boarding new employees.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(Total of 10 years of relevant experience without bachelor’s degree)
* 6 years Digital/Technology Product Management experience, to include Digital/Technology experience in Strategy/Planning, Innovation, User Experience, Process Engineering, Analytics, and/or Research/Testing.
* Proven ability to effectively develop, influence, present and communicate complex concepts to cross\-functional teams, non\-technical users, and leadership.
* Demonstrated ability to work in an Agile, Lean Product Development and Lean Portfolio Management environment.
* Knowledge of digital and technology strategy and delivery as it relates to roadmap development, journey mapping, competitive analysis and research, and situation analysis methods.
* Knowledge of digital and technology strategy and delivery as it relates to Experience Design concepts and Human Centered Design concepts, roadmap development, journey mapping, competitive analysis and research, and situation analysis methods.
**What Sets You Apart**
* US military experience through military service or a military spouse/domestic partner
* 5\+ years of digital, technology, and product management experience within digital or omnichannel acquisition and deepening environments, with a proven track record of delivering results across complex matrixed organizations.
* Strong knowledge of digital, technology, and omnichannel strategy, including experience with experience‑design principles, roadmap creation, technical requirements gathering and documentation, and competitive analysis.
* Hands\-on experience with product analytics, with the ability to interpret data, extract insights, and translate findings into informed product decisions.
* Exceptional communication skills, with the ability to translate complex concepts for both technical and non\-technical audiences and influence stakeholders at all organizational levels.
* Experience working in Lean Management or Agile methodologies; certification or formal training preferred.
**Compensation range:** 
 The salary range for this position is:
 **$114,080 \- $218,030**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94">
      <c r="A94" t="inlineStr">
        <is>
          <t>li-4373769406</t>
        </is>
      </c>
      <c r="B94" t="inlineStr">
        <is>
          <t>Principal Product Manager - Performance Solutions Delivery Architecture</t>
        </is>
      </c>
      <c r="C94" t="inlineStr">
        <is>
          <t>FactSet</t>
        </is>
      </c>
      <c r="D94" t="inlineStr">
        <is>
          <t>linkedin</t>
        </is>
      </c>
      <c r="E94" t="inlineStr"/>
      <c r="F94" t="inlineStr"/>
      <c r="G94" t="inlineStr"/>
      <c r="H94" t="inlineStr"/>
      <c r="I9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95">
      <c r="A95" t="inlineStr">
        <is>
          <t>li-4374957232</t>
        </is>
      </c>
      <c r="B95" t="inlineStr">
        <is>
          <t>Product Manager - Wound Care</t>
        </is>
      </c>
      <c r="C95" t="inlineStr">
        <is>
          <t>HARTMANN GROUP</t>
        </is>
      </c>
      <c r="D95" t="inlineStr">
        <is>
          <t>linkedin</t>
        </is>
      </c>
      <c r="E95" t="inlineStr"/>
      <c r="F95" t="inlineStr"/>
      <c r="G95" t="inlineStr">
        <is>
          <t>Rock Hill, SC</t>
        </is>
      </c>
      <c r="H95" t="inlineStr"/>
      <c r="I95" t="inlineStr">
        <is>
          <t>Join our team as
 Product Manager \- Wound Care
 USA\-Rock Hill
 We are a growing U.S. wound care organization backed by 200 years of global medical expertise. Our mission is to support clinicians and caregivers with
 **simple, effective solutions** 
 that improve outcomes and make daily care easier.
**The Role**
 We’re hiring a
 **Product Manager** 
 to lead
 **2–3 focus product families** 
 along with selected supporting products. You will shape U.S. product strategy, lifecycle decisions, and messaging grounded in real customer needs. This is an onsite, office\-based position, located in Rock Hill, SC.
 You will
 **provide content, messaging, and product insights** 
 that enable Sales, Clinical Education, and Marketing to build sales tools. A key part of this role is understanding the
 **sales process and rep needs** 
 to ensure product positioning supports conversion.
* Own strategy and lifecycle for 2–3 core product families and supporting products
* Turn customer and clinician pain points into clear positioning and messaging
* Provide product content (key claims, feature–benefit framing, competitive insights) to Sales Enablement, Marketing, and Clinical teams
* Support pricing, forecasting, and portfolio prioritization with commercial insights
* Partner with sales teams to ensure alignment with the sales process and rep workflows
* Track market trends and competitive activity to guide product evolution
* Drive product updates and launch activities with global marketing, supply chain, regulatory, and clinical teams
**What We’re Looking For**
* 3–5\+ years in product management within a regulated industry (healthcare is a plus, not required)
* Strong customer‑centric mindset; ability to translate clinician and caregiver needs into simple, compelling messages
* Understanding of how reps sell, what content supports conversion, and typical sales workflows
* Commercial and analytical strength with solid project management skills
* Ability to simplify complex information into clear, concise communications
* Collaborative, curious, and comfortable shifting between strategy and hands‑on execution
**Why Join Us**
* Shape a modern, growing U.S. wound care portfolio backed by a global leader
* Make a direct impact on clinician workflows and patient outcomes
* Work in a culture that values collaboration, innovation, and continuous learning
* Help bring our mission to life: Innovative Wound Care. Simple. Effective.
 If you are interested in this position please send your application via our online portal to Diane Marsilio.</t>
        </is>
      </c>
    </row>
    <row r="96">
      <c r="A96" t="inlineStr">
        <is>
          <t>li-4376351130</t>
        </is>
      </c>
      <c r="B96" t="inlineStr">
        <is>
          <t>Senior Technical Program Manager, Software Compute Platform, Senior Technical Program Manager, Software Compute Platform</t>
        </is>
      </c>
      <c r="C96" t="inlineStr">
        <is>
          <t>NVIDIA</t>
        </is>
      </c>
      <c r="D96" t="inlineStr">
        <is>
          <t>linkedin</t>
        </is>
      </c>
      <c r="E96" t="inlineStr"/>
      <c r="F96" t="inlineStr"/>
      <c r="G96" t="inlineStr">
        <is>
          <t>Santa Clara, CA</t>
        </is>
      </c>
      <c r="H96" t="inlineStr"/>
      <c r="I96" t="inlineStr">
        <is>
          <t>We are looking for a driven, diligent leader to join our Technical Program Management team for Compute Platform Software. You will work with engineering and product leaders on the planning and execution of programs to develop and publish software enabling new enterprise systems that are at the heart of cross\-industry advancement of AI applications. Our work has made major impact in various fields, and is used across leading academic institutions, start\-ups, and industry; including the world’s largest Internet companies. We need passionate, hard\-working, and creative people to help us reach our engineering goals.
 This role is responsible for overseeing the end\-to\-end release management process – ensuring smooth, timely, and high\-quality software releases from design through full production deployment at scale. You will coordinate release activities across multiple teams, aligning incremental breakthroughs with larger production release cycles to ensure consistency and predictability. In this position, you will partner closely with engineering, QA, product management, and operations teams to plan, track, and implement release objectives. You will collect requirements, define release priorities, and maintain detailed release calendars to coordinate multiple parallel efforts. You will develop and continuously improve release management processes — including scheduling, version control, deployment procedures, and post\-release validation — to optimize delivery pipelines and reduce release risk. Additionally, you will collaborate with engineering management to refine workflows, streamline approvals, and drive continuous improvement in software delivery efficiency.
**What You'll Be Doing**
* Collaborate across product and engineering teams, spanning the entire stack, to ensure release readiness and successful delivery of enterprise software while being viewed as a leader across all Business Units
* Manage software branching strategies, including feature, release, and hotfix branches, to ensure smooth integration, version control, and timely delivery of releases
* Assess the release\-readiness status, anticipate risk, and provide strategies to mitigate risk
* Develop program schedules and KPIs to measure release health, predictability, and achievements and regularly communicate program status and key issues to senior leadership
* Utilize coding skills to build or enhance automation scripts, dashboards, and tools that streamline release management and improve delivery efficiency
* Work with Engineering and QA teams on test plans, execution, reviews, failure analysis and assessing overall quality and risk
* Work with Customer Program Managers to track and resolve software issues incorporating technical feedback from CSPs and OEMs
* Identify failures, lead retrospective analysis, and help to develop improvement action plans
**What We Need To See**
* Bachelor’s degree in Engineering, Computer Science, or similar field or equivalent experience
* 12\+ years of hands\-on experience with software program / release management in tech or related fields
* Thorough knowledge of software engineering and life cycle principles
* Ability to think strategically and tactically and to build consensus to make programs successful
* You should have strong solution focused skills, consistently successful implementing systematic solutions
* You must have experience influencing decisions and leading teams in a dynamic environment
* Enthusiastic, responsive and passionate about finding opportunities for process improvement
* Excellent communications and technical presentation skills as well as being thorough and ability to multitask is important
**Ways To Stand Out From The Crowd**
* Experience on boards and servers in the datacenter space or with productizing enterprise server systems coordinating activities between HW / SW organizations
* Deep understanding of software engineering principles and enterprise system architecture
* Skilled in modern programming languages and practical familiarity with efficiency tools and process automation
* Experience with OSS profiling and vulnerability resolution applying tools like Black Duck or Palamida
* Previous experience in QA is a plus, providing valuable insight into release validation and quality assurance processes
 Your base salary will be determined based on your location, experience, and the pay of employees in similar positions. The base salary range is 200,000 USD \- 322,000 USD.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JR2006506</t>
        </is>
      </c>
    </row>
    <row r="97">
      <c r="A97" t="inlineStr">
        <is>
          <t>li-4376344288</t>
        </is>
      </c>
      <c r="B97" t="inlineStr">
        <is>
          <t>Studio Program Manager - CG Studio, Studio Program Manager - CG Studio</t>
        </is>
      </c>
      <c r="C97" t="inlineStr">
        <is>
          <t>NVIDIA</t>
        </is>
      </c>
      <c r="D97" t="inlineStr">
        <is>
          <t>linkedin</t>
        </is>
      </c>
      <c r="E97" t="inlineStr"/>
      <c r="F97" t="inlineStr"/>
      <c r="G97" t="inlineStr">
        <is>
          <t>Santa Clara, CA</t>
        </is>
      </c>
      <c r="H97" t="inlineStr"/>
      <c r="I97" t="inlineStr">
        <is>
          <t>NVIDIA has been redefining computer graphics, PC gaming, and accelerated computing for more than 25 years. It’s a legacy of innovation fueled by phenomenal technology—and amazing people. Today, NVIDIA is tapping into the unlimited potential of AI to define the next era of computing, where GPUs power computers, robots, and self\-driving cars that can perceive and understand the world. Doing what’s never been done before takes vision, innovation, and the world’s best talent. As an NVIDIAN, you’ll work in a diverse, supportive environment where everyone is inspired to do their best work. Come join the team and help shape visual storytelling that reaches millions.
 As a Studio Program Manager (SPM) for CG Studio, you’ll collaborate with peers on the Studio Services Team, reporting to the Manager of Studio Services. You’ll partner with our in\-house CG Studio artists and the creative organization to plan, coordinate, and deliver world\-class assets across product launches, campaigns, and events. You’ll connect designers, art directors, account managers, and stakeholders—helping ensure projects are strategically prioritized, well planned, and efficiently driven from concept to completion. If you enjoy orchestrating complex creative work, encouraging team clarity, and helping artists thrive across multiple fast paced projects, this role is for you!
**What You Will Be Doing**
* Lead planning and scheduling projects from intake and brief through final delivery, ensuring clarity of scope, timelines, and outcomes.
* Partner with CG Studio leads and Creative Account Program Managers to prioritize workload, balance team capacity, and drive aligned timelines across concurrent initiatives.
* Maintain a deep understanding of each artist’s strengths, focus areas, and current bandwidth to help inform resource and project planning.
* Facilitate productive planning meetings, track project status, action items, and dependencies, and communicate updates clearly and proactively.
* Collaborate with producers, designers, and vendors to define project requirements, set quality standards, and ensure smooth external partnerships.
* Identify risks early, lead scope changes, and drive creative problem solving to keep deliverables on schedule and on standard.
* Own and evolve CG Studio workflows and processes, incorporating learning from past projects to continuously improve efficiency and quality.
* Coordinate vendor and contractor setup with internal onboarding and procurement partners to ensure detailed collaboration and compliance.
* Act as a trusted partner and “internal customer service” champion—setting clear expectations, providing insight into capacity and workflow, and encouraging a one\-team approach.
**What We Need To See**
* Bachelor’s degree or equivalent experience.
* 8\+ years of proven experience in program management, production, or creative operations within a studio, agency, or in\-house creative environment.
* Excellent organizational and problem\-solving skills, demonstrating the capacity to lead multiple complex initiatives simultaneously.
* Strong, proactive communicator—able to bring clarity to fast paced, multifaceted projects and communicate effectively across all levels of the organization.
* Calm, adaptable, and committed to finding answers, even under shifting priorities or tight deadlines.
* Detailed approach that ensures project data, timing, and deliverables are complete and accurate.
* Strong leadership and collaboration skills, with the ability to build trust and alignment across creative and business partners.
 We encourage candidates from all backgrounds who are passionate about creative excellence to apply! Widely considered to be one of the technology world’s most desirable employers, NVIDIA offers highly competitive salaries and a comprehensive benefits package. As you plan your future, see what we can offer you and your family at nvidiabenefits.com.
 Your base salary will be determined based on your location, experience, and the pay of employees in similar positions. The base salary range is 136,000 USD \- 218,500 USD.
 You will also be eligible for equity and benefits.
 Applications for this job will be accepted at least until February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JR2011010</t>
        </is>
      </c>
    </row>
    <row r="98">
      <c r="A98" t="inlineStr">
        <is>
          <t>li-4376325790</t>
        </is>
      </c>
      <c r="B98" t="inlineStr">
        <is>
          <t>Senior Program Manager, BI and Analytics Delivery</t>
        </is>
      </c>
      <c r="C98" t="inlineStr">
        <is>
          <t>Integrity</t>
        </is>
      </c>
      <c r="D98" t="inlineStr">
        <is>
          <t>linkedin</t>
        </is>
      </c>
      <c r="E98" t="inlineStr"/>
      <c r="F98" t="inlineStr"/>
      <c r="G98" t="inlineStr">
        <is>
          <t>Dallas, TX</t>
        </is>
      </c>
      <c r="H98" t="inlineStr"/>
      <c r="I98" t="inlineStr">
        <is>
          <t>The Senior Program Manager, BI and Analytics Delivery, drives the successful execution of Integrity’s business intelligence and analytics program, ensuring timely and high\-quality delivery that creates value throughout the organization. Leveraging your deep knowledge of data and analytics methods and practices is essential for effective management of resources and budgets. As a subject matter expert, you will contribute to the development of operational plans and risk management strategies, ensuring the highest quality and professionalism in service delivery. This role serves as a key liaison between business, IT, and analytics teams, fostering collaboration and transparency.
**Primary Responsibilities**
* Develop and execute comprehensive project plans, incorporating technical requirements, resource requirements/allocation, and timelines to ensure on\-time delivery of data and analytic solutions.
* Manage day\-to\-day project schedule, deliverables, and resources, coordinating with cross\-functional teams including executive leadership, technology, legal, compliance, human resources, marketing, and business units. Lead project planning and milestone delivery. Identify potential risks and implement mitigation strategies.
* Collaborate with cross\-functional teams to gather requirements, define project objectives, scope, timelines and success criteria in alignment with key stakeholders. Must have excellent communication skills, with the ability to work closely with business and technology partners to understand their needs.
* Facilitate effective project and stakeholder team working sessions to identify requirements, impacts and resource requirements. Maintain effective communication with stakeholders, providing regular updates on project status, risks, and issues. Understand and represent the team’s strategy in meetings.
* Prepare executive ready presentations outlining strategic plans, performance updates, and key insights.
**Knowledge, Skills \&amp; Requirements**
* Bachelor's degree in a quantitative discipline (e.g. Math, Economics, Computer Science, Statistics, Data Analytics), or equivalent, with a Master’s degree or MBA preferred
* 7\+ years of experience managing data and analytic programs, ideally reporting directly to a CDAO, VP/SVP or equivalent
* Proven experience leading through project/program lifecycles
* Expert level skills with tools like Jira, Confluence, Smartsheet and Excel to create and manage dashboards and reports.
* Familiarity with data and analytics tools (e.g., SQL, Python, Tableau, Power BI), cloud platforms (AWS, Azure), ETL tools, API integration, and AI
* Deep understanding of data management, data governance and analytics
* Proficient in stakeholder management and cross\-functional collaboration
* Strong conflict resolution with ability to navigate interpersonal dynamics
* Excellent communication, interpersonal, and time management skills
* Ability to excel in a fast\-paced, client\-centric environment, with the ability to quickly adapt as business priorities shift
**About Integrity**
**Integrity** 
 is one of the nation’s leading independent distributors of life, health and wealth insurance products. With a strong insurtech focus, we embrace a broad and innovative approach to serving agents and clients alike.
 **Integrity** 
 is driven by a singular purpose: to help people protect their life, health and wealth so they can prepare for the good days ahead.
**Integrity** 
 offers you the opportunity to start a career in a family\-like environment that is rewarding and cutting edge. Why? Because we put our people first! At
 **Integrity,** 
 you can start a new career path at company you’ll love, and we’ll love you back. We’re proud of the work we do and the culture we’ve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Headquartered in Dallas, Texas,
 **Integrity** 
 is committed to meeting Americans wherever they are — in person, over the phone or online.
 **Integrity’s** 
 employees support hundreds of thousands of independent agents who serve the needs of millions of clients nationwide. For more information, visit Integrity.com.
*Integrity,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LLC will provide reasonable accommodations for qualified individuals with disabilities.*</t>
        </is>
      </c>
    </row>
    <row r="99">
      <c r="A99" t="inlineStr">
        <is>
          <t>li-4373779120</t>
        </is>
      </c>
      <c r="B99" t="inlineStr">
        <is>
          <t>Data Center Operations Program Manager, JoinOCI</t>
        </is>
      </c>
      <c r="C99" t="inlineStr">
        <is>
          <t>Oracle</t>
        </is>
      </c>
      <c r="D99" t="inlineStr">
        <is>
          <t>linkedin</t>
        </is>
      </c>
      <c r="E99" t="inlineStr"/>
      <c r="F99" t="inlineStr"/>
      <c r="G99" t="inlineStr">
        <is>
          <t>Broomfield, CO</t>
        </is>
      </c>
      <c r="H99" t="inlineStr"/>
      <c r="I99" t="inlineStr">
        <is>
          <t>**Job Description**
**Job Summary:**
 The Program Manager is responsible for planning, executing, and closing multiple interrelated projects within the organization. This role partners with cross\-functional teams—including engineering, product management, operations, and executive leadership—to deliver complex programs on time, within scope, and within budget. The successful candidate will possess strong leadership, organizational, and communication skills, ensuring program objectives align with corporate strategy.
**Key Responsibilities:**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 Mentor and guide project managers and junior team members.
**Qualifications:**
* Bachelor’s degree in Business, Engineering, Computer Science, or a related field; advanced degree preferred.
* 6\+ years of program or project management experience in a technology or enterprise environment.
* Strong familiarity with project management software and methodologies (e.g., Agile, Waterfall, hybrid).
* Proven experience managing complex, multi\-disciplinary programs.
* Excellent communication, negotiation, and stakeholder management skills.
* PMP or similar project management certification is an advantage.
* Demonstrated ability to lead teams and deliver results in a fast\-paced, matrixed organization.
**Additional Information:**
* Some roles may require travel based on program needs.
* This position may require handling confidential and sensitive information; strong ethics and adherence to company compliance and security guidelines are essential.
**Responsibilities**
 Identifies, prioritizes, and successfully executes a broad portfolio of functional initiatives and programs. Plans and directs schedules for multiple programs running simultaneously. Partners closely with global cross\-functional teams to understand and capture requirements for programs. Navigates complex dependencies between cross\-functional teams and organizational priorities to optimize the critical path and addresses \&amp; mitigates risks. Effectively influences internal and external teams to prioritize; Drives mitigation plans and ensures ownership for each item and regular follow up through to program closure while ensuring resolution of risk and issues, escalating, as necessary. Provides rigorous management and analysis of overall portfolio budget (including spend and forecasted spend vs. budget, spend per program and historical trends, etc.). Establishes scalable frameworks (process, tools, etc.) for the end\-to\-end project and manages stakeholders applying project management standards and documentation best practices. Runs standups and sprint planning exercises for programs owned. Builds and maintains consistent reporting across numerous programs. Determines methods and procedures on new assignments and may coordinate activities of other personnel. Performs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0">
      <c r="A100" t="inlineStr">
        <is>
          <t>li-4373787098</t>
        </is>
      </c>
      <c r="B100" t="inlineStr">
        <is>
          <t>Data Center Operations Program Manager, JoinOCI</t>
        </is>
      </c>
      <c r="C100" t="inlineStr">
        <is>
          <t>Oracle</t>
        </is>
      </c>
      <c r="D100" t="inlineStr">
        <is>
          <t>linkedin</t>
        </is>
      </c>
      <c r="E100" t="inlineStr"/>
      <c r="F100" t="inlineStr"/>
      <c r="G100" t="inlineStr">
        <is>
          <t>Nashville, TN</t>
        </is>
      </c>
      <c r="H100" t="inlineStr"/>
      <c r="I100" t="inlineStr">
        <is>
          <t>**Job Description**
**Job Summary:**
 The Program Manager is responsible for planning, executing, and closing multiple interrelated projects within the organization. This role partners with cross\-functional teams—including engineering, product management, operations, and executive leadership—to deliver complex programs on time, within scope, and within budget. The successful candidate will possess strong leadership, organizational, and communication skills, ensuring program objectives align with corporate strategy.
**Key Responsibilities:**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 Mentor and guide project managers and junior team members.
**Qualifications:**
* Bachelor’s degree in Business, Engineering, Computer Science, or a related field; advanced degree preferred.
* 6\+ years of program or project management experience in a technology or enterprise environment.
* Strong familiarity with project management software and methodologies (e.g., Agile, Waterfall, hybrid).
* Proven experience managing complex, multi\-disciplinary programs.
* Excellent communication, negotiation, and stakeholder management skills.
* PMP or similar project management certification is an advantage.
* Demonstrated ability to lead teams and deliver results in a fast\-paced, matrixed organization.
**Additional Information:**
* Some roles may require travel based on program needs.
* This position may require handling confidential and sensitive information; strong ethics and adherence to company compliance and security guidelines are essential.
**Responsibilities**
 Identifies, prioritizes, and successfully executes a broad portfolio of functional initiatives and programs. Plans and directs schedules for multiple programs running simultaneously. Partners closely with global cross\-functional teams to understand and capture requirements for programs. Navigates complex dependencies between cross\-functional teams and organizational priorities to optimize the critical path and addresses \&amp; mitigates risks. Effectively influences internal and external teams to prioritize; Drives mitigation plans and ensures ownership for each item and regular follow up through to program closure while ensuring resolution of risk and issues, escalating, as necessary. Provides rigorous management and analysis of overall portfolio budget (including spend and forecasted spend vs. budget, spend per program and historical trends, etc.). Establishes scalable frameworks (process, tools, etc.) for the end\-to\-end project and manages stakeholders applying project management standards and documentation best practices. Runs standups and sprint planning exercises for programs owned. Builds and maintains consistent reporting across numerous programs. Determines methods and procedures on new assignments and may coordinate activities of other personnel. Performs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1">
      <c r="A101" t="inlineStr">
        <is>
          <t>li-4376345245</t>
        </is>
      </c>
      <c r="B101" t="inlineStr">
        <is>
          <t>Product Manager</t>
        </is>
      </c>
      <c r="C101" t="inlineStr">
        <is>
          <t>WisdomAI</t>
        </is>
      </c>
      <c r="D101" t="inlineStr">
        <is>
          <t>linkedin</t>
        </is>
      </c>
      <c r="E101">
        <f>HYPERLINK("https://www.linkedin.com/jobs/view/4376345245", "https://www.linkedin.com/jobs/view/4376345245")</f>
        <v/>
      </c>
      <c r="F101" t="inlineStr"/>
      <c r="G101" t="inlineStr">
        <is>
          <t>San Mateo, CA</t>
        </is>
      </c>
      <c r="H101" t="inlineStr"/>
      <c r="I101" t="inlineStr">
        <is>
          <t>**About WisdomAI**
 WisdomAI is on a mission to make working with data delightful. We empower businesses to unlock insights, drive innovation, and make data\-driven decisions at scale. Join our rapidly growing team and be a part of a company that is shaping the future of enterprise data. We are a fast\-paced, early\-stage startup, currently \~30 people and growing.
**The Role: A Builder, An Empath, and An Executor**
 This is not a traditional Product Manager position; it is a dynamic, hands\-on function built for the age of AI\-native product development. We are a build\-first company that values execution and rapid iteration over lengthy documentation.
 At WisdomAI, the Product Manager acts as a catalyst for collective intelligence, empowering engineers and designers to propose and build, keenly capture customer feedback, and continuously strive for improvement. This role requires a minimum of 4\+ years of relevant experience and a deep balance of technical understanding and customer empathy.
**Core Responsibilities**
 The PM role serves as the glue that connects the customer's needs, the market's demands, and our team's creative and technical capabilities.
* Customer Empathy and Data Mastery
* Cultivate deep customer empathy by spending time with prospects and users, observing workflows, and understanding their business context.
* Translate customer pain points into clear and actionable problem statements for the development team.
* Leverage your technical and data understanding to evaluate product performance, interpret complex analytics, and inform strategic decisions.
* Proactively track qualitative and quantitative feedback by monitoring support channels, listening to sales calls, and checking in with customer\-facing teams.
* Technical Depth and Execution Orientation
* Guide the team in choosing the right development approach for the task at hand (PM\-first, Design\-first, or Dev\-first), relying on your technical understanding of our platform.
* Define the problem and its constraints, allowing engineers to write robust solution proposals.
* Maintain a relentless execution oriented focus, seeing yourself as an extension of the development team, unblocking them and consistently following through on commitments to drive features to launch.
* Work effectively in our fast\-paced environment, balancing immediate user needs with long\-term strategic goals.
* Strategic Communication
* Facilitate discussions, lead brainstorms, and articulate a compelling product vision to align the entire organization.
* Act as a product evangelist, collaborating with sales, marketing, and customer success to clearly articulate the product’s value.
* Proactively close the feedback loop, ensuring insights from users and the market are constantly flowing back into the development process.
**What You'll Bring: Qualifications**
* 4\+ years of experience in Product Management, specifically within B2B SaaS, Business Intelligence, Data Analytics, or related AI\-native platforms.
* Proven track record of successful product delivery and strategic execution in a fast\-paced environment.
* Demonstrated technical and data understanding—you must be comfortable discussing APIs, data pipelines, model performance, and architectural trade\-offs with customers and engineers.
* Deeply rooted customer empathy and proficiency in interpreting user analytics and business metrics to guide product strategy.
* Strong collaborative and stakeholder management skills across Product, Engineering, Sales, and Marketing.
* Excellent written and verbal communication skills.</t>
        </is>
      </c>
    </row>
    <row r="102">
      <c r="A102" t="inlineStr">
        <is>
          <t>li-4376325907</t>
        </is>
      </c>
      <c r="B102" t="inlineStr">
        <is>
          <t>Product Manager</t>
        </is>
      </c>
      <c r="C102" t="inlineStr">
        <is>
          <t>Lensa</t>
        </is>
      </c>
      <c r="D102" t="inlineStr">
        <is>
          <t>linkedin</t>
        </is>
      </c>
      <c r="E102">
        <f>HYPERLINK("https://www.linkedin.com/jobs/view/4376325907", "https://www.linkedin.com/jobs/view/4376325907")</f>
        <v/>
      </c>
      <c r="F102">
        <f>HYPERLINK("https://lensa.com/cgw/ebfcdd7fd1ac4f3bacf8fb3bbc0b229btjo1?jpsi=directemployers_no_redirect&amp;publisher_preference=easier_apply&amp;utm_campaign=Other%20Management%20Occupations&amp;utm_medium=slot&amp;utm_source=linkedin&amp;utm_term=jse&amp;urlHash=I7Ha", "https://lensa.com/cgw/ebfcdd7fd1ac4f3bacf8fb3bbc0b229btjo1?jpsi=directemployers_no_redirect&amp;publisher_preference=easier_apply&amp;utm_campaign=Other%20Management%20Occupations&amp;utm_medium=slot&amp;utm_source=linkedin&amp;utm_term=jse&amp;urlHash=I7Ha")</f>
        <v/>
      </c>
      <c r="G102" t="inlineStr">
        <is>
          <t>Denver, CO</t>
        </is>
      </c>
      <c r="H102" t="inlineStr"/>
      <c r="I10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**Required Skills**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Preferred Qualifications:
* Experience building 0\-1 products, platform/ecosystem products, or marketplaces
* Experience in a consumer focused technology company
**Public Compensation**
 $205,000/year to $277,000/year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103">
      <c r="A103" t="inlineStr">
        <is>
          <t>li-4376331273</t>
        </is>
      </c>
      <c r="B103" t="inlineStr">
        <is>
          <t>Senior Product Manager</t>
        </is>
      </c>
      <c r="C103" t="inlineStr">
        <is>
          <t>Copper</t>
        </is>
      </c>
      <c r="D103" t="inlineStr">
        <is>
          <t>linkedin</t>
        </is>
      </c>
      <c r="E103">
        <f>HYPERLINK("https://www.linkedin.com/jobs/view/4376331273", "https://www.linkedin.com/jobs/view/4376331273")</f>
        <v/>
      </c>
      <c r="F103">
        <f>HYPERLINK("https://grnh.se/tufcvl347us&amp;urlHash=44Fx", "https://grnh.se/tufcvl347us&amp;urlHash=44Fx")</f>
        <v/>
      </c>
      <c r="G103" t="inlineStr">
        <is>
          <t>Berkeley, CA</t>
        </is>
      </c>
      <c r="H103" t="inlineStr"/>
      <c r="I103" t="inlineStr">
        <is>
          <t>**Overview**
 As a Senior Product Manager at Copper, you will play a pivotal role in defining and executing the roadmap for our next generation of electrified home appliances. Reporting directly to the VP of Product, you will bridge the gap between hardware and software, ensuring our products deliver exceptional value to a growing and diverse ecosystem of customers, from appliance manufacturers integrating Copper technology to multifamily buildings deploying large fleets of battery equipped appliances to single\-family homeowners looking to upgrade their cooking experience and electrify their homes.
 This role is designed for a self\-starter who thrives in ambiguity and is comfortable driving complex projects forward using a combination of data and intuition based on your deep understanding of our customers. You will balance strategic planning with tactical execution, exhibiting excellent judgment on when to make autonomous decisions and when to consult with leadership. You will work cross\-functionally with engineering, marketing, design, operations, and sales to bring products to market that reduce reliance on fossil fuels and increase energy resilience.
 We value a diverse workplace, and are assembling our team to match these values at this early stage. We especially welcome different backgrounds, experiences, abilities, and perspectives, and strongly encourage people of all ethnic backgrounds and genders to apply.
**What you'll do**
* **Drive Product Strategy:** 
 Partner with the VP of Product to define and manage our product roadmap, balancing the needs of our customers and the technical resources available to deploy.
* **Manage the Full Lifecycle:** 
 Oversee the product lifecycle from ideation to launch and beyond for both hardware devices and their companion software experiences.
* **Cross\-Functional Leadership:** 
 Serve as the connective tissue between hardware engineering, software development, and commercial teams to ensure technical feasibility meets market requirements.
* **Customer Discovery:** 
 Conduct user research and gather feedback across our distinct customer segments to validate features and uncover new opportunities.
* **Prioritize \&amp; Execute:** 
 Translate high\-level business goals into detailed requirements and user stories. Make occasionally challenging prioritization decisions to keep projects on track while maintaining high quality.
* **Data\-Driven Decision Making:** 
 Define product success metrics and use data to iterate and improve performance over time.
**What you'll bring**
* **Proven Experience:** 
 4\-7\+ years of product management experience, preferably in a startup or high\-growth environment where you have worn multiple hats.
* **Strong Technical Foundation:** 
 Experience shipping hardware products with a significant software component. You understand the longer lead times of physical builds and how to synchronize them with agile software sprints.
* **Versatility:** 
 Experience managing products for both B2B and B2C audiences. You are comfortable discussing technical specs with appliance manufacturers one hour and consumer UX with homeowners the next.
* **Autonomy \&amp; Judgment:** 
 You are a "manager of one" who can unblock yourself and drive progress independently, but you possess the maturity to know when a decision requires executive input.
* **Communication Skills:** 
 Exceptional ability to communicate complex technical concepts to non\-technical stakeholders and business requirements to engineering teams.
* **Mission Alignment:** 
 A genuine passion for electrification, decarbonization, and building products that have a tangible positive impact on the world.
**Location**
 This is a full\-time, in\-office role that is on site four days per week minimum. Our office is located in Berkeley, CA.
**Compensation \&amp; Benefits**
 The salary range for this role is $180,000 \- $210,000 per year. We are committed to equitable compensation, and we offer a generous benefits package to make sure you have the support you need. We cover 100% of the premiums for our employees and 50% of the premiums for their dependents on our base plans for medical, dental, and vision insurance. We offer a 401(k) plan for employees to contribute to, in addition to many other benefits. Every employee, regardless of gender identity or expression, is eligible for 16 weeks of paid parental leave after three months of employment (eight weeks through Channing Copper and eight weeks CA Paid Family Leave).
**Equal Employment Opportunity**
 We are committed to creating an equitable and inclusive environment for all our employees and are seeking to build a team that reflects the diversity of the people we hope to serve with our products. We are proud to be an equal opportunity employer.
**About Us**
 Channing Copper's vision is a future where every home is electrified with abundant clean energy. Our mission is to make decarbonization accessible to everyone by selling electric home appliances that enrich their daily lives. We're reducing the cost of electrification by integrating batteries into household appliances, starting with the stove. Our work has been funded by the Department of Energy, in an effort to reduce reliance on fossil fuels and increase energy resilience with products that are high\-performance, safe, intuitive, and robust. As we build our team and pursue our mission, we do it with a strong sense of our core values because it's not just what you do, it's how you do it. You'll see this in high\-level decisions, how we run meetings, our day\-to\-day work, hiring, and our interactions with customers and the broader community. We intend to have a massive impact on our team, our neighborhood, and the world.</t>
        </is>
      </c>
    </row>
    <row r="104">
      <c r="A104" t="inlineStr">
        <is>
          <t>li-4376327875</t>
        </is>
      </c>
      <c r="B104" t="inlineStr">
        <is>
          <t>Product Owner (REMOTE)</t>
        </is>
      </c>
      <c r="C104" t="inlineStr">
        <is>
          <t>Lensa</t>
        </is>
      </c>
      <c r="D104" t="inlineStr">
        <is>
          <t>linkedin</t>
        </is>
      </c>
      <c r="E104">
        <f>HYPERLINK("https://www.linkedin.com/jobs/view/4376327875", "https://www.linkedin.com/jobs/view/4376327875")</f>
        <v/>
      </c>
      <c r="F104">
        <f>HYPERLINK("https://lensa.com/cgw/3555e58ddb3247a0b234a4061a0f2b67tjo1?jpsi=directemployers_no_redirect&amp;publisher_preference=easier_apply&amp;utm_campaign=Computer%20Occupations&amp;utm_medium=slot&amp;utm_source=linkedin&amp;utm_term=jse&amp;urlHash=f_XA", "https://lensa.com/cgw/3555e58ddb3247a0b234a4061a0f2b67tjo1?jpsi=directemployers_no_redirect&amp;publisher_preference=easier_apply&amp;utm_campaign=Computer%20Occupations&amp;utm_medium=slot&amp;utm_source=linkedin&amp;utm_term=jse&amp;urlHash=f_XA")</f>
        <v/>
      </c>
      <c r="G104" t="inlineStr">
        <is>
          <t>Chantilly, VA</t>
        </is>
      </c>
      <c r="H104" t="inlineStr"/>
      <c r="I10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Koniag Government Services. Clicking "Apply Now" or "Read more" on Lensa redirects you to the job board/employer site. Any information collected there is subject to their terms and privacy notice.
 Koniag Technology Solutions, a Koniag Government Services company, is seeking a Product Owner to support KTS and our government customer. This position requires the candidate to be able to obtain a Public Trust. This position is remote. This position is for a Future New Business Opportunity.
 We offer competitive compensation and an extraordinary benefits package including health, dental and vision insurance, 401K with company matching, flexible spending accounts, paid holidays, three weeks paid time off, and more.
 Koniag Technology Solutions, a Koniag Government Services company, is seeking an experienced Product Owner to join a development team supporting both established projects and building applications from the ground up. The ideal candidate is an experienced leader and team player that is passionate about technology and committed to lifelong learning, possessing the ability to apply their technical knowledge, skills, and experience to solve complex/real\-world problems.
**Responsibilities**
 The successful candidate will be performing Product Owner duties to support the defining project scope and objectives for complex custom software development and COTS integration in an enterprise class web application environment. Principal responsibilities will include but are not limited to:
**In Collaboration With The Government Product Owner (when Applicable)**
* Builds, edits and maintains the team backlog
* Breaks down solution themes and epics into understandable stories, defects, and enablers
* Prioritizes backlog items based on user value, time and other team dependencies
* Reviews and reprioritizes the backlog as part of the prep work for Iteration Planning
* Coordinates dependencies with other Product Owner Liaisons
* Provides story detail and priorities during Iteration Planning
* Has responsibility of accepting the final iteration plan
* Coordinates with Scrum Master, Dev Team, Product Manager Liaison, Government Product Manager, Government Product Owner (when applicable)
* Coordinates with Architecture team to vet architectural requests
* Ensures receipt of stories/work/tasks from team regarding adherence to non\-functional requirements for their application(s)
* Provides Just\-In\-Time story elaboration
* Applies Behavior\-Driven Development
* Coordinates with Government Product Owner's to accept stories as done
* Provides Acceptance Criteria that assures quality and user expectations
* Understands enabler work and assists with the sequencing of that work
* Coordinates with the team regarding capacity allocation
* Participates in team demo and retrospectives
* Orchestrates the Systems Demo for value stream stakeholders
* Works across teams to define and implement improvement stories based on Inspect and Adapt events
* Ensures that teams demonstrate the most critical aspects of the solution to the stakeholders
**Education And Experience**
* Bachelor's degree \- Computer Science or Technical Journalism preferred
* At least 7 years' experience supporting software/hardware development efforts
* 10\+ years of relevant work experience in lieu of a degree would be acceptable, especially if the experience is multi\-functional (i.e., operations and development)
**Required Skills And Competencies**
 The successful candidate will have experience in the following:
* Strong technical writing skills, with the ability to concisely describe business requirements
* Ability to use a variety of software for creating UML diagrams and mockups as well as written documents for communicating (examples include Atlassian suite, Visio, ARIS, Word, Excel, and PowerPoint)
* Documentation of business requirements. Examples of documentation include business requirement specifications (BSR), context diagrams, use cases, and user stories
* Understanding of Web\-based enterprise software, .Net Framework, C\#, javascript, AJAX, and databases
* Working knowledge of database systems
* Understanding of user interfaces and most common approaches found in GUIs
* Presentation of requirements findings and mockups for review with sponsors and end users
* Ability to understand formulas used in financial calculations and to describe relevant workflows
**Desired Skills**
* Experience working with a wide range of personnel, including business sponsors, product owners, government project managers, development teams, and end users at all levels of the organization
* Working experience with requirement tools (i.e., Jira/Confluence)
* Familiarity with formalized requirements management frameworks (including requirements traceability) such as IEEE, ITIL, CMMI.
* Solid understanding of Agile development methodologies
* Experience using tracking and versioning software such as Codebeamer and Subversion.
* Experience in writing business requirements used to create enterprise class web\-based software.
* Familiarity with data modeling concepts
* Familiarity with integrating COTS and custom software as part of an enterprise software solution (Experience with SAS, SAP, or Pega preferred)
* Ability to research document repositories and existing code.
* Willingness to assist with in development testing
**Security Requirement**
* Ability to obtain a public trust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
***Equal Opportunity Employer/Veterans/Disabled. Shareholder Preference in accordance with Public Law 88\-352***
**Job Details**
**Job Family** 
**Proposal Positions**
**Pay Type** 
**Salary**
 If you have questions about this posting, please contact support@lensa.com</t>
        </is>
      </c>
    </row>
    <row r="105">
      <c r="A105" t="inlineStr">
        <is>
          <t>li-4376336456</t>
        </is>
      </c>
      <c r="B105" t="inlineStr">
        <is>
          <t>Senior Product Owner (Remote)</t>
        </is>
      </c>
      <c r="C105" t="inlineStr">
        <is>
          <t>Lensa</t>
        </is>
      </c>
      <c r="D105" t="inlineStr">
        <is>
          <t>linkedin</t>
        </is>
      </c>
      <c r="E105">
        <f>HYPERLINK("https://www.linkedin.com/jobs/view/4376336456", "https://www.linkedin.com/jobs/view/4376336456")</f>
        <v/>
      </c>
      <c r="F105">
        <f>HYPERLINK("https://lensa.com/cgw/ecbdfb6e3b3147fb809e5b9c6f7afb5ctjo1?jpsi=directemployers&amp;publisher_preference=easier_apply&amp;utm_campaign=Computer%20Occupations&amp;utm_medium=slot&amp;utm_source=linkedin&amp;utm_term=jse&amp;urlHash=Cx_d", "https://lensa.com/cgw/ecbdfb6e3b3147fb809e5b9c6f7afb5ctjo1?jpsi=directemployers&amp;publisher_preference=easier_apply&amp;utm_campaign=Computer%20Occupations&amp;utm_medium=slot&amp;utm_source=linkedin&amp;utm_term=jse&amp;urlHash=Cx_d")</f>
        <v/>
      </c>
      <c r="G105" t="inlineStr">
        <is>
          <t>Reston, VA</t>
        </is>
      </c>
      <c r="H105" t="inlineStr"/>
      <c r="I10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ICF. Clicking "Apply Now" or "Read more" on Lensa redirects you to the job board/employer site. Any information collected there is subject to their terms and privacy notice.
**Description**
 ICF is seeking a Senior Product Owner to support a large federal client. In this role, you’ll lead vision and direction for Agile development teams, managing program and product roadmaps, features, and epics. You’ll collaborate closely with SMEs, business analysts, architects, and technical leads, as well as partner with UX and user research teams to ensure human\-centered design is reflected in the product vision.
**Job Location:** 
 Remote within the U.S.
 If you accept this position, you should note that ICF does monitor employee work locations blocks access from foreign locations/foreign IP addresses and also prohibits personal VPN connections.
**Responsibilities**
* Identify and refine customer needs and program strategy.
* Develop and communicate a clear product vision and strategy that aligns with the client goals and priorities.
* Own and refine the vision of the program and products.
* Create, prioritize, and manage the product backlog, ensuring that the most valuable features are delivered to users.
* Write clear and actionable user stories and acceptance criteria to guide development efforts.
* Work closely with internal and external stakeholders to gather requirements, understand needs, and ensure alignment across various initiatives.
* Effectively break down the program vision into features and epics.
* Define and track key performance indicators (KPIs) to measure product success and inform future development efforts.
* Derive an Agile program roadmap from the program backlog.
* Define minimum viable products and establish success criteria.
* Collaborate closely with a wide range of individuals on the Agile team.
* Communicate vision, strategy, roadmaps, and backlogs to key stakeholders.
* Perform an active role in mitigating impediments impacting successful team completion of Release/Sprint Goals.
**Basic Qualifications**
* US Citizenship is required
* Must be able to obtain and maintain a Federal Public Trust
* MUST RESIDE IN THE United States (U.S.) and the work MUST BE PERFORMED in the United States (U.S.), as this work is for a federal contract and laws do apply.
* Bachelor’s degree
* 7 years of relevant IT experience with at least 5\+ years as a Product Owner, working with software development teams and understanding the product lifecycle building modern and highly complex software products.
**Preferred Qualifications**
* Experience working in or with the federal government.
* Secret clearance preferred
* Experience working with Data Engineering and Data Analytics projects
* Strong understanding of Agile methodologies and experience working in an Agile development environment.
**Professional Skills**
* Clear and concise written communication
* Excellent communication and interpersonal skills.
* Ability to translate complex requirements into actionable user stories.
* Strong organizational and time management skills.
* Analytical mindset with a focus on data\-driven decision making.
* Flexible and willing to accept a change in priorities as necessary.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(https://www.icf.com/legal/equal\-employment\-opportunity)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 t 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$98,614\.00 \- $167,644\.00
 Nationwide Remote Office (US99\)
 If you have questions about this posting, please contact support@lensa.com</t>
        </is>
      </c>
    </row>
    <row r="106">
      <c r="A106" t="inlineStr">
        <is>
          <t>li-4376341248</t>
        </is>
      </c>
      <c r="B106" t="inlineStr">
        <is>
          <t>Sr Principal Product Manager - Remote</t>
        </is>
      </c>
      <c r="C106" t="inlineStr">
        <is>
          <t>Lensa</t>
        </is>
      </c>
      <c r="D106" t="inlineStr">
        <is>
          <t>linkedin</t>
        </is>
      </c>
      <c r="E106">
        <f>HYPERLINK("https://www.linkedin.com/jobs/view/4376341248", "https://www.linkedin.com/jobs/view/4376341248")</f>
        <v/>
      </c>
      <c r="F106">
        <f>HYPERLINK("https://lensa.com/cgw/c5141f073dbf4e2593cb655902c24fa9tjo1?jpsi=directemployers_no_redirect&amp;publisher_preference=easier_apply&amp;utm_campaign=Advertising%2C%20Marketing%2C%20Promotions%2C%20Public%20Relations%2C%20and%20Sales%20Managers&amp;utm_medium=slot&amp;utm_source=linkedin&amp;utm_term=jse&amp;urlHash=ch9R", "https://lensa.com/cgw/c5141f073dbf4e2593cb655902c24fa9tjo1?jpsi=directemployers_no_redirect&amp;publisher_preference=easier_apply&amp;utm_campaign=Advertising%2C%20Marketing%2C%20Promotions%2C%20Public%20Relations%2C%20and%20Sales%20Managers&amp;utm_medium=slot&amp;utm_source=linkedin&amp;utm_term=jse&amp;urlHash=ch9R")</f>
        <v/>
      </c>
      <c r="G106" t="inlineStr">
        <is>
          <t>Eden Prairie, MN</t>
        </is>
      </c>
      <c r="H106" t="inlineStr"/>
      <c r="I10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Sr. Principal Product Manager \- Enterprise Cloud Platform, serves as the business champion for Enterprise Cloud Platform solutions across Enterprise Imaging product lines. Optum Enterprise Imaging provides cloud and on\-premises solutions for multi\-specialty care areas such as diagnostic radiology, cardiology, and other care area solutions. Cloud Platform provides infrastructure and services for clinical workflow, vendor neutral archive and enterprise viewing solutions for healthcare providers and administrators.
 In this role, you'll maintain an innovative and compelling Platform strategy for IT applications in Health IT domain, including infrastructure such as edge devices. You will be responsible for working closely with cloud providers to adopt and maintain a strategy for cloud transformation and optimization. The Sr. Principal Product Manager will translate customer and business needs around IT infrastructure and services into a viable strategy for cloud platform and own the executable roadmap for the platform. The Principal Product Manager will own the cloud platform strategy that provides cost\-effective, reliable and secure platform for business application.
 The ideal candidate brings strong familiarity with cloud\-native SaaS delivery models, including concepts such as multi\-tenancy, workload isolation, and usage\-based cost drivers. This individual partners closely with Engineering and Cloud Ops to shape platform direction.
 You'll enjoy the flexibility to work remotely \* from anywhere within the U.S. as you take on some tough challenges. For all hires in the Minneapolis or Washington, D.C. area, you will be required to work in the office a minimum of four days per week.
**Primary Responsibilities**
* Develop platform strategy: Collaborate with cross\-functions to define the overall product strategy, aligning it with the business goals and objectives
* Product plan and roadmap: Create and maintain a platform roadmap that outlines the platform vision, key features, and timeline for development
* Define platform\-level functional and non\-functional requirements (availability, performance expectations, cost drivers) in collaboration with engineering and cloud architecture teams
* Prioritize initiatives based on business impact, internal and external customer needs, and development capacity
* Lead a team of Platform product owners and product managers, provide coaching and development of individuals to lead a cohesive platform mission
* Cross\-functional collaboration: Work closely with engineering, Cloud\-Ops, Peer Product management for applications, Services and GTM/Sales teams to ensure successful development, release and GTM plan for platform services
* Understand and communicate cloud cost impacts of platform decisions, supporting FinOps practices at a product level (e.g., cost\-to\-serve insights, right\-sizing considerations) while partnering with Cloud Ops and Finance
* Partner with Engineering to evaluate major cloud platform decisions (e.g., service selection, scaling approaches) from a business, customer, and product perspective, without taking on architectural design
* Ensure platform roadmap decisions align with SaaS operational needs, including observability, reliability, maintainability, and upgrade paths
* In partnership with Cloud providers and Cloud Ops teams, drive cloud resource optimization, cost efficiency of cloud storage, compute and related resources to support P\&amp;L view of cloud consumption overall across all Enterprise Imaging applications and services
* Leverage internal synergies with broader Optum organization on cloud environment, consumption, and efficiencies
* Engage and support customer conversations as the cloud platform SME for new sales opportunities or support during implementation
* Develop and maintain cloud vendor relations, working closely with the Business development team on contracts, pricing, resourcing and support needs
* Serve as subject matter expert for cloud platform working closely with engineering and Cloud\-Ops teams and support sales and services to provide strategic direction, functional and operational capabilities
* Serve as subject matter expert for our public cloud provider to support the Enterprise Imaging portfolio of cloud products, including sizing of cloud resources, cost\-effective utilization of cloud compute, storage and communication.
* Drive consistency and innovation in the use of cloud technology across Enterprise Imaging cloud solutions
* Serve as a point of contact to bring vendor partners into activities with key customers as necessary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a relevant field
* 8\+ years as a Product Manager and 3\+ years as a Product Owner
* 5\+ years with cloud platform and applications
* Solid understanding of core cloud concepts such as object storage, compute elasticity, networking basics, and managed service offerings
* Demonstrated ability to collaborate with cloud architects and engineering teams to make informed tradeoffs regarding scalability, performance, and cost
* Demonstrated ability to translate customer requirements into platform capabilities for a modern SaaS environment
**Preferred Qualifications**
* Master's degree in computer science, or information technology or equivalent graduate degree
* Cloud Certification from Google Cloud or competitive Cloud Provider(s)
* 10\+ years of experience in product management
* 5\+ years of experience managing direct reports such as Product Owners and Product Managers
* 5\+ years in cloud platform and SaaS transformation
* Preferred experience includes
* Experience in healthcare and Clinical IT domain
* Experience supporting or productizing a multi tenant SaaS platform, including conceptual understanding of tenancy models and operational impacts
* Experience working with cloud architects and engineering teams to assess public cloud services for use in production SaaS offerings
* Effectively managing products through key stages of the lifecycle in a regulated industry
* Delivering IT infrastructure solutions to the healthcare provider market
* Evaluating public cloud infrastructure capabilities for use in cloud\-native SaaS products Specific experience with Google Cloud Platform is highly preferred
* Expertise in cloud resource (compute, storage, network) optimization, capacity planning, cost effective solutions to manage multi\-tenant systems in the public cloud
* Knowledge of dynamic scaling, multitenancy, and solutions delivering performance at scale in the public cloud environment
* Familiarity with observability concepts (monitoring, logging, basic SLI/SLO frameworks) in collaboration with platform engineering teams
* Knowledge of Health IT interoperability standards such as DICOM and HL7/FHIR
* Successful track record of developing cloud services and cloud solutions
* Outstanding verbal and written communication skills
**Working Conditions/Physical Requirements**
* General office demands
* Ability to work remotely
**Travel**
* Up to 25% travel may be required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If you have questions about this posting, please contact support@lensa.com</t>
        </is>
      </c>
    </row>
    <row r="107">
      <c r="A107" t="inlineStr">
        <is>
          <t>li-4374943916</t>
        </is>
      </c>
      <c r="B107" t="inlineStr">
        <is>
          <t>Principal Product Manager - Customer Data Platform</t>
        </is>
      </c>
      <c r="C107" t="inlineStr">
        <is>
          <t>GEICO</t>
        </is>
      </c>
      <c r="D107" t="inlineStr">
        <is>
          <t>linkedin</t>
        </is>
      </c>
      <c r="E107">
        <f>HYPERLINK("https://www.linkedin.com/jobs/view/4374943916", "https://www.linkedin.com/jobs/view/4374943916")</f>
        <v/>
      </c>
      <c r="F107" t="inlineStr"/>
      <c r="G107" t="inlineStr">
        <is>
          <t>New York, NY</t>
        </is>
      </c>
      <c r="H107" t="inlineStr"/>
      <c r="I10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8">
      <c r="A108" t="inlineStr">
        <is>
          <t>li-4376328779</t>
        </is>
      </c>
      <c r="B108" t="inlineStr">
        <is>
          <t>Junior Product Manager</t>
        </is>
      </c>
      <c r="C108" t="inlineStr">
        <is>
          <t>Lensa</t>
        </is>
      </c>
      <c r="D108" t="inlineStr">
        <is>
          <t>linkedin</t>
        </is>
      </c>
      <c r="E108">
        <f>HYPERLINK("https://www.linkedin.com/jobs/view/4376328779", "https://www.linkedin.com/jobs/view/4376328779")</f>
        <v/>
      </c>
      <c r="F108">
        <f>HYPERLINK("https://lensa.com/cgw/74455fc8e5cb492bac5a63971ca55083tjo1?jpsi=directemployers&amp;publisher_preference=easier_apply&amp;utm_campaign=Other%20Management%20Occupations&amp;utm_medium=slot&amp;utm_source=linkedin&amp;utm_term=jse&amp;urlHash=R2HI", "https://lensa.com/cgw/74455fc8e5cb492bac5a63971ca55083tjo1?jpsi=directemployers&amp;publisher_preference=easier_apply&amp;utm_campaign=Other%20Management%20Occupations&amp;utm_medium=slot&amp;utm_source=linkedin&amp;utm_term=jse&amp;urlHash=R2HI")</f>
        <v/>
      </c>
      <c r="G108" t="inlineStr"/>
      <c r="H108" t="inlineStr"/>
      <c r="I10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Jibble Group. Clicking "Apply Now" or "Read more" on Lensa redirects you to the job board/employer site. Any information collected there is subject to their terms and privacy notice.
 Our Mission
 To help businesses save time and money, and unleash their human potential. Our vision is to power and empower millions of businesses with our software.
**About Jibble Group**
 We're a scale\-up in the Workforce Management space that has fully embraced remote work since 2017\. Headquartered in London, UK, we have close to 80 staff in 16 different countries.
 We launched PayrollPanda.my and Jibble.io in 2016 and 2017 respectively. PayrollPanda has become Malaysia's leading cloud payroll software, and Jibble an award\-winning time clock solution, each with thousands of paying customers.
**About The Job**
 We're growing fast and looking to hire a Junior Product Manager with a strong interest in SaaS and product development to help us reach our growth goals.
 As a Junior Product Manager at PayrollPanda you'll support end\-to\-end product lifecycle from research, planning, and execution to post\-release analysis. You'll work closely with cross\-functional teams and have direct input in shaping product improvements and new initiatives. If you're passionate about solving user problems, enjoy working with data, and want to grow your career in product, then please read on.
**Who We Are Looking For**
* Preferably Malaysian
* 2\-3 years of experience in product, business analysis, or a related role (SaaS experience is a plus)
* Self\-driven, analytical, structured and high attention to details
* Good communication skills and enjoys working with cross\-functional teams
* Basic understanding of product development processes and Agile is an advantage
* Comfortable working with tools such as Jira, Notion, Figma, or similar
* Fluent in English
**Your Responsibilities Will Include**
* Assist in researching user needs, industry trends, and competitor insights
* Support in planning and prioritizing the product roadmap for PayrollPanda
* Collaborate with a cross\-functional team to ensure seamless feature delivery
* Participate in product testing, quality checks, and release validation
* Monitor product performance and help prepare regular product insights and reports
* Support ad\-hoc product initiatives to improve workflow efficiency and user experience
 If you have questions about this posting, please contact support@lensa.com</t>
        </is>
      </c>
    </row>
    <row r="109">
      <c r="A109" t="inlineStr">
        <is>
          <t>li-4373788101</t>
        </is>
      </c>
      <c r="B109" t="inlineStr">
        <is>
          <t>AI UPS Product Manager</t>
        </is>
      </c>
      <c r="C109" t="inlineStr">
        <is>
          <t>ChatGPT Jobs</t>
        </is>
      </c>
      <c r="D109" t="inlineStr">
        <is>
          <t>linkedin</t>
        </is>
      </c>
      <c r="E109">
        <f>HYPERLINK("https://www.linkedin.com/jobs/view/4373788101", "https://www.linkedin.com/jobs/view/4373788101")</f>
        <v/>
      </c>
      <c r="F109">
        <f>HYPERLINK("https://chatgpt-jobs.com/job/ai-ups-product-manager-ascending-3908&amp;urlHash=EJe4", "https://chatgpt-jobs.com/job/ai-ups-product-manager-ascending-3908&amp;urlHash=EJe4")</f>
        <v/>
      </c>
      <c r="G109" t="inlineStr">
        <is>
          <t>Miami, FL</t>
        </is>
      </c>
      <c r="H109" t="inlineStr"/>
      <c r="I109" t="inlineStr">
        <is>
          <t>**Job Description**
 AI Product Manager (BESS)
**Company:** 
 ASCENDING
**Location:** 
 Houston, TX (Remote)
**Type:** 
 Full\-time
**Posted:** 
 17 hours ago
**Job Description**
**Title:** 
 AI UPS Product Manager – Energy Infrastructure Projects
**Location:** 
 Corporate office in Miami, FL. Role is 100% Remote (EST and CST preferred)
**Term:** 
 FTE, Direct Hire
****About The Position:****
 Our client delivers turnkey clean energy and power infrastructure solutions across the Americas. We design, build, and operate advanced Battery Energy Storage Systems (BESS) and mission\-critical networks for data centers, utilities, and industrial clients. We're looking for an AI UPS Product Manager with project\- and/or product\-based engineering experience to co\-lead the AI UPS electrical and controls hardware product design, documentation generation, lead system\-level product technical compliance and support the development activities related to this product. This is a system\-level product focused role—we need someone who can speak fluently about both power electronics, BESS systems and controls, ideally have experience with UPS systems in mission critical applications or data centers, conduct market assessment and analysis and interface with the customer, product team core product managers, as well as the project, commissioning and service engineering teams.
****What You'll Do:****
* Conduct competitor market analysis (benchmarking) that informs the product roadmap: price, differentiators, scope, etc.
* Create and maintain the product roadmap with the product director and core product managers.
* Support the sales engineering and marketing team by providing technical support and product documentation that meet the market's needs.
* Lead continuous product improvement of the AI UPS by managing its lifecycle: from idea to functional product upgrade
* Support product development of the AI UPS by capturing design improvement feedback from the different stakeholders: customer, sales engineering, project engineering, commissioning and service.
* Train teams on product functionality.
* Compile product technical information packages for the project engineering team.
* Support review and validation of the AI UPS electrical\-related product during the project execution phase.
* Participate in product design sprints with the engineering team.
* Participate in the product's commissioning phase.
****Required Qualifications:****
* Bachelor's degree in Electrical Engineering, Power Electronics Engineering, or similar technical field.
* 10\+ years of product management experience in project\-based or industrial settings.
* Proven system\-level design experience of MW scale power electronics, BESS and related controls equipment.
* Understanding of BESS systems integration with power electronics equipment.
* Project management skills.
* Excellent communication skills across technical and non\-technical teams.
* Willing to travel up to 20% for product FAT inspection and site commissioning witnessing.
****Preferred Plus:****
* Experience with UPS/mission critical applications or utility\-scale infrastructure</t>
        </is>
      </c>
    </row>
    <row r="110">
      <c r="A110" t="inlineStr">
        <is>
          <t>li-4374946841</t>
        </is>
      </c>
      <c r="B110" t="inlineStr">
        <is>
          <t>Principal Product Manager - Customer Data Platform</t>
        </is>
      </c>
      <c r="C110" t="inlineStr">
        <is>
          <t>GEICO</t>
        </is>
      </c>
      <c r="D110" t="inlineStr">
        <is>
          <t>linkedin</t>
        </is>
      </c>
      <c r="E110">
        <f>HYPERLINK("https://www.linkedin.com/jobs/view/4374946841", "https://www.linkedin.com/jobs/view/4374946841")</f>
        <v/>
      </c>
      <c r="F110">
        <f>HYPERLINK("https://click.appcast.io/t/cvvTpNUBI6nxWa6I_M1yiXUvNL3kPGMZvD7aRljb_tM=?source=LinkedIn&amp;urlHash=MKAn", "https://click.appcast.io/t/cvvTpNUBI6nxWa6I_M1yiXUvNL3kPGMZvD7aRljb_tM=?source=LinkedIn&amp;urlHash=MKAn")</f>
        <v/>
      </c>
      <c r="G110" t="inlineStr">
        <is>
          <t>San Francisco, CA</t>
        </is>
      </c>
      <c r="H110" t="inlineStr"/>
      <c r="I1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1">
      <c r="A111" t="inlineStr">
        <is>
          <t>li-4374946842</t>
        </is>
      </c>
      <c r="B111" t="inlineStr">
        <is>
          <t>Principal Product Manager - Customer Data Platform</t>
        </is>
      </c>
      <c r="C111" t="inlineStr">
        <is>
          <t>GEICO</t>
        </is>
      </c>
      <c r="D111" t="inlineStr">
        <is>
          <t>linkedin</t>
        </is>
      </c>
      <c r="E111">
        <f>HYPERLINK("https://www.linkedin.com/jobs/view/4374946842", "https://www.linkedin.com/jobs/view/4374946842")</f>
        <v/>
      </c>
      <c r="F111">
        <f>HYPERLINK("https://click.appcast.io/t/cvvTpNUBI6nxWa6I_M1yiXUvNL3kPGMZvD7aRljb_tM=?source=LinkedIn&amp;urlHash=MKAn", "https://click.appcast.io/t/cvvTpNUBI6nxWa6I_M1yiXUvNL3kPGMZvD7aRljb_tM=?source=LinkedIn&amp;urlHash=MKAn")</f>
        <v/>
      </c>
      <c r="G111" t="inlineStr">
        <is>
          <t>San Jose, CA</t>
        </is>
      </c>
      <c r="H111" t="inlineStr"/>
      <c r="I11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2">
      <c r="A112" t="inlineStr">
        <is>
          <t>li-4374943914</t>
        </is>
      </c>
      <c r="B112" t="inlineStr">
        <is>
          <t>Senior Product Manager - Customer Data Platform</t>
        </is>
      </c>
      <c r="C112" t="inlineStr">
        <is>
          <t>GEICO</t>
        </is>
      </c>
      <c r="D112" t="inlineStr">
        <is>
          <t>linkedin</t>
        </is>
      </c>
      <c r="E112">
        <f>HYPERLINK("https://www.linkedin.com/jobs/view/4374943914", "https://www.linkedin.com/jobs/view/4374943914")</f>
        <v/>
      </c>
      <c r="F112">
        <f>HYPERLINK("https://click.appcast.io/t/LePNhzDv8U-R2PDvHvCDvq4Rqt0b99067Pdr6ViSLIQ=?source=LinkedIn&amp;urlHash=6g7h", "https://click.appcast.io/t/LePNhzDv8U-R2PDvHvCDvq4Rqt0b99067Pdr6ViSLIQ=?source=LinkedIn&amp;urlHash=6g7h")</f>
        <v/>
      </c>
      <c r="G112" t="inlineStr">
        <is>
          <t>San Jose, CA</t>
        </is>
      </c>
      <c r="H112" t="inlineStr"/>
      <c r="I11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3">
      <c r="A113" t="inlineStr">
        <is>
          <t>li-4374948832</t>
        </is>
      </c>
      <c r="B113" t="inlineStr">
        <is>
          <t>Principal Product Manager - Customer Data Platform</t>
        </is>
      </c>
      <c r="C113" t="inlineStr">
        <is>
          <t>GEICO</t>
        </is>
      </c>
      <c r="D113" t="inlineStr">
        <is>
          <t>linkedin</t>
        </is>
      </c>
      <c r="E113">
        <f>HYPERLINK("https://www.linkedin.com/jobs/view/4374948832", "https://www.linkedin.com/jobs/view/4374948832")</f>
        <v/>
      </c>
      <c r="F113" t="inlineStr"/>
      <c r="G113" t="inlineStr">
        <is>
          <t>Seattle, WA</t>
        </is>
      </c>
      <c r="H113" t="inlineStr"/>
      <c r="I11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4">
      <c r="A114" t="inlineStr">
        <is>
          <t>li-4376329333</t>
        </is>
      </c>
      <c r="B114" t="inlineStr">
        <is>
          <t>Lead Product Manager, Data Products</t>
        </is>
      </c>
      <c r="C114" t="inlineStr">
        <is>
          <t>Kargo</t>
        </is>
      </c>
      <c r="D114" t="inlineStr">
        <is>
          <t>linkedin</t>
        </is>
      </c>
      <c r="E114">
        <f>HYPERLINK("https://www.linkedin.com/jobs/view/4376329333", "https://www.linkedin.com/jobs/view/4376329333")</f>
        <v/>
      </c>
      <c r="F114">
        <f>HYPERLINK("https://grnh.se/6silzgm47us&amp;urlHash=plUi", "https://grnh.se/6silzgm47us&amp;urlHash=plUi")</f>
        <v/>
      </c>
      <c r="G114" t="inlineStr">
        <is>
          <t>New York, NY</t>
        </is>
      </c>
      <c r="H114" t="inlineStr"/>
      <c r="I114" t="inlineStr">
        <is>
          <t>**Who We Are**
 Kargo creates powerful moments of connection between brands and consumers to build businesses. Every day, our 600\+ employees work to radically raise the bar on what agentic AI, CTV, eCommerce, social, and mobile can do to deliver unique ad experiences across the world's most premium platforms. Taking a creative science approach to all we do, we continuously innovate solutions that outperform industry benchmarks and client expectations. Now 20\+ years strong, Kargo has offices in NYC, Chicago, LA, Dallas, Sydney, Auckland, London and Waterford, Ireland.
**Who We Hire**
 Techies who want to build the future. Creatives who want to design it better. Communicators to win business. Collaborators to build it. Data pros who turn numbers into insights. Product builders who turn ideas into innovations. Anyone eager to be on a team that doesn't stop to ask what's next, because they're already building it.
**Title: Lead Product Manager, Data Products**
**Job Type: Full\-Time**
**Job Location:** 
 New York, NY; 4 Days In Office
**The Opportunity**
 As Lead Product Manager at Kargo you will be responsible for defining the vision and roadmap of the data products that drive revenue growth, improve ad targeting capabilities, deliver deep measurement insights and enhance the overall performance of our advertising across channels and around the globe. You will collaborate closely with other technical product owners, project management, platform \&amp; consumer data engineering, research \&amp; analytics and sales \&amp; marketing. You will drive product development from ideation to launch, including research, requirements definition, metrics analysis, and working with project, design, engineering, QA, product marketing, and others to facilitate discovery, development, testing, and go\-to\-market effort.
**The Daily To\-Do**
* Develop and maintain a deep understanding of Kargo's overall business strategy and the broader advertising technology space and develop and execute a strategic roadmap for data products that aligns with overall business objectives and market trends in the ad tech industry.
* Define product requirements and specifications, ensuring they are aligned with customer needs, business goals, and technical capabilities.
* Engage and collaborate with internal stakeholders, including sales, marketing, and executive teams, to gather requirements, prioritize features, and ensure alignment with business objectives.
* Stay on top of market trends, dynamics and competitor offerings to identify opportunities for product differentiation and competitive advantage.
* Contribute to the product development and execution cycles at Kargo by participating in preparation of team sprints and maintenance of a healthy backlog.
* Work with product marketing on go\-to\-market strategy and take a proactive role in the continued success of your product(s) post launch.
* Support project management on a variety of concurrent projects by managing timelines and deliverables, running meetings, working through scope changes as well as taking a quantitative approach to reporting on product metrics and business KPIs.
* Analyze large and complex datasets, extract actionable insights, and identify opportunities to enhance the performance and efficiency of our products.
* Define KPIs and metrics to measure the success and effectiveness of our products, regularly monitor and report on performance, and make recommendations for optimization and improvement.
**Qualifications :**
* 3\-5 years experience in product management in the ad tech industry
* Strong understanding of the ad tech ecosystem, including programmatic advertising, ad exchanges, demand\-side platforms (DSPs), supply\-side platforms (SSPs)
* Strong understanding of user identification and targeting in the ad tech ecosystem, including experience with data management platforms (DMPs) and universal ID and ID graph technologies such as Liveramp, Neustar, Tapad, UID 2\.0 and ID5
* Strong understanding of data privacy regulations and frameworks in the ad tech industry (e.g. GDPR, CCPA, TCF, GPP)
* Strong understanding of and experience with Data Clean Room technologies (e.g. Snowflake, Liveramp, Infosum)
* Ability to write and validate SQL queries and to ensure data is validated
* Solid technical acumen and ability to collaborate effectively with engineers and data scientists
* Excellent analytical and problem\-solving skills, with the ability to analyze complex data sets and draw meaningful insights
* Strong communication skills, with the ability to influence and collaborate with cross\-functional teams and stakeholders
* Experience with agile development methodologies and tools (e.g., Scrum, JIRA)
**Our Laurels**
* AdAge Best Places to Work
* ThinkLA Partner of the Year
* Built In Best Places to Work
* Cynopsis 2025 Top Women in Media \- Jeannine Shao Collins
* Martech Breakthrough Awards \- Best Overall Adtech Company
* Digiday Media Awards Best Event
* Cynopsis Media Impact Awards\-Best CTV Platform
* Martech Breakthrough Awards\-CTV Innovation
* Adweek Media Plan of the Year Awards \- Best Use of Insights
**Follow Our Lead**
* Big Picture: kargo.com
* The Latest: Instagram (@kargomobile) and LinkedIn (Kargo)</t>
        </is>
      </c>
    </row>
    <row r="115">
      <c r="A115" t="inlineStr">
        <is>
          <t>li-4374939955</t>
        </is>
      </c>
      <c r="B115" t="inlineStr">
        <is>
          <t>Senior Product Manager - Customer Data Platform</t>
        </is>
      </c>
      <c r="C115" t="inlineStr">
        <is>
          <t>GEICO</t>
        </is>
      </c>
      <c r="D115" t="inlineStr">
        <is>
          <t>linkedin</t>
        </is>
      </c>
      <c r="E115">
        <f>HYPERLINK("https://www.linkedin.com/jobs/view/4374939955", "https://www.linkedin.com/jobs/view/4374939955")</f>
        <v/>
      </c>
      <c r="F115">
        <f>HYPERLINK("https://click.appcast.io/t/LePNhzDv8U-R2PDvHvCDvq4Rqt0b99067Pdr6ViSLIQ=?source=LinkedIn&amp;urlHash=6g7h", "https://click.appcast.io/t/LePNhzDv8U-R2PDvHvCDvq4Rqt0b99067Pdr6ViSLIQ=?source=LinkedIn&amp;urlHash=6g7h")</f>
        <v/>
      </c>
      <c r="G115" t="inlineStr">
        <is>
          <t>New York, NY</t>
        </is>
      </c>
      <c r="H115" t="inlineStr"/>
      <c r="I11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6">
      <c r="A116" t="inlineStr">
        <is>
          <t>li-4374961175</t>
        </is>
      </c>
      <c r="B116" t="inlineStr">
        <is>
          <t>Principal Product Manager - Customer Data Platform</t>
        </is>
      </c>
      <c r="C116" t="inlineStr">
        <is>
          <t>GEICO</t>
        </is>
      </c>
      <c r="D116" t="inlineStr">
        <is>
          <t>linkedin</t>
        </is>
      </c>
      <c r="E116">
        <f>HYPERLINK("https://www.linkedin.com/jobs/view/4374961175", "https://www.linkedin.com/jobs/view/4374961175")</f>
        <v/>
      </c>
      <c r="F116" t="inlineStr"/>
      <c r="G116" t="inlineStr">
        <is>
          <t>Dallas, TX</t>
        </is>
      </c>
      <c r="H116" t="inlineStr"/>
      <c r="I11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Principal Product Managers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7">
      <c r="A117" t="inlineStr">
        <is>
          <t>li-4374949793</t>
        </is>
      </c>
      <c r="B117" t="inlineStr">
        <is>
          <t>Senior Product Manager - Customer Data Platform</t>
        </is>
      </c>
      <c r="C117" t="inlineStr">
        <is>
          <t>GEICO</t>
        </is>
      </c>
      <c r="D117" t="inlineStr">
        <is>
          <t>linkedin</t>
        </is>
      </c>
      <c r="E117">
        <f>HYPERLINK("https://www.linkedin.com/jobs/view/4374949793", "https://www.linkedin.com/jobs/view/4374949793")</f>
        <v/>
      </c>
      <c r="F117" t="inlineStr"/>
      <c r="G117" t="inlineStr">
        <is>
          <t>San Francisco, CA</t>
        </is>
      </c>
      <c r="H117" t="inlineStr"/>
      <c r="I11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 in a life\-time opportunity to build and make a real impact in insurance marketplace, we are looking for accomplished, customer obsessed and results\-oriented Senior Product Manager to build and drive our Customer Data Platform (CDP) roadmap reporting to the Senior Director of CDP \&amp; Identity. The CDP will enable a single view of our customers combining multiple data sources to enable operational and analytical use cases for sales, claims, servicing, marketing, fraud prevention etc. Our vision is to evolve the CDP into the ultimate data experience for product\-led growth and business professionals who aren’t comfortable with code. Do I use the first\_name or the firstName attribute? When and why does the quote\_start event fire? Are these 2 customers with similar attributes the same person? These questions stop most users in their tracks. We need you to unblock them! This role is perfect if you enjoy getting into the weeds with customers, designers, and engineers as much as you enjoy building alignment with senior leadership. Both are critical for success. Embarking on our mission to redefine customer engagement, the CDP is a key player. With strong executive support for data\-driven initiatives, our vision emphasizes providing the right data at the right time, accelerating the journey to becoming a data\-driven organization. At GEICO, you'll play a pivotal role in shaping the CDP's future. Our core values of collaboration and innovation guide us in delivering best\-in\-class solutions that delight our customers. Join us on this exciting journey, where your contributions will make a lasting impact. This position requires an expert who plans on leading the revolution in customer experiences through our cutting\-edge CDP. If you want to be part of shaping the landscape for GEICO to thrive in an ever\-evolving environment with the power of data, we are looking for you!
 This is a hybrid position, requiring on\-site presence 2\-3 days a week at one of the following locations: Palo Alto, CA; Seattle, WA; Chevy Chase, MD, Dallas, TX, Manhattan, NY.
**Job Responsibilities**
* Collaborate with Product Management, Servicing, Sales, Fraud, Marketing, and UX teams to understand use cases and segmentation needs
* Work closely with internal stakeholders to understand their data needs and translate those needs into user stories for Data \&amp; Analytics, technical, and engineering teams.
* Help develop a comprehensive CDP implementation strategy aligned with overall product and customer success goals.
* Identify new data sources and onboard existing data sources to the CDP
* Evolve our identity resolution models (deterministic and probabilistic)
* Build and run queries to answer questions and build segment and build solutions for users of CDP to be able to self\-serve
* Be the CDP subject matter expert, gathering information to create accurate, informative, and resonant user stories for both the business and the data team.
* Deeply understand customer needs to define priorities, inspire the broader team, and deliver best\-in\-class experiences and enabling capabilities.
* Help build the product roadmap, define user stories, and drive trade\-off decisions.
* Identify new products and features on behalf of the customer, leading 1\-2 scrum teams to align on mission and deliver great results iteratively.
* Leverage qualitative and quantitative data to measure results, inform the roadmap, and achieve benefit, adoption, and financial results.
* Collaborate with Product, Analytics, Engineering, and Business Leaders to drive scalable data solutions.
* Present effectively to high\-level stakeholders, set clear priorities and direction, and build bridges across groups.
* Own the product end\-to\-end by developing business models, defining and analyzing success metrics, and managing strategic projects.
* Champion and educate product managers and lines of businesses on what the GEICO CDP can do for their business
* Lead the CDP Squad in achieving strategic outcomes with solutions that are Valuable (our customers choose to use), Viable (the solution works within the constraints of the business), Usable (our customers can figure out how to use) and Feasible (our engineers have the skills and technology to implement)
**Basic Qualifications**
* Bachelor’s degree in Computer Science or equivalent and related experience with 7\+ years of proven experience as a Product Manager, with 4\+ years in managing Customer Data Platforms
* Technologies for CDP PMs to be familiar with Graph and Cassandra, ADLS especially Iceberg, Snowflake, Kafka, Flink, ElasticSearch and Rosette Name Indexer or equivalent for Identity Resolution, GraphQL
* Strong strategic thinking, analytical, and problem\-solving skills.
* Excellent communication and interpersonal skills.
* Proven ability to lead cross\-functional teams and deliver results in an iterative development environment.
* 4\+ years on a CDP, Reverse ETL, Data Warehouse, or Integration\-as\-a\-Service product
* Alignment\-building expertise \- you listen, understand, and influence at a near\-executive level
* Fluency with concepts like unique identifier, API, ETL etc.
* Data proficiency \- you can source, analyze, and present quantitative and qualitative data
* Excellent writing skills \- you write clearly and concisely, favoring plain language over jargon
* Initiative \- you take ownership of problems when next steps aren't clear
* Contribute a deep knowledge of customer data integration, identity resolution, and the related competitive landscape.
**Preferred Qualifications**
* Insurance industry experience is a plus
* An Engineering background is a plus
* Experience building Data Platforms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8">
      <c r="A118" t="inlineStr">
        <is>
          <t>li-4356504068</t>
        </is>
      </c>
      <c r="B118" t="inlineStr">
        <is>
          <t>Senior Product Manager</t>
        </is>
      </c>
      <c r="C118" t="inlineStr">
        <is>
          <t>Mattermost</t>
        </is>
      </c>
      <c r="D118" t="inlineStr">
        <is>
          <t>linkedin</t>
        </is>
      </c>
      <c r="E118">
        <f>HYPERLINK("https://www.linkedin.com/jobs/view/4356504068", "https://www.linkedin.com/jobs/view/4356504068")</f>
        <v/>
      </c>
      <c r="F118" t="inlineStr"/>
      <c r="G118" t="inlineStr"/>
      <c r="H118" t="inlineStr"/>
      <c r="I118" t="inlineStr">
        <is>
          <t>At Mattermost, we build the \#1 collaborative workflow solution for defense, intelligence, security, and critical infrastructure organizations. Trusted by governments, financial institutions, and technology companies, our platform enables secure, efficient operations for the world’s most critical teams.
 We’re dedicated to empowering organizations to operate with confidence, reducing risks, and accelerating productivity. Guided by our core values of Customer Obsession, Earn Trust, Self Awareness, Ownership and High Impact, we collaborate closely with our customers to deliver solutions that meet complex needs and drive success.
 To learn more, visit www.mattermost.com
 Mattermost is looking for a
 **Senior Product Manager** 
 to lead the evolution of our cyber\-intelligent workflows. This is a "rocket ship" role designed for a product leader who wants to build the next generation of mission\-critical infrastructure. You will be responsible for defining how the world’s most sensitive organizations operationalize cyber resilience, including mission\-critical enterprises, critical national infrastructure (CNI) organizations, and intelligence agencies.
 In this role, you won't just be managing features; you will be pioneering the emerging category of Intelligent Mission Environments (IME). You will lead the development of Playbooks, Boards, and agentic capabilities that allow sovereign organizations to maintain command and control in the face of sophisticated cyber threats.
**Core Responsibilities**
* Product Vision \&amp; Strategy: Define and deliver cyber\-intelligent workflows that strengthen resilience for mission\-critical environments. You will evolve Mattermost Playbooks and Boards into an automated, AI\-accelerated operational engine.
* Operational Orchestration: Design "human\-in\-the\-loop" automation and low\-code/no\-code workflow orchestration systems tailored for CNI cyber operations, intelligence agencies, and joint command operations.
* Market Leadership: Position Mattermost as the \#1 sovereign collaborative workflow platform for mission\-critical enterprises and national\-security organizations.
* Customer Advocacy: Translate the complex requirements of NATO, defense agencies, and national infrastructure providers into actionable product value.
* Revenue \&amp; Value Realization: Drive $ / seat growth by ensuring our workflow and resilience capabilities justify premium positioning within our Enterprise Advanced and future IME offerings.
* Cross\-Functional Execution: Partner closely with Engineering, Design, and Customer\-facing teams to align deliveries with global customer \&amp; market requirements.
**Who You Are**
* Mission\-Focused Strategist: You have a deep understanding of cybersecurity operations, incident response, and mission\-critical command and control.
* Workflow Architect: You are obsessed with how teams coordinate under pressure. You have experience with workflow orchestration, automation, or secure interoperability.
* Sovereign Tech Champion: You understand the unique needs of customers who require high\-trust, air\-gapped, or highly regulated environments.
* High\-Growth Leader: You are looking for a role that scales. You are ready to develop the domain depth required to grow into a Principal PM leading a global portfolio.
**Qualifications**
* Experience: 5\+ years of Product Management experience, preferably in high\-growth Cybersecurity, GovTech, or Enterprise SaaS.
* Domain Expertise: Fluency with cyber\-defense frameworks, critical infrastructure protection, or military operational workflows.
* Technical Proficiency: Deep understanding of automation platforms, API\-first ecosystems, and how AI/agentic capabilities can be applied to operational resilience.
* Communication: Proven ability to communicate complex technical roadmaps to executive leadership and high\-stakes customers.
* Security \&amp; Certifications: Professional cybersecurity credentials such as CISSP are highly valued and considered an asset for this role.
**Compensation**
 Mattermost takes a market\-based approach to pay. Actual compensation may vary based on location, skills, experience, qualifications, and market conditions. U.S. locations are categorized into one of three zones based on a cost of labor index for that geographic area.
* 
+ Zone A: 187,456 \- 253,617
+ Zone B: 178,083 \- 240,936
+ Zone C: 168,710 \- 228,255
 These ranges may be updated in the future. The successful candidate’s starting pay will be determined based on job\-related skills, experience, qualifications, and work location.
 Posting Range
 $168,000 \- $250,000 USD
 Mattermost is an EEO Employer, we are a remote\-first, open\-source company.
 We are continually working to expand our hiring in more countries and regions, ensuring compliance with local laws and regulations, which takes time.
 Mattermost values your unique perspective—we welcome all applicants. We encourage individuals from all backgrounds to apply and are committed to assessing candidates based on their skills and qualifications. We do not tolerate discrimination against staff or applicants based on race, religion, national origin, age, disability, pregnancy status, veteran status, or other personal characteristics.
 If you require accommodations during the interview process, please let us know—we’re happy to assist.</t>
        </is>
      </c>
    </row>
    <row r="119">
      <c r="A119" t="inlineStr">
        <is>
          <t>li-4343975279</t>
        </is>
      </c>
      <c r="B119" t="inlineStr">
        <is>
          <t>Lead Product Manager</t>
        </is>
      </c>
      <c r="C119" t="inlineStr">
        <is>
          <t>Setpoint</t>
        </is>
      </c>
      <c r="D119" t="inlineStr">
        <is>
          <t>linkedin</t>
        </is>
      </c>
      <c r="E119">
        <f>HYPERLINK("https://www.linkedin.com/jobs/view/4343975279", "https://www.linkedin.com/jobs/view/4343975279")</f>
        <v/>
      </c>
      <c r="F119" t="inlineStr"/>
      <c r="G119" t="inlineStr"/>
      <c r="H119" t="inlineStr"/>
      <c r="I119" t="inlineStr">
        <is>
          <t>**About The Role**
 Behind many of life’s most important transactions — buying a house, applying for a mortgage, getting a small business loan, or refinancing a credit card — is a network of credit relationships. Setpoint provides critical operational infrastructure for relationships between the world’s largest banks, credit funds and capital markets counterparties. We’re building trust in this system of credit.
 We are looking for a
 **Lead Product Manager** 
 to join our team!
 This is an opportunity to have a big impact in a rapidly growing startup that requires Product to drive multiple facets of the GTM engine. You will be owning one of our three core product pillars, DataOS, and launching features for one of the biggest growth levers for the company. The ideal candidate can quickly achieve expert status, collaborate with internal and external stakeholders, and thrive in the dynamic environment.
**Who Will Love This Job**
* An independent problem\-solver \- you can understand what’s most important quickly and independently build solutions
* An owner \- you are comfortable taking full responsibility for outcomes and driving clear, high\-quality execution across teams
* A scrappy team player – you thrive in early\-stage environments with lots of moving parts, priorities, roles and responsibilities
* An intuitive all\-round athlete \- you are comfortable converting complex ideas into solutions, and are excited about product ops, sales, and customer experience as well
* A strategic thinker \- you use data to drive business ideas, prioritization decisions, product ideas and technical designs
* A great communicator – you possess excellent written and verbal communication skills and attention to detail, you can communicate to leadership, engineering and sales with equal ease and effectiveness
* An analytical executor \- you can analyze and synthesize big datasets, operating with zero\-defect and can be hands\-on with our capital and engineering teams
**What You’ll Do**
* Own the DataOS product roadmap, providing leverage to Engineering and effectively prioritizing work that generates the highest value for the business and aligns with company\-wide initiatives
* Work closely with Engineering, Ops/Fulfillment and Client Success internal teams to onboard new clients to the DataOS platform, identifying and implementing process improvements to scale implementations
* Collaborate with Setpoint Co\-Founders and VP of Product to expand TAM across asset classes and customer segments by extending core capabilities, building AI\-enhanced tools for Fulfillment partners and contributing to GTM efforts that accelerate adoption
**You Should Have**
* 7\+ years of product experience, ideally B2B enterprise product experience
* 2\+ years of financial services or consulting experience (nice to have)
* Experience in real estate tech, fintech or complex operational systems (nice to have)
* Experience managing enterprise clients, building data and customer\-centric products
* Strong analytical, problem\-solving, and presentation skills
* Ability to deal with ambiguity; can bring structure and focus to complex questions
* Ability to prioritize appropriately, and meet deadlines in high\-pressure environments
* Demonstrated track record of using data and insights to drive business decisions
* Comfort with technical enterprise products and structured finance products
**About Setpoint**
 Setpoint provides purpose\-built capital and technology to asset\-backed borrowers and lenders. Our platform is the funding operating system for originators: it verifies and stores documents; automates critical calculations and compliance reporting; and digitizes assets like homes or cars. Setpoint’s technology makes warehouse transactions instant and error free.
 In August 2024, Setpoint announced the successful completion of its $31 million Series B funding round. 645 Ventures led the round, with significant strategic investments from Citi and Wells Fargo, alongside Andreessen Horowitz, NextView Ventures, Floating Point, Henry Kravis, Zillow founder’s 75 \&amp; Sunny, Vesta Ventures, Fifth Wall, Eltura Ventures, and Outrunner Capital.
 We offer a comprehensive benefits package that includes competitive salaries, stock options, medical, dental, and vision coverage, 401(k), short term and long term disability coverage, and flexible vacation. We have offices in Austin, TX, New York City, NY, and Salt Lake City, UT with hybrid roles based in these locations and an expectation of two days a week in office (Tuesdays and Thursdays).
 Compensation: $165,000 \- $175,000 OTE dependent on multiple factors, which may include the candidate's skills, experience, location, and other qualifications.
*Setpoint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20">
      <c r="A120" t="inlineStr">
        <is>
          <t>li-4376342183</t>
        </is>
      </c>
      <c r="B120" t="inlineStr">
        <is>
          <t>Product Manager, Healthcare SaaS - Patient Support (Remote)</t>
        </is>
      </c>
      <c r="C120" t="inlineStr">
        <is>
          <t>Lensa</t>
        </is>
      </c>
      <c r="D120" t="inlineStr">
        <is>
          <t>linkedin</t>
        </is>
      </c>
      <c r="E120">
        <f>HYPERLINK("https://www.linkedin.com/jobs/view/4376342183", "https://www.linkedin.com/jobs/view/4376342183")</f>
        <v/>
      </c>
      <c r="F120">
        <f>HYPERLINK("https://lensa.com/cgw/d1bd1cfee9e741248722f99cf233596dtjo1?jpsi=directemployers&amp;publisher_preference=easier_apply&amp;utm_campaign=Other%20Management%20Occupations&amp;utm_medium=slot&amp;utm_source=linkedin&amp;utm_term=jse&amp;urlHash=teSu", "https://lensa.com/cgw/d1bd1cfee9e741248722f99cf233596dtjo1?jpsi=directemployers&amp;publisher_preference=easier_apply&amp;utm_campaign=Other%20Management%20Occupations&amp;utm_medium=slot&amp;utm_source=linkedin&amp;utm_term=jse&amp;urlHash=teSu")</f>
        <v/>
      </c>
      <c r="G120" t="inlineStr">
        <is>
          <t>Orlando, FL</t>
        </is>
      </c>
      <c r="H120" t="inlineStr"/>
      <c r="I12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AssistRx. Clicking "Apply Now" or "Read more" on Lensa redirects you to the job board/employer site. Any information collected there is subject to their terms and privacy notice.
 AssistRx is a leading healthcare technology company dedicated to accelerating patient access to life\-changing therapies. Through our premier patient solutions platform and advanced technology ecosystem, we partner with pharmaceutical manufacturers, specialty pharmacies, and healthcare providers to simplify the patient journey and eliminate barriers to treatment.
 Our suite of solutions—including iAssist®, Hub Lite™, Prior Authorization, Benefits Verification, Copay Support, specialty pharmacy integrations, and digital engagement tools—empowers patients to start and stay on therapy faster.
 At AssistRx, we blend technology, talent, and compassion to drive better healthcare outcomes for the patients and brands we serve.
 We are seeking a strategic, customer\-centric, and execution\-focused Product Manager to lead the evolution of our patient support program (PSP) solutions for pharmaceutical and biotech clients. This role sits at the intersection of patient experience, technology, and commercial strategy—driving offerings such as field\-based nurse support, reimbursement assistance, specialty pharmacy coordination, patient education, data workflows, and digital engagement tools (apps, portals, messaging workflows, and more).
 You will own product strategy, roadmap development, and cross\-functional execution to improve patient access, adherence, satisfaction, and program outcomes, while ensuring alignment with brand strategy, compliance requirements, and client expectations.
 Key ResponsibilitiesProduct Strategy \&amp; Vision
* Develop and execute a clear product roadmap for PSP\-related capabilities—including services, data workflows, and digital engagement tools.
* Align product initiatives with evolving client needs, regulatory requirements, and market trends in patient access and support services.
 Customer \&amp; Market Insight
* Partner with commercial teams, clients, and operations to deeply understand PSP workflows, pain points, and success metrics.
* Conduct competitive intelligence and market analysis to support product differentiation and value\-driven positioning.
 Cross\-Functional Leadership
* Collaborate with engineering, UX/UI, data science, operations, and clinical teams to deliver scalable, secure, and intuitive product features.
* Work closely with legal, compliance, and privacy stakeholders to ensure adherence to HIPAA, GDPR, and industry\-specific regulatory standards.
 Lifecycle Ownership
* Own the full product lifecycle—from ideation and requirements definition through development, launch, and ongoing optimization.
* Monitor product performance, adoption, patient outcomes, and client satisfaction to drive continuous innovation.
 Client Engagement \&amp; Enablement
* Support client onboarding and implementation by translating business requirements into product configurations and enhancements.
* Serve as the product subject matter expert during client meetings, workshops, and advisory discussions.
 Product Development Execution
* Work effectively within Agile/Scrum teams, contributing to sprint planning, backlog prioritization, and iterative roadmap delivery.
* Write clear, concise user stories, acceptance criteria, and business requirements that translate complex needs into action.
* Utilize product management tools (Jira, Confluence, Aha!, Productboard) to manage roadmaps, documentation, and communication.
**Requirements**
* Bachelor’s degree in life sciences, business, data analytics, or related field.
* 5\+ years of product management experience in B2B SaaS, healthcare technology, or tech\-enabled services.
* Experience in life sciences, healthcare delivery, pharmaceutical services, or patient support programs.
* Familiarity with PSP workflows: hub services, copay programs, prior authorization, benefits investigations, nurse support.
* Strong understanding of data privacy, compliance, and interoperability standards (HIPAA, HL7, FHIR, GDPR).
* Demonstrated success working in Agile/Scrum environments.
* Excellent communication, stakeholder engagement, and analytical skills.
**Preferred**
* Master’s degree in business, life sciences, healthcare administration, or related field.
* Experience working with pharmaceutical manufacturers, hub providers, or specialty pharmacies.
* Exposure to digital health tools (patient portals, apps, engagement platforms).
* Knowledge of EMR/EHR integrations, claims data, and real\-world evidence (RWE).
* Experience creating outcomes dashboards or patient journey analytics.
* Experience supporting AI\-driven workflows or automation tools.
* Consulting or client\-facing implementation experience.
**Benefits**
* Supportive, progressive, fast\-paced environment
* Competitive pay structure
* Matching 401(k) with immediate vesting
* Medical, dental, vision, life, \&amp; short\-term disability insurance
* Opportunity to impact patient outcomes through data\-driven healthcare technology.
* Collaborative and mission\-driven culture that values innovation and continuous learning.
* Access to cutting\-edge cloud technologies and modern data engineering tools.
* Competitive compensation, comprehensive benefits, and career growth opportunities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If you have questions about this posting, please contact support@lensa.com</t>
        </is>
      </c>
    </row>
    <row r="121">
      <c r="A121" t="inlineStr">
        <is>
          <t>li-4356594058</t>
        </is>
      </c>
      <c r="B121" t="inlineStr">
        <is>
          <t>Senior Outbound Product Manager</t>
        </is>
      </c>
      <c r="C121" t="inlineStr">
        <is>
          <t>Mattermost</t>
        </is>
      </c>
      <c r="D121" t="inlineStr">
        <is>
          <t>linkedin</t>
        </is>
      </c>
      <c r="E121">
        <f>HYPERLINK("https://www.linkedin.com/jobs/view/4356594058", "https://www.linkedin.com/jobs/view/4356594058")</f>
        <v/>
      </c>
      <c r="F121" t="inlineStr"/>
      <c r="G121" t="inlineStr"/>
      <c r="H121" t="inlineStr"/>
      <c r="I121" t="inlineStr">
        <is>
          <t>At Mattermost, we build the \#1 collaborative workflow solution for defense, intelligence, security, and critical infrastructure organizations. Trusted by governments, financial institutions, and technology companies, our platform enables secure, efficient operations for the world’s most critical teams.
 We’re dedicated to empowering organizations to operate with confidence, reducing risks, and accelerating productivity. Guided by our core values of Customer Obsession, Earn Trust, Self Awareness, Ownership and High Impact, we collaborate closely with our customers to deliver solutions that meet complex needs and drive success.
 To learn more, visit www.mattermost.com
 Mattermost is the leading secure collaboration platform for mission\-critical technical teams. We have built a world\-class product that solves the most complex collaboration challenges for mission\-critical organizations, and are now looking for a
 **Senior Outbound Product Manager** 
 who will unlock our next order of magnitude in growth.
 In this role, you will translate technical engineering solutions into high\-fidelity, market\-ready narratives that resonate with the world's most mission\-critical buyers across defense, intelligence, security, and critical infrastructure. By bridging the gap between high\-level summaries and deep\-dive technical value, you will become the primary catalyst for our revenue engine reducing sales cycles, accelerating win rates, and empowering our channel partners to sell at scale.
 In this role, you have a rare chance to build the blueprint for how the product is articulated and demonstrated to the market, with direct access to senior leadership, co\-founders, and external market leaders.
**Core Responsibilitie**
* Product Messaging and Positioning: Develop and iterate on product value articulation aligned to defined ICPs and market strategy that connects with enterprise and national security audiences, including champions, economic buyers, implementation partners, and internal audiences.
* Market Narrative \&amp; Technical Storytelling: Define and deliver the product story within the broader Mattermost narrative, in partnership with Marketing. You’ll take complex technical themes such as ABAC, E2E encryption, or identity management, and turn them into compelling, high\-stakes narratives for the world’s most mission\-critical buyers.
* Sales \&amp; Partner Collateral: Own the creation of high quality demo videos, roadmap announcements, technical data sheets, use case specific\-messaging and positioning, presentations, and press release content \- in close partnership with Marketing, which owns final external publication \- that empower sales and channel partners in effectively selling our product suite.
* Market Insights: Conduct market research and gather competitive intelligence to inform product strategy and positioning.
* Sales Enablement: Create and deliver sales enablement materials, including playbooks, battle cards, customer case studies, and product presentations, including articulating our pricing, packaging, and true\-up models such that sales and channel partners can move at high velocity.
* Front\-Line Field Engagement: Spend 30% of your time in the field, leading high\-impact demos at customer sites and representing Mattermost at key industry events. You are the face of the product, capturing the customer intelligence that will directly shape our future roadmap. Partner closely with Marketing and Revenue teams to ensure field insights are shared and incorporated into broader GTM strategy.
* AI\-Powered Execution: Work with high autonomy that leverages an AI\-first workflow to prototype, draft, and iterate on new assets.
**Who You Are**
* Technical Force: You don't just talk about products; you understand them. You can dive deep into technical architecture and emerge with a story that resonates with a CISO or a Military Commander.
* Content Builder: You have a "builder" mindset. You enjoy the process of creating, whether it’s a demo, a complex presentation, or a roadmap launch, and you take pride in technical accuracy and messaging resonance.
* Force Multiplier: You thrive in "army of one" environments. You are comfortable collaborating across Engineering, Sales, and Marketing, using AI and existing frameworks to scale your impact.
* High\-Growth Leader: You are looking for a role that scales. You are ready to develop the domain depth required to grow into an industry leader, shaping product roadmap via market intelligence.
**Qualifications** 
* Experience: 5\+ years in Product Management, Technical Product Marketing, or Sales Engineering, preferably in high\-growth Cybersecurity, GovTech, or Enterprise SaaS.
* Communication Mastery: Exceptional ability to present and write about complex technical topics. You must be able to explain not just what a feature is, but why it wins in a competitive landscape, and why should the market care.
* Commercial Acumen: Deep understanding of government and enterprise software sales motions, including pricing strategies, packaging, and the mechanics of channel enablement.
* Technical Literacy: Fluency with the developer/DevOps ecosystem, security protocols (e.g. ABAC, encryption), and the ability to work alongside engineering to "productize" demo environments in partnership with Marketing.
* Execution\-First: A proven track record of independently shipping high\-quality sales enablement collateral and product announcements.
* Security \&amp; Certifications: Professional cybersecurity credentials such as CISSP are highly valued and considered an asset for this role.
* Security Clearance Eligibility:
+ This role may require the candidate to obtain and maintain a U.S. security clearance in the future. As such, applicants must be U.S. citizens and eligible to obtain a U.S. government security clearance.
+ Applicants must meet eligibility requirements for access to export\-controlled information as defined by U.S. export control laws, including EAR and ITAR.
**Compensation**
 Mattermost takes a market\-based approach to pay. Actual compensation may vary based on location, skills, experience, qualifications, and market conditions. U.S. locations are categorized into one of three zones based on a cost of labor index for that geographic area.
* 
+ Zone A: 187,456 \- 253,617
+ Zone B: 178,083 \- 240,936
+ Zone C: 168,710 \- 228,255
 These ranges may be updated in the future. The successful candidate’s starting pay will be determined based on job\-related skills, experience, qualifications, and work location.
 Posting Range
 $168,000 \- $250,000 USD
 Mattermost is an EEO Employer, we are a remote\-first, open\-source company.
 We are continually working to expand our hiring in more countries and regions, ensuring compliance with local laws and regulations, which takes time.
 Mattermost values your unique perspective—we welcome all applicants. We encourage individuals from all backgrounds to apply and are committed to assessing candidates based on their skills and qualifications. We do not tolerate discrimination against staff or applicants based on race, religion, national origin, age, disability, pregnancy status, veteran status, or other personal characteristics.
 If you require accommodations during the interview process, please let us know—we’re happy to assist.</t>
        </is>
      </c>
    </row>
    <row r="122">
      <c r="A122" t="inlineStr">
        <is>
          <t>li-4373772270</t>
        </is>
      </c>
      <c r="B122" t="inlineStr">
        <is>
          <t>Principal Product Manager - Performance Solutions Delivery Architecture</t>
        </is>
      </c>
      <c r="C122" t="inlineStr">
        <is>
          <t>FactSet</t>
        </is>
      </c>
      <c r="D122" t="inlineStr">
        <is>
          <t>linkedin</t>
        </is>
      </c>
      <c r="E122">
        <f>HYPERLINK("https://www.linkedin.com/jobs/view/4373772270", "https://www.linkedin.com/jobs/view/4373772270")</f>
        <v/>
      </c>
      <c r="F122">
        <f>HYPERLINK("https://factset.wd108.myworkdayjobs.com/FactSetCareers/job/Norwalk-CT-USA/Principal-Product-Manager\u002d\u002d-Performance-Solutions-Delivery-Architecture_R30960?source=LinkedIn&amp;urlHash=9iYz", "https://factset.wd108.myworkdayjobs.com/FactSetCareers/job/Norwalk-CT-USA/Principal-Product-Manager\u002d\u002d-Performance-Solutions-Delivery-Architecture_R30960?source=LinkedIn&amp;urlHash=9iYz")</f>
        <v/>
      </c>
      <c r="G122" t="inlineStr"/>
      <c r="H122" t="inlineStr"/>
      <c r="I12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23">
      <c r="A123" t="inlineStr">
        <is>
          <t>li-4373779369</t>
        </is>
      </c>
      <c r="B123" t="inlineStr">
        <is>
          <t>Digital Technical Product Manager Senior – Life Company Digital eCommerce Acquisition</t>
        </is>
      </c>
      <c r="C123" t="inlineStr">
        <is>
          <t>USAA</t>
        </is>
      </c>
      <c r="D123" t="inlineStr">
        <is>
          <t>linkedin</t>
        </is>
      </c>
      <c r="E123">
        <f>HYPERLINK("https://www.linkedin.com/jobs/view/4373779369", "https://www.linkedin.com/jobs/view/4373779369")</f>
        <v/>
      </c>
      <c r="F123">
        <f>HYPERLINK("https://dsp.prng.co/QqyzM1b&amp;urlHash=In0k", "https://dsp.prng.co/QqyzM1b&amp;urlHash=In0k")</f>
        <v/>
      </c>
      <c r="G123" t="inlineStr">
        <is>
          <t>Phoenix, AZ</t>
        </is>
      </c>
      <c r="H123" t="inlineStr"/>
      <c r="I12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talented
 **Senior Digital Technical Product Manager** 
 to lead the discovery, delivery, and performance of digital and technology products that serve LifeCo and its members. In this role, you will collaborate with cross\-functional partners to solve complex challenges and enhance the end‑to‑end digital shopping experience for life insurance.
 You will translate customer insights and business objectives into actionable technical requirements, ensuring best‑in‑class user experiences that drive key performance (KPIs) and risk indicators (KRIs). A strong emphasis will be placed on delivering measurable impact on member behavior as they quote and purchase life insurance products digitally.
 Using Human‑Centered Design and Design Thinking methodologies, you will shape and launch innovative digital shopping experiences that strengthen member engagement, trust, and conversion.
 We offer a flexible work environment that requires an individual to be
 **in the office 4 days per week.** 
 This position will be based on the
 **San Antonio, TX; Phoenix, AZ.; Colorado Springs, CO; Charlotte, NC; Plano, TX; Chesapeake, VA. or Tampa, FL campus** 
 . Relocation assistance is
 **not** 
 available for this position.
**What You'll Do**
* Independently leverages Digital or Technology research, business and market intelligence, and data\-driven insights to identify opportunities, propose solutions, create and maintain roadmaps, and improve performance.
* Translates Digital or Technology product and experience opportunities (customer “needs” and “wants” as well as all other input forms into problems, gaps, etc.) into initiatives (i.e., requirements, epics, features) and drives execution strategy.
* Shepherds complex Digital or Technology product and experience opportunities from idea to market validation through collaboration with all relevant stakeholders and SMEs (Business, UX, Technology, Ops, Marketing, etc.).
* Leads the development of Business Case artifacts and hypotheses for scoping and prioritization of efforts.
* Continuously leverages advanced data\-driven problem\-solving techniques and analytical rigor to understand and report on product and experience performance against KPIs/KRIs.
* Generates meaningful insights through a variety of tools and resources to uncover areas of opportunity to inform Digital or Technology product and experience improvements.
* Leads cross\-functional product teams and relationships to discover and build new Digital or Technology products, experiences, and features by collaborating with stakeholders and organizational leaders to coordinate product development efforts aligned with strategic priorities.
* Prepares compelling presentations, and other forms of communication standards and templates, to present and communicate complex concepts to a diverse audience, including senior leadership.
* Conducts internal and external research and conducts situational analysis to identify and apply industry best practices and trends to increase effectiveness of Digital or Technology products.
* Begins to bring in “big picture” thinking and seeks to drive clarity among team and stakeholders.
* Maintains and applies advanced knowledge of the Business, Technology, UX, and relevant experiences and processes, and an academic understanding of Product Management.
* Serves as a resource to team members and assists with on\-boarding new employees.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(Total of 10 years of relevant experience without bachelor’s degree)
* 6 years Digital/Technology Product Management experience, to include Digital/Technology experience in Strategy/Planning, Innovation, User Experience, Process Engineering, Analytics, and/or Research/Testing.
* Proven ability to effectively develop, influence, present and communicate complex concepts to cross\-functional teams, non\-technical users, and leadership.
* Demonstrated ability to work in an Agile, Lean Product Development and Lean Portfolio Management environment.
* Knowledge of digital and technology strategy and delivery as it relates to roadmap development, journey mapping, competitive analysis and research, and situation analysis methods.
* Knowledge of digital and technology strategy and delivery as it relates to Experience Design concepts and Human Centered Design concepts, roadmap development, journey mapping, competitive analysis and research, and situation analysis methods.
**What Sets You Apart**
* US military experience through military service or a military spouse/domestic partner
* 5\+ years of digital, technology, and product management experience within digital or omnichannel acquisition and deepening environments, with a proven track record of delivering results across complex matrixed organizations.
* Strong knowledge of digital, technology, and omnichannel strategy, including experience with experience‑design principles, roadmap creation, technical requirements gathering and documentation, and competitive analysis.
* Hands\-on experience with product analytics, with the ability to interpret data, extract insights, and translate findings into informed product decisions.
* Exceptional communication skills, with the ability to translate complex concepts for both technical and non\-technical audiences and influence stakeholders at all organizational levels.
* Experience working in Lean Management or Agile methodologies; certification or formal training preferred.
**Compensation range:** 
 The salary range for this position is:
 **$114,080 \- $218,030**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124">
      <c r="A124" t="inlineStr">
        <is>
          <t>li-4374953726</t>
        </is>
      </c>
      <c r="B124" t="inlineStr">
        <is>
          <t>Assistant Insurance Product Manager</t>
        </is>
      </c>
      <c r="C124" t="inlineStr">
        <is>
          <t>GEICO</t>
        </is>
      </c>
      <c r="D124" t="inlineStr">
        <is>
          <t>linkedin</t>
        </is>
      </c>
      <c r="E124">
        <f>HYPERLINK("https://www.linkedin.com/jobs/view/4374953726", "https://www.linkedin.com/jobs/view/4374953726")</f>
        <v/>
      </c>
      <c r="F124">
        <f>HYPERLINK("https://click.appcast.io/t/AB_XV5sB0T8N0P2iT2uqwuSKWbigrUcwCp4O-eoDfg0=?source=LinkedIn&amp;urlHash=uEBz", "https://click.appcast.io/t/AB_XV5sB0T8N0P2iT2uqwuSKWbigrUcwCp4O-eoDfg0=?source=LinkedIn&amp;urlHash=uEBz")</f>
        <v/>
      </c>
      <c r="G124" t="inlineStr">
        <is>
          <t>Cleveland, OH</t>
        </is>
      </c>
      <c r="H124" t="inlineStr"/>
      <c r="I12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**Job Summary**
**GEICO** 
 is seeking an analytical and strategic
 **Assistant Insurance Product Manager** 
 to join our growing team and support the development and implementation of our insurance products. This is an exciting opportunity for a detail\-oriented professional with an interest in building GEICO's product portfolio.
 The ideal applicant would be skilled in managing large programs/initiatives, would be highly technical and drive the sales experience. We are looking for a committed, experienced, and energetic individual to join our growing product team. Under general direction, executes end\-to\-end ownership of assigned states, products, processes, or product features. This includes identifying and executing strategic plans to position assigned area for long\-term success.
**Key Responsibilities**
* Utilize analytical problem solving and leadership skills to execute and deliver product initiatives
* Prior experience managing insurance products includes being an insurance product analyst.
* Full ownership of high\-complexity business problems, plan items, product features, and/or product lines
* Build strong relationships with other business units and leads strategic direction for the long\-term success of assigned areas.
* Solves complex problems despite limited or imperfect data.
* Analyzes, selects, and implements new and complex pricing and product design strategies.
* Manage relationships with external parties, including vendors, insurance organizations, and regulators.
* Advocates company position in legal and compliance matters.
**Qualifications**
* Must have a bachelor’s degree or equivalent work experience.
* 5 or more years of experience in product management, insurance, data analysis or a related field (insurance experience is strongly preferred).
* Must be able to think strategically and possess strong leadership skills
* Must have strong relationship building, negotiation, and influencing skills
* Must be action oriented with superior problem\-solving skills and the ability to make decisions independently
**Why Join Us**
* Opportunity to work with cutting\-edge technologies and innovative projects.
* Collaborative and inclusive work environment.
* Competitive salary and benefits package.
* Career growth and development opportunities.
**Annual Salary**
 $97,375\.00 \- $151,700\.00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25">
      <c r="A125" t="inlineStr">
        <is>
          <t>li-4373769406</t>
        </is>
      </c>
      <c r="B125" t="inlineStr">
        <is>
          <t>Principal Product Manager - Performance Solutions Delivery Architecture</t>
        </is>
      </c>
      <c r="C125" t="inlineStr">
        <is>
          <t>FactSet</t>
        </is>
      </c>
      <c r="D125" t="inlineStr">
        <is>
          <t>linkedin</t>
        </is>
      </c>
      <c r="E125">
        <f>HYPERLINK("https://www.linkedin.com/jobs/view/4373769406", "https://www.linkedin.com/jobs/view/4373769406")</f>
        <v/>
      </c>
      <c r="F125">
        <f>HYPERLINK("https://factset.wd108.myworkdayjobs.com/FactSetCareers/job/Norwalk-CT-USA/Principal-Product-Manager\u002d\u002d-Performance-Solutions-Delivery-Architecture_R30960?source=LinkedIn&amp;urlHash=9iYz", "https://factset.wd108.myworkdayjobs.com/FactSetCareers/job/Norwalk-CT-USA/Principal-Product-Manager\u002d\u002d-Performance-Solutions-Delivery-Architecture_R30960?source=LinkedIn&amp;urlHash=9iYz")</f>
        <v/>
      </c>
      <c r="G125" t="inlineStr"/>
      <c r="H125" t="inlineStr"/>
      <c r="I12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26">
      <c r="A126" t="inlineStr">
        <is>
          <t>li-4374938974</t>
        </is>
      </c>
      <c r="B126" t="inlineStr">
        <is>
          <t>Technical Program Manager</t>
        </is>
      </c>
      <c r="C126" t="inlineStr">
        <is>
          <t>Lumilens</t>
        </is>
      </c>
      <c r="D126" t="inlineStr">
        <is>
          <t>linkedin</t>
        </is>
      </c>
      <c r="E126">
        <f>HYPERLINK("https://www.linkedin.com/jobs/view/4374938974", "https://www.linkedin.com/jobs/view/4374938974")</f>
        <v/>
      </c>
      <c r="F126" t="inlineStr"/>
      <c r="G126" t="inlineStr">
        <is>
          <t>San Jose, CA</t>
        </is>
      </c>
      <c r="H126" t="inlineStr"/>
      <c r="I126" t="inlineStr">
        <is>
          <t>**About Lumilens**
 At Lumilens we are building the critical photonics infrastructure that powers tomorrow’s AI supercomputing. From chip\-to\-chip optical interconnects to scalable photonic engines, Lumilens is unlocking a new era of computing faster, cooler, and massively more efficient.
 We’re a well\-funded startup backed by Mayfield and led by veterans who’ve built and scaled some of the most transformative technologies in the industry. This isn’t incremental innovation, it’s a ground\-floor opportunity to rethink the optical layer from the silicon up. You’ll work alongside a team of world\-class engineers solving some of the hardest challenges in optics, systems, and scale. Every line of code, every design decision, every breakthrough you help deliver will shape the infrastructure of tomorrow.
 If you're looking for mission, momentum, and the chance to make an outsized impact jump on the rocket ship. We’re just getting started.
**Position Overview**
 We are seeking a
 **Technical Program Management** 
 to join our rapidly growing team. This isn't just another role. This is a unique opportunity to own the technical vision for our products, work with a world\-class multi\-disciplinary team, and make a tangible impact from the ground up. The successful candidate will work closely with contract manufacturers, suppliers, and internal cross\-functional development teams to meet product objectives and instil a culture of quality and continuous improvement.
**What You'll Do:**
* Drive execution for product development program across development team from of the optical hardware product for high\-speed Optical network.
* Support and partner with respective part of development team to s to identify technical gaps and capture solution for team to execute to in a timely manner to meet committed production launch
* Support product team in managing manufacturing partners to ensure completion of various technical design activities prior to product launch eg. Reliability, Design Verification Test, Compliance test and report
* Drive and support with cross\-functional teams including Photonics Design, HW design, Packaging, Manufacturing, Quality Engineering, Product Marketing and Supply Chain to ensure robust product development and transfer to production.
* Drive internal preparation to ensure material readiness to support customer on\-going program engagement.
* Support engineering team, product team required supplier technical discussion to ensure all necessary details available for engineering successful design effort eg models, technical details
* Support engineering and operation team to ensure that all qualified suppliers all necessary requirements are met/cover prior to production release eg incoming component validation
* Ensure all team prepare, present and document technical reviews, reliability reports, and risk assessments for internal and customer\-facing engagements.
**Key Qualifications:**
* M.S. in Electrical Engineering, Photonics, Physics, Materials Science, or related field, or equivalent experience in photonics reliability engineering with direct exposure to Optical system, Silicon Photonics, laser technologies, and optical transceivers.
* Strong knowledge in photonics device physics, photonics packaging, and failure mechanisms.
* Demonstrated success supporting NPI programs and product qualification from concept through volume production.
* In\-depth knowledge of relevant standards (GR\-468, Telcordia, JEDEC, MIL\-STD) required for a successful program release.
* Effective communicator with the ability to influence cross\-functional and supplier teams.
* Experience in a fast\-paced, high\-tech environment serving telecom/datacom markets.
**Preferred Skills:**
* Project management experience in integrated photonics packaging and co\-design (optical \+ electrical) from design to production release
* Hands on experience in design to manufacturability and cost
* Willing and not afraid to adapt to unfamiliar area to ensure a success program. Willing to travel to supplier and manufacturing partner during the product design or transfer phase
**Why Join Us?**
 This is more than a job. It's a chance to get in on the ground floor of a well\-funded company set to disrupt a multi\-billion dollar market. You will have the autonomy to make a massive impact, the resources to execute your vision, and a significant stake in the company you help build.
**What we offer**
* Competitive salary commensurate with experience
* Comprehensive benefits package including health insurance
* Professional development opportunities and certification support
* Access to cutting\-edge technology and cloud platforms
* Collaborative work environment with cross\-functional teams
* Lumilens is an equal opportunity employer. All qualified applicants will receive consideration without regard to race, color, religion, gender, identity, orientation, veteran status, disability, or any other legally protected status.</t>
        </is>
      </c>
    </row>
    <row r="127">
      <c r="A127" t="inlineStr">
        <is>
          <t>li-4376332658</t>
        </is>
      </c>
      <c r="B127" t="inlineStr">
        <is>
          <t>Program Manager- Remote</t>
        </is>
      </c>
      <c r="C127" t="inlineStr">
        <is>
          <t>Lensa</t>
        </is>
      </c>
      <c r="D127" t="inlineStr">
        <is>
          <t>linkedin</t>
        </is>
      </c>
      <c r="E127">
        <f>HYPERLINK("https://www.linkedin.com/jobs/view/4376332658", "https://www.linkedin.com/jobs/view/4376332658")</f>
        <v/>
      </c>
      <c r="F127" t="inlineStr"/>
      <c r="G127" t="inlineStr">
        <is>
          <t>Dallas, TX</t>
        </is>
      </c>
      <c r="H127" t="inlineStr"/>
      <c r="I12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CBRE. Clicking "Apply Now" or "Read more" on Lensa redirects you to the job board/employer site. Any information collected there is subject to their terms and privacy notice.
**About The Role**
 As a CBRE ProgramConsultant, you will be responsible for program management services within anassigned market or client account to achieve the company's strategic businessobjectives.
 This job is partof the Program Management function. They are responsible for the creation anddelivery of strategic programs representing major company initiatives.
**What You'll Do**
* Work with key stakeholders to create timelines, goals, and deliverables of the project. Develop recommendations and implement organizational processes and procedures.
* Review business requirements and other documentation from multiple sources to identify and resolve cross\-initiative dependencies and ensure consistency of approach.
* Guide small to medium cross\-functional projects and programs end\-to\-end using a formal process.
* Coordination of internal project management team to track and deliver programs per client specifications.
* Facilitate the development of a charter and integrated timeline. Ensure all functions remain on schedule and issues get resolved or escalated.
* Facilitate regular meetings to review project status for active and pending projects.
* Collaborate with the core team to develop solutions and manage the project team through implementation and completion.
* Present routine reports, including status reports and updated Gantt charts.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Applicants must be currently authorized to work in the United States without the need for visa sponsorship now or in the future.
* Bachelor's Degree preferred with 5\-8 years of relevant experience. In lieu of a degree, a combination of experience and education will be considered. LEED AP, PMP or CMM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Building Management Systems required.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
 CBRE carefully considers multiple factors to determine compensation, including a candidate's education, training, and experience. The minimum salary for this position is 90,000 annually and the maximum salary for this position is $125,000 annually. The compensation that is offered to a successful candidate will depend on the candidate's skills, qualifications, and experience. Successful candidates may also be eligible for a discretionary bonus based on CBRE's applicable benefit program.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Inc. is an Equal Opportunity and Affirmative Action Employer (Women/Minorities/Persons with Disabilities/US Veterans)
 If you have questions about this posting, please contact support@lensa.com</t>
        </is>
      </c>
    </row>
    <row r="128">
      <c r="A128" t="inlineStr">
        <is>
          <t>li-4376351130</t>
        </is>
      </c>
      <c r="B128" t="inlineStr">
        <is>
          <t>Senior Technical Program Manager, Software Compute Platform, Senior Technical Program Manager, Software Compute Platform</t>
        </is>
      </c>
      <c r="C128" t="inlineStr">
        <is>
          <t>NVIDIA</t>
        </is>
      </c>
      <c r="D128" t="inlineStr">
        <is>
          <t>linkedin</t>
        </is>
      </c>
      <c r="E128">
        <f>HYPERLINK("https://www.linkedin.com/jobs/view/4376351130", "https://www.linkedin.com/jobs/view/4376351130")</f>
        <v/>
      </c>
      <c r="F128" t="inlineStr"/>
      <c r="G128" t="inlineStr">
        <is>
          <t>Santa Clara, CA</t>
        </is>
      </c>
      <c r="H128" t="inlineStr"/>
      <c r="I128" t="inlineStr">
        <is>
          <t>We are looking for a driven, diligent leader to join our Technical Program Management team for Compute Platform Software. You will work with engineering and product leaders on the planning and execution of programs to develop and publish software enabling new enterprise systems that are at the heart of cross\-industry advancement of AI applications. Our work has made major impact in various fields, and is used across leading academic institutions, start\-ups, and industry; including the world’s largest Internet companies. We need passionate, hard\-working, and creative people to help us reach our engineering goals.
 This role is responsible for overseeing the end\-to\-end release management process – ensuring smooth, timely, and high\-quality software releases from design through full production deployment at scale. You will coordinate release activities across multiple teams, aligning incremental breakthroughs with larger production release cycles to ensure consistency and predictability. In this position, you will partner closely with engineering, QA, product management, and operations teams to plan, track, and implement release objectives. You will collect requirements, define release priorities, and maintain detailed release calendars to coordinate multiple parallel efforts. You will develop and continuously improve release management processes — including scheduling, version control, deployment procedures, and post\-release validation — to optimize delivery pipelines and reduce release risk. Additionally, you will collaborate with engineering management to refine workflows, streamline approvals, and drive continuous improvement in software delivery efficiency.
**What You'll Be Doing**
* Collaborate across product and engineering teams, spanning the entire stack, to ensure release readiness and successful delivery of enterprise software while being viewed as a leader across all Business Units
* Manage software branching strategies, including feature, release, and hotfix branches, to ensure smooth integration, version control, and timely delivery of releases
* Assess the release\-readiness status, anticipate risk, and provide strategies to mitigate risk
* Develop program schedules and KPIs to measure release health, predictability, and achievements and regularly communicate program status and key issues to senior leadership
* Utilize coding skills to build or enhance automation scripts, dashboards, and tools that streamline release management and improve delivery efficiency
* Work with Engineering and QA teams on test plans, execution, reviews, failure analysis and assessing overall quality and risk
* Work with Customer Program Managers to track and resolve software issues incorporating technical feedback from CSPs and OEMs
* Identify failures, lead retrospective analysis, and help to develop improvement action plans
**What We Need To See**
* Bachelor’s degree in Engineering, Computer Science, or similar field or equivalent experience
* 12\+ years of hands\-on experience with software program / release management in tech or related fields
* Thorough knowledge of software engineering and life cycle principles
* Ability to think strategically and tactically and to build consensus to make programs successful
* You should have strong solution focused skills, consistently successful implementing systematic solutions
* You must have experience influencing decisions and leading teams in a dynamic environment
* Enthusiastic, responsive and passionate about finding opportunities for process improvement
* Excellent communications and technical presentation skills as well as being thorough and ability to multitask is important
**Ways To Stand Out From The Crowd**
* Experience on boards and servers in the datacenter space or with productizing enterprise server systems coordinating activities between HW / SW organizations
* Deep understanding of software engineering principles and enterprise system architecture
* Skilled in modern programming languages and practical familiarity with efficiency tools and process automation
* Experience with OSS profiling and vulnerability resolution applying tools like Black Duck or Palamida
* Previous experience in QA is a plus, providing valuable insight into release validation and quality assurance processes
 Your base salary will be determined based on your location, experience, and the pay of employees in similar positions. The base salary range is 200,000 USD \- 322,000 USD.
 You will also be eligible for equity and benefits.
 Applications for this job will be accepted at least until February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JR2006506</t>
        </is>
      </c>
    </row>
    <row r="129">
      <c r="A129" t="inlineStr">
        <is>
          <t>li-4364198934</t>
        </is>
      </c>
      <c r="B129" t="inlineStr">
        <is>
          <t>Protective Security Program Manager</t>
        </is>
      </c>
      <c r="C129" t="inlineStr">
        <is>
          <t>MetLife</t>
        </is>
      </c>
      <c r="D129" t="inlineStr">
        <is>
          <t>linkedin</t>
        </is>
      </c>
      <c r="E129">
        <f>HYPERLINK("https://www.linkedin.com/jobs/view/4364198934", "https://www.linkedin.com/jobs/view/4364198934")</f>
        <v/>
      </c>
      <c r="F129">
        <f>HYPERLINK("https://www.metlifecareers.com/en_US/ml/JobDetail/Protective-Security-Program-Manager/15441?&amp;utm_source=linkedin.com&amp;utm_medium=job_posting&amp;utm_campaign=2016_media_gta&amp;utm_content=&amp;utm_term=&amp;urlHash=0GLy", "https://www.metlifecareers.com/en_US/ml/JobDetail/Protective-Security-Program-Manager/15441?&amp;utm_source=linkedin.com&amp;utm_medium=job_posting&amp;utm_campaign=2016_media_gta&amp;utm_content=&amp;utm_term=&amp;urlHash=0GLy")</f>
        <v/>
      </c>
      <c r="G129" t="inlineStr">
        <is>
          <t>New York, United States</t>
        </is>
      </c>
      <c r="H129" t="inlineStr"/>
      <c r="I129" t="inlineStr">
        <is>
          <t>**Requirements**
**Description and Requirements**
**Position Overview**
 The Protective Security Program Manager is responsible for managing and modernizing MetLife’s Executive Protection program via operational leadership in logistics planning, corporate aircraft coordination, and event preparedness.
 This role provides direct support to the Executive Protection (EP) team and works closely with the Executive Administrators, EP Specialists, Corporate Jet vendor, MetLife Travel and MetLife Security Operations Center to ensure smooth travel for senior leaders.
 The ideal candidate has strong operational judgement, ability to design and optimize workflows, and a forward\-looking approach to executive travel and security.
**Key Responsibilities**
* Executive Travel \&amp; Logistics Coordination.
* Lead the end‑to‑end planning and execution of executive travel operations to ensure alignment of schedules, accommodations, routing, and contingency planning.
* Develop and refine scalable logistics systems for executive movements, including standardized movement briefs, digital workflow improvements, and streamlined communication practices.
* Own the process for corporate jet coordination, including manifest strategy, schedule alignment, VIP experience standards including ground transportation in collaboration with local regional security leads.
**Security Integration \&amp; Situational Awareness**
* Enhance analytic workflows and reporting models by partnering with the Global Intelligence team to strengthen how risk data is incorporated into EP decision‑making.
* Design improved information‑sharing processes with the Security Operations Center (MSOC) to elevate real‑time situational awareness during executive travel and global events.
* Independently produce operational risk assessments and pre‑travel briefings, applying judgment in synthesizing intelligence into actionable recommendations.
**Training \&amp; Program Support**
* Own the EP training program lifecycle, including long‑term curriculum planning, vendor engagement, skills‑gap identification, and modernization of certification tracking systems.
* Implement improved training governance mechanisms that ensure readiness and compliance with emerging protective security standards.
* Design materials and support curriculum development for workshops, scenario‑based exercises, and audits.
**Operational \&amp; Administrative Support**
* Drive strategic improvements in EP Security program management, including process mapping, documentation standardization, and operational workflow modernization.
* Manage critical operational resources and oversee vendor performance with increased autonomy.
* Establish structured processes for trip documentation, AARs (after‑action reports), knowledge capture, and continuous program improvement.
**Qualifications**
**Required Skills:**
* 5 years of corporate working experience.
* Demonstrated ability and experience to manage the scheduling of professional resources.
* Ability to work and communicate effectively across different groups, executives, and teams.
* Experience contributing to or leading modernization initiatives (technology adoption, process reengineering, automation tools, etc.).
**Preferred Skills:**
* Experience implementing processes, event operations, or EP programs (examples include travel planner, coordinator, or supervisor).
* At least 5 years of experience designing or improving operational workflows, systems, or processes in high‑tempo environments.
* Bilingual speaking ability in Spanish and English.
* Experience building training programs.
* Background in corporate security modernization or building operational programs.
**Personal Attributes:**
* Process‑builder mindset with the ability to analyze current\-state operations and design improved future\-state workflows.
* Proactive problem solver able to anticipate requirements and propose well‑reasoned solutions without day\-to\-day supervision.
* Strong decision‑making and prioritization skills grounded in operational risk awareness.
**Work Environment**
* Based in New York City with a hybrid schedule (3 days/week onsite).
* Occasional availability for early mornings, late evenings, or weekend support may be required based on executive travel schedules.
* Limited travel (10%).
 Location Expectation: This is a hybrid role
 **requiring a minimum of 3 days per week** 
 in office.
 The expected salary range for this position is $74,500 \- $104,000\.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$74,500 \- $104,000</t>
        </is>
      </c>
    </row>
    <row r="130">
      <c r="A130" t="inlineStr">
        <is>
          <t>li-4376325790</t>
        </is>
      </c>
      <c r="B130" t="inlineStr">
        <is>
          <t>Senior Program Manager, BI and Analytics Delivery</t>
        </is>
      </c>
      <c r="C130" t="inlineStr">
        <is>
          <t>Integrity</t>
        </is>
      </c>
      <c r="D130" t="inlineStr">
        <is>
          <t>linkedin</t>
        </is>
      </c>
      <c r="E130">
        <f>HYPERLINK("https://www.linkedin.com/jobs/view/4376325790", "https://www.linkedin.com/jobs/view/4376325790")</f>
        <v/>
      </c>
      <c r="F130" t="inlineStr"/>
      <c r="G130" t="inlineStr">
        <is>
          <t>Dallas, TX</t>
        </is>
      </c>
      <c r="H130" t="inlineStr"/>
      <c r="I130" t="inlineStr">
        <is>
          <t>The Senior Program Manager, BI and Analytics Delivery, drives the successful execution of Integrity’s business intelligence and analytics program, ensuring timely and high\-quality delivery that creates value throughout the organization. Leveraging your deep knowledge of data and analytics methods and practices is essential for effective management of resources and budgets. As a subject matter expert, you will contribute to the development of operational plans and risk management strategies, ensuring the highest quality and professionalism in service delivery. This role serves as a key liaison between business, IT, and analytics teams, fostering collaboration and transparency.
**Primary Responsibilities**
* Develop and execute comprehensive project plans, incorporating technical requirements, resource requirements/allocation, and timelines to ensure on\-time delivery of data and analytic solutions.
* Manage day\-to\-day project schedule, deliverables, and resources, coordinating with cross\-functional teams including executive leadership, technology, legal, compliance, human resources, marketing, and business units. Lead project planning and milestone delivery. Identify potential risks and implement mitigation strategies.
* Collaborate with cross\-functional teams to gather requirements, define project objectives, scope, timelines and success criteria in alignment with key stakeholders. Must have excellent communication skills, with the ability to work closely with business and technology partners to understand their needs.
* Facilitate effective project and stakeholder team working sessions to identify requirements, impacts and resource requirements. Maintain effective communication with stakeholders, providing regular updates on project status, risks, and issues. Understand and represent the team’s strategy in meetings.
* Prepare executive ready presentations outlining strategic plans, performance updates, and key insights.
**Knowledge, Skills \&amp; Requirements**
* Bachelor's degree in a quantitative discipline (e.g. Math, Economics, Computer Science, Statistics, Data Analytics), or equivalent, with a Master’s degree or MBA preferred
* 7\+ years of experience managing data and analytic programs, ideally reporting directly to a CDAO, VP/SVP or equivalent
* Proven experience leading through project/program lifecycles
* Expert level skills with tools like Jira, Confluence, Smartsheet and Excel to create and manage dashboards and reports.
* Familiarity with data and analytics tools (e.g., SQL, Python, Tableau, Power BI), cloud platforms (AWS, Azure), ETL tools, API integration, and AI
* Deep understanding of data management, data governance and analytics
* Proficient in stakeholder management and cross\-functional collaboration
* Strong conflict resolution with ability to navigate interpersonal dynamics
* Excellent communication, interpersonal, and time management skills
* Ability to excel in a fast\-paced, client\-centric environment, with the ability to quickly adapt as business priorities shift
**About Integrity**
**Integrity** 
 is one of the nation’s leading independent distributors of life, health and wealth insurance products. With a strong insurtech focus, we embrace a broad and innovative approach to serving agents and clients alike.
 **Integrity** 
 is driven by a singular purpose: to help people protect their life, health and wealth so they can prepare for the good days ahead.
**Integrity** 
 offers you the opportunity to start a career in a family\-like environment that is rewarding and cutting edge. Why? Because we put our people first! At
 **Integrity,** 
 you can start a new career path at company you’ll love, and we’ll love you back. We’re proud of the work we do and the culture we’ve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Headquartered in Dallas, Texas,
 **Integrity** 
 is committed to meeting Americans wherever they are — in person, over the phone or online.
 **Integrity’s** 
 employees support hundreds of thousands of independent agents who serve the needs of millions of clients nationwide. For more information, visit Integrity.com.
*Integrity,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LLC will provide reasonable accommodations for qualified individuals with disabilities.*</t>
        </is>
      </c>
    </row>
    <row r="131">
      <c r="A131" t="inlineStr">
        <is>
          <t>li-4374969148</t>
        </is>
      </c>
      <c r="B131" t="inlineStr">
        <is>
          <t>Program/Product Manager - Tax</t>
        </is>
      </c>
      <c r="C131" t="inlineStr">
        <is>
          <t>Randstad Digital Americas</t>
        </is>
      </c>
      <c r="D131" t="inlineStr">
        <is>
          <t>linkedin</t>
        </is>
      </c>
      <c r="E131">
        <f>HYPERLINK("https://www.linkedin.com/jobs/view/4374969148", "https://www.linkedin.com/jobs/view/4374969148")</f>
        <v/>
      </c>
      <c r="F131" t="inlineStr"/>
      <c r="G131" t="inlineStr">
        <is>
          <t>Seattle, WA</t>
        </is>
      </c>
      <c r="H131" t="inlineStr"/>
      <c r="I131" t="inlineStr">
        <is>
          <t>**Job Summary**
 Join our Communications, Media \&amp; Technology (CM\&amp;T) team as a Business Analyst/Program Manager focused on Tax functionality. You will play a critical role in analyzing business models and designing the systems that integrate technology with future\-state organizational goals.
 location: Seattle, Washington
 job type: Contract
 salary: $70\.29 \- 80\.29 per hour
 work hours: 8am to 5pm
 education: Bachelors
**Responsibilities**
* Research, gather, and synthesize information to identify customer requirements.
* Develop and implement innovative strategies for business process analysis and design.
* Collaborate with cross\-functional teams to define future\-state business solutions.
* Manage team decisions and provide expert insights on business model optimization.
* Lead UAT (User Acceptance Testing) strategy and execution for tax functionality.
* Provide solutions to complex problems that apply across multiple integrated teams.
**Qualifications**
 Intermediate to advanced proficiency in Business Process Design.
 Proven experience in Technical Program Management (TPM) and Order to Cash (O2C) processes.
 Ability to work 100% onsite in Seattle, WA.
 Strong background in Requirements Analysis and Business Model Strategy.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32">
      <c r="A132" t="inlineStr">
        <is>
          <t>li-4376345328</t>
        </is>
      </c>
      <c r="B132" t="inlineStr">
        <is>
          <t>Senior Program Manager</t>
        </is>
      </c>
      <c r="C132" t="inlineStr">
        <is>
          <t>Thermo Fisher Scientific</t>
        </is>
      </c>
      <c r="D132" t="inlineStr">
        <is>
          <t>linkedin</t>
        </is>
      </c>
      <c r="E132">
        <f>HYPERLINK("https://www.linkedin.com/jobs/view/4376345328", "https://www.linkedin.com/jobs/view/4376345328")</f>
        <v/>
      </c>
      <c r="F132" t="inlineStr"/>
      <c r="G132" t="inlineStr">
        <is>
          <t>Plainville, MA</t>
        </is>
      </c>
      <c r="H132" t="inlineStr"/>
      <c r="I132" t="inlineStr">
        <is>
          <t>**Work Schedule**
 Standard (Mon\-Fri)
**Environmental Conditions**
 Adherence to all Good Manufacturing Practices (GMP) Safety Standards,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Thermo Fisher Scientific \- Viral Vector Services (VVS) is multifaceted gene therapy contract development and manufacturing organization (CDMO) that is seeking sharp individuals to bring the highest quality processes, products, and testing to our clients. Our employees are committed to making a difference in our organization, for our client partners, and for the patients we serve.
 Discover Impactful Work
 The Sr. Program Manager will lead complex customer programs and serve as the primary liaison between the client and internal teams. The role requires successfully directing a cross\-functional team in all aspects of development, tech transfer, characterization, and commercialization of cell and gene therapy manufacturing processes. This position interacts directly with customers, requiring strong technical depth, program leadership skills, and the ability to manage challenges within a dynamic environment.
* Independently lead a complex project portfolio or multiple client programs across all project stages
* Proactively diagnose program challenges and partner with cross\-functional teams to identify solutions supporting successful internal and external outcomes.
* Communicate regularly with business teams, VVS technical teams, and customer teams; report on progress, risks, and mitigation plans to ensure on\-time, in\-scope delivery.
* Identify and assess program risks with the team; develop mitigation strategies and escalate issues to leadership as needed.
* Lead the development and improvement of program management tools, templates, dashboards, and best practices.
* Oversee financial aspects including milestone payments, pass\-through costs, and FTE forecasting; guide teams through the change\-order decision process
 Education
* Bachelor's degree in Life Sciences, Engineering or related field required
* Certification preferred (PMP, Six Sigma, or equivalent)
* Equivalent combinations of education, training, and relevant experience may be considered
**Experience**
* 6\+ years of CMC or CDMO industry experience in project or program management, including direct customer oversight.
* Prior experience independently leading multi\-functional program teams strongly preferred.
* Proficiency with Smartsheet, MS Excel, PowerPoint, and Word.
* Experience within a Contract Development and Manufacturing Organization (CDMO) highly preferred.
**Knowledge, Skills, Abilities**
* Strong track record of cross\-functional leadership within a matrixed organization.
* Demonstrated ability to identify program risks, develop mitigation strategies, and navigate complex technical or operational issues. Excellent communication, customer engagement, and stakeholder\-management skills.
* Strong analytical, organizational, and problem\-solving abilities.
* Ability to manage multiple programs in a fast\-paced environment and influence across levels.
* Skilled in conflict resolution, negotiation, and facilitating alignment across diverse teams.
 Physical Requirements / Work Environment
* 100% onsite role at the Plainville, MA facility.
* Standard office environment with periodic interaction in GMP manufacturing and laboratory areas.
* May require occasional standing, walking, and PPE usage during facility tours or client visits.
* Domestic travel up to 10\-15% may be required
**Compensation And Benefits**
 The salary range estimated for this position based in Massachusetts is $118,600\.00\-$177,850\.00\.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2026-02-22T04:36:48Z</dcterms:created>
  <dcterms:modified xsi:type="dcterms:W3CDTF">2026-02-22T04:36:48Z</dcterms:modified>
</cp:coreProperties>
</file>