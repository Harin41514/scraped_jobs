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in-9b45f22ff453d008</t>
        </is>
      </c>
      <c r="B2" t="inlineStr">
        <is>
          <t>Principal Data Scientist - Business Development Analytics</t>
        </is>
      </c>
      <c r="C2" t="inlineStr">
        <is>
          <t>Northrop Grumman</t>
        </is>
      </c>
      <c r="D2" t="inlineStr">
        <is>
          <t>indeed</t>
        </is>
      </c>
      <c r="E2" t="inlineStr"/>
      <c r="F2" t="inlineStr"/>
      <c r="G2" t="inlineStr">
        <is>
          <t>Falls Church, VA, US</t>
        </is>
      </c>
      <c r="H2" s="1" t="n">
        <v>46071</v>
      </c>
      <c r="I2" t="inlineStr">
        <is>
          <t>RELOCATION ASSISTANCE: No relocation assistance available
CLEARANCE REQUIRED FOR START: No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seeking a Data Scientist to join our Business Development AI \&amp; Analytics organization. This position will support the Business Development function, and the selected candidate will report to the Manager, Business Development AI \&amp; Analytics. The location for this position is Falls Church, VA with the opportunity for a hybrid or telework arrangement.
At Northrop Grumman, Business Development AI \&amp; Analytics is a core domain within our Insights \&amp; Intelligence (i2\) organization. As part of our Chief Information \&amp; Digital Office (CIDO), i2 works with all enterprise domains and businesses to drive our data, analytics \&amp; AI transformation.
Insights and Intelligence (i2\) Solutions is a team of data scientists, behavioral research scientists, insight analysts, data engineers, and technologists who use science to drive insight and data strategy within the business. As a member of Business Development AI \&amp; Analytics, you will be responsible for guiding the organization with strategic analysis and providing meaning behind data.
As a data scientist, you will be responsible for developing and scaling models to approximate our complex business and potential future scenarios to ultimately help answer “what if…?” questions. You will be curious, detail\-oriented, and ethically conscious. You are a creative problem\-solver who can determine appropriate methodologies to apply to unique data applications. You think architecturally about the business development domain to comprehensively solve Enterprise problems at scale. You want to drive positive change and are candid and collaborative in taking on our most difficult analytics projects as well as the process and culture changes that accompanies them.
***Responsibilities:***
* Develop statistical and machine learning models with a modeling \&amp; simulation lens to help quantify and reduce future uncertainty across various scenarios
* Build well\-structured and understandable code to enable smooth collaboration across the team and successful model deployment
* Serve as a trusted technical expert who can offer informed guidance on methodology or technology decisions and communicate core requirements to our technology teams
* Stay abreast of industry trends and methodologies and contribute innovative ideas to drive business value
* Utilizing exceptional interpersonal and communication skills to present complex models or analyses to business partners
**Basic Qualifications:**
* Must have a Bachelor’s degree with a minimum of 5 years of relevant professional experience OR a Master’s degree with a minimum of 3 years of relevant professional experience OR a PhD with a minimum of 1 year of relevant professional experience.
* Must have a deep foundational knowledge of statistical modeling and machine learning concepts
* Must have at least 3 years of experience with Python
* Must have proficiency with data transformation using SQL or similar data querying language
* Must have experience with visualization tools or libraries, such as Streamlit, Plotly, or Tableau
* Must have experience using version software control (e.g. git) with a team of collaborators
* Must have experience using cloud\-based data science tools including AWS, Azure, DataBricks, Spark/PySpark
* Must have fluency in translating business problems into questions that can be answered via analytic methods
* Must have experience collaborating on projects with multiple teams and communicating findings to both technical and non\-technical audiences
**Preferred Qualifications:**
* Degree in a quantitative field (engineering, mathematics, statistics, computer science, etc.) is preferred
* Experience with large language models (LLMs) or retrieval\-augmented generation (RAG) techniques
* Experience with Monte Carlo simulation, time series modeling, or probabilistic modeling
* Proven experience putting models into production
* Experience communicating insights through data\-journalism and presenting to executive audiences
* Experience with Business Development or Strategy related data (Customer Relationship Management (CRM) tools such as Salesforce and CRM Analytics)
* Experience with analyzing intel from various aerospace and defense industry data sources such as DACIS, Jane’s, SAM.gov
Primary Level Salary Range: $113,900\.00 \- $170,900\.00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
      <c r="A3" t="inlineStr">
        <is>
          <t>in-6fd3d50b30823755</t>
        </is>
      </c>
      <c r="B3" t="inlineStr">
        <is>
          <t>Principal Data Scientist - Business Development Analytics</t>
        </is>
      </c>
      <c r="C3" t="inlineStr">
        <is>
          <t>Northrop Grumman</t>
        </is>
      </c>
      <c r="D3" t="inlineStr">
        <is>
          <t>indeed</t>
        </is>
      </c>
      <c r="E3" t="inlineStr"/>
      <c r="F3" t="inlineStr"/>
      <c r="G3" t="inlineStr">
        <is>
          <t>Falls Church, VA, US</t>
        </is>
      </c>
      <c r="H3" s="1" t="n">
        <v>46071</v>
      </c>
      <c r="I3" t="inlineStr">
        <is>
          <t>RELOCATION ASSISTANCE: No relocation assistance available
CLEARANCE REQUIRED FOR START: No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is seeking a Data Scientist to join our Business Development AI \&amp; Analytics organization. This position will support the Business Development function, and the selected candidate will report to the Manager, Business Development AI \&amp; Analytics. The location for this position is Falls Church, VA with the opportunity for a hybrid or telework arrangement.
At Northrop Grumman, Business Development AI \&amp; Analytics is a core domain within our Insights \&amp; Intelligence (i2\) organization. As part of our Chief Information \&amp; Digital Office (CIDO), i2 works with all enterprise domains and businesses to drive our data, analytics \&amp; AI transformation.
Insights and Intelligence (i2\) Solutions is a team of data scientists, behavioral research scientists, insight analysts, data engineers, and technologists who use science to drive insight and data strategy within the business. As a member of Business Development AI \&amp; Analytics, you will be responsible for guiding the organization with strategic analysis and providing meaning behind data.
As a data scientist, you will be responsible for developing and scaling models to approximate our complex business and potential future scenarios to ultimately help answer “what if…?” questions. You will be curious, detail\-oriented, and ethically conscious. You are a creative problem\-solver who can determine appropriate methodologies to apply to unique data applications. You think architecturally about the business development domain to comprehensively solve Enterprise problems at scale. You want to drive positive change and are candid and collaborative in taking on our most difficult analytics projects as well as the process and culture changes that accompanies them.
***Responsibilities:***
* Develop statistical and machine learning models with a modeling \&amp; simulation lens to help quantify and reduce future uncertainty across various scenarios
* Build well\-structured and understandable code to enable smooth collaboration across the team and successful model deployment
* Serve as a trusted technical expert who can offer informed guidance on methodology or technology decisions and communicate core requirements to our technology teams
* Stay abreast of industry trends and methodologies and contribute innovative ideas to drive business value
* Utilizing exceptional interpersonal and communication skills to present complex models or analyses to business partners
**Basic Qualifications:**
* Must have a Bachelor’s degree with a minimum of 5 years of relevant professional experience OR a Master’s degree with a minimum of 3 years of relevant professional experience OR a PhD with a minimum of 1 year of relevant professional experience.
* Must have a deep foundational knowledge of statistical modeling and machine learning concepts
* Must have at least 3 years of experience with Python
* Must have proficiency with data transformation using SQL or similar data querying language
* Must have experience with visualization tools or libraries, such as Streamlit, Plotly, or Tableau
* Must have experience using version software control (e.g. git) with a team of collaborators
* Must have experience using cloud\-based data science tools including AWS, Azure, DataBricks, Spark/PySpark
* Must have fluency in translating business problems into questions that can be answered via analytic methods
* Must have experience collaborating on projects with multiple teams and communicating findings to both technical and non\-technical audiences
**Preferred Qualifications:**
* Degree in a quantitative field (engineering, mathematics, statistics, computer science, etc.) is preferred
* Experience with large language models (LLMs) or retrieval\-augmented generation (RAG) techniques
* Experience with Monte Carlo simulation, time series modeling, or probabilistic modeling
* Proven experience putting models into production
* Experience communicating insights through data\-journalism and presenting to executive audiences
* Experience with Business Development or Strategy related data (Customer Relationship Management (CRM) tools such as Salesforce and CRM Analytics)
* Experience with analyzing intel from various aerospace and defense industry data sources such as DACIS, Jane’s, SAM.gov
Primary Level Salary Range: $113,900\.00 \- $170,900\.00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
      <c r="A4" t="inlineStr">
        <is>
          <t>in-a6ca68178cbec872</t>
        </is>
      </c>
      <c r="B4" t="inlineStr">
        <is>
          <t>Sr. Applied Scientist, Amazon Ads</t>
        </is>
      </c>
      <c r="C4" t="inlineStr">
        <is>
          <t>Amazon.com</t>
        </is>
      </c>
      <c r="D4" t="inlineStr">
        <is>
          <t>indeed</t>
        </is>
      </c>
      <c r="E4" t="inlineStr"/>
      <c r="F4" t="inlineStr"/>
      <c r="G4" t="inlineStr">
        <is>
          <t>Brooklyn, NY,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in-4b939179a05e79a0</t>
        </is>
      </c>
      <c r="B5" t="inlineStr">
        <is>
          <t>Sr. Applied Scientist, Amazon Ads</t>
        </is>
      </c>
      <c r="C5" t="inlineStr">
        <is>
          <t>Amazon.com</t>
        </is>
      </c>
      <c r="D5" t="inlineStr">
        <is>
          <t>indeed</t>
        </is>
      </c>
      <c r="E5" t="inlineStr"/>
      <c r="F5" t="inlineStr"/>
      <c r="G5" t="inlineStr">
        <is>
          <t>Boston, MA,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in-d45b4daf80cfb388</t>
        </is>
      </c>
      <c r="B6" t="inlineStr">
        <is>
          <t>Sr. Applied Scientist, Amazon Ads</t>
        </is>
      </c>
      <c r="C6" t="inlineStr">
        <is>
          <t>Amazon.com</t>
        </is>
      </c>
      <c r="D6" t="inlineStr">
        <is>
          <t>indeed</t>
        </is>
      </c>
      <c r="E6" t="inlineStr"/>
      <c r="F6" t="inlineStr"/>
      <c r="G6" t="inlineStr">
        <is>
          <t>Seattle, WA,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in-c44b7dfea74e8f1a</t>
        </is>
      </c>
      <c r="B7" t="inlineStr">
        <is>
          <t>Sr. Applied Scientist, Amazon Ads</t>
        </is>
      </c>
      <c r="C7" t="inlineStr">
        <is>
          <t>Amazon.com</t>
        </is>
      </c>
      <c r="D7" t="inlineStr">
        <is>
          <t>indeed</t>
        </is>
      </c>
      <c r="E7" t="inlineStr"/>
      <c r="F7" t="inlineStr"/>
      <c r="G7" t="inlineStr">
        <is>
          <t>Palo Alto, CA,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in-6bff7e28b35b1f5a</t>
        </is>
      </c>
      <c r="B8" t="inlineStr">
        <is>
          <t>Sr. Applied Scientist, Amazon Ads</t>
        </is>
      </c>
      <c r="C8" t="inlineStr">
        <is>
          <t>Amazon.com</t>
        </is>
      </c>
      <c r="D8" t="inlineStr">
        <is>
          <t>indeed</t>
        </is>
      </c>
      <c r="E8" t="inlineStr"/>
      <c r="F8" t="inlineStr"/>
      <c r="G8" t="inlineStr">
        <is>
          <t>New York, NY,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in-4eb57ddf6658e72a</t>
        </is>
      </c>
      <c r="B9" t="inlineStr">
        <is>
          <t>Sr. Applied Scientist, Amazon Ads</t>
        </is>
      </c>
      <c r="C9" t="inlineStr">
        <is>
          <t>Amazon.com</t>
        </is>
      </c>
      <c r="D9" t="inlineStr">
        <is>
          <t>indeed</t>
        </is>
      </c>
      <c r="E9" t="inlineStr"/>
      <c r="F9" t="inlineStr"/>
      <c r="G9" t="inlineStr">
        <is>
          <t>Tukwila, WA,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in-02236d0465976546</t>
        </is>
      </c>
      <c r="B10" t="inlineStr">
        <is>
          <t>Sr. Applied Scientist, Amazon Ads</t>
        </is>
      </c>
      <c r="C10" t="inlineStr">
        <is>
          <t>Amazon.com</t>
        </is>
      </c>
      <c r="D10" t="inlineStr">
        <is>
          <t>indeed</t>
        </is>
      </c>
      <c r="E10" t="inlineStr"/>
      <c r="F10" t="inlineStr"/>
      <c r="G10" t="inlineStr">
        <is>
          <t>Santa Monica,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in-e4d0b720978c57eb</t>
        </is>
      </c>
      <c r="B11" t="inlineStr">
        <is>
          <t>Sr. Applied Scientist, Amazon Ads</t>
        </is>
      </c>
      <c r="C11" t="inlineStr">
        <is>
          <t>Amazon.com</t>
        </is>
      </c>
      <c r="D11" t="inlineStr">
        <is>
          <t>indeed</t>
        </is>
      </c>
      <c r="E11" t="inlineStr"/>
      <c r="F11" t="inlineStr"/>
      <c r="G11" t="inlineStr">
        <is>
          <t>Corvallis, OR,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in-5627fd0528c7de6b</t>
        </is>
      </c>
      <c r="B12" t="inlineStr">
        <is>
          <t>Sr. Applied Scientist, Amazon Ads</t>
        </is>
      </c>
      <c r="C12" t="inlineStr">
        <is>
          <t>Amazon.com</t>
        </is>
      </c>
      <c r="D12" t="inlineStr">
        <is>
          <t>indeed</t>
        </is>
      </c>
      <c r="E12" t="inlineStr"/>
      <c r="F12" t="inlineStr"/>
      <c r="G12" t="inlineStr">
        <is>
          <t>Sunnyvale, CA, US</t>
        </is>
      </c>
      <c r="H12" s="1"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in-25dd6f99457b612f</t>
        </is>
      </c>
      <c r="B13" t="inlineStr">
        <is>
          <t>Sr. Applied Scientist, Amazon Ads</t>
        </is>
      </c>
      <c r="C13" t="inlineStr">
        <is>
          <t>Amazon.com</t>
        </is>
      </c>
      <c r="D13" t="inlineStr">
        <is>
          <t>indeed</t>
        </is>
      </c>
      <c r="E13" t="inlineStr"/>
      <c r="F13" t="inlineStr"/>
      <c r="G13" t="inlineStr">
        <is>
          <t>Boulder, CO, US</t>
        </is>
      </c>
      <c r="H13" s="1"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in-2ca2585e8cf8354d</t>
        </is>
      </c>
      <c r="B14" t="inlineStr">
        <is>
          <t>Applied Scientist II, Prime Video - Personalization and Discovery Science, Personalization and Discovery Science</t>
        </is>
      </c>
      <c r="C14" t="inlineStr">
        <is>
          <t>Amazon.com</t>
        </is>
      </c>
      <c r="D14" t="inlineStr">
        <is>
          <t>indeed</t>
        </is>
      </c>
      <c r="E14" t="inlineStr"/>
      <c r="F14" t="inlineStr"/>
      <c r="G14" t="inlineStr">
        <is>
          <t>Seattle, WA,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in-94c24adb8c2d9a27</t>
        </is>
      </c>
      <c r="B15" t="inlineStr">
        <is>
          <t>Applied Scientist II, Prime Video - Personalization and Discovery Science, Personalization and Discovery Science</t>
        </is>
      </c>
      <c r="C15" t="inlineStr">
        <is>
          <t>Amazon.com</t>
        </is>
      </c>
      <c r="D15" t="inlineStr">
        <is>
          <t>indeed</t>
        </is>
      </c>
      <c r="E15" t="inlineStr"/>
      <c r="F15" t="inlineStr"/>
      <c r="G15" t="inlineStr">
        <is>
          <t>Sunnyvale, CA, US</t>
        </is>
      </c>
      <c r="H15" s="1"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in-60f108211d8c63a7</t>
        </is>
      </c>
      <c r="B16" t="inlineStr">
        <is>
          <t>Applied Scientist II, Prime Video - Personalization and Discovery Science, Personalization and Discovery Science</t>
        </is>
      </c>
      <c r="C16" t="inlineStr">
        <is>
          <t>Amazon.com</t>
        </is>
      </c>
      <c r="D16" t="inlineStr">
        <is>
          <t>indeed</t>
        </is>
      </c>
      <c r="E16" t="inlineStr"/>
      <c r="F16" t="inlineStr"/>
      <c r="G16" t="inlineStr">
        <is>
          <t>New York, NY, US</t>
        </is>
      </c>
      <c r="H16" s="1"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in-b80a2d433dafa598</t>
        </is>
      </c>
      <c r="B17" t="inlineStr">
        <is>
          <t>Applied Scientist II, Prime Video - Personalization and Discovery Science</t>
        </is>
      </c>
      <c r="C17" t="inlineStr">
        <is>
          <t>Amazon.com</t>
        </is>
      </c>
      <c r="D17" t="inlineStr">
        <is>
          <t>indeed</t>
        </is>
      </c>
      <c r="E17" t="inlineStr"/>
      <c r="F17" t="inlineStr"/>
      <c r="G17" t="inlineStr">
        <is>
          <t>New York, NY,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in-5f02feed64bf3f10</t>
        </is>
      </c>
      <c r="B18" t="inlineStr">
        <is>
          <t>Applied Scientist II, Prime Video - Personalization and Discovery Science</t>
        </is>
      </c>
      <c r="C18" t="inlineStr">
        <is>
          <t>Amazon.com</t>
        </is>
      </c>
      <c r="D18" t="inlineStr">
        <is>
          <t>indeed</t>
        </is>
      </c>
      <c r="E18" t="inlineStr"/>
      <c r="F18" t="inlineStr"/>
      <c r="G18" t="inlineStr">
        <is>
          <t>Seattle, WA,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in-d8dcc9d90cb893a9</t>
        </is>
      </c>
      <c r="B19" t="inlineStr">
        <is>
          <t>Sr. Applied Scientist, Prime Video - Personalization and Discovery Science</t>
        </is>
      </c>
      <c r="C19" t="inlineStr">
        <is>
          <t>Amazon.com</t>
        </is>
      </c>
      <c r="D19" t="inlineStr">
        <is>
          <t>indeed</t>
        </is>
      </c>
      <c r="E19" t="inlineStr"/>
      <c r="F19" t="inlineStr"/>
      <c r="G19" t="inlineStr">
        <is>
          <t>Seattle, WA,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in-56969f1c7b57b66e</t>
        </is>
      </c>
      <c r="B20" t="inlineStr">
        <is>
          <t>Sr. Applied Scientist, Prime Video - Personalization and Discovery Science</t>
        </is>
      </c>
      <c r="C20" t="inlineStr">
        <is>
          <t>Amazon.com</t>
        </is>
      </c>
      <c r="D20" t="inlineStr">
        <is>
          <t>indeed</t>
        </is>
      </c>
      <c r="E20" t="inlineStr"/>
      <c r="F20" t="inlineStr"/>
      <c r="G20" t="inlineStr">
        <is>
          <t>Sunnyvale, CA,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in-10403a742b74f338</t>
        </is>
      </c>
      <c r="B21" t="inlineStr">
        <is>
          <t>Applied Scientist II, Prime Video - Personalization and Discovery Science</t>
        </is>
      </c>
      <c r="C21" t="inlineStr">
        <is>
          <t>Amazon.com</t>
        </is>
      </c>
      <c r="D21" t="inlineStr">
        <is>
          <t>indeed</t>
        </is>
      </c>
      <c r="E21" t="inlineStr"/>
      <c r="F21" t="inlineStr"/>
      <c r="G21" t="inlineStr">
        <is>
          <t>Sunnyvale, CA,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in-adc26d4984b102c1</t>
        </is>
      </c>
      <c r="B22" t="inlineStr">
        <is>
          <t>Sr. Applied Scientist, Prime Video - Personalization and Discovery Science</t>
        </is>
      </c>
      <c r="C22" t="inlineStr">
        <is>
          <t>Amazon.com</t>
        </is>
      </c>
      <c r="D22" t="inlineStr">
        <is>
          <t>indeed</t>
        </is>
      </c>
      <c r="E22" t="inlineStr"/>
      <c r="F22" t="inlineStr"/>
      <c r="G22" t="inlineStr">
        <is>
          <t>New York, NY, US</t>
        </is>
      </c>
      <c r="H22" s="1"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in-46605ad177cd18c0</t>
        </is>
      </c>
      <c r="B23" t="inlineStr">
        <is>
          <t>Data Scientist, AWS Infrastructure Services Science</t>
        </is>
      </c>
      <c r="C23" t="inlineStr">
        <is>
          <t>Amazon.com</t>
        </is>
      </c>
      <c r="D23" t="inlineStr">
        <is>
          <t>indeed</t>
        </is>
      </c>
      <c r="E23" t="inlineStr"/>
      <c r="F23" t="inlineStr"/>
      <c r="G23" t="inlineStr">
        <is>
          <t>Seattle, WA, US</t>
        </is>
      </c>
      <c r="H23" s="1" t="n">
        <v>46065</v>
      </c>
      <c r="I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4">
      <c r="A24" t="inlineStr">
        <is>
          <t>in-ddd2644971db2271</t>
        </is>
      </c>
      <c r="B24" t="inlineStr">
        <is>
          <t>Data Scientist, AWS Infrastructure Services Science</t>
        </is>
      </c>
      <c r="C24" t="inlineStr">
        <is>
          <t>Amazon.com</t>
        </is>
      </c>
      <c r="D24" t="inlineStr">
        <is>
          <t>indeed</t>
        </is>
      </c>
      <c r="E24" t="inlineStr"/>
      <c r="F24" t="inlineStr"/>
      <c r="G24" t="inlineStr">
        <is>
          <t>Herndon, VA, US</t>
        </is>
      </c>
      <c r="H24" s="1" t="n">
        <v>46065</v>
      </c>
      <c r="I2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5">
      <c r="A25" t="inlineStr">
        <is>
          <t>in-18763024525c9788</t>
        </is>
      </c>
      <c r="B25" t="inlineStr">
        <is>
          <t>Data Scientist, Upstream Development</t>
        </is>
      </c>
      <c r="C25" t="inlineStr">
        <is>
          <t>ExxonMobil</t>
        </is>
      </c>
      <c r="D25" t="inlineStr">
        <is>
          <t>indeed</t>
        </is>
      </c>
      <c r="E25" t="inlineStr"/>
      <c r="F25" t="inlineStr"/>
      <c r="G25" t="inlineStr">
        <is>
          <t>Houston, TX, US</t>
        </is>
      </c>
      <c r="H25" s="1" t="n">
        <v>46073</v>
      </c>
      <c r="I25"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**What you will do**
--------------------
Lead the design, development, and deployment of advanced AI/ML solutions for upstream oil \&amp; gas subsurface \&amp; well operations such as physics\-informed Machine Learning (ML) and production optimization. You will work end\-to\-end from problem framing and experimentation through production and sustainment partnering with engineers and business stakeholders to deliver scalable, reliable, and impactful solutions.
**What role will you play in the team**
---------------------------------------
* Lead end\-to\-end delivery of AI/ML solutions: scoping, modeling, evaluation, deployment, and monitoring.
* Collaborate with cross\-functional teams to translate business problems into mathematical frameworks.
* Build solutions in one or more domains listed above, applying best practices for data quality, explainability, and governance.
* Develop GenAI applications (chatbots, copilots, multi\-agent workflows) and/or time series, optimization, or commercial analytics models.
* Ensure production readiness through MLOps practices (CI/CD, MLflow, monitoring, cost optimization).
* Mentor peers and contribute to internal AI capability building.
**About you**
-------------
 **Desired Skills**
* 5\+ years of direct experience delivering production AI/ML solutions.
* Experience applying data science to upstream oil \&amp; gas workflows, including exploration, drilling and reservoir management; analyzing well logs, seismic data, and production metrics to support operational and strategic decisions
* Strong foundations in statistics, probability, and algorithm design.
* Proficiency in Python and ML frameworks (PyTorch, TensorFlow, scikit\-learn); experience with Databricks/Spark.
* Familiarity with GenAI frameworks (LangChain, Promptflow) and/or optimization libraries.
* Experience with MLOps, model governance, and explainable AI techniques (e.g., SHAP, LIME).
* Excellent communication and collaboration skills.
 **Preferred Knowledge/Skills**
* Cloud platforms (Azure ML, Azure OpenAI, Databricks).
* Knowledge graphs, hybrid search/RAG, and semantic technologies.
* Agile development and software engineering best practices.
 **Educational Background Recommended**
* Master’s or PhD in Data Science, Computer Science, Engineering, Applied Math, or related field.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82223**
\#LI\-Onsite</t>
        </is>
      </c>
    </row>
    <row r="26">
      <c r="A26" t="inlineStr">
        <is>
          <t>in-75710a407a22502d</t>
        </is>
      </c>
      <c r="B26" t="inlineStr">
        <is>
          <t>Applied Scientist II, Physics Simulation, Amazon Industrial Robotics</t>
        </is>
      </c>
      <c r="C26" t="inlineStr">
        <is>
          <t>Amazon.com</t>
        </is>
      </c>
      <c r="D26" t="inlineStr">
        <is>
          <t>indeed</t>
        </is>
      </c>
      <c r="E26" t="inlineStr"/>
      <c r="F26" t="inlineStr"/>
      <c r="G26" t="inlineStr">
        <is>
          <t>Reading, MA, US</t>
        </is>
      </c>
      <c r="H26" s="1" t="n">
        <v>46057</v>
      </c>
      <c r="I2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7">
      <c r="A27" t="inlineStr">
        <is>
          <t>in-fcb60c168be34b78</t>
        </is>
      </c>
      <c r="B27" t="inlineStr">
        <is>
          <t>Applied Scientist II, Physics Simulation, Amazon Industrial Robotics</t>
        </is>
      </c>
      <c r="C27" t="inlineStr">
        <is>
          <t>Amazon.com</t>
        </is>
      </c>
      <c r="D27" t="inlineStr">
        <is>
          <t>indeed</t>
        </is>
      </c>
      <c r="E27" t="inlineStr"/>
      <c r="F27" t="inlineStr"/>
      <c r="G27" t="inlineStr">
        <is>
          <t>Reading, MA, US</t>
        </is>
      </c>
      <c r="H27" s="1" t="n">
        <v>46057</v>
      </c>
      <c r="I2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We are seeking a talented Applied Scientist to join our advanced robotics team, focusing on developing and applying cutting\-edge simulation methodologies for advanced robotics systems. This role centers on research and development of physics\-based simulation techniques, sim\-to\-real transfer methods, and machine learning approaches that enable rapid development, testing, and validation of robotic systems operating in complex, real\-world environments.
Key job responsibilities  
* Advance physics\-based simulation fidelity for contact\-rich manipulation and locomotion
* Design and build high\-performance simulation tools integrated into a production robotics stack
* Translate research ideas into robust, scalable software pipelines
* Develop methods to quantify and reduce simulation\-to\-reality gaps across design, safety, and control
* Architect scalable simulation solutions for rigid and deformable body dynamics
* Build simulation pipelines optimized for large\-scale reinforcement and policy learning
* Establish frameworks for continuous simulation improvement using real\-world deployment data
* Collaborate with engineering, science, and safety teams on simulation requirements and validation
About the team  
Our team is building a comprehensive simulation platform for advanced robotics development, combining locomotion and manipulation capabilities. We operate at the cutting edge of physics simulation, reinforcement learning, and sim\-to\-real transfer, collaborating with world\-class robotics engineers, applied scientists, and mechanical designers in a fast\-paced, innovation\-driven environment.
This role uniquely combines fundamental research with real\-world deployment. You will pursue core research questions in physics\-based simulation while seeing your work translated into production systems, validated on real hardware, and informed by deployment data. Working alongside Simulation Software Engineers, you will help transform research ideas into scalable, production\-grade simulation capabilities that directly impact how robots are designed, trained, and deployed.
**BASIC QUALIFICATIONS**
------------------------
* Currently has, or is in the process of obtaining, a PhD in computer science, computer engineering, or related field
* 2\+ years of science, technology, engineering or related field experience
* Deep expertise in physics\-based simulation, including rigid and deformable dynamics, contact mechanics, computational geometry, and numerical methods
* Experience designing and optimizing physics\-based simulation systems for high\-performance and large\-scale computing environments
* Strong programming skills in C\+\+ and Python, with an emphasis on maintainable, performance\-critical code
* Working knowledge of modern physics engines such as MuJoCo, Isaac Lab, Drake, and Newton
**PREFERRED QUALIFICATIONS**
----------------------------
* Experience with reinforcement learning and policy training in simulation
* Familiarity with differentiable physics, learned simulation models, or neural physics engines
* Background in contact\-rich manipulation or legged locomotion simulation
* Experience with robotics model formats and pipelines (e.g., URDF, SDF, USD)
* Expertise in GPU\-accelerated computing and algorithms
* Experience deploying simulation\-trained policies on real robotic systems
* Demonstrated research leadership, from project conception through publication and deployment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8">
      <c r="A28" t="inlineStr">
        <is>
          <t>in-d89e641bebd6c8dc</t>
        </is>
      </c>
      <c r="B28" t="inlineStr">
        <is>
          <t>Sr. Applied Scientist - SLAM, Amazon Industrial Robotics</t>
        </is>
      </c>
      <c r="C28" t="inlineStr">
        <is>
          <t>Amazon.com</t>
        </is>
      </c>
      <c r="D28" t="inlineStr">
        <is>
          <t>indeed</t>
        </is>
      </c>
      <c r="E28" t="inlineStr"/>
      <c r="F28" t="inlineStr"/>
      <c r="G28" t="inlineStr">
        <is>
          <t>Reading, MA, US</t>
        </is>
      </c>
      <c r="H28" s="1" t="n">
        <v>46050</v>
      </c>
      <c r="I2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9">
      <c r="A29" t="inlineStr">
        <is>
          <t>in-32498ec92264255f</t>
        </is>
      </c>
      <c r="B29" t="inlineStr">
        <is>
          <t>Sr. Applied Scientist - SLAM, Amazon Industrial Robotics</t>
        </is>
      </c>
      <c r="C29" t="inlineStr">
        <is>
          <t>Amazon.com</t>
        </is>
      </c>
      <c r="D29" t="inlineStr">
        <is>
          <t>indeed</t>
        </is>
      </c>
      <c r="E29" t="inlineStr"/>
      <c r="F29" t="inlineStr"/>
      <c r="G29" t="inlineStr">
        <is>
          <t>Reading, MA, US</t>
        </is>
      </c>
      <c r="H29" s="1" t="n">
        <v>46050</v>
      </c>
      <c r="I29"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
      <c r="A30" t="inlineStr">
        <is>
          <t>in-5ce15bb35a00eea2</t>
        </is>
      </c>
      <c r="B30" t="inlineStr">
        <is>
          <t>Principal Applied Scientist, Sensing, Industrial Robotics Group</t>
        </is>
      </c>
      <c r="C30" t="inlineStr">
        <is>
          <t>Amazon.com</t>
        </is>
      </c>
      <c r="D30" t="inlineStr">
        <is>
          <t>indeed</t>
        </is>
      </c>
      <c r="E30" t="inlineStr"/>
      <c r="F30" t="inlineStr"/>
      <c r="G30" t="inlineStr">
        <is>
          <t>Reading, MA, US</t>
        </is>
      </c>
      <c r="H30" s="1" t="n">
        <v>46050</v>
      </c>
      <c r="I30"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31">
      <c r="A31" t="inlineStr">
        <is>
          <t>in-cf65dc1481b0dbcb</t>
        </is>
      </c>
      <c r="B31" t="inlineStr">
        <is>
          <t>Principal Applied Scientist, Sensing, Industrial Robotics Group</t>
        </is>
      </c>
      <c r="C31" t="inlineStr">
        <is>
          <t>Amazon.com</t>
        </is>
      </c>
      <c r="D31" t="inlineStr">
        <is>
          <t>indeed</t>
        </is>
      </c>
      <c r="E31" t="inlineStr"/>
      <c r="F31" t="inlineStr"/>
      <c r="G31" t="inlineStr">
        <is>
          <t>Reading, MA, US</t>
        </is>
      </c>
      <c r="H31" s="1" t="n">
        <v>46050</v>
      </c>
      <c r="I31"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32">
      <c r="A32" t="inlineStr">
        <is>
          <t>in-802d225d9083b409</t>
        </is>
      </c>
      <c r="B32" t="inlineStr">
        <is>
          <t>Sr. Applied Scientist, Sponsored Products Off-Search Sourcing</t>
        </is>
      </c>
      <c r="C32" t="inlineStr">
        <is>
          <t>Amazon.com</t>
        </is>
      </c>
      <c r="D32" t="inlineStr">
        <is>
          <t>indeed</t>
        </is>
      </c>
      <c r="E32" t="inlineStr"/>
      <c r="F32" t="inlineStr"/>
      <c r="G32" t="inlineStr">
        <is>
          <t>Palo Alto, CA, US</t>
        </is>
      </c>
      <c r="H32" s="1" t="n">
        <v>46049</v>
      </c>
      <c r="I3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3">
      <c r="A33" t="inlineStr">
        <is>
          <t>in-3f8c27ceb34ac48e</t>
        </is>
      </c>
      <c r="B33" t="inlineStr">
        <is>
          <t>Sr. Applied Scientist, Sponsored Products Off-Search Sourcing</t>
        </is>
      </c>
      <c r="C33" t="inlineStr">
        <is>
          <t>Amazon.com</t>
        </is>
      </c>
      <c r="D33" t="inlineStr">
        <is>
          <t>indeed</t>
        </is>
      </c>
      <c r="E33" t="inlineStr"/>
      <c r="F33" t="inlineStr"/>
      <c r="G33" t="inlineStr">
        <is>
          <t>New York, NY, US</t>
        </is>
      </c>
      <c r="H33" s="1" t="n">
        <v>46049</v>
      </c>
      <c r="I33"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4">
      <c r="A34" t="inlineStr">
        <is>
          <t>in-50c6b4c9be760a52</t>
        </is>
      </c>
      <c r="B34" t="inlineStr">
        <is>
          <t>Sr. Applied Scientist, Sponsored Products Off-Search Sourcing</t>
        </is>
      </c>
      <c r="C34" t="inlineStr">
        <is>
          <t>Amazon.com</t>
        </is>
      </c>
      <c r="D34" t="inlineStr">
        <is>
          <t>indeed</t>
        </is>
      </c>
      <c r="E34" t="inlineStr"/>
      <c r="F34" t="inlineStr"/>
      <c r="G34" t="inlineStr">
        <is>
          <t>Seattle, WA, US</t>
        </is>
      </c>
      <c r="H34" s="1" t="n">
        <v>46049</v>
      </c>
      <c r="I34"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5">
      <c r="A35" t="inlineStr">
        <is>
          <t>in-05e8d10b6563761a</t>
        </is>
      </c>
      <c r="B35" t="inlineStr">
        <is>
          <t>Principal Applied Scientist, AWS Science of Security</t>
        </is>
      </c>
      <c r="C35" t="inlineStr">
        <is>
          <t>Amazon.com</t>
        </is>
      </c>
      <c r="D35" t="inlineStr">
        <is>
          <t>indeed</t>
        </is>
      </c>
      <c r="E35" t="inlineStr"/>
      <c r="F35" t="inlineStr"/>
      <c r="G35" t="inlineStr">
        <is>
          <t>New York, NY, US</t>
        </is>
      </c>
      <c r="H35" s="1" t="n">
        <v>46049</v>
      </c>
      <c r="I35"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6">
      <c r="A36" t="inlineStr">
        <is>
          <t>in-62cdd2812c195151</t>
        </is>
      </c>
      <c r="B36" t="inlineStr">
        <is>
          <t>Principal Applied Scientist, AWS Science of Security</t>
        </is>
      </c>
      <c r="C36" t="inlineStr">
        <is>
          <t>Amazon.com</t>
        </is>
      </c>
      <c r="D36" t="inlineStr">
        <is>
          <t>indeed</t>
        </is>
      </c>
      <c r="E36" t="inlineStr"/>
      <c r="F36" t="inlineStr"/>
      <c r="G36" t="inlineStr">
        <is>
          <t>Seattle, WA, US</t>
        </is>
      </c>
      <c r="H36" s="1" t="n">
        <v>46049</v>
      </c>
      <c r="I36"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7">
      <c r="A37" t="inlineStr">
        <is>
          <t>in-871e270f319fc992</t>
        </is>
      </c>
      <c r="B37" t="inlineStr">
        <is>
          <t>Principal Applied Scientist, AWS Science of Security</t>
        </is>
      </c>
      <c r="C37" t="inlineStr">
        <is>
          <t>Amazon.com</t>
        </is>
      </c>
      <c r="D37" t="inlineStr">
        <is>
          <t>indeed</t>
        </is>
      </c>
      <c r="E37" t="inlineStr"/>
      <c r="F37" t="inlineStr"/>
      <c r="G37" t="inlineStr">
        <is>
          <t>Arlington, VA, US</t>
        </is>
      </c>
      <c r="H37" s="1" t="n">
        <v>46049</v>
      </c>
      <c r="I37"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8">
      <c r="A38" t="inlineStr">
        <is>
          <t>in-3e6c8f305e063f5a</t>
        </is>
      </c>
      <c r="B38" t="inlineStr">
        <is>
          <t>Senior Applied Scientist, Amazon Industrial Robotics</t>
        </is>
      </c>
      <c r="C38" t="inlineStr">
        <is>
          <t>Amazon.com</t>
        </is>
      </c>
      <c r="D38" t="inlineStr">
        <is>
          <t>indeed</t>
        </is>
      </c>
      <c r="E38" t="inlineStr"/>
      <c r="F38" t="inlineStr"/>
      <c r="G38" t="inlineStr">
        <is>
          <t>Reading, MA, US</t>
        </is>
      </c>
      <c r="H38" s="1" t="n">
        <v>46048</v>
      </c>
      <c r="I3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9">
      <c r="A39" t="inlineStr">
        <is>
          <t>in-c0ca44defa71da20</t>
        </is>
      </c>
      <c r="B39" t="inlineStr">
        <is>
          <t>Senior Applied Scientist, Amazon Industrial Robotics</t>
        </is>
      </c>
      <c r="C39" t="inlineStr">
        <is>
          <t>Amazon.com</t>
        </is>
      </c>
      <c r="D39" t="inlineStr">
        <is>
          <t>indeed</t>
        </is>
      </c>
      <c r="E39" t="inlineStr"/>
      <c r="F39" t="inlineStr"/>
      <c r="G39" t="inlineStr">
        <is>
          <t>Reading, MA, US</t>
        </is>
      </c>
      <c r="H39" s="1" t="n">
        <v>46048</v>
      </c>
      <c r="I3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0">
      <c r="A40" t="inlineStr">
        <is>
          <t>in-af9ee4e74ca70fdf</t>
        </is>
      </c>
      <c r="B40" t="inlineStr">
        <is>
          <t>Applied Scientist II, Prime Video Personalization and Discovery Science</t>
        </is>
      </c>
      <c r="C40" t="inlineStr">
        <is>
          <t>Amazon.com</t>
        </is>
      </c>
      <c r="D40" t="inlineStr">
        <is>
          <t>indeed</t>
        </is>
      </c>
      <c r="E40" t="inlineStr"/>
      <c r="F40" t="inlineStr"/>
      <c r="G40" t="inlineStr">
        <is>
          <t>Sunnyvale, CA, US</t>
        </is>
      </c>
      <c r="H40" s="1" t="n">
        <v>46047</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1">
      <c r="A41" t="inlineStr">
        <is>
          <t>in-ce47017272928fde</t>
        </is>
      </c>
      <c r="B41" t="inlineStr">
        <is>
          <t>Applied Scientist, Amazon Connect</t>
        </is>
      </c>
      <c r="C41" t="inlineStr">
        <is>
          <t>Amazon Web Services</t>
        </is>
      </c>
      <c r="D41" t="inlineStr">
        <is>
          <t>indeed</t>
        </is>
      </c>
      <c r="E41" t="inlineStr"/>
      <c r="F41" t="inlineStr"/>
      <c r="G41" t="inlineStr">
        <is>
          <t>New York, NY, US</t>
        </is>
      </c>
      <c r="H41" s="1" t="n">
        <v>46047</v>
      </c>
      <c r="I4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2">
      <c r="A42" t="inlineStr">
        <is>
          <t>in-8d63cec70b01cfe3</t>
        </is>
      </c>
      <c r="B42" t="inlineStr">
        <is>
          <t>Applied Scientist II, Prime Video Personalization and Discovery Science</t>
        </is>
      </c>
      <c r="C42" t="inlineStr">
        <is>
          <t>Amazon.com</t>
        </is>
      </c>
      <c r="D42" t="inlineStr">
        <is>
          <t>indeed</t>
        </is>
      </c>
      <c r="E42" t="inlineStr"/>
      <c r="F42" t="inlineStr"/>
      <c r="G42" t="inlineStr">
        <is>
          <t>New York, NY, US</t>
        </is>
      </c>
      <c r="H42" s="1" t="n">
        <v>46047</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3">
      <c r="A43" t="inlineStr">
        <is>
          <t>in-c04c157e32050408</t>
        </is>
      </c>
      <c r="B43" t="inlineStr">
        <is>
          <t>Applied Scientist, Amazon Connect</t>
        </is>
      </c>
      <c r="C43" t="inlineStr">
        <is>
          <t>Amazon Web Services</t>
        </is>
      </c>
      <c r="D43" t="inlineStr">
        <is>
          <t>indeed</t>
        </is>
      </c>
      <c r="E43" t="inlineStr"/>
      <c r="F43" t="inlineStr"/>
      <c r="G43" t="inlineStr">
        <is>
          <t>Seattle, WA, US</t>
        </is>
      </c>
      <c r="H43" s="1" t="n">
        <v>46047</v>
      </c>
      <c r="I4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4">
      <c r="A44" t="inlineStr">
        <is>
          <t>in-c8a3bf66c53760e3</t>
        </is>
      </c>
      <c r="B44" t="inlineStr">
        <is>
          <t>Applied Scientist II, Prime Video Personalization and Discovery Science</t>
        </is>
      </c>
      <c r="C44" t="inlineStr">
        <is>
          <t>Amazon.com</t>
        </is>
      </c>
      <c r="D44" t="inlineStr">
        <is>
          <t>indeed</t>
        </is>
      </c>
      <c r="E44" t="inlineStr"/>
      <c r="F44" t="inlineStr"/>
      <c r="G44" t="inlineStr">
        <is>
          <t>Seattle, WA, US</t>
        </is>
      </c>
      <c r="H44" s="1" t="n">
        <v>46047</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5">
      <c r="A45" t="inlineStr">
        <is>
          <t>in-99e59d02d25f4529</t>
        </is>
      </c>
      <c r="B45" t="inlineStr">
        <is>
          <t>Applied Scientist II, Prime Video Personalization and Discovery Science</t>
        </is>
      </c>
      <c r="C45" t="inlineStr">
        <is>
          <t>Amazon.com</t>
        </is>
      </c>
      <c r="D45" t="inlineStr">
        <is>
          <t>indeed</t>
        </is>
      </c>
      <c r="E45" t="inlineStr"/>
      <c r="F45" t="inlineStr"/>
      <c r="G45" t="inlineStr">
        <is>
          <t>Seattle, WA, US</t>
        </is>
      </c>
      <c r="H45" s="1" t="n">
        <v>46038</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6">
      <c r="A46" t="inlineStr">
        <is>
          <t>in-29bb6901598a7314</t>
        </is>
      </c>
      <c r="B46" t="inlineStr">
        <is>
          <t>Applied Scientist II, Prime Video Personalization and Discovery Science</t>
        </is>
      </c>
      <c r="C46" t="inlineStr">
        <is>
          <t>Amazon.com</t>
        </is>
      </c>
      <c r="D46" t="inlineStr">
        <is>
          <t>indeed</t>
        </is>
      </c>
      <c r="E46" t="inlineStr"/>
      <c r="F46" t="inlineStr"/>
      <c r="G46" t="inlineStr">
        <is>
          <t>New York, NY, US</t>
        </is>
      </c>
      <c r="H46" s="1" t="n">
        <v>46038</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7">
      <c r="A47" t="inlineStr">
        <is>
          <t>in-dde78a19fd199b17</t>
        </is>
      </c>
      <c r="B47" t="inlineStr">
        <is>
          <t>Applied Scientist II, Prime Video Personalization and Discovery Science</t>
        </is>
      </c>
      <c r="C47" t="inlineStr">
        <is>
          <t>Amazon.com</t>
        </is>
      </c>
      <c r="D47" t="inlineStr">
        <is>
          <t>indeed</t>
        </is>
      </c>
      <c r="E47" t="inlineStr"/>
      <c r="F47" t="inlineStr"/>
      <c r="G47" t="inlineStr">
        <is>
          <t>Sunnyvale, CA, US</t>
        </is>
      </c>
      <c r="H47" s="1" t="n">
        <v>46038</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8">
      <c r="A48" t="inlineStr">
        <is>
          <t>in-cd541bd71b8cb644</t>
        </is>
      </c>
      <c r="B48" t="inlineStr">
        <is>
          <t>Applied Scientist, Safety ML</t>
        </is>
      </c>
      <c r="C48" t="inlineStr">
        <is>
          <t>Amazon.com</t>
        </is>
      </c>
      <c r="D48" t="inlineStr">
        <is>
          <t>indeed</t>
        </is>
      </c>
      <c r="E48" t="inlineStr"/>
      <c r="F48" t="inlineStr"/>
      <c r="G48" t="inlineStr">
        <is>
          <t>San Francisco, CA, US</t>
        </is>
      </c>
      <c r="H48" s="1" t="n">
        <v>46037</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9">
      <c r="A49" t="inlineStr">
        <is>
          <t>in-495c2f560fdb4370</t>
        </is>
      </c>
      <c r="B49" t="inlineStr">
        <is>
          <t>Applied Scientist, Safety ML</t>
        </is>
      </c>
      <c r="C49" t="inlineStr">
        <is>
          <t>Amazon.com</t>
        </is>
      </c>
      <c r="D49" t="inlineStr">
        <is>
          <t>indeed</t>
        </is>
      </c>
      <c r="E49" t="inlineStr"/>
      <c r="F49" t="inlineStr"/>
      <c r="G49" t="inlineStr">
        <is>
          <t>Seattle, WA, US</t>
        </is>
      </c>
      <c r="H49" s="1" t="n">
        <v>46037</v>
      </c>
      <c r="I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0">
      <c r="A50" t="inlineStr">
        <is>
          <t>in-197724509a8aacb0</t>
        </is>
      </c>
      <c r="B50" t="inlineStr">
        <is>
          <t>Applied Scientist, LLM Code Agents, Kiro Science</t>
        </is>
      </c>
      <c r="C50" t="inlineStr">
        <is>
          <t>Amazon.com</t>
        </is>
      </c>
      <c r="D50" t="inlineStr">
        <is>
          <t>indeed</t>
        </is>
      </c>
      <c r="E50" t="inlineStr"/>
      <c r="F50" t="inlineStr"/>
      <c r="G50" t="inlineStr">
        <is>
          <t>Santa Clara, CA, US</t>
        </is>
      </c>
      <c r="H50" s="1" t="n">
        <v>46035</v>
      </c>
      <c r="I5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1">
      <c r="A51" t="inlineStr">
        <is>
          <t>in-e4926eeb7b4538bb</t>
        </is>
      </c>
      <c r="B51" t="inlineStr">
        <is>
          <t>Applied Scientist, LLM Code Agents, Kiro Science</t>
        </is>
      </c>
      <c r="C51" t="inlineStr">
        <is>
          <t>Amazon.com</t>
        </is>
      </c>
      <c r="D51" t="inlineStr">
        <is>
          <t>indeed</t>
        </is>
      </c>
      <c r="E51" t="inlineStr"/>
      <c r="F51" t="inlineStr"/>
      <c r="G51" t="inlineStr">
        <is>
          <t>Seattle, WA, US</t>
        </is>
      </c>
      <c r="H51" s="1" t="n">
        <v>46035</v>
      </c>
      <c r="I5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2">
      <c r="A52" t="inlineStr">
        <is>
          <t>in-596429a0912be717</t>
        </is>
      </c>
      <c r="B52" t="inlineStr">
        <is>
          <t>Applied Scientist II, Prime Video Personalization and Discovery Science</t>
        </is>
      </c>
      <c r="C52" t="inlineStr">
        <is>
          <t>Amazon.com</t>
        </is>
      </c>
      <c r="D52" t="inlineStr">
        <is>
          <t>indeed</t>
        </is>
      </c>
      <c r="E52" t="inlineStr"/>
      <c r="F52" t="inlineStr"/>
      <c r="G52" t="inlineStr">
        <is>
          <t>Seattle, WA, US</t>
        </is>
      </c>
      <c r="H52" s="1" t="n">
        <v>46034</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3">
      <c r="A53" t="inlineStr">
        <is>
          <t>in-afd62ec65545d378</t>
        </is>
      </c>
      <c r="B53" t="inlineStr">
        <is>
          <t>Applied Scientist II, Prime Video Personalization and Discovery Science</t>
        </is>
      </c>
      <c r="C53" t="inlineStr">
        <is>
          <t>Amazon.com</t>
        </is>
      </c>
      <c r="D53" t="inlineStr">
        <is>
          <t>indeed</t>
        </is>
      </c>
      <c r="E53" t="inlineStr"/>
      <c r="F53" t="inlineStr"/>
      <c r="G53" t="inlineStr">
        <is>
          <t>Sunnyvale, CA, US</t>
        </is>
      </c>
      <c r="H53" s="1" t="n">
        <v>46034</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4">
      <c r="A54" t="inlineStr">
        <is>
          <t>in-cc10f82284992355</t>
        </is>
      </c>
      <c r="B54" t="inlineStr">
        <is>
          <t>Applied Scientist, Alexa Smart Home</t>
        </is>
      </c>
      <c r="C54" t="inlineStr">
        <is>
          <t>Amazon.com</t>
        </is>
      </c>
      <c r="D54" t="inlineStr">
        <is>
          <t>indeed</t>
        </is>
      </c>
      <c r="E54" t="inlineStr"/>
      <c r="F54" t="inlineStr"/>
      <c r="G54" t="inlineStr">
        <is>
          <t>Seattle, WA, US</t>
        </is>
      </c>
      <c r="H54" s="1" t="n">
        <v>46033</v>
      </c>
      <c r="I5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5">
      <c r="A55" t="inlineStr">
        <is>
          <t>in-45df73f27c856ad9</t>
        </is>
      </c>
      <c r="B55" t="inlineStr">
        <is>
          <t>Applied Scientist, Alexa Smart Home</t>
        </is>
      </c>
      <c r="C55" t="inlineStr">
        <is>
          <t>Amazon.com</t>
        </is>
      </c>
      <c r="D55" t="inlineStr">
        <is>
          <t>indeed</t>
        </is>
      </c>
      <c r="E55" t="inlineStr"/>
      <c r="F55" t="inlineStr"/>
      <c r="G55" t="inlineStr">
        <is>
          <t>Sunnyvale, CA, US</t>
        </is>
      </c>
      <c r="H55" s="1" t="n">
        <v>46033</v>
      </c>
      <c r="I5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6">
      <c r="A56" t="inlineStr">
        <is>
          <t>in-63ead20557108e02</t>
        </is>
      </c>
      <c r="B56" t="inlineStr">
        <is>
          <t>Applied Scientist, AWS Applied AI Solutions</t>
        </is>
      </c>
      <c r="C56" t="inlineStr">
        <is>
          <t>Amazon Web Services</t>
        </is>
      </c>
      <c r="D56" t="inlineStr">
        <is>
          <t>indeed</t>
        </is>
      </c>
      <c r="E56" t="inlineStr"/>
      <c r="F56" t="inlineStr"/>
      <c r="G56" t="inlineStr">
        <is>
          <t>Seattle, WA, US</t>
        </is>
      </c>
      <c r="H56" s="1" t="n">
        <v>46030</v>
      </c>
      <c r="I5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7">
      <c r="A57" t="inlineStr">
        <is>
          <t>in-95d37d69a3d02823</t>
        </is>
      </c>
      <c r="B57" t="inlineStr">
        <is>
          <t>Applied Scientist, AWS Applied AI Solutions</t>
        </is>
      </c>
      <c r="C57" t="inlineStr">
        <is>
          <t>Amazon Web Services</t>
        </is>
      </c>
      <c r="D57" t="inlineStr">
        <is>
          <t>indeed</t>
        </is>
      </c>
      <c r="E57" t="inlineStr"/>
      <c r="F57" t="inlineStr"/>
      <c r="G57" t="inlineStr">
        <is>
          <t>New York, NY, US</t>
        </is>
      </c>
      <c r="H57" s="1" t="n">
        <v>46030</v>
      </c>
      <c r="I5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8">
      <c r="A58" t="inlineStr">
        <is>
          <t>in-0eb6740e19e8aaba</t>
        </is>
      </c>
      <c r="B58" t="inlineStr">
        <is>
          <t>Senior Data Scientist, Amazon Global Logistics</t>
        </is>
      </c>
      <c r="C58" t="inlineStr">
        <is>
          <t>Amazon.com</t>
        </is>
      </c>
      <c r="D58" t="inlineStr">
        <is>
          <t>indeed</t>
        </is>
      </c>
      <c r="E58" t="inlineStr"/>
      <c r="F58" t="inlineStr"/>
      <c r="G58" t="inlineStr">
        <is>
          <t>Bellevue, WA, US</t>
        </is>
      </c>
      <c r="H58" s="1" t="n">
        <v>46029</v>
      </c>
      <c r="I58"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59">
      <c r="A59" t="inlineStr">
        <is>
          <t>in-7df7b184048ce2b4</t>
        </is>
      </c>
      <c r="B59" t="inlineStr">
        <is>
          <t>Senior Data Scientist, Amazon Global Logistics</t>
        </is>
      </c>
      <c r="C59" t="inlineStr">
        <is>
          <t>Amazon.com</t>
        </is>
      </c>
      <c r="D59" t="inlineStr">
        <is>
          <t>indeed</t>
        </is>
      </c>
      <c r="E59" t="inlineStr"/>
      <c r="F59" t="inlineStr"/>
      <c r="G59" t="inlineStr">
        <is>
          <t>Boston, MA, US</t>
        </is>
      </c>
      <c r="H59" s="1" t="n">
        <v>46029</v>
      </c>
      <c r="I59"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60">
      <c r="A60" t="inlineStr">
        <is>
          <t>in-aaf0b620db21722c</t>
        </is>
      </c>
      <c r="B60" t="inlineStr">
        <is>
          <t>Applied Scientist II, Prime Video Personalization and Discovery Science</t>
        </is>
      </c>
      <c r="C60" t="inlineStr">
        <is>
          <t>Amazon.com</t>
        </is>
      </c>
      <c r="D60" t="inlineStr">
        <is>
          <t>indeed</t>
        </is>
      </c>
      <c r="E60" t="inlineStr"/>
      <c r="F60" t="inlineStr"/>
      <c r="G60" t="inlineStr">
        <is>
          <t>New York, NY, US</t>
        </is>
      </c>
      <c r="H60" s="1" t="n">
        <v>46028</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1">
      <c r="A61" t="inlineStr">
        <is>
          <t>in-0bd04a4d138b595d</t>
        </is>
      </c>
      <c r="B61" t="inlineStr">
        <is>
          <t>Applied Scientist II, Prime Video Personalization and Discovery Science</t>
        </is>
      </c>
      <c r="C61" t="inlineStr">
        <is>
          <t>Amazon.com</t>
        </is>
      </c>
      <c r="D61" t="inlineStr">
        <is>
          <t>indeed</t>
        </is>
      </c>
      <c r="E61" t="inlineStr"/>
      <c r="F61" t="inlineStr"/>
      <c r="G61" t="inlineStr">
        <is>
          <t>Seattle, WA, US</t>
        </is>
      </c>
      <c r="H61" s="1" t="n">
        <v>46028</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2">
      <c r="A62" t="inlineStr">
        <is>
          <t>in-84b4916ad9ed01ca</t>
        </is>
      </c>
      <c r="B62" t="inlineStr">
        <is>
          <t>Applied Scientist II, Prime Video Personalization and Discovery Science</t>
        </is>
      </c>
      <c r="C62" t="inlineStr">
        <is>
          <t>Amazon.com</t>
        </is>
      </c>
      <c r="D62" t="inlineStr">
        <is>
          <t>indeed</t>
        </is>
      </c>
      <c r="E62" t="inlineStr"/>
      <c r="F62" t="inlineStr"/>
      <c r="G62" t="inlineStr">
        <is>
          <t>Sunnyvale, CA, US</t>
        </is>
      </c>
      <c r="H62" s="1" t="n">
        <v>46028</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3">
      <c r="A63" t="inlineStr">
        <is>
          <t>in-56b77052677dd5e6</t>
        </is>
      </c>
      <c r="B63" t="inlineStr">
        <is>
          <t>Applied Scientist, Last Mile Delivery Automation</t>
        </is>
      </c>
      <c r="C63" t="inlineStr">
        <is>
          <t>Amazon.com</t>
        </is>
      </c>
      <c r="D63" t="inlineStr">
        <is>
          <t>indeed</t>
        </is>
      </c>
      <c r="E63" t="inlineStr"/>
      <c r="F63" t="inlineStr"/>
      <c r="G63" t="inlineStr">
        <is>
          <t>Bellevue, WA, US</t>
        </is>
      </c>
      <c r="H63" s="1" t="n">
        <v>46026</v>
      </c>
      <c r="I63"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in-043cfd342c9f7f51</t>
        </is>
      </c>
      <c r="B64" t="inlineStr">
        <is>
          <t>Applied Scientist, Last Mile Delivery Automation</t>
        </is>
      </c>
      <c r="C64" t="inlineStr">
        <is>
          <t>Amazon.com</t>
        </is>
      </c>
      <c r="D64" t="inlineStr">
        <is>
          <t>indeed</t>
        </is>
      </c>
      <c r="E64" t="inlineStr"/>
      <c r="F64" t="inlineStr"/>
      <c r="G64" t="inlineStr">
        <is>
          <t>Santa Clara, CA, US</t>
        </is>
      </c>
      <c r="H64" s="1" t="n">
        <v>46026</v>
      </c>
      <c r="I64"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in-ece0334efdd0a16b</t>
        </is>
      </c>
      <c r="B65" t="inlineStr">
        <is>
          <t>Senior Applied Scientist, Sponsored Products and Brands, Off-Search</t>
        </is>
      </c>
      <c r="C65" t="inlineStr">
        <is>
          <t>Amazon.com</t>
        </is>
      </c>
      <c r="D65" t="inlineStr">
        <is>
          <t>indeed</t>
        </is>
      </c>
      <c r="E65" t="inlineStr"/>
      <c r="F65" t="inlineStr"/>
      <c r="G65" t="inlineStr">
        <is>
          <t>Seattle, WA, US</t>
        </is>
      </c>
      <c r="H65" s="1" t="n">
        <v>46017</v>
      </c>
      <c r="I6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in-d30461e04b646e4d</t>
        </is>
      </c>
      <c r="B66" t="inlineStr">
        <is>
          <t>Senior Applied Scientist, Sponsored Products and Brands, Off-Search</t>
        </is>
      </c>
      <c r="C66" t="inlineStr">
        <is>
          <t>Amazon.com</t>
        </is>
      </c>
      <c r="D66" t="inlineStr">
        <is>
          <t>indeed</t>
        </is>
      </c>
      <c r="E66" t="inlineStr"/>
      <c r="F66" t="inlineStr"/>
      <c r="G66" t="inlineStr">
        <is>
          <t>Palo Alto, CA, US</t>
        </is>
      </c>
      <c r="H66" s="1" t="n">
        <v>46017</v>
      </c>
      <c r="I66"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in-1ba8e3a28759081e</t>
        </is>
      </c>
      <c r="B67" t="inlineStr">
        <is>
          <t>Senior Applied Scientist, Sponsored Products and Brands, Off-Search</t>
        </is>
      </c>
      <c r="C67" t="inlineStr">
        <is>
          <t>Amazon.com</t>
        </is>
      </c>
      <c r="D67" t="inlineStr">
        <is>
          <t>indeed</t>
        </is>
      </c>
      <c r="E67" t="inlineStr"/>
      <c r="F67" t="inlineStr"/>
      <c r="G67" t="inlineStr">
        <is>
          <t>New York, NY, US</t>
        </is>
      </c>
      <c r="H67" s="1" t="n">
        <v>46017</v>
      </c>
      <c r="I67"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in-4ed10b14c21a30b6</t>
        </is>
      </c>
      <c r="B68" t="inlineStr">
        <is>
          <t>Applied Scientist II, Prime Video - Personalization and Discovery Science</t>
        </is>
      </c>
      <c r="C68" t="inlineStr">
        <is>
          <t>Amazon.com</t>
        </is>
      </c>
      <c r="D68" t="inlineStr">
        <is>
          <t>indeed</t>
        </is>
      </c>
      <c r="E68" t="inlineStr"/>
      <c r="F68" t="inlineStr"/>
      <c r="G68" t="inlineStr">
        <is>
          <t>Seattle, WA, US</t>
        </is>
      </c>
      <c r="H68" s="1" t="n">
        <v>46012</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9">
      <c r="A69" t="inlineStr">
        <is>
          <t>in-8bce09d0512be401</t>
        </is>
      </c>
      <c r="B69" t="inlineStr">
        <is>
          <t>Applied Scientist II, Prime Video - Personalization and Discovery Science</t>
        </is>
      </c>
      <c r="C69" t="inlineStr">
        <is>
          <t>Amazon.com</t>
        </is>
      </c>
      <c r="D69" t="inlineStr">
        <is>
          <t>indeed</t>
        </is>
      </c>
      <c r="E69" t="inlineStr"/>
      <c r="F69" t="inlineStr"/>
      <c r="G69" t="inlineStr">
        <is>
          <t>Sunnyvale, CA, US</t>
        </is>
      </c>
      <c r="H69" s="1" t="n">
        <v>46012</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0">
      <c r="A70" t="inlineStr">
        <is>
          <t>in-8aaa9848e8c60491</t>
        </is>
      </c>
      <c r="B70" t="inlineStr">
        <is>
          <t>Applied Scientist, Delivery Foundation Model</t>
        </is>
      </c>
      <c r="C70" t="inlineStr">
        <is>
          <t>Amazon.com</t>
        </is>
      </c>
      <c r="D70" t="inlineStr">
        <is>
          <t>indeed</t>
        </is>
      </c>
      <c r="E70" t="inlineStr"/>
      <c r="F70" t="inlineStr"/>
      <c r="G70" t="inlineStr">
        <is>
          <t>Santa Clara, CA, US</t>
        </is>
      </c>
      <c r="H70" s="1" t="n">
        <v>46009</v>
      </c>
      <c r="I7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1">
      <c r="A71" t="inlineStr">
        <is>
          <t>in-7ad53cdafcf00fdd</t>
        </is>
      </c>
      <c r="B71" t="inlineStr">
        <is>
          <t>Applied Scientist, Delivery Foundation Model</t>
        </is>
      </c>
      <c r="C71" t="inlineStr">
        <is>
          <t>Amazon.com</t>
        </is>
      </c>
      <c r="D71" t="inlineStr">
        <is>
          <t>indeed</t>
        </is>
      </c>
      <c r="E71" t="inlineStr"/>
      <c r="F71" t="inlineStr"/>
      <c r="G71" t="inlineStr">
        <is>
          <t>Bellevue, WA, US</t>
        </is>
      </c>
      <c r="H71" s="1" t="n">
        <v>46009</v>
      </c>
      <c r="I7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2">
      <c r="A72" t="inlineStr">
        <is>
          <t>in-8e2c2472a8288903</t>
        </is>
      </c>
      <c r="B72" t="inlineStr">
        <is>
          <t>Principal Applied Scientist, Kiro Science</t>
        </is>
      </c>
      <c r="C72" t="inlineStr">
        <is>
          <t>Amazon Web Services</t>
        </is>
      </c>
      <c r="D72" t="inlineStr">
        <is>
          <t>indeed</t>
        </is>
      </c>
      <c r="E72" t="inlineStr"/>
      <c r="F72" t="inlineStr"/>
      <c r="G72" t="inlineStr">
        <is>
          <t>Santa Clara, CA, US</t>
        </is>
      </c>
      <c r="H72" s="1" t="n">
        <v>45999</v>
      </c>
      <c r="I7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3">
      <c r="A73" t="inlineStr">
        <is>
          <t>in-96f23e56acd5f5bc</t>
        </is>
      </c>
      <c r="B73" t="inlineStr">
        <is>
          <t>Principal Applied Scientist, Kiro Science</t>
        </is>
      </c>
      <c r="C73" t="inlineStr">
        <is>
          <t>Amazon Web Services</t>
        </is>
      </c>
      <c r="D73" t="inlineStr">
        <is>
          <t>indeed</t>
        </is>
      </c>
      <c r="E73" t="inlineStr"/>
      <c r="F73" t="inlineStr"/>
      <c r="G73" t="inlineStr">
        <is>
          <t>New York, NY, US</t>
        </is>
      </c>
      <c r="H73" s="1" t="n">
        <v>45999</v>
      </c>
      <c r="I73"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4">
      <c r="A74" t="inlineStr">
        <is>
          <t>in-1dce917a6e5a64a0</t>
        </is>
      </c>
      <c r="B74" t="inlineStr">
        <is>
          <t>Sr. Applied Scientist, SPB Advertiser Guidance</t>
        </is>
      </c>
      <c r="C74" t="inlineStr">
        <is>
          <t>Amazon.com</t>
        </is>
      </c>
      <c r="D74" t="inlineStr">
        <is>
          <t>indeed</t>
        </is>
      </c>
      <c r="E74" t="inlineStr"/>
      <c r="F74" t="inlineStr"/>
      <c r="G74" t="inlineStr">
        <is>
          <t>Palo Alto, CA, US</t>
        </is>
      </c>
      <c r="H74" s="1" t="n">
        <v>45981</v>
      </c>
      <c r="I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5">
      <c r="A75" t="inlineStr">
        <is>
          <t>in-6d7d2fc1fcbcc9e9</t>
        </is>
      </c>
      <c r="B75" t="inlineStr">
        <is>
          <t>Sr. Applied Scientist, SPB Advertiser Guidance</t>
        </is>
      </c>
      <c r="C75" t="inlineStr">
        <is>
          <t>Amazon.com</t>
        </is>
      </c>
      <c r="D75" t="inlineStr">
        <is>
          <t>indeed</t>
        </is>
      </c>
      <c r="E75" t="inlineStr"/>
      <c r="F75" t="inlineStr"/>
      <c r="G75" t="inlineStr">
        <is>
          <t>Seattle, WA, US</t>
        </is>
      </c>
      <c r="H75" s="1" t="n">
        <v>45981</v>
      </c>
      <c r="I7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6">
      <c r="A76" t="inlineStr">
        <is>
          <t>in-e653b99d629b20ab</t>
        </is>
      </c>
      <c r="B76" t="inlineStr">
        <is>
          <t>Sr. Applied Scientist, SPB Advertiser Guidance</t>
        </is>
      </c>
      <c r="C76" t="inlineStr">
        <is>
          <t>Amazon.com</t>
        </is>
      </c>
      <c r="D76" t="inlineStr">
        <is>
          <t>indeed</t>
        </is>
      </c>
      <c r="E76" t="inlineStr"/>
      <c r="F76" t="inlineStr"/>
      <c r="G76" t="inlineStr">
        <is>
          <t>New York, NY, US</t>
        </is>
      </c>
      <c r="H76" s="1" t="n">
        <v>45981</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77">
      <c r="A77" t="inlineStr">
        <is>
          <t>in-0351a554689d82bd</t>
        </is>
      </c>
      <c r="B77" t="inlineStr">
        <is>
          <t>Principal Applied Scientist, Sponsored Products and Brands</t>
        </is>
      </c>
      <c r="C77" t="inlineStr">
        <is>
          <t>Amazon.com</t>
        </is>
      </c>
      <c r="D77" t="inlineStr">
        <is>
          <t>indeed</t>
        </is>
      </c>
      <c r="E77" t="inlineStr"/>
      <c r="F77" t="inlineStr"/>
      <c r="G77" t="inlineStr">
        <is>
          <t>Seattle, WA, US</t>
        </is>
      </c>
      <c r="H77" s="1" t="n">
        <v>45979</v>
      </c>
      <c r="I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in-7c2454567c22a582</t>
        </is>
      </c>
      <c r="B78" t="inlineStr">
        <is>
          <t>Principal Applied Scientist, Sponsored Products and Brands</t>
        </is>
      </c>
      <c r="C78" t="inlineStr">
        <is>
          <t>Amazon.com</t>
        </is>
      </c>
      <c r="D78" t="inlineStr">
        <is>
          <t>indeed</t>
        </is>
      </c>
      <c r="E78" t="inlineStr"/>
      <c r="F78" t="inlineStr"/>
      <c r="G78" t="inlineStr">
        <is>
          <t>New York, NY, US</t>
        </is>
      </c>
      <c r="H78" s="1" t="n">
        <v>45979</v>
      </c>
      <c r="I7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in-78dfd82c58f344a6</t>
        </is>
      </c>
      <c r="B79" t="inlineStr">
        <is>
          <t>Applied Scientist, Personalization, DTx Science</t>
        </is>
      </c>
      <c r="C79" t="inlineStr">
        <is>
          <t>Amazon.com</t>
        </is>
      </c>
      <c r="D79" t="inlineStr">
        <is>
          <t>indeed</t>
        </is>
      </c>
      <c r="E79" t="inlineStr"/>
      <c r="F79" t="inlineStr"/>
      <c r="G79" t="inlineStr">
        <is>
          <t>Seattle, WA, US</t>
        </is>
      </c>
      <c r="H79" s="1" t="n">
        <v>45979</v>
      </c>
      <c r="I7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0">
      <c r="A80" t="inlineStr">
        <is>
          <t>in-1bc9c55136a32bff</t>
        </is>
      </c>
      <c r="B80" t="inlineStr">
        <is>
          <t>Applied Scientist, Personalization, DTx Science</t>
        </is>
      </c>
      <c r="C80" t="inlineStr">
        <is>
          <t>Amazon.com</t>
        </is>
      </c>
      <c r="D80" t="inlineStr">
        <is>
          <t>indeed</t>
        </is>
      </c>
      <c r="E80" t="inlineStr"/>
      <c r="F80" t="inlineStr"/>
      <c r="G80" t="inlineStr">
        <is>
          <t>New York, NY, US</t>
        </is>
      </c>
      <c r="H80" s="1" t="n">
        <v>45979</v>
      </c>
      <c r="I8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1">
      <c r="A81" t="inlineStr">
        <is>
          <t>in-e728bca91f4df6fb</t>
        </is>
      </c>
      <c r="B81" t="inlineStr">
        <is>
          <t>Senior Applied Scientist, Sponsored Products and Brands</t>
        </is>
      </c>
      <c r="C81" t="inlineStr">
        <is>
          <t>Amazon.com</t>
        </is>
      </c>
      <c r="D81" t="inlineStr">
        <is>
          <t>indeed</t>
        </is>
      </c>
      <c r="E81" t="inlineStr"/>
      <c r="F81" t="inlineStr"/>
      <c r="G81" t="inlineStr">
        <is>
          <t>New York, NY, US</t>
        </is>
      </c>
      <c r="H81" s="1" t="n">
        <v>45979</v>
      </c>
      <c r="I8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2">
      <c r="A82" t="inlineStr">
        <is>
          <t>in-a603b93c8707ee00</t>
        </is>
      </c>
      <c r="B82" t="inlineStr">
        <is>
          <t>Senior Applied Scientist, Sponsored Products and Brands</t>
        </is>
      </c>
      <c r="C82" t="inlineStr">
        <is>
          <t>Amazon.com</t>
        </is>
      </c>
      <c r="D82" t="inlineStr">
        <is>
          <t>indeed</t>
        </is>
      </c>
      <c r="E82" t="inlineStr"/>
      <c r="F82" t="inlineStr"/>
      <c r="G82" t="inlineStr">
        <is>
          <t>Seattle, WA, US</t>
        </is>
      </c>
      <c r="H82" s="1" t="n">
        <v>45979</v>
      </c>
      <c r="I8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3">
      <c r="A83" t="inlineStr">
        <is>
          <t>in-8698241831be031f</t>
        </is>
      </c>
      <c r="B83" t="inlineStr">
        <is>
          <t>Sr. Applied Scientist, Sponsored Products</t>
        </is>
      </c>
      <c r="C83" t="inlineStr">
        <is>
          <t>Amazon.com</t>
        </is>
      </c>
      <c r="D83" t="inlineStr">
        <is>
          <t>indeed</t>
        </is>
      </c>
      <c r="E83" t="inlineStr"/>
      <c r="F83" t="inlineStr"/>
      <c r="G83" t="inlineStr">
        <is>
          <t>Seattle, WA, US</t>
        </is>
      </c>
      <c r="H83" s="1" t="n">
        <v>45976</v>
      </c>
      <c r="I8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4">
      <c r="A84" t="inlineStr">
        <is>
          <t>in-fffafb9eb3f70db1</t>
        </is>
      </c>
      <c r="B84" t="inlineStr">
        <is>
          <t>Sr. Applied Scientist, Sponsored Products</t>
        </is>
      </c>
      <c r="C84" t="inlineStr">
        <is>
          <t>Amazon.com</t>
        </is>
      </c>
      <c r="D84" t="inlineStr">
        <is>
          <t>indeed</t>
        </is>
      </c>
      <c r="E84" t="inlineStr"/>
      <c r="F84" t="inlineStr"/>
      <c r="G84" t="inlineStr">
        <is>
          <t>Arlington, VA, US</t>
        </is>
      </c>
      <c r="H84" s="1" t="n">
        <v>45976</v>
      </c>
      <c r="I8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5">
      <c r="A85" t="inlineStr">
        <is>
          <t>in-3d654677a4d5b7a9</t>
        </is>
      </c>
      <c r="B85" t="inlineStr">
        <is>
          <t>Sr. Applied Scientist, Sponsored Products</t>
        </is>
      </c>
      <c r="C85" t="inlineStr">
        <is>
          <t>Amazon.com</t>
        </is>
      </c>
      <c r="D85" t="inlineStr">
        <is>
          <t>indeed</t>
        </is>
      </c>
      <c r="E85" t="inlineStr"/>
      <c r="F85" t="inlineStr"/>
      <c r="G85" t="inlineStr">
        <is>
          <t>New York, NY, US</t>
        </is>
      </c>
      <c r="H85" s="1" t="n">
        <v>45976</v>
      </c>
      <c r="I8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6">
      <c r="A86" t="inlineStr">
        <is>
          <t>in-8808a7f6057b535f</t>
        </is>
      </c>
      <c r="B86" t="inlineStr">
        <is>
          <t>Zappos Data Scientist III, Zappos/Shopbop Catalog Engineering</t>
        </is>
      </c>
      <c r="C86" t="inlineStr">
        <is>
          <t>Amazon.com</t>
        </is>
      </c>
      <c r="D86" t="inlineStr">
        <is>
          <t>indeed</t>
        </is>
      </c>
      <c r="E86" t="inlineStr"/>
      <c r="F86" t="inlineStr"/>
      <c r="G86" t="inlineStr">
        <is>
          <t>Madison, WI, US</t>
        </is>
      </c>
      <c r="H86" s="1" t="n">
        <v>45965</v>
      </c>
      <c r="I86"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87">
      <c r="A87" t="inlineStr">
        <is>
          <t>in-5167dd1ef665d125</t>
        </is>
      </c>
      <c r="B87" t="inlineStr">
        <is>
          <t>Zappos Data Scientist III, Zappos/Shopbop Catalog Engineering</t>
        </is>
      </c>
      <c r="C87" t="inlineStr">
        <is>
          <t>Amazon.com</t>
        </is>
      </c>
      <c r="D87" t="inlineStr">
        <is>
          <t>indeed</t>
        </is>
      </c>
      <c r="E87" t="inlineStr"/>
      <c r="F87" t="inlineStr"/>
      <c r="G87" t="inlineStr">
        <is>
          <t>New York, NY, US</t>
        </is>
      </c>
      <c r="H87" s="1" t="n">
        <v>45965</v>
      </c>
      <c r="I87"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88">
      <c r="A88" t="inlineStr">
        <is>
          <t>in-5cda456b418c6846</t>
        </is>
      </c>
      <c r="B88" t="inlineStr">
        <is>
          <t>Applied Scientist, Sponsored Products and Brands</t>
        </is>
      </c>
      <c r="C88" t="inlineStr">
        <is>
          <t>Amazon.com</t>
        </is>
      </c>
      <c r="D88" t="inlineStr">
        <is>
          <t>indeed</t>
        </is>
      </c>
      <c r="E88" t="inlineStr"/>
      <c r="F88" t="inlineStr"/>
      <c r="G88" t="inlineStr">
        <is>
          <t>New York, NY, US</t>
        </is>
      </c>
      <c r="H88" s="1" t="n">
        <v>45965</v>
      </c>
      <c r="I8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9">
      <c r="A89" t="inlineStr">
        <is>
          <t>in-33fa6f83adb0a8a8</t>
        </is>
      </c>
      <c r="B89" t="inlineStr">
        <is>
          <t>Applied Scientist, Sponsored Products and Brands</t>
        </is>
      </c>
      <c r="C89" t="inlineStr">
        <is>
          <t>Amazon.com</t>
        </is>
      </c>
      <c r="D89" t="inlineStr">
        <is>
          <t>indeed</t>
        </is>
      </c>
      <c r="E89" t="inlineStr"/>
      <c r="F89" t="inlineStr"/>
      <c r="G89" t="inlineStr">
        <is>
          <t>Seattle, WA, US</t>
        </is>
      </c>
      <c r="H89" s="1" t="n">
        <v>45965</v>
      </c>
      <c r="I8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90">
      <c r="A90" t="inlineStr">
        <is>
          <t>in-7b46a7ee24901a9f</t>
        </is>
      </c>
      <c r="B90" t="inlineStr">
        <is>
          <t>Applied Scientist, AWS Agentic AI</t>
        </is>
      </c>
      <c r="C90" t="inlineStr">
        <is>
          <t>Amazon Web Services</t>
        </is>
      </c>
      <c r="D90" t="inlineStr">
        <is>
          <t>indeed</t>
        </is>
      </c>
      <c r="E90" t="inlineStr"/>
      <c r="F90" t="inlineStr"/>
      <c r="G90" t="inlineStr">
        <is>
          <t>Seattle, WA, US</t>
        </is>
      </c>
      <c r="H90" s="1" t="n">
        <v>45962</v>
      </c>
      <c r="I9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in-3ae6108a630056f8</t>
        </is>
      </c>
      <c r="B91" t="inlineStr">
        <is>
          <t>Applied Scientist, AWS Agentic AI</t>
        </is>
      </c>
      <c r="C91" t="inlineStr">
        <is>
          <t>Amazon Web Services</t>
        </is>
      </c>
      <c r="D91" t="inlineStr">
        <is>
          <t>indeed</t>
        </is>
      </c>
      <c r="E91" t="inlineStr"/>
      <c r="F91" t="inlineStr"/>
      <c r="G91" t="inlineStr">
        <is>
          <t>Santa Clara, CA, US</t>
        </is>
      </c>
      <c r="H91" s="1" t="n">
        <v>45962</v>
      </c>
      <c r="I9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in-4cad664bdb2acbe7</t>
        </is>
      </c>
      <c r="B92" t="inlineStr">
        <is>
          <t>Applied Scientist, AWS Agentic AI</t>
        </is>
      </c>
      <c r="C92" t="inlineStr">
        <is>
          <t>Amazon Web Services</t>
        </is>
      </c>
      <c r="D92" t="inlineStr">
        <is>
          <t>indeed</t>
        </is>
      </c>
      <c r="E92" t="inlineStr"/>
      <c r="F92" t="inlineStr"/>
      <c r="G92" t="inlineStr">
        <is>
          <t>New York, NY, US</t>
        </is>
      </c>
      <c r="H92" s="1" t="n">
        <v>45962</v>
      </c>
      <c r="I9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in-b714d1f9ac2908a7</t>
        </is>
      </c>
      <c r="B93" t="inlineStr">
        <is>
          <t>Principal Applied Scientist, Advertiser Growth, Amazon Sponsored Products &amp; Brands</t>
        </is>
      </c>
      <c r="C93" t="inlineStr">
        <is>
          <t>Amazon.com</t>
        </is>
      </c>
      <c r="D93" t="inlineStr">
        <is>
          <t>indeed</t>
        </is>
      </c>
      <c r="E93" t="inlineStr"/>
      <c r="F93" t="inlineStr"/>
      <c r="G93" t="inlineStr">
        <is>
          <t>Palo Alto, CA, US</t>
        </is>
      </c>
      <c r="H93" s="1" t="n">
        <v>45942</v>
      </c>
      <c r="I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in-9efab34de76e640b</t>
        </is>
      </c>
      <c r="B94" t="inlineStr">
        <is>
          <t>Principal Applied Scientist, Advertiser Growth, Amazon Sponsored Products &amp; Brands</t>
        </is>
      </c>
      <c r="C94" t="inlineStr">
        <is>
          <t>Amazon.com</t>
        </is>
      </c>
      <c r="D94" t="inlineStr">
        <is>
          <t>indeed</t>
        </is>
      </c>
      <c r="E94" t="inlineStr"/>
      <c r="F94" t="inlineStr"/>
      <c r="G94" t="inlineStr">
        <is>
          <t>Seattle, WA, US</t>
        </is>
      </c>
      <c r="H94" s="1" t="n">
        <v>45942</v>
      </c>
      <c r="I9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in-62c95c39bec64750</t>
        </is>
      </c>
      <c r="B95" t="inlineStr">
        <is>
          <t>Principal Applied Scientist, Advertiser Growth, Amazon Sponsored Products &amp; Brands</t>
        </is>
      </c>
      <c r="C95" t="inlineStr">
        <is>
          <t>Amazon.com</t>
        </is>
      </c>
      <c r="D95" t="inlineStr">
        <is>
          <t>indeed</t>
        </is>
      </c>
      <c r="E95" t="inlineStr"/>
      <c r="F95" t="inlineStr"/>
      <c r="G95" t="inlineStr">
        <is>
          <t>New York, NY, US</t>
        </is>
      </c>
      <c r="H95" s="1" t="n">
        <v>45942</v>
      </c>
      <c r="I9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in-38ab867a27679d07</t>
        </is>
      </c>
      <c r="B96" t="inlineStr">
        <is>
          <t>Applied Scientist, Workplace Health &amp; Safety</t>
        </is>
      </c>
      <c r="C96" t="inlineStr">
        <is>
          <t>Amazon.com</t>
        </is>
      </c>
      <c r="D96" t="inlineStr">
        <is>
          <t>indeed</t>
        </is>
      </c>
      <c r="E96" t="inlineStr"/>
      <c r="F96" t="inlineStr"/>
      <c r="G96" t="inlineStr">
        <is>
          <t>Bellevue, WA, US</t>
        </is>
      </c>
      <c r="H96" s="1" t="n">
        <v>45917</v>
      </c>
      <c r="I9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in-547f2d4f3d64a4c1</t>
        </is>
      </c>
      <c r="B97" t="inlineStr">
        <is>
          <t>Applied Scientist, Workplace Health &amp; Safety</t>
        </is>
      </c>
      <c r="C97" t="inlineStr">
        <is>
          <t>Amazon.com</t>
        </is>
      </c>
      <c r="D97" t="inlineStr">
        <is>
          <t>indeed</t>
        </is>
      </c>
      <c r="E97" t="inlineStr"/>
      <c r="F97" t="inlineStr"/>
      <c r="G97" t="inlineStr">
        <is>
          <t>Nashville, TN, US</t>
        </is>
      </c>
      <c r="H97" s="1" t="n">
        <v>45917</v>
      </c>
      <c r="I9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in-44b06cf5c036a90c</t>
        </is>
      </c>
      <c r="B98" t="inlineStr">
        <is>
          <t>Senior Applied Scientist, AWS Marketplace &amp; Partner Services</t>
        </is>
      </c>
      <c r="C98" t="inlineStr">
        <is>
          <t>Amazon Web Services</t>
        </is>
      </c>
      <c r="D98" t="inlineStr">
        <is>
          <t>indeed</t>
        </is>
      </c>
      <c r="E98" t="inlineStr"/>
      <c r="F98" t="inlineStr"/>
      <c r="G98" t="inlineStr">
        <is>
          <t>Austin, TX, US</t>
        </is>
      </c>
      <c r="H98" s="1" t="n">
        <v>45902</v>
      </c>
      <c r="I98"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in-502e0093f23c70f9</t>
        </is>
      </c>
      <c r="B99" t="inlineStr">
        <is>
          <t>Senior Applied Scientist, AWS Marketplace &amp; Partner Services</t>
        </is>
      </c>
      <c r="C99" t="inlineStr">
        <is>
          <t>Amazon Web Services</t>
        </is>
      </c>
      <c r="D99" t="inlineStr">
        <is>
          <t>indeed</t>
        </is>
      </c>
      <c r="E99" t="inlineStr"/>
      <c r="F99" t="inlineStr"/>
      <c r="G99" t="inlineStr">
        <is>
          <t>Seattle, WA, US</t>
        </is>
      </c>
      <c r="H99" s="1" t="n">
        <v>45902</v>
      </c>
      <c r="I99" t="inlineStr">
        <is>
          <t>**DESCRIPTION**
---------------
The AWS Marketplace \&amp; Partner Services Science team seeks an experienced Applied Scientist to drive innovation across multiple AI domains, including Context Engineering in Agent\-based Systems, Agent Evaluation Frameworks, and Next\-generation Software Recommendations. This role will be instrumental in revolutionizing how customers discover software solutions for cloud migrations and modernization initiatives.  
The ideal candidate thrives in an environment of scientific rigor and practical application, demonstrating both technical excellence and business acumen. They should be passionate about mentoring others and contributing to a culture of continuous learning and innovation. This role directly influences how thousands of AWS customers discover and implement software solutions, making it crucial for AWS Marketplace's growth and customer success. The position offers the opportunity to shape the future of AI\-driven software recommendations while working with innovative technologies at AWS scale.  
Key job responsibilities  
* Design and optimize context engineering solutions for large language models and agent\-based systems
* Establish evaluation frameworks and metrics for measuring agent performance and effectiveness
* Collaborate with cross\-functional teams, such as Product and Engineering leaders, to translate scientific innovations into customer value
* Mentor Scientists and influence scientific approach across the organization
About the team  
The AWS Marketplace \&amp; Partner Services Science team is at the forefront of developing and deploying AI/ML systems that serve multiple critical stakeholders:  
* AWS Customers: Through the AWS Marketplace, we support Discovery tools that streamline cloud adoption and innovation.
* AWS Partners: Via Partner Central, we offer advanced tools and insights to enhance collaboration and drive mutual growth.
* Internal AWS Sellers: We equip our sales force with data\-driven recommendations to better serve our customers and partners.
Our primary objective is to accelerate cloud migrations and modernizations, fostering innovation for AWS customers while simultaneously supporting the growth and success of our extensive partner network.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applying.**BASIC QUALIFICATIONS**
------------------------
* 3\+ years of building machine learning models or developing algorithms for business application experience
* Experience programming in Java, C\+\+, Python or related language
**PREFERRED QUALIFICATIONS**
----------------------------
\- \- Deep expertise in state\-of\-the\-art AI approaches, particularly in recommendation systems and agent\-based architectures  
\- \- Demonstrated experience in prompt engineering and context optimization for large language models  
\- \- Track record of delivering production\-scale AI solutions  
\- \- Excellent ability to evaluate technical feasibility and communicate complex concepts to business stakeholders  
\- \- Proven experience in mentoring technical teams and driving collaborative research initiatives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in-c201fb1e40e1beff</t>
        </is>
      </c>
      <c r="B100" t="inlineStr">
        <is>
          <t>Sr. Applied Scientist, Prime Video - Personalization and Discovery Science</t>
        </is>
      </c>
      <c r="C100" t="inlineStr">
        <is>
          <t>Amazon.com</t>
        </is>
      </c>
      <c r="D100" t="inlineStr">
        <is>
          <t>indeed</t>
        </is>
      </c>
      <c r="E100" t="inlineStr"/>
      <c r="F100" t="inlineStr"/>
      <c r="G100" t="inlineStr">
        <is>
          <t>Seattle, WA, US</t>
        </is>
      </c>
      <c r="H100" s="1" t="n">
        <v>45896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1">
      <c r="A101" t="inlineStr">
        <is>
          <t>in-8f9e1bc8ac32e7f8</t>
        </is>
      </c>
      <c r="B101" t="inlineStr">
        <is>
          <t>Sr. Applied Scientist, Prime Video - Personalization and Discovery Science</t>
        </is>
      </c>
      <c r="C101" t="inlineStr">
        <is>
          <t>Amazon.com</t>
        </is>
      </c>
      <c r="D101" t="inlineStr">
        <is>
          <t>indeed</t>
        </is>
      </c>
      <c r="E101" t="inlineStr"/>
      <c r="F101" t="inlineStr"/>
      <c r="G101" t="inlineStr">
        <is>
          <t>New York, NY, US</t>
        </is>
      </c>
      <c r="H101" s="1" t="n">
        <v>45896</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2">
      <c r="A102" t="inlineStr">
        <is>
          <t>in-f9d21f60e6e87f96</t>
        </is>
      </c>
      <c r="B102" t="inlineStr">
        <is>
          <t>Sr. Applied Scientist, Prime Video - Personalization and Discovery Science</t>
        </is>
      </c>
      <c r="C102" t="inlineStr">
        <is>
          <t>Amazon.com</t>
        </is>
      </c>
      <c r="D102" t="inlineStr">
        <is>
          <t>indeed</t>
        </is>
      </c>
      <c r="E102" t="inlineStr"/>
      <c r="F102" t="inlineStr"/>
      <c r="G102" t="inlineStr">
        <is>
          <t>Sunnyvale, CA, US</t>
        </is>
      </c>
      <c r="H102" s="1" t="n">
        <v>45896</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3">
      <c r="A103" t="inlineStr">
        <is>
          <t>in-33f3818cc6da9d58</t>
        </is>
      </c>
      <c r="B103" t="inlineStr">
        <is>
          <t>Applied Scientist II, Prime Video , Personalization and Discovery Science</t>
        </is>
      </c>
      <c r="C103" t="inlineStr">
        <is>
          <t>Amazon.com</t>
        </is>
      </c>
      <c r="D103" t="inlineStr">
        <is>
          <t>indeed</t>
        </is>
      </c>
      <c r="E103" t="inlineStr"/>
      <c r="F103" t="inlineStr"/>
      <c r="G103" t="inlineStr">
        <is>
          <t>Sunnyvale, CA, US</t>
        </is>
      </c>
      <c r="H103" s="1" t="n">
        <v>45886</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4">
      <c r="A104" t="inlineStr">
        <is>
          <t>in-16e4a4733e7c7815</t>
        </is>
      </c>
      <c r="B104" t="inlineStr">
        <is>
          <t>Applied Scientist II, Prime Video , Personalization and Discovery Science</t>
        </is>
      </c>
      <c r="C104" t="inlineStr">
        <is>
          <t>Amazon.com</t>
        </is>
      </c>
      <c r="D104" t="inlineStr">
        <is>
          <t>indeed</t>
        </is>
      </c>
      <c r="E104" t="inlineStr"/>
      <c r="F104" t="inlineStr"/>
      <c r="G104" t="inlineStr">
        <is>
          <t>Seattle, WA, US</t>
        </is>
      </c>
      <c r="H104" s="1" t="n">
        <v>45886</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5">
      <c r="A105" t="inlineStr">
        <is>
          <t>in-7a1879677ab0430f</t>
        </is>
      </c>
      <c r="B105" t="inlineStr">
        <is>
          <t>Applied Scientist II, Prime Video , Personalization and Discovery Science</t>
        </is>
      </c>
      <c r="C105" t="inlineStr">
        <is>
          <t>Amazon.com</t>
        </is>
      </c>
      <c r="D105" t="inlineStr">
        <is>
          <t>indeed</t>
        </is>
      </c>
      <c r="E105" t="inlineStr"/>
      <c r="F105" t="inlineStr"/>
      <c r="G105" t="inlineStr">
        <is>
          <t>New York, NY, US</t>
        </is>
      </c>
      <c r="H105" s="1" t="n">
        <v>45886</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6">
      <c r="A106" t="inlineStr">
        <is>
          <t>in-b4ad32b8551eb1d8</t>
        </is>
      </c>
      <c r="B106" t="inlineStr">
        <is>
          <t>Sr. Applied Scientist, Prime Video - Personalization and Discovery Science</t>
        </is>
      </c>
      <c r="C106" t="inlineStr">
        <is>
          <t>Amazon.com</t>
        </is>
      </c>
      <c r="D106" t="inlineStr">
        <is>
          <t>indeed</t>
        </is>
      </c>
      <c r="E106" t="inlineStr"/>
      <c r="F106" t="inlineStr"/>
      <c r="G106" t="inlineStr">
        <is>
          <t>Seattle, WA, US</t>
        </is>
      </c>
      <c r="H106" s="1" t="n">
        <v>45886</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in-be6e103305893a92</t>
        </is>
      </c>
      <c r="B107" t="inlineStr">
        <is>
          <t>Sr. Applied Scientist, Prime Video - Personalization and Discovery Science</t>
        </is>
      </c>
      <c r="C107" t="inlineStr">
        <is>
          <t>Amazon.com</t>
        </is>
      </c>
      <c r="D107" t="inlineStr">
        <is>
          <t>indeed</t>
        </is>
      </c>
      <c r="E107" t="inlineStr"/>
      <c r="F107" t="inlineStr"/>
      <c r="G107" t="inlineStr">
        <is>
          <t>New York, NY, US</t>
        </is>
      </c>
      <c r="H107" s="1" t="n">
        <v>45886</v>
      </c>
      <c r="I1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in-b47242472324119d</t>
        </is>
      </c>
      <c r="B108" t="inlineStr">
        <is>
          <t>Sr. Applied Scientist, Prime Video - Personalization and Discovery Science</t>
        </is>
      </c>
      <c r="C108" t="inlineStr">
        <is>
          <t>Amazon.com</t>
        </is>
      </c>
      <c r="D108" t="inlineStr">
        <is>
          <t>indeed</t>
        </is>
      </c>
      <c r="E108" t="inlineStr"/>
      <c r="F108" t="inlineStr"/>
      <c r="G108" t="inlineStr">
        <is>
          <t>Sunnyvale, CA, US</t>
        </is>
      </c>
      <c r="H108" s="1" t="n">
        <v>45886</v>
      </c>
      <c r="I1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in-a38580ba6bbbac2f</t>
        </is>
      </c>
      <c r="B109" t="inlineStr">
        <is>
          <t>Applied Scientist III, StoreGen</t>
        </is>
      </c>
      <c r="C109" t="inlineStr">
        <is>
          <t>Amazon.com</t>
        </is>
      </c>
      <c r="D109" t="inlineStr">
        <is>
          <t>indeed</t>
        </is>
      </c>
      <c r="E109" t="inlineStr"/>
      <c r="F109" t="inlineStr"/>
      <c r="G109" t="inlineStr">
        <is>
          <t>Seattle, WA, US</t>
        </is>
      </c>
      <c r="H109" s="1" t="n">
        <v>45868</v>
      </c>
      <c r="I10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in-fb3de141575eeac5</t>
        </is>
      </c>
      <c r="B110" t="inlineStr">
        <is>
          <t>Applied Scientist III, StoreGen</t>
        </is>
      </c>
      <c r="C110" t="inlineStr">
        <is>
          <t>Amazon.com</t>
        </is>
      </c>
      <c r="D110" t="inlineStr">
        <is>
          <t>indeed</t>
        </is>
      </c>
      <c r="E110" t="inlineStr"/>
      <c r="F110" t="inlineStr"/>
      <c r="G110" t="inlineStr">
        <is>
          <t>Sunnyvale, CA, US</t>
        </is>
      </c>
      <c r="H110" s="1" t="n">
        <v>45868</v>
      </c>
      <c r="I110"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in-d87638fa6e92b450</t>
        </is>
      </c>
      <c r="B111" t="inlineStr">
        <is>
          <t>Sr. Applied Scientist, Amazon Advertising</t>
        </is>
      </c>
      <c r="C111" t="inlineStr">
        <is>
          <t>Amazon.com</t>
        </is>
      </c>
      <c r="D111" t="inlineStr">
        <is>
          <t>indeed</t>
        </is>
      </c>
      <c r="E111" t="inlineStr"/>
      <c r="F111" t="inlineStr"/>
      <c r="G111" t="inlineStr">
        <is>
          <t>Los Angeles, CA, US</t>
        </is>
      </c>
      <c r="H111" s="1"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in-fe0f2656d42b0d97</t>
        </is>
      </c>
      <c r="B112" t="inlineStr">
        <is>
          <t>Sr. Applied Scientist, Amazon Advertising</t>
        </is>
      </c>
      <c r="C112" t="inlineStr">
        <is>
          <t>Amazon.com</t>
        </is>
      </c>
      <c r="D112" t="inlineStr">
        <is>
          <t>indeed</t>
        </is>
      </c>
      <c r="E112" t="inlineStr"/>
      <c r="F112" t="inlineStr"/>
      <c r="G112" t="inlineStr">
        <is>
          <t>Simi Valley, CA, US</t>
        </is>
      </c>
      <c r="H112" s="1"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in-ac27f1c186c22472</t>
        </is>
      </c>
      <c r="B113" t="inlineStr">
        <is>
          <t>Sr. Applied Scientist, Amazon Advertising</t>
        </is>
      </c>
      <c r="C113" t="inlineStr">
        <is>
          <t>Amazon.com</t>
        </is>
      </c>
      <c r="D113" t="inlineStr">
        <is>
          <t>indeed</t>
        </is>
      </c>
      <c r="E113" t="inlineStr"/>
      <c r="F113" t="inlineStr"/>
      <c r="G113" t="inlineStr">
        <is>
          <t>West Hollywood, CA, US</t>
        </is>
      </c>
      <c r="H113" s="1"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in-8e98ec7bf22efcde</t>
        </is>
      </c>
      <c r="B114" t="inlineStr">
        <is>
          <t>Sr. Applied Scientist, Amazon Advertising</t>
        </is>
      </c>
      <c r="C114" t="inlineStr">
        <is>
          <t>Amazon.com</t>
        </is>
      </c>
      <c r="D114" t="inlineStr">
        <is>
          <t>indeed</t>
        </is>
      </c>
      <c r="E114" t="inlineStr"/>
      <c r="F114" t="inlineStr"/>
      <c r="G114" t="inlineStr">
        <is>
          <t>Palo Alto, CA, US</t>
        </is>
      </c>
      <c r="H114" s="1"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in-52c6df4296b44c18</t>
        </is>
      </c>
      <c r="B115" t="inlineStr">
        <is>
          <t>Sr. Applied Scientist, Amazon Advertising</t>
        </is>
      </c>
      <c r="C115" t="inlineStr">
        <is>
          <t>Amazon.com</t>
        </is>
      </c>
      <c r="D115" t="inlineStr">
        <is>
          <t>indeed</t>
        </is>
      </c>
      <c r="E115" t="inlineStr"/>
      <c r="F115" t="inlineStr"/>
      <c r="G115" t="inlineStr">
        <is>
          <t>Arlington, VA, US</t>
        </is>
      </c>
      <c r="H115" s="1"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in-97bbe863e3329cf7</t>
        </is>
      </c>
      <c r="B116" t="inlineStr">
        <is>
          <t>Sr. Applied Scientist, Amazon Advertising</t>
        </is>
      </c>
      <c r="C116" t="inlineStr">
        <is>
          <t>Amazon.com</t>
        </is>
      </c>
      <c r="D116" t="inlineStr">
        <is>
          <t>indeed</t>
        </is>
      </c>
      <c r="E116" t="inlineStr"/>
      <c r="F116" t="inlineStr"/>
      <c r="G116" t="inlineStr">
        <is>
          <t>New York, NY, US</t>
        </is>
      </c>
      <c r="H116" s="1"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in-64ee38d0497f0bfb</t>
        </is>
      </c>
      <c r="B117" t="inlineStr">
        <is>
          <t>Sr. Applied Scientist, Amazon Advertising</t>
        </is>
      </c>
      <c r="C117" t="inlineStr">
        <is>
          <t>Amazon.com</t>
        </is>
      </c>
      <c r="D117" t="inlineStr">
        <is>
          <t>indeed</t>
        </is>
      </c>
      <c r="E117" t="inlineStr"/>
      <c r="F117" t="inlineStr"/>
      <c r="G117" t="inlineStr">
        <is>
          <t>Austin, TX, US</t>
        </is>
      </c>
      <c r="H117" s="1"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in-180d3ee57409a4c2</t>
        </is>
      </c>
      <c r="B118" t="inlineStr">
        <is>
          <t>Sr. Applied Scientist, Amazon Advertising</t>
        </is>
      </c>
      <c r="C118" t="inlineStr">
        <is>
          <t>Amazon.com</t>
        </is>
      </c>
      <c r="D118" t="inlineStr">
        <is>
          <t>indeed</t>
        </is>
      </c>
      <c r="E118" t="inlineStr"/>
      <c r="F118" t="inlineStr"/>
      <c r="G118" t="inlineStr">
        <is>
          <t>Seattle, WA, US</t>
        </is>
      </c>
      <c r="H118" s="1"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in-14b2c026521e7ccc</t>
        </is>
      </c>
      <c r="B119" t="inlineStr">
        <is>
          <t>Applied Scientist, Prime Video - Personalization and Discovery Science</t>
        </is>
      </c>
      <c r="C119" t="inlineStr">
        <is>
          <t>Amazon.com</t>
        </is>
      </c>
      <c r="D119" t="inlineStr">
        <is>
          <t>indeed</t>
        </is>
      </c>
      <c r="E119" t="inlineStr"/>
      <c r="F119" t="inlineStr"/>
      <c r="G119" t="inlineStr">
        <is>
          <t>Seattle, WA, US</t>
        </is>
      </c>
      <c r="H119" s="1" t="n">
        <v>45845</v>
      </c>
      <c r="I1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20">
      <c r="A120" t="inlineStr">
        <is>
          <t>in-b4ef7d91f1e8ca5d</t>
        </is>
      </c>
      <c r="B120" t="inlineStr">
        <is>
          <t>Applied Scientist, Prime Video - Personalization and Discovery Science</t>
        </is>
      </c>
      <c r="C120" t="inlineStr">
        <is>
          <t>Amazon.com</t>
        </is>
      </c>
      <c r="D120" t="inlineStr">
        <is>
          <t>indeed</t>
        </is>
      </c>
      <c r="E120" t="inlineStr"/>
      <c r="F120" t="inlineStr"/>
      <c r="G120" t="inlineStr">
        <is>
          <t>New York, NY, US</t>
        </is>
      </c>
      <c r="H120" s="1" t="n">
        <v>45845</v>
      </c>
      <c r="I1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21">
      <c r="A121" t="inlineStr">
        <is>
          <t>in-3ab011ea1f338905</t>
        </is>
      </c>
      <c r="B121" t="inlineStr">
        <is>
          <t>Applied Scientist, Prime Video - Personalization and Discovery Science</t>
        </is>
      </c>
      <c r="C121" t="inlineStr">
        <is>
          <t>Amazon.com</t>
        </is>
      </c>
      <c r="D121" t="inlineStr">
        <is>
          <t>indeed</t>
        </is>
      </c>
      <c r="E121" t="inlineStr"/>
      <c r="F121" t="inlineStr"/>
      <c r="G121" t="inlineStr">
        <is>
          <t>Sunnyvale, CA, US</t>
        </is>
      </c>
      <c r="H121" s="1" t="n">
        <v>45845</v>
      </c>
      <c r="I1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22">
      <c r="A122" t="inlineStr">
        <is>
          <t>in-c482f1919d25cc26</t>
        </is>
      </c>
      <c r="B122" t="inlineStr">
        <is>
          <t>Sr. Applied Scientist, Sales AI</t>
        </is>
      </c>
      <c r="C122" t="inlineStr">
        <is>
          <t>Amazon.com</t>
        </is>
      </c>
      <c r="D122" t="inlineStr">
        <is>
          <t>indeed</t>
        </is>
      </c>
      <c r="E122" t="inlineStr"/>
      <c r="F122" t="inlineStr"/>
      <c r="G122" t="inlineStr">
        <is>
          <t>Seattle, WA, US</t>
        </is>
      </c>
      <c r="H122" s="1" t="n">
        <v>45830</v>
      </c>
      <c r="I12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in-1dc6e6475f459fc2</t>
        </is>
      </c>
      <c r="B123" t="inlineStr">
        <is>
          <t>Sr. Applied Scientist, Sales AI</t>
        </is>
      </c>
      <c r="C123" t="inlineStr">
        <is>
          <t>Amazon.com</t>
        </is>
      </c>
      <c r="D123" t="inlineStr">
        <is>
          <t>indeed</t>
        </is>
      </c>
      <c r="E123" t="inlineStr"/>
      <c r="F123" t="inlineStr"/>
      <c r="G123" t="inlineStr">
        <is>
          <t>New York, NY, US</t>
        </is>
      </c>
      <c r="H123" s="1" t="n">
        <v>45830</v>
      </c>
      <c r="I12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in-24b85817804f2c27</t>
        </is>
      </c>
      <c r="B124" t="inlineStr">
        <is>
          <t>Sr. Applied Scientist, Sales AI</t>
        </is>
      </c>
      <c r="C124" t="inlineStr">
        <is>
          <t>Amazon.com</t>
        </is>
      </c>
      <c r="D124" t="inlineStr">
        <is>
          <t>indeed</t>
        </is>
      </c>
      <c r="E124" t="inlineStr"/>
      <c r="F124" t="inlineStr"/>
      <c r="G124" t="inlineStr">
        <is>
          <t>Sunnyvale, CA, US</t>
        </is>
      </c>
      <c r="H124" s="1" t="n">
        <v>45830</v>
      </c>
      <c r="I12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in-b2bdcf06126df6c1</t>
        </is>
      </c>
      <c r="B125" t="inlineStr">
        <is>
          <t>Principal Applied Scientist, Delivery Foundation Model</t>
        </is>
      </c>
      <c r="C125" t="inlineStr">
        <is>
          <t>Amazon.com</t>
        </is>
      </c>
      <c r="D125" t="inlineStr">
        <is>
          <t>indeed</t>
        </is>
      </c>
      <c r="E125" t="inlineStr"/>
      <c r="F125" t="inlineStr"/>
      <c r="G125" t="inlineStr">
        <is>
          <t>Bellevue, WA, US</t>
        </is>
      </c>
      <c r="H125" s="1" t="n">
        <v>45810</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6">
      <c r="A126" t="inlineStr">
        <is>
          <t>in-a93ea4c95112899d</t>
        </is>
      </c>
      <c r="B126" t="inlineStr">
        <is>
          <t>Principal Applied Scientist, Delivery Foundation Model</t>
        </is>
      </c>
      <c r="C126" t="inlineStr">
        <is>
          <t>Amazon.com</t>
        </is>
      </c>
      <c r="D126" t="inlineStr">
        <is>
          <t>indeed</t>
        </is>
      </c>
      <c r="E126" t="inlineStr"/>
      <c r="F126" t="inlineStr"/>
      <c r="G126" t="inlineStr">
        <is>
          <t>Santa Clara, CA, US</t>
        </is>
      </c>
      <c r="H126" s="1" t="n">
        <v>45810</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7">
      <c r="A127" t="inlineStr">
        <is>
          <t>in-aa16794ede72710d</t>
        </is>
      </c>
      <c r="B127" t="inlineStr">
        <is>
          <t>Principal Applied Scientist, Delivery Foundation Model</t>
        </is>
      </c>
      <c r="C127" t="inlineStr">
        <is>
          <t>Amazon.com</t>
        </is>
      </c>
      <c r="D127" t="inlineStr">
        <is>
          <t>indeed</t>
        </is>
      </c>
      <c r="E127" t="inlineStr"/>
      <c r="F127" t="inlineStr"/>
      <c r="G127" t="inlineStr">
        <is>
          <t>Austin, TX, US</t>
        </is>
      </c>
      <c r="H127" s="1" t="n">
        <v>45810</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8">
      <c r="A128" t="inlineStr">
        <is>
          <t>in-fa668e8bf28e675f</t>
        </is>
      </c>
      <c r="B128" t="inlineStr">
        <is>
          <t>Principal Applied Scientist, Delivery Foundation Model</t>
        </is>
      </c>
      <c r="C128" t="inlineStr">
        <is>
          <t>Amazon.com</t>
        </is>
      </c>
      <c r="D128" t="inlineStr">
        <is>
          <t>indeed</t>
        </is>
      </c>
      <c r="E128" t="inlineStr"/>
      <c r="F128" t="inlineStr"/>
      <c r="G128" t="inlineStr">
        <is>
          <t>New York, NY, US</t>
        </is>
      </c>
      <c r="H128" s="1" t="n">
        <v>45810</v>
      </c>
      <c r="I1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9">
      <c r="A129" t="inlineStr">
        <is>
          <t>in-d91a90c2b8aad7b8</t>
        </is>
      </c>
      <c r="B129" t="inlineStr">
        <is>
          <t>Senior Applied Scientist, Delivery Foundation Model</t>
        </is>
      </c>
      <c r="C129" t="inlineStr">
        <is>
          <t>Amazon.com</t>
        </is>
      </c>
      <c r="D129" t="inlineStr">
        <is>
          <t>indeed</t>
        </is>
      </c>
      <c r="E129" t="inlineStr"/>
      <c r="F129" t="inlineStr"/>
      <c r="G129" t="inlineStr">
        <is>
          <t>Santa Clara, CA, US</t>
        </is>
      </c>
      <c r="H129" s="1" t="n">
        <v>45806</v>
      </c>
      <c r="I1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in-c183155c6648a28a</t>
        </is>
      </c>
      <c r="B130" t="inlineStr">
        <is>
          <t>Senior Applied Scientist, Delivery Foundation Model</t>
        </is>
      </c>
      <c r="C130" t="inlineStr">
        <is>
          <t>Amazon.com</t>
        </is>
      </c>
      <c r="D130" t="inlineStr">
        <is>
          <t>indeed</t>
        </is>
      </c>
      <c r="E130" t="inlineStr"/>
      <c r="F130" t="inlineStr"/>
      <c r="G130" t="inlineStr">
        <is>
          <t>New York, NY, US</t>
        </is>
      </c>
      <c r="H130" s="1" t="n">
        <v>45806</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in-1c341961358e0b59</t>
        </is>
      </c>
      <c r="B131" t="inlineStr">
        <is>
          <t>Senior Applied Scientist, Delivery Foundation Model</t>
        </is>
      </c>
      <c r="C131" t="inlineStr">
        <is>
          <t>Amazon.com</t>
        </is>
      </c>
      <c r="D131" t="inlineStr">
        <is>
          <t>indeed</t>
        </is>
      </c>
      <c r="E131" t="inlineStr"/>
      <c r="F131" t="inlineStr"/>
      <c r="G131" t="inlineStr">
        <is>
          <t>Bellevue, WA, US</t>
        </is>
      </c>
      <c r="H131" s="1" t="n">
        <v>45806</v>
      </c>
      <c r="I1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in-163b755ac61f46b1</t>
        </is>
      </c>
      <c r="B132" t="inlineStr">
        <is>
          <t>Sr. Applied Scientist - Privacy, Privacy Engineering</t>
        </is>
      </c>
      <c r="C132" t="inlineStr">
        <is>
          <t>Amazon.com</t>
        </is>
      </c>
      <c r="D132" t="inlineStr">
        <is>
          <t>indeed</t>
        </is>
      </c>
      <c r="E132" t="inlineStr"/>
      <c r="F132" t="inlineStr"/>
      <c r="G132" t="inlineStr">
        <is>
          <t>San Francisco, CA, US</t>
        </is>
      </c>
      <c r="H132" s="1" t="n">
        <v>45787</v>
      </c>
      <c r="I13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in-aa6fa571048fffc0</t>
        </is>
      </c>
      <c r="B133" t="inlineStr">
        <is>
          <t>Sr. Applied Scientist - Privacy, Privacy Engineering</t>
        </is>
      </c>
      <c r="C133" t="inlineStr">
        <is>
          <t>Amazon.com</t>
        </is>
      </c>
      <c r="D133" t="inlineStr">
        <is>
          <t>indeed</t>
        </is>
      </c>
      <c r="E133" t="inlineStr"/>
      <c r="F133" t="inlineStr"/>
      <c r="G133" t="inlineStr">
        <is>
          <t>Santa Clara, CA, US</t>
        </is>
      </c>
      <c r="H133" s="1" t="n">
        <v>45787</v>
      </c>
      <c r="I13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in-456bed5c4240e3fd</t>
        </is>
      </c>
      <c r="B134" t="inlineStr">
        <is>
          <t>Sr. Applied Scientist - Privacy, Privacy Engineering</t>
        </is>
      </c>
      <c r="C134" t="inlineStr">
        <is>
          <t>Amazon.com</t>
        </is>
      </c>
      <c r="D134" t="inlineStr">
        <is>
          <t>indeed</t>
        </is>
      </c>
      <c r="E134" t="inlineStr"/>
      <c r="F134" t="inlineStr"/>
      <c r="G134" t="inlineStr">
        <is>
          <t>Sunnyvale, CA, US</t>
        </is>
      </c>
      <c r="H134" s="1" t="n">
        <v>45787</v>
      </c>
      <c r="I13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in-a78074de7c46f78f</t>
        </is>
      </c>
      <c r="B135" t="inlineStr">
        <is>
          <t>Sr. Applied Scientist - Privacy, Privacy Engineering</t>
        </is>
      </c>
      <c r="C135" t="inlineStr">
        <is>
          <t>Amazon.com</t>
        </is>
      </c>
      <c r="D135" t="inlineStr">
        <is>
          <t>indeed</t>
        </is>
      </c>
      <c r="E135" t="inlineStr"/>
      <c r="F135" t="inlineStr"/>
      <c r="G135" t="inlineStr">
        <is>
          <t>Seattle, WA, US</t>
        </is>
      </c>
      <c r="H135" s="1" t="n">
        <v>45787</v>
      </c>
      <c r="I13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in-0ac255a3709096e8</t>
        </is>
      </c>
      <c r="B136" t="inlineStr">
        <is>
          <t>Principal Applied Scientist, Delivery Foundation Model</t>
        </is>
      </c>
      <c r="C136" t="inlineStr">
        <is>
          <t>Amazon.com</t>
        </is>
      </c>
      <c r="D136" t="inlineStr">
        <is>
          <t>indeed</t>
        </is>
      </c>
      <c r="E136" t="inlineStr"/>
      <c r="F136" t="inlineStr"/>
      <c r="G136" t="inlineStr">
        <is>
          <t>Santa Clara, CA, US</t>
        </is>
      </c>
      <c r="H136" s="1" t="n">
        <v>45757</v>
      </c>
      <c r="I1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7">
      <c r="A137" t="inlineStr">
        <is>
          <t>in-5d38f13d39268bbe</t>
        </is>
      </c>
      <c r="B137" t="inlineStr">
        <is>
          <t>Principal Applied Scientist, Delivery Foundation Model</t>
        </is>
      </c>
      <c r="C137" t="inlineStr">
        <is>
          <t>Amazon.com</t>
        </is>
      </c>
      <c r="D137" t="inlineStr">
        <is>
          <t>indeed</t>
        </is>
      </c>
      <c r="E137" t="inlineStr"/>
      <c r="F137" t="inlineStr"/>
      <c r="G137" t="inlineStr">
        <is>
          <t>Bellevue, WA, US</t>
        </is>
      </c>
      <c r="H137" s="1" t="n">
        <v>45757</v>
      </c>
      <c r="I1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8">
      <c r="A138" t="inlineStr">
        <is>
          <t>in-b804b97de523e6b5</t>
        </is>
      </c>
      <c r="B138" t="inlineStr">
        <is>
          <t>Principal Applied Scientist, Delivery Foundation Model</t>
        </is>
      </c>
      <c r="C138" t="inlineStr">
        <is>
          <t>Amazon.com</t>
        </is>
      </c>
      <c r="D138" t="inlineStr">
        <is>
          <t>indeed</t>
        </is>
      </c>
      <c r="E138" t="inlineStr"/>
      <c r="F138" t="inlineStr"/>
      <c r="G138" t="inlineStr">
        <is>
          <t>New York, NY, US</t>
        </is>
      </c>
      <c r="H138" s="1" t="n">
        <v>45757</v>
      </c>
      <c r="I1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9">
      <c r="A139" t="inlineStr">
        <is>
          <t>in-18763024525c9788</t>
        </is>
      </c>
      <c r="B139" t="inlineStr">
        <is>
          <t>Data Scientist, Upstream Development</t>
        </is>
      </c>
      <c r="C139" t="inlineStr">
        <is>
          <t>ExxonMobil</t>
        </is>
      </c>
      <c r="D139" t="inlineStr">
        <is>
          <t>indeed</t>
        </is>
      </c>
      <c r="E139">
        <f>HYPERLINK("https://www.indeed.com/viewjob?jk=18763024525c9788", "https://www.indeed.com/viewjob?jk=18763024525c9788")</f>
        <v/>
      </c>
      <c r="F139">
        <f>HYPERLINK("https://jobs.exxonmobil.com/ExxonMobil/job/Houston-Data-Scientist%2C-Upstream-Development-TX-77001/1358696200/?feedId=204100&amp;utm_source=Indeed&amp;utm_campaign=XOM_Indeed", "https://jobs.exxonmobil.com/ExxonMobil/job/Houston-Data-Scientist%2C-Upstream-Development-TX-77001/1358696200/?feedId=204100&amp;utm_source=Indeed&amp;utm_campaign=XOM_Indeed")</f>
        <v/>
      </c>
      <c r="G139" t="inlineStr">
        <is>
          <t>Houston, TX, US</t>
        </is>
      </c>
      <c r="H139" s="2" t="n">
        <v>46073</v>
      </c>
      <c r="I139"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**What you will do**
--------------------
Lead the design, development, and deployment of advanced AI/ML solutions for upstream oil \&amp; gas subsurface \&amp; well operations such as physics\-informed Machine Learning (ML) and production optimization. You will work end\-to\-end from problem framing and experimentation through production and sustainment partnering with engineers and business stakeholders to deliver scalable, reliable, and impactful solutions.
**What role will you play in the team**
---------------------------------------
* Lead end\-to\-end delivery of AI/ML solutions: scoping, modeling, evaluation, deployment, and monitoring.
* Collaborate with cross\-functional teams to translate business problems into mathematical frameworks.
* Build solutions in one or more domains listed above, applying best practices for data quality, explainability, and governance.
* Develop GenAI applications (chatbots, copilots, multi\-agent workflows) and/or time series, optimization, or commercial analytics models.
* Ensure production readiness through MLOps practices (CI/CD, MLflow, monitoring, cost optimization).
* Mentor peers and contribute to internal AI capability building.
**About you**
-------------
 **Desired Skills**
* 5\+ years of direct experience delivering production AI/ML solutions.
* Experience applying data science to upstream oil \&amp; gas workflows, including exploration, drilling and reservoir management; analyzing well logs, seismic data, and production metrics to support operational and strategic decisions
* Strong foundations in statistics, probability, and algorithm design.
* Proficiency in Python and ML frameworks (PyTorch, TensorFlow, scikit\-learn); experience with Databricks/Spark.
* Familiarity with GenAI frameworks (LangChain, Promptflow) and/or optimization libraries.
* Experience with MLOps, model governance, and explainable AI techniques (e.g., SHAP, LIME).
* Excellent communication and collaboration skills.
 **Preferred Knowledge/Skills**
* Cloud platforms (Azure ML, Azure OpenAI, Databricks).
* Knowledge graphs, hybrid search/RAG, and semantic technologies.
* Agile development and software engineering best practices.
 **Educational Background Recommended**
* Master’s or PhD in Data Science, Computer Science, Engineering, Applied Math, or related field.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82223**
\#LI\-Onsite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li-4376329120</t>
        </is>
      </c>
      <c r="B2" t="inlineStr">
        <is>
          <t>Data Scientist (Remote)</t>
        </is>
      </c>
      <c r="C2" t="inlineStr">
        <is>
          <t>The Athletic</t>
        </is>
      </c>
      <c r="D2" t="inlineStr">
        <is>
          <t>linkedin</t>
        </is>
      </c>
      <c r="E2" t="inlineStr"/>
      <c r="F2" t="inlineStr"/>
      <c r="G2" t="inlineStr"/>
      <c r="H2" t="inlineStr"/>
      <c r="I2" t="inlineStr">
        <is>
          <t>**About Us**
 Powered by one of the largest global newsrooms in sports media, The Athletic brings sports fans the most comprehensive stories about the teams, sports and athletes they love. The Athletic’s newsroom of 500\+ full\-time staff delivers in\-depth coverage of hundreds of professional and college teams across more than 47 North American markets and all 20 football clubs in the English Premier League, as well as many Championship clubs.
**About The Role**
 We are looking for a data scientist who will bring a deep understanding of our sportswriting, our in\-game experience, and the way our subscribers use The Athletic to help us make our best\-in\-class product even better. In this role, you will work closely with our data, product, growth, and engineering teams to develop advanced machine learning models. These models will help us understand our business, optimize and automate our workflows, and have our product make smarter recommendations. As a member of our small data science team, your work will have a significant impact at The Athletic.
 This role is 100% remote for candidates currently residing in either the United States or Canada.
**Responsibilities**
* Design, build, and implement mathematical models to drive key long\-term product goals, like training a model that predicts which of our free users are most likely to subscribe, or recommending the right articles to the right users at the right time
* Lead projects with hands\-on analysis and modeling, drawing from multiple analytical methods to choose the right tool and right level of complexity appropriate for the job
* Use quantitative analysis to deeply understand what our users are saying, and to develop recommendations based on that analysis
* Design and develop data science pipelines in production
* Guide complex experiments
* Cultivate an outstanding data science environment
**Requirements**
* 2\-4 years of experience as a data scientist or data analyst with a proven ability to apply scientific methods to solve real\-world problems on web scale data
* Strong working knowledge of a scripting language like R or Python and how to use it to train machine learning models and put them into production
* A solid understanding of SQL with an ability to efficiently pull and write to our data warehouses
* An understanding of subscription media and recommendation engines, with the ability to turn it into insights and optimizations
* Knowledge of statistical principles and how they apply to predictive modeling.
* Strong verbal and written communication skills with ability to build cross\-functional relationships
* Can explain sophisticated concepts to diverse audiences and craft compelling stories with data
*The annual base salary range for this role is $125,000\.00 \- $135,000\.00 USD. The total compensation offered for this position may vary based on factors such as education, experience, skills, and location. It may also include non\-cash rewards and benefits. The base salary range is subject to change and may be modified in the future.*
*The Athletic offers unique perks and benefits to all full\-time employees based on their country of residence. Our comprehensive US benefits package includes:*
* Highly competitive, employer\-contributed medical, dental, vision, basic life and disability insurance plans
* Savings accounts for medical, wellness, and childcare expenses
* 401k retirement savings plan and employer match
* Paid time off including paid sick leave, 12 paid holidays, 15 days of accrued vacation to start, and up to 20 weeks of Paid Parental Leave
*For international candidates: Our global benefits packages offer similar benefits and perks, competitive to the local market.*
*The Athletic Media Company is an equal opportunity employer and enthusiastically encourages people from all backgrounds and experiences to apply. The Athletic will consider all applicants without regard to race, religion, color, national origin, ancestry, physical and/or mental disability, medical condition, genetic information, marital status, sex, gender, gender identity, gender expression, transgender status, age, sexual orientation, military or veteran status, or any other protected characteristic under applicable law.*
*Click here to review our* 
 Applicant Privacy Notice
 *, which describes how and when The Athletic Media Company collects, uses, and shares certain personal information of job applicants and prospective employees.*
*Beware of fraudulent job recruiting schemes! Our recruiters use* 
*careers@theathletic.com* 
*exclusively, and our team members will use an email address with @* 
*theathletic.com* 
*domain. We do not conduct interviews via text or instant message and we do not ask candidates to download software, to purchase equipment through us, or to provide sensitive personally identifiable information, such as bank accounts or social security numbers. If you have been contacted by someone claiming to be a member of the recruiting/HR team at The Athletic but operating from a different email address about a job offer, please report it as potential job fraud to the law enforcement and to* 
*people@theathletic.com* 
*.*</t>
        </is>
      </c>
    </row>
    <row r="3">
      <c r="A3" t="inlineStr">
        <is>
          <t>li-4374935897</t>
        </is>
      </c>
      <c r="B3" t="inlineStr">
        <is>
          <t>DATA SCIENTIST - SUPPLY CHAIN</t>
        </is>
      </c>
      <c r="C3" t="inlineStr">
        <is>
          <t>The Home Depot</t>
        </is>
      </c>
      <c r="D3" t="inlineStr">
        <is>
          <t>linkedin</t>
        </is>
      </c>
      <c r="E3" t="inlineStr"/>
      <c r="F3" t="inlineStr"/>
      <c r="G3" t="inlineStr">
        <is>
          <t>Atlanta, GA</t>
        </is>
      </c>
      <c r="H3" t="inlineStr"/>
      <c r="I3" t="inlineStr">
        <is>
          <t>Req167935
**Position Purpose**
 The Data Scientist is responsible for supporting data science initiatives that drive business profitability, increased efficiencies and improved customer experience. This role applies industry\-leading analytical methodologies for working with large datasets to extract meaningful business insight and creatively solve business problems. Data Scientists are also responsible for ensuring that developed codes are documented into a library of reusable algorithms. Based on the specific data science team, this role would need to be knowledgeable in one or more data science specializations, such as optimization, computer vision, recommendation, search or NLP.
 As a Data Scientist, you will apply advanced analytics methods and algorithms for identifying trends and providing business solutions. This role is expected to present insights and recommendations to non\-technical audiences and explain the benefits and impacts of the recommended solutions. In addition, Data Scientists collaborate with business partners and cross\-functional teams, requiring effective communication skills, building relationships, and focus on understanding the overall business area being supported.
**Key Responsibilities**
* 55% Solution Development \- Design and develop algorithms and models to use against large datasets to create business insights; Participates in large data analytics project teams by serving as a technical lead for analytics projects; May lead small projects and work independently on solution development; Execute tasks with high levels of efficiency and quality; Make appropriate selection, utilization and interpretation of advanced analytical methodologies
* 20% Communicating Results \- Effectively communicate insights and recommendations to both technical and non\-technical leaders and business customers/partners; Present recommendations in a confident manner in order to influence execution of recommendation; Prepare reports, updates and/or presentations related to progress made on a project or solution; Clearly communicate impacts of recommendations to drive alignment and appropriate implementation
* 10% Business Collaboration \- Incorporate business knowledge into solution approach; Effectively develop trust and collaboration with internal customers and cross\-functional teams; Work with project teams and business partners to determine project goals
* 15% Technical Exploration \&amp; Development \- Seek further knowledge on key developments within data science, technical skill sets, and additional data sources; Participate in the continuous improvement of data science and analytics by developing replicable solutions (for example, codified data products, project documentation, process flowcharts) to ensure solutions are leveraged for future projects; Build and maintain library of reusable algorithms for future use, ensuring developed codes are documented
**Direct Manager/Direct Reports**
* This position typically reports to Manager or above
* This position has 0 Direct Reports
**Travel Requirements**
* Typically requires overnight travel less than 10%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Masters in a quantitative field (Computer Science, Math, Statistics, etc.) or equivalent work experience
* 4\+ years of experience in business intelligence and analytics
* Working knowledge of Microsoft Excel and Power Point
* Experience in a modern scripting language (preferably Python)
* Proficient running queries against data (preferably with Google BigQuery or SQL)
* Proficient with data visualization software (preferably Tableau)
* Proficient utilizing statistical techniques to identify key insights that help solve business problems
* Knowledgeable in Prescriptive Modeling like optimization, computer vision, recommendation, search or NLP
* Demonstrated experience in predictive modeling, data mining and data analysis
**Minimum Education**
* The knowledge, skills and abilities typically acquired through the completion of a bachelor's degree program or equivalent degree in a field of study related to the job.
**Preferred Education**
* No additional education
**Minimum Years Of Work Experience**
* 3
**Preferred Years Of Work Experience**
* No additional years of experience
**Minimum Leadership Experience**
* None
**Preferred Leadership Experience**
* None
**Certifications**
* None
**Competencies**
* Action Oriented: Taking on new opportunities and tough challenges with a sense of urgency, high energy, and enthusiasm
* Business Insight: Applying knowledge of the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Customer Focus: Building strong customer relationships and delivering customer\-centric solutions
* Drives Results: Consistently achieving results, even under tough circumstances
* Nimble Learning: Actively learning through experimentation when tackling new problems, using both successes and failures as learning fodder
* Optimizes Work Processes: Knowing the most efficient and effective processes to get things done, with a focus on continuous improvement
* Plans and Aligns: Planning and prioritizing work to meet commitments aligned with organizational goals
* Self\-Development: Actively seeking new ways to grow and be challenged using both formal and informal development channels</t>
        </is>
      </c>
    </row>
    <row r="4">
      <c r="A4" t="inlineStr">
        <is>
          <t>li-4374954008</t>
        </is>
      </c>
      <c r="B4" t="inlineStr">
        <is>
          <t>Data Scientist I</t>
        </is>
      </c>
      <c r="C4" t="inlineStr">
        <is>
          <t>RemoteHunter</t>
        </is>
      </c>
      <c r="D4" t="inlineStr">
        <is>
          <t>linkedin</t>
        </is>
      </c>
      <c r="E4" t="inlineStr"/>
      <c r="F4" t="inlineStr"/>
      <c r="G4" t="inlineStr"/>
      <c r="H4" t="inlineStr"/>
      <c r="I4" t="inlineStr">
        <is>
          <t>About the Opportunity:
 This role involves developing predictive models and algorithms to automate critical business functions. The focus is on exploring and analyzing data from multiple sources to gain insights that provide a competitive advantage.
 Responsibilities:
 • Develop, implement, and validate predictive and statistical models
 • Analyze data from various sources to extract meaningful insights
 • Manage the full modeling life cycle, including data cleansing, feature creation, and iterative model selection
 • Apply statistics, modeling, and machine learning to enhance system efficiency and algorithm relevance
 • Participate in Agile ceremonies such as daily scrum, refinement, sprint planning, and retrospectives
 • Recommend process improvements
 • Follow safety guidelines and participate in pre\-task planning
 • Report safety concerns to management
 • Maintain quality standards across projects
 Requirements:
 • Bachelor’s degree in statistics, mathematics, economics, computer science, or related technical discipline plus 3 years of relevant experience, or 7 years of related experience without a degree
 • Experience with statistics, machine learning, algorithm development, predictive modeling, and advanced mathematics
 • Proficiency in programming languages
 • Valid driver’s license with acceptable violation history
 Benefits \&amp; Perks:
 • Medical, dental, and vision insurance
 • Life insurance
 • 401(k) plan
 • Paid time off and holidays
 • Education reimbursement
 • Various bonus programs
 Employment Type:
 Regular, Full Time
 Exempt
 Service Line:
 Office Management/Administration
 Location:
 Olathe, KS (Remote Only)
 Job Category:
 IT
 Job Expires:
 28\-Jan\-2026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
      <c r="A5" t="inlineStr">
        <is>
          <t>li-4376310965</t>
        </is>
      </c>
      <c r="B5" t="inlineStr">
        <is>
          <t>Senior Data Scientist Market Function Owner</t>
        </is>
      </c>
      <c r="C5" t="inlineStr">
        <is>
          <t>Mercedes-Benz Research &amp; Development North America, Inc.</t>
        </is>
      </c>
      <c r="D5" t="inlineStr">
        <is>
          <t>linkedin</t>
        </is>
      </c>
      <c r="E5" t="inlineStr"/>
      <c r="F5" t="inlineStr"/>
      <c r="G5" t="inlineStr">
        <is>
          <t>Atlanta, GA</t>
        </is>
      </c>
      <c r="H5" t="inlineStr"/>
      <c r="I5" t="inlineStr">
        <is>
          <t>At Mercedes\-Benz Research \&amp; Development North America (MBRDNA), we are committed to delivering world\-class automotive technologies that push the boundaries of what is possible. Our teams of highly skilled engineers and designers use cutting\-edge software and technology, to enhance the driving experience and reduce environmental impact.
 The Infotainment \&amp; AI department is responsible for innovating and evolving the in\-vehicle infotainment system for US customers, with the ambition to deliver a best\-in\-class, market\-leading infotainment experience. By combining software platforms, AI capabilities, and customer\-centric design, the department drives differentiation and customer satisfaction across the Mercedes\-Benz portfolio.
 The Senior Data Scientist (MFO) focuses on generating market\-specific insights from infotainment usage and customer data to inform product, experience, and business decisions in the US market. This role partners closely with Product Management, QM, UX, and Engineering to translate data into actionable recommendations that measurably improve the infotainment experience.
**Job Responsibilities:**
* Analyze infotainment usage, behavior, and experience data for the US market
* Develop metrics, KPIs, dashboards, and analyses to track infotainment performance and customer satisfaction
* Support experimentation, pilots, and feature evaluations through data analysis
* Partner with Experience PMs and UX to inform decisions with quantitative insights
* Identify patterns, anomalies, and opportunities in large, complex data sets
* Communicate insights clearly to technical and non\-technical stakeholders
* Ensure data quality, consistency, and adherence to governance standards
* Contribute to the continuous improvement of data tools, processes, and methodologies
* Role is embedded in the Market \&amp; Field Organization (MFO) with close proximity to US stakeholders
* Job responsibilities may evolve based on business needs
* Occasional travel may be required
**Minimum Qualifications:**
* Bachelor’s degree in Data Science, Statistics, Computer Science, Engineering, or a related field.
* 5\+ years of relevant work experience
* Strong analytical skills with the ability to translate data into clear insights
* Proficiency in Python and SQL for data analysis and modeling
* Experience with data visualization and reporting tools
* Ability to manage multiple analytical tasks and priorities
* Experience working in cross\-functional, product\-focused teams
* Strong communication skills and stakeholder orientation
* Comfortable working across cultures, time zones, and organizations
* Standing and sitting for long periods of time
* Ability to get in and out of test and production vehicles as needed
* Valid driver’s license
**Preferred Qualifications:**
* Experience with customer\-facing digital products or infotainment systems
* Familiarity with experimentation, A/B testing, or causal analysis
* Exposure to AI/ML models used in product or experience optimization
* Experience working in a market\-facing or regional organization (MFO)
* Experience in automotive, mobility, or consumer technology domains
 Why should you apply?
 Here at MBRDNA, you create digital ecosystems around cars, you design a language between humans and machines, you make a car even more intelligent \- you make the new reality for cars. MBRDNA was honored as one of the "Best Places to Work" by BuiltIn in January 2024, a testament to our commitment to creating an exceptional work environment. At each of our offices, we foster a culture of collaboration and continuous learning, ensuring every team member can thrive and innovate.
**Benefits for Full\-Time** 
 \*
 **Employees Include:**
* Medical, dental, and vision insurance for employees and their families
* 401(k) with employer match
* Up to 15 company\-paid holidays
* Paid time off (flexible time off for salaried employees), sick time, and parental leave
* Tuition assistance program
* Wellness/Fitness reimbursement programs
* Internships \&amp; Contractors excluded from Full\-Time Employee benefits
 MBRDNA is an equal opportunity employer (EOE) and strongly supports diversity in the workforce. MBRDNA only accepts resumes from approved agencies who have a valid Agency Agreement on file. Please do not forward resumes to our applicant tracking system, MBRDNA employees, or send to any MBRDNA location. MBRDNA is not responsible for any fees or claims related to receipt of unsolicited resumes.
 Mercedes\-Benz Research and Development North America, Inc.
 PRIVACY NOTICE FOR CALIFORNIA RESIDENTS
 https://mbrdna.com/california\-employee\-privacy\-notice/</t>
        </is>
      </c>
    </row>
    <row r="6">
      <c r="A6" t="inlineStr">
        <is>
          <t>li-4376301808</t>
        </is>
      </c>
      <c r="B6" t="inlineStr">
        <is>
          <t>Senior Data Scientist</t>
        </is>
      </c>
      <c r="C6" t="inlineStr">
        <is>
          <t>James Search Group</t>
        </is>
      </c>
      <c r="D6" t="inlineStr">
        <is>
          <t>linkedin</t>
        </is>
      </c>
      <c r="E6" t="inlineStr"/>
      <c r="F6" t="inlineStr"/>
      <c r="G6" t="inlineStr"/>
      <c r="H6" t="inlineStr"/>
      <c r="I6" t="inlineStr">
        <is>
          <t>**Senior / Lead Data Scientist (P\&amp;C Insurance)** 
*Fully Remote \| Full\-Time* 
**Partnering with a Leading P\&amp;C Insurance Carrier** 
 James Search Group is proud to partner with a high\-performing Property \&amp; Casualty insurance carrier that is deeply investing in Data Science, Machine Learning (ML), and Artificial Intelligence (AI) to transform how insurance is priced, underwritten, and serviced. We’re seeking a
 **Senior / Lead Data Scientist** 
 to join their centralized Data \&amp; ML/AI department and take a key role in building scalable, production\-grade models that drive enterprise decision\-making.
 This is a hands\-on and strategic role where you'll help shape the carrier’s approach to predictive modeling, optimization, and data\-driven automation. You’ll collaborate across actuarial, underwriting, product, claims, and data engineering teams to identify high\-impact problems and bring elegant ML solutions to life.
**Office Locations (Optional Hybrid):** 
 This is a remote\-first position, but you can also work from one of the carrier’s multiple U.S. office locations
**What You’ll Do:** 
* Lead the design, development, and deployment of predictive models and machine learning pipelines across the insurance value chain.
* Partner with stakeholders to scope high\-value use cases in pricing, risk segmentation, underwriting automation, claims triage, fraud, retention, and more.
* Own model lifecycle management from ideation through to deployment and monitoring in production.
* Mentor junior data scientists, establish coding and modeling best practices, and participate in peer reviews.
* Collaborate with data engineers and ML engineers to scale models using a modern MLOps stack.
* Translate technical results into actionable insights for non\-technical stakeholders.
**What You Bring:** 
* 5–8\+ years of hands\-on experience in Data Science or ML Engineering, with a strong portfolio of deployed models.
* Deep understanding of statistical modeling, machine learning algorithms (e.g., tree\-based models, ensemble methods, NLP, deep learning), and model evaluation techniques.
* Advanced programming skills in
 **Python** 
 , and experience with data manipulation libraries (e.g., pandas, NumPy), machine learning frameworks (e.g., scikit\-learn, XGBoost, LightGBM), and deep learning tools (e.g., TensorFlow, PyTorch).
* Experience with
 **Databricks, MLflow, GitHub** 
 , and MLOps practices for productionization of models.
* Strong SQL skills and ability to work with large, complex datasets.
* Ability to communicate technical results clearly to cross\-functional teams and business stakeholders.
* Bachelor’s, Master’s, or Ph.D. in Data Science, Statistics, Computer Science, Mathematics, or a related field.
**Bonus Points For:** 
* Prior experience in the insurance industry, particularly P\&amp;C, working with claims, pricing, or underwriting data.
* Familiarity with regulatory modeling standards (e.g., explainability, fairness).
* Exposure to Hex, Arize, or similar tools for monitoring and visualization.
* Experience with time series forecasting or geospatial modeling.
**What’s In It for You:** 
* **$120,000\-$170,000 base salary**
* **Performance\-based bonus/variable compensation**
* **Comprehensive benefits** 
 , including:
* Medical, dental, and vision insurance
* 401(k) with company match
* Generous PTO
* Wellness and mental health support programs
 This is a rare opportunity to lead cutting\-edge Data Science work at a modern insurance organization where innovation is a priority.
 If you’re excited to build models that go into production and directly shape customer and business outcomes — we’d love to connect.</t>
        </is>
      </c>
    </row>
    <row r="7">
      <c r="A7" t="inlineStr">
        <is>
          <t>li-4374932845</t>
        </is>
      </c>
      <c r="B7" t="inlineStr">
        <is>
          <t>Data Scientist</t>
        </is>
      </c>
      <c r="C7" t="inlineStr">
        <is>
          <t>FetchJobs.co</t>
        </is>
      </c>
      <c r="D7" t="inlineStr">
        <is>
          <t>linkedin</t>
        </is>
      </c>
      <c r="E7" t="inlineStr"/>
      <c r="F7" t="inlineStr"/>
      <c r="G7" t="inlineStr"/>
      <c r="H7" t="inlineStr"/>
      <c r="I7" t="inlineStr">
        <is>
          <t>**About The Company**
 Jobot is a leading organization committed to fostering innovation and excellence in the technology and data analytics industry. With a strong presence across multiple regions, Jobot specializes in providing cutting\-edge solutions that leverage advanced analytics, artificial intelligence, and machine learning to help businesses optimize their operations and achieve strategic objectives. The company prides itself on cultivating an inclusive and dynamic work environment that values diversity, collaboration, and continuous learning. Through its dedicated team of professionals and industry experts, Jobot strives to deliver measurable value to its clients by harnessing the power of data\-driven insights.
**About The Role**
 We are seeking a highly skilled and motivated Data Scientist specializing in Raw Data Wrangling and Advanced Analytics. This role is pivotal in transforming large volumes of raw data into actionable insights that drive enterprise\-wide decision\-making and process optimization. The successful candidate will work onsite four days a week at our facility in The Woodlands, collaborating closely with a team of experienced engineers and data professionals. This position offers an exciting opportunity to engage with innovative AI technologies, including GenAI and Large Language Models (LLMs), to develop predictive models and enhance data processing workflows. The role requires a deep understanding of data manipulation, statistical modeling, and visualization tools to support strategic initiatives and operational efficiencies across the organization.
**Qualifications**
 The ideal candidate will possess a strong educational background in Data Science, Computer Science, Statistics, or a related field. Proven experience in data wrangling, advanced analytics, and machine learning is essential. Proficiency in programming languages such as Python, along with frameworks like Spark and PySpark, is required. Experience with SQL, MySQL, SparkSQL, and data visualization tools like Tableau is also necessary. Familiarity with cloud platforms, particularly AWS Glue, is highly desirable. Candidates should have hands\-on experience with statistical modeling techniques including Linear Regression, Generalized Linear Models (GLM), and Random Forest algorithms. Knowledge of GenAI, LLMs, and AI\-driven analytics will be considered a significant advantage. Strong problem\-solving skills, attention to detail, and the ability to work effectively in a collaborative environment are crucial attributes for success in this role.
**Responsibilities**
 In this role, you will be responsible for ingesting, cleaning, and transforming large datasets to facilitate advanced analytics and modeling efforts. You will develop and implement machine learning models, including linear regression, GLMs, and Random Forests, to uncover insights and support predictive analytics initiatives. Collaborating with cross\-functional teams, you will design data pipelines using tools like Spark, PySpark, and AWS Glue to ensure efficient data processing workflows. You will utilize Tableau and other visualization platforms to create compelling dashboards and reports that communicate complex findings to stakeholders. Additionally, you will stay abreast of emerging AI technologies, including GenAI and LLMs, to enhance analytical capabilities and optimize data\-driven solutions. Your role will also involve maintaining data quality standards, documenting processes, and continuously improving data management practices to support enterprise objectives.
**Benefits**
 Jobot offers a comprehensive benefits package designed to support the well\-being and professional growth of its employees. Benefits include competitive salary packages, performance\-based bonuses, and stock options. Employees have access to health insurance plans covering medical, dental, and vision care. The company promotes work\-life balance through flexible working arrangements and encourages ongoing learning through training programs and professional development opportunities. Additionally, Jobot fosters a collaborative and inclusive workplace culture that values diversity and innovation. Employees also benefit from a supportive environment that recognizes achievements and promotes career advancement within the organization.
 Equal Opportunity
 Jobot is an Equal Opportunity Employer committed to creating an inclusive environment for all employees and applicants. We celebrate diversity and are dedicated to ensuring that all qualified candidates receive fair consideration for employment regardless of race, color, sex, sexual orientation, gender identity, religion, national origin, age (40 and over), disability, military status, genetic information, or any other protected characteristic under applicable federal, state, or local laws. We prohibit harassment and discrimination of any kind and adhere to all relevant legal standards in our hiring and employment practices. Our commitment extends to providing a respectful and equitable workplace where everyone can thrive and contribute to our collective success.</t>
        </is>
      </c>
    </row>
    <row r="8">
      <c r="A8" t="inlineStr">
        <is>
          <t>li-4374952057</t>
        </is>
      </c>
      <c r="B8" t="inlineStr">
        <is>
          <t>Data Scientist</t>
        </is>
      </c>
      <c r="C8" t="inlineStr">
        <is>
          <t>RemoteHunter</t>
        </is>
      </c>
      <c r="D8" t="inlineStr">
        <is>
          <t>linkedin</t>
        </is>
      </c>
      <c r="E8" t="inlineStr"/>
      <c r="F8" t="inlineStr"/>
      <c r="G8" t="inlineStr"/>
      <c r="H8" t="inlineStr"/>
      <c r="I8"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
      <c r="A9" t="inlineStr">
        <is>
          <t>li-4373751778</t>
        </is>
      </c>
      <c r="B9" t="inlineStr">
        <is>
          <t>Data Scientist - Agentic AI / ML</t>
        </is>
      </c>
      <c r="C9" t="inlineStr">
        <is>
          <t>Applied Materials</t>
        </is>
      </c>
      <c r="D9" t="inlineStr">
        <is>
          <t>linkedin</t>
        </is>
      </c>
      <c r="E9" t="inlineStr"/>
      <c r="F9" t="inlineStr"/>
      <c r="G9" t="inlineStr">
        <is>
          <t>Santa Clara, CA</t>
        </is>
      </c>
      <c r="H9" t="inlineStr"/>
      <c r="I9"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$119,500\.00 \- $164,500\.00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Applied Materials’ Joint Operations Leadership (JOLT) Data Science team is seeking a Data Scientist to join our growing organization. JOLT plays a critical role in rebuilding customer trust, creating an agile and resilient supply chain, reshaping supplier relationships, driving operational excellence, and maximizing profitability through advanced analytics, AI, and machine learning.
 This role offers the opportunity to work on high‑impact, cross‑functional initiatives and to develop end‑to‑end AI solutions—from problem formulation to production deployment.:
* Works in project teams developing difficult analytical models, algorithms and automated processes, research and develop machine learning models from inception to deployment.
* Work on GenAI and LLM projects, including fine\-tuning models, creating embedding\-based search systems, and developing AI\-driven prototypes to enhance business operations.
* Directing architects to design and solution GenAI architectures for stakeholders, specifically for plugin\-based solutions and custom GenAI application builds.
* Use data mining and machine learning algorithms to provide insights into historical and real\-time data for projects such as material forecast, demand forecast, pattern recognition, etc.
* Interfaces with stakeholders for requirements analysis and special requests and schedules; derives insights and works with business units to determine actions and KPI for those actions.
* Identify opportunities for forecast accuracy improvement and provide business insights and additional perspectives to Service Supply Chain leadership
* Collaborate with Material Planning, Field Operations, Inventory Management, NPI, Production Demand Planning, Reliability Engineering, Service Campaigns Teams to gather data and bring information on key business drivers that impact the future demand on Service Parts and Accessories
**Requirements**
* Advanced degree (MS or PhD) in a quantitative field (e.g., Statistics, Computer Science, Economics, Operations Research).
* 0\-2 years of industry experience in applied machine learning or related AI work.
* Hands\-on experience building GenAI\-focused applications (e.g., agents, reasoning workflows, or RAG) and a solid understanding of how large language models are architected and operated.
* Can work collaboratively with cross\-functional teams.
* Hands\-on experience with:
+ building GenAI\-focused application and applying LLMs and agentic AI (e.g., agents, reasoning workflows, or RAG)
+ Have personally implemented models in common Deep Learning frameworks such as PyTorch, Jax or TensorFlow.
+ MLOps, including model deployment, versioning and performance monitoring in production environments
+ Proficiency in Python, SQL, and tools such as scikit\-learn, and forecasting libraries.
* Excellent analytical and problem\-solving abilities, Machine Learning Concepts
* Strong communication and storytelling skills \- able to simplify complexity and influence executive stakeholders.
**Location**
 Santa Clara, CA; on\-site full\-time
**Additional Information**
**Time Type:**
 Full time
**Employee Type:**
 Assignee / Regular
**Travel:**
 Yes, 10% of the Time
**Relocation Eligible:**
 No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10">
      <c r="A10" t="inlineStr">
        <is>
          <t>li-4374936970</t>
        </is>
      </c>
      <c r="B10" t="inlineStr">
        <is>
          <t>Data Scientist</t>
        </is>
      </c>
      <c r="C10" t="inlineStr">
        <is>
          <t>Brooksource</t>
        </is>
      </c>
      <c r="D10" t="inlineStr">
        <is>
          <t>linkedin</t>
        </is>
      </c>
      <c r="E10" t="inlineStr"/>
      <c r="F10" t="inlineStr"/>
      <c r="G10" t="inlineStr">
        <is>
          <t>Lancaster, PA</t>
        </is>
      </c>
      <c r="H10" t="inlineStr"/>
      <c r="I10" t="inlineStr">
        <is>
          <t>**Data Scientist** 
**Contract to hire** 
**Lancaster, PA** 
 We are seeking a Senior Data Scientist to lead the development of advanced analytics, machine learning models, and data\-driven solutions that power key business decisions. This role combines deep technical expertise with strategic thinking and strong communication skills to translate complex data insights into clear business value.
 As a Senior Data Scientist, you will partner closely with cross\-functional teams across data engineering, ML Ops engineering, product, pricing, finance, operations, and strategy to design, develop, and deploy scalable models and analytical tools that drive measurable outcomes.
**Responsibilities** 
* Lead the design, development, and deployment of machine learning and AI models to solve complex business challenges.
* Partner with stakeholders to identify high\-impact use cases and define measurable success criteria.
* Identify and build the right model to enable the business outcomes desired for each use case.
* Analyze large, complex datasets to uncover actionable insights and support data\-driven decision\-making.
* Collaborate with data engineers to ensure robust data pipelines and model integration into production systems.
* Build prototypes, conduct experiments, and iterate on model performance to drive continuous improvement.
* Connect LLMs to data sources to automatically summarize data, identify key metrics, and answer natural language questions.
* Leverage LLMs to generate summaies of analysis results and create visualizations.
* Apply LLM\-powered NLP techniques for tasks such as text classification, sentiment analysis, and named entity recognition.
* Document processes and best practices in data science methodologies, coding standards, and model evaluation.
* Communicate results and recommendations clearly to both technical and non\-technical audiences using data visualization and storytelling.
* Stay current with emerging tools, techniques, and trends in AI, ML, and data science.
**Qualifications** 
* Strong proficiency in Python and key ML/data libraries (Databricks, Pandas, NumPy, Scikit\-learn, TensorFlow, PyTorch, etc.).
* Experience using AI platforms (Databricks).
* Expertise in statistical modeling, predictive analytics, and feature engineering.
* Experience with cloud platforms (AWS, Azure, or GCP) and MLOps practices.
* Proficiency in SQL, R, \&amp; Python and experience working with large\-scale data environments.
* Strong understanding of model evaluation, A/B testing, and business impact measurement.
* Excellent communication skills with the ability to simplify complex topics for business audiences.
* Experience with NLP, LLMs, and generative AI models.
* Familiarity with data visualization tools (Tableau, Power BI, Plotly, etc.).
* Background in deploying models into production or integrating with enterprise applications.
* Experience working in Agile environments and cross\-functional teams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row>
    <row r="11">
      <c r="A11" t="inlineStr">
        <is>
          <t>li-4376318312</t>
        </is>
      </c>
      <c r="B11" t="inlineStr">
        <is>
          <t>Data Scientist</t>
        </is>
      </c>
      <c r="C11" t="inlineStr">
        <is>
          <t>Best Job Tool</t>
        </is>
      </c>
      <c r="D11" t="inlineStr">
        <is>
          <t>linkedin</t>
        </is>
      </c>
      <c r="E11" t="inlineStr"/>
      <c r="F11" t="inlineStr"/>
      <c r="G11" t="inlineStr"/>
      <c r="H11" t="inlineStr"/>
      <c r="I11" t="inlineStr">
        <is>
          <t>**About The Company**
 Jobot is a leading organization committed to fostering innovation and growth within dynamic industries. With a focus on building a diverse and inclusive work environment, Jobot strives to attract talented professionals who are passionate about making a meaningful impact. The company emphasizes a culture of influence, inspiration, innovation, achievement, and growth, ensuring employees are empowered to excel and contribute to the company's ongoing success. Jobot's reputation is built on delivering exceptional services and solutions across various sectors, including emerging markets such as the cannabis industry. Its global footprint and commitment to sustainability and social responsibility make it an employer of choice for ambitious professionals seeking career advancement and meaningful work.
**About The Role**
 We are urgently seeking a Senior Data Scientist to join our innovative team. In this pivotal role, you will be responsible for designing, building, and maintaining the data infrastructure that enables advanced analytics, machine learning, and operational reporting. This position demands a hands\-on professional who can work at the intersection of data engineering, modeling, and production\-grade systems. You will play a critical role in architecting scalable data solutions that support strategic decision\-making and operational excellence. The ideal candidate will possess a deep understanding of cloud\-based data ecosystems, data governance, and performance optimization, with a passion for leveraging data to drive business growth and efficiency.
**Qualifications**
 The successful candidate will bring a wealth of experience and technical expertise, including:
* 8\+ years of experience in data science, data engineering, or related fields.
* Proficiency in Python and SQL at an expert level, with working knowledge of Scala or Java for Spark applications.
* 3\-5\+ years of hands\-on experience with Apache Spark and Databricks, including Delta Lake, performance tuning, and optimization.
* Extensive cloud experience, particularly with AWS (S3, EMR, Glue, Kinesis) and/or Azure (ADLS Gen2, Synapse, Data Factory, Event Hubs).
* Familiarity with orchestration tools such as Airflow and transformation frameworks like dbt.
* Experience working with data warehouses such as Snowflake, Redshift, or Databricks SQL.
* Proven ability to optimize costs and enhance performance in cloud data environments.
* Solid foundation in data modeling, CI/CD pipelines, Docker/Linux environments, and version control with Git.
* Strong analytical skills with the ability to translate business needs into scalable data solutions and lead projects from conception to deployment.
**Responsibilities**
 The key responsibilities of this role include:
* Designing and evolving our lakehouse architecture, including storage layout, compute strategy, and performance SLAs, primarily utilizing Delta Lake on cloud platforms.
* Building and maintaining robust batch and streaming data pipelines using Apache Spark (PySpark/Scala), Databricks Workflows, Azure Data Factory, and event\-driven systems such as Kinesis, Kafka, and Event Hubs.
* Developing and managing analytical and machine learning\-ready data models, semantic layers, and dimensional schemas to support business intelligence and production applications.
* Implementing observability and reliability features, including custom Spark metrics, anomaly detection, logging, and automated data quality checks to ensure platform stability.
* Optimizing compute and storage performance through cluster tuning, caching, partitioning, and format selection, resulting in measurable cost savings.
* Enforcing data governance policies such as RBAC, row\-level security, data cataloging, lineage tracking, and ensuring compliance with regulations like GDPR, HIPAA, and CCPA.
* Collaborating with analytics, product, and platform teams to define service level agreements, manage incident response, and promote best practices in data management.
* Mentoring junior engineers, leading design reviews, and establishing standards for scalable, maintainable, and high\-quality data systems.
**Benefits**
 Our comprehensive benefits package is designed to support the well\-being and professional growth of our employees. Details include:
* Competitive compensation packages aligned with industry standards.
* Paid vacation, sick leave, and holidays to promote work\-life balance.
* Parental leave to support families.
* Health, dental, and vision insurance plans.
* Employee assistance programs offering counseling and support services.
* 401(k) retirement plan with a generous employer match to secure your financial future.
* Life insurance coverage.
* Paid training and employee discounts on our products and services.
 Equal Opportunity
 Jobot is an Equal Opportunity Employer committed to creating an inclusive environment for all employees and applicants. We celebrate diversity and do not discriminate based on race, color, religion, sex, sexual orientation, gender identity, national origin, age (40 and over), disability, military status, genetic information, or any other protected characteristic under applicable federal, state, or local laws. We prohibit harassment and ensure that all qualified candidates receive fair consideration for employment. Our policies are in strict compliance with all relevant laws, and we are dedicated to fostering a workplace where every individual can thrive and contribute to our collective success.</t>
        </is>
      </c>
    </row>
    <row r="12">
      <c r="A12" t="inlineStr">
        <is>
          <t>li-4376326221</t>
        </is>
      </c>
      <c r="B12" t="inlineStr">
        <is>
          <t>Staff Data Scientist, Finance</t>
        </is>
      </c>
      <c r="C12" t="inlineStr">
        <is>
          <t>GoFundMe</t>
        </is>
      </c>
      <c r="D12" t="inlineStr">
        <is>
          <t>linkedin</t>
        </is>
      </c>
      <c r="E12" t="inlineStr"/>
      <c r="F12" t="inlineStr"/>
      <c r="G12" t="inlineStr">
        <is>
          <t>San Francisco, CA</t>
        </is>
      </c>
      <c r="H12" t="inlineStr"/>
      <c r="I12" t="inlineStr">
        <is>
          <t>**Want to help us help others? We’re hiring!**
 GoFundMe is the world’s most powerful community for good, dedicated to helping people help each other. By uniting individuals and nonprofits in one place, GoFundMe makes it easy and safe for people to ask for help and support causes—for themselves and each other. Together, our community has raised more than $40 billion since 2010\.
 We're looking for a Staff Data Scientist, Finance to own the data science strategy for Accounting, Finance, and Payments at GoFundMe. This role sits at the intersection of financial analytics, payments intelligence, and operational automation—with direct responsibility for building the models, insights, and AI\-driven systems that power financial decision\-making across the company. You'll define the technical roadmap, drive high\-impact initiatives from fraud detection to revenue forecasting, and build the analytical foundation that scales with the business.
**Candidates considered for this role will be located in the San Francisco Bay Area. There will be an in\-office requirement of 3x a week.**
 The Job
* Build AI\-powered automation systems: Design and deploy AI/ML solutions—including LLM\-based workflows—to automate financial close processes, accelerate reporting cycles, and improve data quality at scale.
* Own the financial data foundation: Architect and maintain the data pipelines, models, and dashboards that enable Accounting, Finance, and Payments teams to operate with accuracy, speed, and confidence.
* Drive financial forecasting and scenario modeling: Build and refine revenue, donation, and cash flow forecasting models that power FP\&amp;A, treasury, and executive planning. Develop scenario analyses that inform strategic decisions.
* Lead payments intelligence initiatives: Design fraud detection and prevention models, optimize payment processor routing and costs, and build chargeback prediction systems that protect revenue and reduce losses.
* Drive anomaly detection and risk monitoring: Develop models to surface irregularities in financial transactions, identify cost or revenue leakage, and support audit and compliance requirements.
* Uncover strategic finance insights: Conduct deep\-dive analyses on unit economics, geographic and segment\-level performance, and fee structure optimization to inform business strategy.
* Shape the technical roadmap: Define best practices for financial data modeling, pipeline architecture, and analytics infrastructure; elevate data literacy and self\-service capabilities across finance functions.
* Influence cross\-functional strategy: Serve as the trusted data science advisor to Accounting, Finance, and Payments leadership, translating complex analyses into actionable recommendations for executive audiences.
 You
**Experience \&amp; Education**
* 8\+ years of experience in data science, analytics, or a related quantitative role, with demonstrated ability to own end\-to\-end data initiatives.
* Master's or Ph.D. in a quantitative discipline (Statistics, Economics, Mathematics, Computer Science, Engineering, or related field) or equivalent practical experience.
* Energized by the opportunity to build from the ground up—establishing the analytical foundation while shaping the long\-term vision for financial data science.
**Core Skills**
* Strong foundation in financial modeling, forecasting, and quantitative analysis.
* Experience with anomaly detection, time\-series forecasting, or classification applied to financial data.
* Familiarity with accounting and finance concepts (revenue recognition, reconciliation, financial close).
* Demonstrated ability to translate business problems into analytical frameworks and measurable outcomes.
**Technical Skills**
* Advanced proficiency in SQL (complex queries, window functions, performance optimization) and Python (pandas, NumPy, scikit\-learn).
* Strong hands\-on experience with data pipeline and transformation tools, particularly dbt; familiarity with orchestration tools (Airflow, dbt Cloud) is a plus.
* Familiarity with data warehousing platforms (Snowflake, Databricks, BigQuery) and modern analytics infrastructure.
* Demonstrated ability to leverage modern AI tools and coding agents (e.g., LLM\-based assistants, autonomous coding agents, AI\-driven data quality tools) to accelerate development and automate workflows.
* Experience designing or applying AI\-assisted solutions to financial automation problems (e.g., intelligent document processing, anomaly explanation, process orchestration).
* Strong working knowledge of machine learning techniques for forecasting, anomaly detection, classification, and fraud modeling; proven ability to apply these to financial data problems.
**Leadership \&amp; Collaboration**
* Exceptional communication skills: able to influence non\-technical stakeholders and present complex analyses to executive audiences.
* Demonstrated ability to work independently, manage ambiguity, and drive initiatives in a cross\-functional environment.
* Strong partnership orientation—comfortable embedding with business teams (Accounting, Finance, Payments) and translating their needs into data solutions.
**Preferred**
* Previous experience in FinTech, Payments, or Accounting data environments.
* Experience with financial systems (e.g., NetSuite, SAP, Stripe, Adyen).
* Familiarity with accounting processes (GAAP, revenue recognition, reconciliation).
* Experience with financial forecasting models (budgeting, P\&amp;L).
* Payments domain knowledge (transaction flows, chargebacks, fraud patterns). Deep understanding of payments systems, transaction flows, and fraud/risk patterns.
* Expertise in data visualization and BI tools (Looker, Tableau, or equivalent); strong storytelling and presentation abilities.
**Why you’ll love it here**
* Make an Impact: Be part of a mission\-driven organization making a positive difference in millions of lives every year.
* Innovative Environment: Work with a diverse, passionate, and talented team in a fast\-paced, forward\-thinking atmosphere.
* Collaborative Team: Join a fun and collaborative team that works hard and celebrates success together.
* Competitive Benefits: Enjoy competitive pay and comprehensive healthcare benefits.
* Holistic Support: Enjoy financial assistance for things like hybrid work, family planning, along with generous parental leave, flexible time\-off policies, and mental health and wellness resources to support your overall well\-being.
* Growth Opportunities: Participate in learning, development, and recognition programs to help you thrive and grow.
* Commitment to DEI: Contribute to diversity, equity, and inclusion through ongoing initiatives and employee resource groups.
* Community Engagement: Make a difference through our volunteering program.
**We live by our core values:** 
*impatient to be great* 
 ,
 *find a way* 
 ,
 *earn trust every day* 
 ,
 *fueled by purpose* 
 . Be a part of something bigger with us!
 GoFundMe is proud to be an equal opportunity employer that actively pursues candidates of diverse backgrounds and experiences. We do not discriminate on the basis of race, color, religion, ethnicity, nationality or national origin, sex, sexual orientation, gender, gender identity or expression, pregnancy status, marital status, age, medical condition, mental or physical disability, or military or veteran status.
 The total annual salary for this full\-time position is $179,500\- 269,500 \+ equity \+ benefits. The company also offers equity and other benefits to employees, including healthcare, dental, vision, life insurance and 401(k) saving program. In addition to this wage, there are geolocation differentials that will increase pay depending on the work location. Additionally pay may vary depending on other factors including skills, experience, education, or training. Your recruiter can share more about the
 **specific total compensation package** 
 based on your location during the hiring process.
 If you require a reasonable accommodation to complete a job application or a job interview or to otherwise participate in the hiring process, please contact us at accommodationrequests@gofundme.com.
**Global Data Privacy Notice For Job Candidates And Applicants**
 Depending on your location, the General Data Protection Regulation (GDPR) or certain US privacy laws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**Learn More About GoFundMe**
 We’re proud to partner with GoFundMe.org, an independent public charity, to extend the reach and impact of our generous community, while helping drive critical social change. You can learn more about GoFundMe.org’s activities and impact in their FY ‘24 annual report.
 Our annual “Year in Help” report reflects our community’s impact in advancing our mission of helping people help each other.
 For recent company news and announcements, visit our Newsroom.</t>
        </is>
      </c>
    </row>
    <row r="13">
      <c r="A13" t="inlineStr">
        <is>
          <t>li-4374935473</t>
        </is>
      </c>
      <c r="B13" t="inlineStr">
        <is>
          <t>Data Scientist | $90 Remote</t>
        </is>
      </c>
      <c r="C13" t="inlineStr">
        <is>
          <t>Jobs via Dice</t>
        </is>
      </c>
      <c r="D13" t="inlineStr">
        <is>
          <t>linkedin</t>
        </is>
      </c>
      <c r="E13" t="inlineStr"/>
      <c r="F13" t="inlineStr"/>
      <c r="G13" t="inlineStr"/>
      <c r="H13" t="inlineStr"/>
      <c r="I13" t="inlineStr">
        <is>
          <t>**Position:** 
 Data Science Expert
**Type:** 
 Hourly contract
**Compensation:** 
 $50 $90/hour
**Location:** 
 Remote
**Commitment:** 
 10 40 hours/week
**Role Responsibilities:**
* Analyze large datasets to extract insights that inform AI model design and refinement.
* Develop and apply statistical models, machine learning techniques, and evaluation frameworks.
* Conduct performance assessments and data quality reviews on AI model outputs.
* Build reusable tools for data processing, visualization, and reporting.
* Partner with research teams to test hypotheses and scale experimental workflows.
* Support data\-driven experimentation and continuous model improvement initiatives.
**Requirements:**
* Strong professional background in data science, machine learning, or related analytical fields.
* Proficiency in Python and core data science libraries (e.g., pandas, NumPy, scikit\-learn).
* Familiarity with large\-scale data environments and version\-controlled workflows.
* Strong understanding of statistical analysis, experimental design, and model validation.
* Excellent written communication skills and ability to collaborate across technical teams.
* Ability to work independently in a fully remote environment.
**Application Process (Takes 20 mins):**
* Upload resume
* Interview (15 min)
* Submit form</t>
        </is>
      </c>
    </row>
    <row r="14">
      <c r="A14" t="inlineStr">
        <is>
          <t>li-4376197966</t>
        </is>
      </c>
      <c r="B14" t="inlineStr">
        <is>
          <t>Data Scientist 2</t>
        </is>
      </c>
      <c r="C14" t="inlineStr">
        <is>
          <t>BioSpace</t>
        </is>
      </c>
      <c r="D14" t="inlineStr">
        <is>
          <t>linkedin</t>
        </is>
      </c>
      <c r="E14" t="inlineStr"/>
      <c r="F14" t="inlineStr"/>
      <c r="G14" t="inlineStr">
        <is>
          <t>Novato, CA</t>
        </is>
      </c>
      <c r="H14" t="inlineStr"/>
      <c r="I14" t="inlineStr">
        <is>
          <t>**About Technical Operations**
 BioMarin’s Technical Operations group is responsible for creating our drugs for use in clinical trials and for scaling production of those drugs for the commercial market. These engineers, technicians, scientists and support staff build and maintain BioMarin’s cutting\-edge manufacturing processes and sites, provide quality assurance and quality control to ensure we meet regulatory standards, and procure the needed goods and services to support manufacturing and coordinating the worldwide movement of our drugs to patients.
 TOPS acts as the critical link between Research \&amp; Development and Commercial Operations, integrating functions such as Technical Development, Manufacturing, Quality, Supply Chain, and Business Operations. Its teams maintain rigorous regulatory, quality, and safety standards while enabling seamless product advancement from development to market. The organization operates with a strong culture of learning, continuous improvement, and data driven decision making. Through data integration, analytics, and digital transformation initiatives, TOPS enhances process monitoring, deviation analysis, optimization, and strategic capacity planning, ensuring accurate and actionable technical data to support operational excellence.
 **Summary** 
 The Data Scientist in Technical Operations (TOPS) plays a critical role in advancing BioMarin’s end\-to\-end product lifecycle by delivering high value Data/AI Solutions across Technical Development, Manufacturing, Engineering, Quality, and Supply Chain functions. Data Scientists in TOPS contribute to owning, developing and executing the organization’s Integrated Technical Data Strategy, applying advanced analytics, machine learning, and AI to complex datasets originating from Manufacturing, Quality and Supply Chain systems. They help transform fragmented data into actionable intelligence, extract insights which are otherwise hidden, identify gaps, and drive data maturity roadmap. This role blends advanced technical skills in Data Science—covering statistics, Modelling, AI/ML—with deep domain expertise in highly regulated Biotech industry. These should be complemented by soft skills including collaboration, clear communication, presentation skills, enhanced clarity and ability to effectively translate those requirements to solutions . Data Scientists are expected to collaborate across departments, partners with Business SMEs, other Data Scientists/Analysts/Engineers and IT, and lead initiatives that promote a culture focused on decision science with an end\-goal to help TOPS streamline operations, boost data reliability, and speed up decision\-making.
 **Responsibilities**
* Identify and frame AI opportunities across Technical Development, Manufacturing, Quality, and Supply Chain; translate ambiguous problems into tractable use cases with measurable outcomes.
* Maintain TOPS Data Science Portfolio of Projects. Participate in Portfolio prioritization, planning, solution design, development, and deployment.
* Lead Projects from start to finish by closely working with stakeholders, leadership and project team. Author business case, design, development and project implementation documents.
* Advance the Integrated Technical Data Strategy by defining roadmaps, value hypotheses, and success metrics that strengthen process robustness, speed, and cost/value realization.
* Acquire and prepare multi\-source technical data (e.g., MES, LIMS, QMS, ELN, SAP, PI), ensuring quality, lineage, and context for AI development at scale.
* Engineer domain\-aware features and reusable data assets that accelerate experimentation for manufacturing, quality, and supply analytics.
* Build and validate ML/AI models for use cases such as process monitoring, anomaly/root\-cause analysis, yield and cycle\-time optimization, and intelligent document processing.
* Develop GenAI solutions (e.g., RAG for SOPs/reports, Semantic search, Q\&amp;A assistants over technical data, workflow copilots) using approved enterprise platforms.
* Operationalize models (MLOps) with reproducible pipelines by closely working with Data Engineering team—data ingestion, training, evaluation, versioning, deployment—and monitor drift, performance, and data quality for continuous improvement.
* Collaborate with IT/Engineering to ensure scalable, secure, and supportable AI services aligned to TOPS environments and platform standards.
* Drive data visualization and decision support with clear narratives and dashboards that communicate model insights to engineers, operators, quality leads, and executives.
* Champion data integrity and documentation (e.g., model cards, validation records) consistent with TOPS quality expectations and regulated biotech practices.
* Educate and enable partners through demos, playbooks, and training that raise data/AI literacy and adoption across TOPS functions.
* Quantify and report value realization (e.g., cost avoidance, OEE improvements, cycle\-time reduction, quality signal detection) and maintain a transparent backlog of AI initiatives.
* Promote “build\-first” evaluations against internal platforms before third\-party tools when requirements are met internally with better agility and cost efficiency.
* Contribute to TOPS AI standards (feature stores, evaluation frameworks, prompt/agent guidelines) and mentor peers to strengthen the data science community of practice.
* Stay current on AI advances (foundation models, time\-series, causal inference, simulation/digital twins) and assess applicability to manufacturing, quality, and supply use cases.
**Qualifications** 
 Master’s (minimum) in Data Science, Computer Science, Statistics, or related field; 5\+ years of hands\-on experience delivering Data/AI solutions in an industry setting.
* Advanced SQL and Python for data wrangling, feature engineering, modeling, and automation.
* Experience developing Python based web applications using frameworks such as Dash, Flask, Streamlit. Familiarity with HTML/CSS and TS frameworks (React) is a plus.
* Strong experience working with Databases (Postgres, SQL Server) and Data Platforms (Azure Databricks).
* Proven record of successful end\-to\-end data analysis project management: from problem and requirements definition to data validation and results presentation
* Proficiency with one or more enterprise Business Intelligence technologies (Power BI, Tableau, Spotfire)
* Solid understanding of Data modelling principles and design patterns.
* Proven experience building and operationalizing GenAI pipelines (Chunking, RAG, Vector index) on Databricks (Delta, Unity Catalog, MLflow, Jobs/Workflows, Spark, Lakeflow).
* Working knowledge of Microsoft Azure (storage, compute, identity/governance, Azure OpenAI).
* High level understanding of data engineering pipelines and data quality practices.
* Experience extracting/structuring data from unstructured sources (SOPs, reports, PDFs, ELN entries) using NLP or GenAI.
* Demonstrated experience in biotech/biopharma operations and partnering with SMEs across technical development, manufacturing, quality, or supply.
* Familiarity with Computer System Validation (CSV) documentation practices in regulated environments.
* Strong communication skills supporting collaboration across Technical Development, Manufacturing, Quality, and Supply Chain.
 Note: This description is not intended to be all\-inclusive, or a limitation of the duties of the position. It is intended to describe the general nature of the job that may include other duties as assumed or assigned.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Who We Are
 BioMarin is a global biotechnology company that relentlessly pursues bold science to translate genetic discoveries into new medicines that advance the future of human health.
 Since our founding in 1997, we have applied our scientific expertise in understanding the underlying causes of genetic conditions to create transformative medicines, using a number of treatment modalities.
 Using our unparalleled expertise in genetics and molecular biology, we develop medicines for patients with significant unmet medical need. We enlist the best of the best – people with the right technical expertise and a relentless drive to solve real problems – and create an environment that empowers our teams to pursue bold, innovative science. With this distinctive approach to drug discovery, we’ve produced a diverse pipeline of commercial, clinical and preclinical candidates that have well\-understood biology and provide an opportunity to be first\-to\-market or offer a substantial benefit over existing therapeutic options.</t>
        </is>
      </c>
    </row>
    <row r="15">
      <c r="A15" t="inlineStr">
        <is>
          <t>li-4373776074</t>
        </is>
      </c>
      <c r="B15" t="inlineStr">
        <is>
          <t>Senior Data Scientist - Artificial Intelligence</t>
        </is>
      </c>
      <c r="C15" t="inlineStr">
        <is>
          <t>IBM</t>
        </is>
      </c>
      <c r="D15" t="inlineStr">
        <is>
          <t>linkedin</t>
        </is>
      </c>
      <c r="E15" t="inlineStr"/>
      <c r="F15" t="inlineStr"/>
      <c r="G15" t="inlineStr">
        <is>
          <t>New York, United States</t>
        </is>
      </c>
      <c r="H15" t="inlineStr"/>
      <c r="I15" t="inlineStr">
        <is>
          <t>**Introduction**
 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**Your Role And Responsibilities**
 Design and develop AI/GenAI models tailored for Healthcare and Life Sciences applications.
 Analyze large datasets (structured and unstructured) to extract actionable insights.
 Collaborate with cross\-functional teams including clinicians, biostatisticians, and software engineers to integrate AI solutions into workflows.
 Develop and validate predictive models for patient outcomes, treatment optimization, and clinical decision support.
 Implement agentic AI systems that can autonomously perform tasks or provide recommendations in healthcare processes.
 Conduct experiments and performance evaluations to ensure model accuracy, fairness, and reliability.
 Stay up\-to\-date with AI/ML trends, particularly in GenAI and Healthcare applications, and propose innovative solutions.
 Document methodologies, results, and AI model pipelines for reproducibility and regulatory compliance.
 Support deployment and monitoring of AI solutions in production environments.
**This Job can be Performed from anywhere in the US.**
**Preferred Education**
 Master's Degree
**Required Technical And Professional Expertise**
 Proven experience in AI/GenAI and machine learning model development, including deep learning and agentic AI systems.
 Strong programming skills in Python, R, or similar languages, and experience with AI/ML frameworks (TensorFlow, PyTorch, scikit\-learn).
 Experience with healthcare or life sciences data, including EHR, genomic, clinical trial, or other biomedical datasets.
 Solid understanding of statistics, data analysis, and experimental design.
 Experience in data preprocessing, feature engineering, and model validation.
 Familiarity with cloud platforms (AWS, Azure, GCP) and deployment of AI solutions in production.
 Ability to collaborate with multidisciplinary teams, including clinicians, software engineers, and product managers.
 Strong problem\-solving skills and critical thinking, with the ability to translate business or clinical needs into AI solutions.
 Excellent communication skills to present findings, methodologies, and insights to both technical and non\-technical stakeholders.
**Preferred Technical And Professional Experience**
 Experience with regulatory and compliance requirements in healthcare or life sciences is a plus.</t>
        </is>
      </c>
    </row>
    <row r="16">
      <c r="A16" t="inlineStr">
        <is>
          <t>li-4373759970</t>
        </is>
      </c>
      <c r="B16" t="inlineStr">
        <is>
          <t>Senior Data Scientist I</t>
        </is>
      </c>
      <c r="C16" t="inlineStr">
        <is>
          <t>myGwork - LGBTQ+ Business Community</t>
        </is>
      </c>
      <c r="D16" t="inlineStr">
        <is>
          <t>linkedin</t>
        </is>
      </c>
      <c r="E16" t="inlineStr"/>
      <c r="F16" t="inlineStr"/>
      <c r="G16" t="inlineStr">
        <is>
          <t>Raleigh, NC</t>
        </is>
      </c>
      <c r="H16" t="inlineStr"/>
      <c r="I16" t="inlineStr">
        <is>
          <t>**This job is with LexisNexis Legal \&amp; Professional®, an inclusive employer and a member of myGwork – the largest global platform for the LGBTQ\+ business community. Please do not contact the recruiter directly.**
**About Our Team**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 a flexible, multi\-model approach that prioritizes using the best model from today's top model creators for each individual legal use case.
**About The Role**
 Do you want to help us build further data science capabilities?
 And are you eager to work on the quality of data sources serving our end\-user products?
 As a Senior Data Scientist, you will become a subject matter expert, defining projects and their execution. You will work closely with other data scientists and engineers to design, develop, and deploy cutting\-edge AI solutions. You will lead AI and machine learning model development. You'll analyze extensive datasets and guide junior team members.
**Responsibilities**
* Working closely with other data scientists and engineers to design, develop, and deploy AI solutions.
* Leading the development of advanced AI and machine learning models to solve complex business problems.
* Analyzing large datasets to identify patterns and trends that can inform AI development.
* Collaborating with cross\-functional teams to ensure AI solutions are aligned with business goals and customer needs.
* Evaluating and creating new frameworks and defining methodologies and governance.
* Mentoring junior data scientists and provide guidance on AI and machine learning best practices.
* Working with product leaders to apply data science solutions.
* Leading small\- to medium\-sized teams (direct or indirect).
**Requirements**
* Masters plus 2\-3 years of post\-degree experience OR PhD with 1 or more year of commercial experience or related project/coursework within academia
* Possess an advanced or Master's education in Computer Science, Mathematics, Statistics, or a related field.
* Have experience working directly with large language models and transformer\-based architectures including BERT, RoBERTa, T5 etc.
* Be proficient in working with big data technologies and tools like Hadoop, Spark, or AWS.
* Have experience and knowledge of applying LLMs including ChatGPT, GPT 3\.5, Claude, Mistral, etc.
* Be a natural problem solver, able to lead and mentor junior data scientists, and collaborate with cross\-functional teams.
* Demonstrate proficient experience with machine learning algorithms, including deep learning, gradient boosting, and random forests.
* Possess advanced programming skills in Python, R, or other relevant languages for data analysis.
 U.S. National Base Pay Range: $95,300 \- $158,800\.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
 ]]\&gt;</t>
        </is>
      </c>
    </row>
    <row r="17">
      <c r="A17" t="inlineStr">
        <is>
          <t>li-4376312649</t>
        </is>
      </c>
      <c r="B17" t="inlineStr">
        <is>
          <t>Sr. Data Scientist, HSV, AL (Contingent upon Award)</t>
        </is>
      </c>
      <c r="C17" t="inlineStr">
        <is>
          <t>Davidson Technologies</t>
        </is>
      </c>
      <c r="D17" t="inlineStr">
        <is>
          <t>linkedin</t>
        </is>
      </c>
      <c r="E17" t="inlineStr"/>
      <c r="F17" t="inlineStr"/>
      <c r="G17" t="inlineStr">
        <is>
          <t>Huntsville, AL</t>
        </is>
      </c>
      <c r="H17" t="inlineStr"/>
      <c r="I17" t="inlineStr">
        <is>
          <t>What sets Davidson apart?
* 100% paid medical benefits \- Prioritizing your health and well\-being.
* Competitive 401(k) with company match \- Investing in your future.
* Tuition reimbursement \- Supporting your professional growth.
**Nominated for
 *The Best Place to Work* 
 ,
 *The Best Workplace for Millennials* 
 and voted
 *The Best Place for Working Parents!***
 Davidson is distinguished in the aerospace and missile defense industry, in part, because of its excellence in hiring exceptional experts, engineers and software developers dedicated to delivering advanced, intelligent technology solutions in defense of our nation.
 Davidson is seeking a Senior Data Scientist in Huntsville, Alabama to design, build, and deploy ML systems to control and optimize VLF transmissions. Using your experience with applied ML, real\-time systems, and physical domain modeling, you will work closely with RF engineers, software engineers, and end customers to develop an intelligent Al/ML stack that monitors environmental conditions, predicts signal propagation impacts, and supports dynamic adjustments of transmission parameters to maintain signal stability and performance. You will take models from concept through production deployment (MLOps) and ensure they operate reliably in mission\-critical environments.
**Job Responsibilities:** 
* Develop ML models to leverage weather and environmental data feeds for disaster event prediction
* Build predictive models to improve preventative maintenance capabilities
* Help to integrate models into decisions systems that optimize transmission system operations and performance
* Translate model outputs into actionable, explainable recommendations
* Collaborate with engineering team (RF, Systems, Software) to deploy models into real\-time production systems
* End\-to\-end ML lifecycle management using MLOps best practices
* Communicate complex technical concepts clearly to engineers and customers
* Contribute to system architecture decisions for scalable/reliable Al/ML solutions
**Job Requirements**
* Bachelor's degree or higher in Data Science, Computer Science, Engineering, Physics or related field
* 8\+ years of experience in applied data science or machine learning roles
* Strong foundation in machine learning and statistical modeling
* Demonstrable experience translating stakeholder requirements into technical ML strategies that deliver tangible customer value
* Hands\-on experience deploying ML models into production environments
* Practical experience with MLOps (model pipelines, monitoring, reproducibility)
* Must be a U.S. citizen
**Preferred Qualifications**
* Familiarity with RF systems, signal propagation, or electromagnetic modeling
* Familiarity with surrogate modeling of physics\-based systems, such as weather
* Familiarity with predictive maintenance (CBM\+)
* Experience integrating ML into real\-time systems
**Clearance**
* Currently holds an Active Secret Clearance or is able to obtain a Secret Clearance
***Job Posted by ApplicantPro***</t>
        </is>
      </c>
    </row>
    <row r="18">
      <c r="A18" t="inlineStr">
        <is>
          <t>li-4345170633</t>
        </is>
      </c>
      <c r="B18" t="inlineStr">
        <is>
          <t>Applied Scientist II / Senior Applied Scientist - Responsible AI (CoreAI)</t>
        </is>
      </c>
      <c r="C18" t="inlineStr">
        <is>
          <t>Microsoft</t>
        </is>
      </c>
      <c r="D18" t="inlineStr">
        <is>
          <t>linkedin</t>
        </is>
      </c>
      <c r="E18" t="inlineStr"/>
      <c r="F18" t="inlineStr"/>
      <c r="G18" t="inlineStr">
        <is>
          <t>Redmond, WA</t>
        </is>
      </c>
      <c r="H18" t="inlineStr"/>
      <c r="I18" t="inlineStr">
        <is>
          <t>**Overview**
 The CoreAI Platform and Tools organization is building transformative experiences that leverage the latest AI technology while upholding Microsoft’s commitment to ethical and responsible standards for Artificial Intelligence. The Responsible AI (RAI) service components you build will be accessed by hundreds of millions of consumers across the globe and will touch all facets of Artificial Intelligence. The Responsible AI team within this division is looking for an experienced Applied Scientist II and a Senior Applied Scientist with a proven track record to help tackle the challenges of enabling customers to leverage the latest advancements in AI responsibly.
**Responsibilities**
* Conduct supervised fine\-tuning of LLMs, applying Reinforcement Learning from Human Feedback in the process, and conducting thorough evaluation of those.
* Work with tech lead on the design and implementation of Agent adversarial evaluations and safety mitigations, enabling agent creators to identify potential risks and apply appropriate safeguards to ensure the safety and security of Agents.
* You will collaborate closely with the Responsible AI engineering team to deliver these mitigations at scale for Responsible AI customers, refine existing implementations based on operational performance, and troubleshoot and resolve end\-to\-end issues.
**Qualifications**
**Required Qualifications:**
* Bachelor's Degree in Computer Science, Computational Linguistics, or related field AND 2\+ years related experience (e.g., statistics, predictive analytics, research)
* OR Master's Degree in Computer Science, Computational Linguistics, or related field AND 1\+ year(s) related experience (e.g., statistics, predictive analytics, research)
* OR Doctorate in Computer Science, Computational Linguistics,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Computational Linguistics, related field AND 6\+ years related experience (e.g., statistics, predictive analytics, research) OR Doctorate in Computer Science, Computational Linguistics, or related field AND 3\+ years related experience (e.g., statistics, predictive analytics, research) OR equivalent experience.
* 2\+ years of science experience owning feature design, model development, evaluation and deployment.
* 3\+ years of science experience owning feature design, model development, evaluation and deployment. Full stack (client\-to\-service) development experience is a plus.
* Rich experience in machine learning, particularly in NLP and deep learning.
* Experience with language model training and evaluation is a big plus.
* Experience with research in Responsible AI is a big plus.
* Proficiency in programming languages such as Python, C\#, and familiarity with machine learning frameworks including PyTorch and Triton.
* Experience with data processing and handling large datasets.
* Experience in engineering methodologies: Unit testing, Test Driven Development, DevOps, and a firm commitment to quality.
* Solid platform/API design, debugging and data analysis skills.
* Ability to work collaboratively in a team and communicate complex concepts effectively.
 \#coreai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li-4334726858</t>
        </is>
      </c>
      <c r="B19" t="inlineStr">
        <is>
          <t>Senior Data Scientist - (Open to Remote)</t>
        </is>
      </c>
      <c r="C19" t="inlineStr">
        <is>
          <t>Reinsurance Group of America, Incorporated</t>
        </is>
      </c>
      <c r="D19" t="inlineStr">
        <is>
          <t>linkedin</t>
        </is>
      </c>
      <c r="E19" t="inlineStr"/>
      <c r="F19" t="inlineStr"/>
      <c r="G19" t="inlineStr">
        <is>
          <t>Chesterfield, MO</t>
        </is>
      </c>
      <c r="H19" t="inlineStr"/>
      <c r="I19" t="inlineStr">
        <is>
          <t>You desire impactful work.
**You’re** 
**RGA ready**
 RGA is a purpose\-driven organization working to solve today’s challenges through innovation and collaboration. A Fortune 200 Company and listed among its
 *World’s Most Admired Companies* 
 , we’re the only global reinsurance company to focus primarily on life\- and health\-related solutions. Join our multinational team of intelligent, motivated, and collaborative people, and help us make financial protection accessible to all.
**Overview**
 The
 **Senior Data Scientist** 
 is a strong contributor to the Biometric Assumptions Team, which provides analytical expertise for the global development of data\-driven solutions in
 **longevity product development and pricing** 
 . This role involves combining technical skills and predictive modelling to contribute to innovative model solutions and collaborates on project\-teams consisting of data scientists, actuaries, IT, and business developers. The Senior Data Scientist will focus on internal mortality assumption development for longevity markets by leveraging new and existing data sources through exploratory analysis, insights, model maintenance, and model R\&amp;D.
**Location** 
 Ideally located in a hybrid work\-arrangement in one of RGA's offices \- St. Louis, USA or Toronto/Montreal offices, Canada or London, UK or in a fully remote work\-arrangement.
**Responsibilities**
* Lead, design, create, and interpret end\-to\-end models with a typical focus on mortality within longevity markets.
* Support Pricing team with insights from large datasets and support efforts to adopt robust bespoke assumptions in quotes.
* Evaluate new external data sources and explore new applications of non\-traditional data sources for RGA in its various regions.
* Participate in the development and enhancement of underlying processes and recommends improvements in data analysis /modeling best practice standards
* Communicate with a variety of stakeholders at various levels of seniority
* Offer risk management skills to any data processing or modeling exercise
* Understand business context \&amp; where material scope for error lies
* Adhere to professional standards, best practices, and ethical guidelines
* Understand the strengths and limitations of a modeling approach
* Have a strong understanding on tools / techniques their actuarial peers will not have had a formal education in such as
* Understand applications, risks, transparency, quality assurance \&amp; peer review, and ethical guidelines
* Stay abreast of new techniques, but focusing on practical applications
* Liaise with RGA's data scientists across the globe about more sophisticated data science applications
* Contribute to RGA's global analytics community, routinely sharing, maintaining consistency of approach
**Requirements**
* Bachelor's degree in Math, Finance, Economics, Statistics, Actuarial Science, Computer Science or related field
* 6\+ years of experience developing statistical models (Regression, Decision Trees, Time Series, etc.)
* Statistical programs/languages (R or Python)
* Spreadsheet skills (Excel/VBA) and database applications (SQL, Snowflake, Oracle,...)
* Advanced predictive modeling skills Tree\-based models, GLMs, GAMs, etc.; Cross\-Validation, Residuals and model diagnostics; Basic Statistical concepts for feature engineering (e.g. percentiles, standardization, correlations, risk ratios / chi\-square test, splines, and other non\-linear transformations)
* Advanced exploratory data analysis skills \- Plots and graphics (BI/ggplot)
* Ability to compile, analyze, refine, model and interpret very large data sets as well as the ability to incorporate expert judgment into statistical modeling techniques
* Transform data to enhance its predictive value (feature engineering)
* Advanced ability to translate business needs and problems into viable/accepted solutions
* Advanced investigative, analytical, and problem\-solving skills
**Preferred**
* Experience with longevity product design / pricing / experience studies / assumption development
* Re/insurance industry experience
* Master’s degree or PhD in Statistics, Actuarial Science, Economics, or related field
* Actuarial designation (ASA/FSA; AIA/FIA)
* 4 or more years of experience with statistical modeling for insurance
* Familiar with actuarial modeling platforms (AXIS, Prophet, Exp Studies etc.)
* Basic data engineering capabilities (Python, Scala)
* Basic machine learning models/concepts (SVM’s, GAN’s, Neural Networks/Deep Learning, Naive Bayes, NLP) and/or basic statistical concepts for feature engineering for dimensionality reduction such as PCA’s, SVD’s, and clustering
* Proactive use of insurance expertise \&amp; actuarial concepts to feature engineering and model evaluation
 LI\-DL1
**What you can expect from RGA**
* Gain valuable knowledge from and experience with diverse, caring colleagues around the world.
* Enjoy a respectful, welcoming environment that fosters individuality and encourages pioneering thought.
* Join the bright and creative minds of RGA, and experience vast, endless career potential.
 We’re excited to get to know you and connect your unique skills with our global opportunities. To create a modern and seamless experience, we use artificial intelligence (AI) in parts of our preliminary screening process. This technology helps us personalize job recommendations, automate interview scheduling, evaluate candidates based solely on experience—without considering name, gender, or other personal details—and provide real\-time answers through our chatbot. AI is used only during early screening and never makes hiring decisions. Your RGA recruiter will work closely with you every step of the way to ensure the process feels personal, thoughtful, and focused on you.
**Compensation Range**
 $123,500\.00 \- $184,050\.00 Annual
 Base pay varies depending on job\-related knowledge, skills, experience and market location. In addition, RGA provides an annual bonus plan that includes all roles and some positions are eligible for participation in our long\-term equity incentive plan. RGA also maintains a full range of health, retirement, and other employee benefits.
 RGA is an equal opportunity employer. Qualified applicants will be considered without regard to race, color, age, gender identity or expression, sex, disability, veteran status, religion, national origin, or any other characteristic protected by applicable equal employment opportunity laws.</t>
        </is>
      </c>
    </row>
    <row r="20">
      <c r="A20" t="inlineStr">
        <is>
          <t>li-4332580311</t>
        </is>
      </c>
      <c r="B20" t="inlineStr">
        <is>
          <t>AI &amp; GenAI Data Scientist-Senior Associate</t>
        </is>
      </c>
      <c r="C20" t="inlineStr">
        <is>
          <t>PwC</t>
        </is>
      </c>
      <c r="D20" t="inlineStr">
        <is>
          <t>linkedin</t>
        </is>
      </c>
      <c r="E20" t="inlineStr"/>
      <c r="F20" t="inlineStr"/>
      <c r="G20" t="inlineStr">
        <is>
          <t>Boston, MA</t>
        </is>
      </c>
      <c r="H20" t="inlineStr"/>
      <c r="I20"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1">
      <c r="A21" t="inlineStr">
        <is>
          <t>li-4331975530</t>
        </is>
      </c>
      <c r="B21" t="inlineStr">
        <is>
          <t>AI &amp; GenAI Data Scientist-Senior Associate</t>
        </is>
      </c>
      <c r="C21" t="inlineStr">
        <is>
          <t>PwC</t>
        </is>
      </c>
      <c r="D21" t="inlineStr">
        <is>
          <t>linkedin</t>
        </is>
      </c>
      <c r="E21" t="inlineStr"/>
      <c r="F21" t="inlineStr"/>
      <c r="G21" t="inlineStr">
        <is>
          <t>Denver, CO</t>
        </is>
      </c>
      <c r="H21" t="inlineStr"/>
      <c r="I21"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2">
      <c r="A22" t="inlineStr">
        <is>
          <t>li-4332223686</t>
        </is>
      </c>
      <c r="B22" t="inlineStr">
        <is>
          <t>AI &amp; GenAI Data Scientist-Senior Associate</t>
        </is>
      </c>
      <c r="C22" t="inlineStr">
        <is>
          <t>PwC</t>
        </is>
      </c>
      <c r="D22" t="inlineStr">
        <is>
          <t>linkedin</t>
        </is>
      </c>
      <c r="E22" t="inlineStr"/>
      <c r="F22" t="inlineStr"/>
      <c r="G22" t="inlineStr">
        <is>
          <t>San Diego, CA</t>
        </is>
      </c>
      <c r="H22" t="inlineStr"/>
      <c r="I22"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3">
      <c r="A23" t="inlineStr">
        <is>
          <t>li-4331575633</t>
        </is>
      </c>
      <c r="B23" t="inlineStr">
        <is>
          <t>AI &amp; GenAI Data Scientist-Senior Associate</t>
        </is>
      </c>
      <c r="C23" t="inlineStr">
        <is>
          <t>PwC</t>
        </is>
      </c>
      <c r="D23" t="inlineStr">
        <is>
          <t>linkedin</t>
        </is>
      </c>
      <c r="E23" t="inlineStr"/>
      <c r="F23" t="inlineStr"/>
      <c r="G23" t="inlineStr">
        <is>
          <t>Austin, TX</t>
        </is>
      </c>
      <c r="H23" t="inlineStr"/>
      <c r="I23"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4">
      <c r="A24" t="inlineStr">
        <is>
          <t>li-4376326174</t>
        </is>
      </c>
      <c r="B24" t="inlineStr">
        <is>
          <t>CPE SETA_Data Scientist I</t>
        </is>
      </c>
      <c r="C24" t="inlineStr">
        <is>
          <t>People, Technology &amp; Processes, LLC</t>
        </is>
      </c>
      <c r="D24" t="inlineStr">
        <is>
          <t>linkedin</t>
        </is>
      </c>
      <c r="E24" t="inlineStr"/>
      <c r="F24" t="inlineStr"/>
      <c r="G24" t="inlineStr">
        <is>
          <t>Aberdeen Proving Ground, MD</t>
        </is>
      </c>
      <c r="H24" t="inlineStr"/>
      <c r="I24" t="inlineStr">
        <is>
          <t>**Description**
**Title:** 
 Data Scientist I
**Clearance Type:** 
 Secret
**Scope:** 
 Provide Power BI development expertise and services
**Responsibilities (including But Not Limited To)**
* Background with BI tools and systems such as Power BI, Tableau, and SAP.
* Design, develop, and deploy interactive dashboards and reports using Microsoft Power BI, optimizing for performance and scalability to provide actionable insights for stakeholders.
* Connect Power BI to diverse data sources (SQL databases, SharePoint, Excel, MS365 tools) and develop/maintain ETL processes to ensure data accuracy, consistency, and integrity.
* Work closely with business units to gather requirements, translate them into technical solutions, and provide training/support to end\-users on Power BI tools and best practices.
* Leverage MS365 tools (SharePoint, Teams, OneDrive, Power Automate) to enhance Power BI functionality, streamline data processes, and create a unified data ecosystem.
* Perform data analysis to identify trends, patterns, and opportunities for improvement, developing predictive/prescriptive analytics models to support strategic decision\-making and providing regular updates to leadership.
* Create and maintain comprehensive documentation for Power BI solutions, establish and enforce best practices (naming conventions, version control, data governance), and stay current with the latest Power BI and MS365 advancements.
* Using Power BI, create dashboards and interactive visual reports.
* Define key performance indicators (KPIs) with specific objectives and track them regularly.
* Analyze data and display it in reports to aid decision\-making.
* Convert business needs into technical specifications and establish a timetable for job completion.
* Create, test, and deploy Power BI scripts, as well as execute efficient deep analysis.
* Use Power BI to run queries and functions.
* Create charts and data documentation with explanations of algorithms, parameters, models, and relationships.
* Construct a data warehouse.
* Make technological adjustments to current BI systems to improve their performance.
* For a better understanding of the data, use filters and visualizations.
* Prior experience in data\-related tasks.
* Understanding of the Microsoft BI Stack.
* Analytical thinking for converting data into relevant reports and graphics.
* Capable of enabling row\-level data security.
* Knowledge of Power BI application security layer models.
* Proficient in doing advanced\-level computations on the data set.
* Excellent communication skills.
**Qualifications**
**Required Qualifications** 
**:**
* Bachelor’s Degree with an emphasis on Data Analytics or Statistics.
* Minimum of five (5\) years of related work experience.</t>
        </is>
      </c>
    </row>
    <row r="25">
      <c r="A25" t="inlineStr">
        <is>
          <t>li-4332530309</t>
        </is>
      </c>
      <c r="B25" t="inlineStr">
        <is>
          <t>AI &amp; GenAI Data Scientist-Senior Associate</t>
        </is>
      </c>
      <c r="C25" t="inlineStr">
        <is>
          <t>PwC</t>
        </is>
      </c>
      <c r="D25" t="inlineStr">
        <is>
          <t>linkedin</t>
        </is>
      </c>
      <c r="E25" t="inlineStr"/>
      <c r="F25" t="inlineStr"/>
      <c r="G25" t="inlineStr">
        <is>
          <t>Houston, TX</t>
        </is>
      </c>
      <c r="H25" t="inlineStr"/>
      <c r="I25"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6">
      <c r="A26" t="inlineStr">
        <is>
          <t>li-4332570308</t>
        </is>
      </c>
      <c r="B26" t="inlineStr">
        <is>
          <t>AI &amp; GenAI Data Scientist-Senior Associate</t>
        </is>
      </c>
      <c r="C26" t="inlineStr">
        <is>
          <t>PwC</t>
        </is>
      </c>
      <c r="D26" t="inlineStr">
        <is>
          <t>linkedin</t>
        </is>
      </c>
      <c r="E26" t="inlineStr"/>
      <c r="F26" t="inlineStr"/>
      <c r="G26" t="inlineStr">
        <is>
          <t>Seattle, WA</t>
        </is>
      </c>
      <c r="H26" t="inlineStr"/>
      <c r="I26"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
      <c r="A27" t="inlineStr">
        <is>
          <t>li-4331575635</t>
        </is>
      </c>
      <c r="B27" t="inlineStr">
        <is>
          <t>AI &amp; GenAI Data Scientist-Senior Associate</t>
        </is>
      </c>
      <c r="C27" t="inlineStr">
        <is>
          <t>PwC</t>
        </is>
      </c>
      <c r="D27" t="inlineStr">
        <is>
          <t>linkedin</t>
        </is>
      </c>
      <c r="E27" t="inlineStr"/>
      <c r="F27" t="inlineStr"/>
      <c r="G27" t="inlineStr">
        <is>
          <t>Irvine, CA</t>
        </is>
      </c>
      <c r="H27" t="inlineStr"/>
      <c r="I27"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8">
      <c r="A28" t="inlineStr">
        <is>
          <t>li-4332570309</t>
        </is>
      </c>
      <c r="B28" t="inlineStr">
        <is>
          <t>AI &amp; GenAI Data Scientist-Senior Associate</t>
        </is>
      </c>
      <c r="C28" t="inlineStr">
        <is>
          <t>PwC</t>
        </is>
      </c>
      <c r="D28" t="inlineStr">
        <is>
          <t>linkedin</t>
        </is>
      </c>
      <c r="E28" t="inlineStr"/>
      <c r="F28" t="inlineStr"/>
      <c r="G28" t="inlineStr">
        <is>
          <t>Tampa, FL</t>
        </is>
      </c>
      <c r="H28" t="inlineStr"/>
      <c r="I2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9">
      <c r="A29" t="inlineStr">
        <is>
          <t>li-4337990228</t>
        </is>
      </c>
      <c r="B29" t="inlineStr">
        <is>
          <t>Sr. Manager, Data Scientist, Marketing Analytics</t>
        </is>
      </c>
      <c r="C29" t="inlineStr">
        <is>
          <t>Terminix</t>
        </is>
      </c>
      <c r="D29" t="inlineStr">
        <is>
          <t>linkedin</t>
        </is>
      </c>
      <c r="E29" t="inlineStr"/>
      <c r="F29" t="inlineStr"/>
      <c r="G29" t="inlineStr">
        <is>
          <t>Tennessee, United States</t>
        </is>
      </c>
      <c r="H29" t="inlineStr"/>
      <c r="I29" t="inlineStr">
        <is>
          <t>**Benefits Start Day 1 for Full\-Time Colleagues \- No Waiting Period!**
*For more information about our benefits, see below!*
 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
**Overview**
 We are seeking an experienced and highly motivated Sr. Manager, Data Scientist to lead a team of talented data scientists focused on advancing our marketing analytics capabilities. This role will be instrumental in translating complex marketing challenges into data\-driven solutions, driving insights that optimize campaign performance, enhance customer understanding, and maximize ROI. The ideal candidate will possess a strong blend of technical expertise in data science, proven leadership abilities, and a deep understanding of marketing strategies and analytics.
****Duties \&amp; Responsibilities****
* Team Leadership \&amp; Management
+ Lead, mentor, and develop a team of 2\-3 data scientists, fostering a collaborative and high\-performing environment.
+ Set clear goals, provide regular feedback, and conduct performance reviews for team members.
+ Support the professional growth of team members through training, conferences, and challenging assignments.
+ Collaborate with cross\-functional teams to identify opportunities for leveraging data science to create business value.
+ Manage competing priorities across multiple projects while ensuring adherence to timelines, budgets, and quality standards.
+ Oversee the end\-to\-end lifecycle of data science projects, from ideation and prototyping to production and monitoring.
+ Conduct rigorous reviews of statistical and optimization models to ensure they meet business needs, technical standards, and ethical guidelines.
+ Executive Presence including excellent communication and presentation skills, written and verbal and ability to communicate at all levels within large organizations.
* Technical Execution \&amp; Innovation
+ Apply a strong understanding of statistical modeling, machine learning algorithms, and experimental design.
+ Oversee the end\-to\-end data science lifecycle, including data collection, cleaning, feature engineering, model development, validation, deployment, and monitoring.
+ Ensure the integrity and accuracy of data used for analysis and modeling.
+ Contribute to the development of scalable data pipelines and analytical infrastructure in collaboration with data engineering teams.
+ Hands\-on experience deploying models from development through production in a modern data science stack
+ Champion the use of cutting\-edge data science techniques to solve challenging marketing problems.
* Strategic Marketing Analytics \&amp; Insights
+ Partner closely with marketing leadership and stakeholders to understand business objectives and identify opportunities for data science to drive impact.
+ Define and execute the roadmap for marketing analytics initiatives, aligning with overall business strategy.
+ Lead the design, development, and implementation of advanced analytical models (e.g., attribution modeling, customer lifetime value (CLTV),, segmentation, propensity modeling, personalization algorithms, media mix modeling (MMM)).
+ Develop and implement A/B and multivariate testing frameworks and methodologies to measure the impact of marketing initiatives.
+ Stay abreast of industry trends and emerging technologies in data science and marketing analytics.
* Cross\-Functional Collaboration \&amp; Communication
+ Collaborate effectively with cross\-functional teams including Marketing, Product, Sales, IT, and Data Engineering.
+ Translate complex analytical findings into clear, actionable insights and recommendations for marketing teams and senior leadership.
+ Act as a subject matter expert in data science and marketing analytics within the organization.
****Education****
* Master’s or PhD in Data Science, Operations Research, Applied Mathematics, Computer Science, or a related field.
**Experience**
* 10\+ years of progressive experience in data science, with at least 2\-3 years in a leadership or management role, leading a team of data scientists.
* Extensive experience with ML predictive analytics, optimization algorithms, and large\-scale data processing frameworks.
* Significant experience working in cross\-functional teams and influencing stakeholders at all levels of the organization.
* Demonstrable experience with many of the following: Demand Forecasting, Segmentation, Testing, Predictive Customer Response, Price Optimization, Marketing Mix Modeling, Customer Journey Analytics, Next Best Product/Offer, Customer Elasticity (Market Response Modeling),
****Skills \&amp; Competencies****
* Expert proficiency in Python (NumPy, pandas, scikit\-learn, TensorFlow/PyTorch) and/or R.
* Strong SQL skills for data extraction and manipulation.
* Experience with big data technologies (e.g., Spark, Hadoop) and cloud platforms (AWS, GCP, Azure).
* Solid understanding of statistical inference, experimental design, and causal analysis.
* Proven ability to build, deploy, and monitor machine learning models in production environments.
* Excellent communication, presentation, and interpersonal skills, with the ability to influence stakeholders at all levels.
* Strong problem\-solving abilities and a strategic mindset.
**No sponsorship or OPT available**
**Base Pay Range $135,700 \- $176,400 / year**
**While starting pay falls within the given range, it can vary based on factors like geographic location, skills, education, and experience. Total earnings may also be affected by overtime, incentives, commissions, performance, and route assignment (where applicable).**
**Why Choose Us?**
 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
 Below you'll find information about some of what we have to offer. All Full\-Time Colleagues qualify for the following and Part\-Time Colleagues qualify for most benefits after they meet certain criteria.
 Click here to read more about our Total Rewards Program which includes:
**Professional and Personal Growth**
* Multiple avenues to grow your career
* Training and development programs available
* Tuition Reimbursement benefits (for FT Colleagues)
**Health and Wellness**
* Full\-time colleagues are eligible to begin enrollment immediately upon hire with benefits starting on day 1
* Health benefits including Medical, Dental, Vision, Disability, and Life Insurance plus much more
**Savings and Retirement**
* 401(k) retirement plan with company\-matching contributions
**Work\-Life Balance**
* Vacation days \&amp; sick days
* Company\-paid holidays \&amp; floating holidays
* A company mindset that prioritizes health, safety, and flexibility
 We are looking for individuals who want to make a difference where our customers live and work.  Is that you?
 This company is a Drug Free workplace.
 Rentokil is committed to complying with all Federal, State, and local laws related to the employment of qualified individuals with disabilities.
 California residents click here to review your privacy rights.
 It is unlawful in Massachusetts to require or administer a lie detector test as a condition of employment or continued employment. An employer who violates this law shall be subject to criminal penalties and civil liability.
 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t>
        </is>
      </c>
    </row>
    <row r="30">
      <c r="A30" t="inlineStr">
        <is>
          <t>li-4331965564</t>
        </is>
      </c>
      <c r="B30" t="inlineStr">
        <is>
          <t>AI &amp; GenAI Data Scientist-Senior Associate</t>
        </is>
      </c>
      <c r="C30" t="inlineStr">
        <is>
          <t>PwC</t>
        </is>
      </c>
      <c r="D30" t="inlineStr">
        <is>
          <t>linkedin</t>
        </is>
      </c>
      <c r="E30" t="inlineStr"/>
      <c r="F30" t="inlineStr"/>
      <c r="G30" t="inlineStr">
        <is>
          <t>Columbus, OH</t>
        </is>
      </c>
      <c r="H30" t="inlineStr"/>
      <c r="I30"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
      <c r="A31" t="inlineStr">
        <is>
          <t>li-4351810318</t>
        </is>
      </c>
      <c r="B31" t="inlineStr">
        <is>
          <t>AI &amp; GenAI Data Scientist-Senior Associate</t>
        </is>
      </c>
      <c r="C31" t="inlineStr">
        <is>
          <t>PwC</t>
        </is>
      </c>
      <c r="D31" t="inlineStr">
        <is>
          <t>linkedin</t>
        </is>
      </c>
      <c r="E31" t="inlineStr"/>
      <c r="F31" t="inlineStr"/>
      <c r="G31" t="inlineStr">
        <is>
          <t>Kansas City, MO</t>
        </is>
      </c>
      <c r="H31" t="inlineStr"/>
      <c r="I31"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2">
      <c r="A32" t="inlineStr">
        <is>
          <t>li-4351860288</t>
        </is>
      </c>
      <c r="B32" t="inlineStr">
        <is>
          <t>AI &amp; GenAI Data Scientist-Senior Associate</t>
        </is>
      </c>
      <c r="C32" t="inlineStr">
        <is>
          <t>PwC</t>
        </is>
      </c>
      <c r="D32" t="inlineStr">
        <is>
          <t>linkedin</t>
        </is>
      </c>
      <c r="E32" t="inlineStr"/>
      <c r="F32" t="inlineStr"/>
      <c r="G32" t="inlineStr">
        <is>
          <t>Cleveland, OH</t>
        </is>
      </c>
      <c r="H32" t="inlineStr"/>
      <c r="I32"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3">
      <c r="A33" t="inlineStr">
        <is>
          <t>li-4332273344</t>
        </is>
      </c>
      <c r="B33" t="inlineStr">
        <is>
          <t>AI &amp; GenAI Data Scientist-Senior Associate</t>
        </is>
      </c>
      <c r="C33" t="inlineStr">
        <is>
          <t>PwC</t>
        </is>
      </c>
      <c r="D33" t="inlineStr">
        <is>
          <t>linkedin</t>
        </is>
      </c>
      <c r="E33" t="inlineStr"/>
      <c r="F33" t="inlineStr"/>
      <c r="G33" t="inlineStr">
        <is>
          <t>Cincinnati, OH</t>
        </is>
      </c>
      <c r="H33" t="inlineStr"/>
      <c r="I33"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4">
      <c r="A34" t="inlineStr">
        <is>
          <t>li-4331286017</t>
        </is>
      </c>
      <c r="B34" t="inlineStr">
        <is>
          <t>AI &amp; GenAI Data Scientist-Senior Associate</t>
        </is>
      </c>
      <c r="C34" t="inlineStr">
        <is>
          <t>PwC</t>
        </is>
      </c>
      <c r="D34" t="inlineStr">
        <is>
          <t>linkedin</t>
        </is>
      </c>
      <c r="E34" t="inlineStr"/>
      <c r="F34" t="inlineStr"/>
      <c r="G34" t="inlineStr">
        <is>
          <t>Salt Lake City, UT</t>
        </is>
      </c>
      <c r="H34" t="inlineStr"/>
      <c r="I34"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5">
      <c r="A35" t="inlineStr">
        <is>
          <t>li-4331945862</t>
        </is>
      </c>
      <c r="B35" t="inlineStr">
        <is>
          <t>AI &amp; GenAI Data Scientist-Senior Associate</t>
        </is>
      </c>
      <c r="C35" t="inlineStr">
        <is>
          <t>PwC</t>
        </is>
      </c>
      <c r="D35" t="inlineStr">
        <is>
          <t>linkedin</t>
        </is>
      </c>
      <c r="E35" t="inlineStr"/>
      <c r="F35" t="inlineStr"/>
      <c r="G35" t="inlineStr">
        <is>
          <t>Columbia, SC</t>
        </is>
      </c>
      <c r="H35" t="inlineStr"/>
      <c r="I35"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6">
      <c r="A36" t="inlineStr">
        <is>
          <t>li-4331505798</t>
        </is>
      </c>
      <c r="B36" t="inlineStr">
        <is>
          <t>AI &amp; GenAI Data Scientist-Senior Associate</t>
        </is>
      </c>
      <c r="C36" t="inlineStr">
        <is>
          <t>PwC</t>
        </is>
      </c>
      <c r="D36" t="inlineStr">
        <is>
          <t>linkedin</t>
        </is>
      </c>
      <c r="E36" t="inlineStr"/>
      <c r="F36" t="inlineStr"/>
      <c r="G36" t="inlineStr">
        <is>
          <t>Tulsa, OK</t>
        </is>
      </c>
      <c r="H36" t="inlineStr"/>
      <c r="I36"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7">
      <c r="A37" t="inlineStr">
        <is>
          <t>li-4332214914</t>
        </is>
      </c>
      <c r="B37" t="inlineStr">
        <is>
          <t>AI &amp; GenAI Data Scientist-Senior Associate</t>
        </is>
      </c>
      <c r="C37" t="inlineStr">
        <is>
          <t>PwC</t>
        </is>
      </c>
      <c r="D37" t="inlineStr">
        <is>
          <t>linkedin</t>
        </is>
      </c>
      <c r="E37" t="inlineStr"/>
      <c r="F37" t="inlineStr"/>
      <c r="G37" t="inlineStr">
        <is>
          <t>Spartanburg, SC</t>
        </is>
      </c>
      <c r="H37" t="inlineStr"/>
      <c r="I37"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8">
      <c r="A38" t="inlineStr">
        <is>
          <t>li-4332214915</t>
        </is>
      </c>
      <c r="B38" t="inlineStr">
        <is>
          <t>AI &amp; GenAI Data Scientist-Senior Associate</t>
        </is>
      </c>
      <c r="C38" t="inlineStr">
        <is>
          <t>PwC</t>
        </is>
      </c>
      <c r="D38" t="inlineStr">
        <is>
          <t>linkedin</t>
        </is>
      </c>
      <c r="E38" t="inlineStr"/>
      <c r="F38" t="inlineStr"/>
      <c r="G38" t="inlineStr">
        <is>
          <t>Oklahoma City, OK</t>
        </is>
      </c>
      <c r="H38" t="inlineStr"/>
      <c r="I3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9">
      <c r="A39" t="inlineStr">
        <is>
          <t>li-4331555679</t>
        </is>
      </c>
      <c r="B39" t="inlineStr">
        <is>
          <t>AI &amp; GenAI Data Scientist-Senior Associate</t>
        </is>
      </c>
      <c r="C39" t="inlineStr">
        <is>
          <t>PwC</t>
        </is>
      </c>
      <c r="D39" t="inlineStr">
        <is>
          <t>linkedin</t>
        </is>
      </c>
      <c r="E39" t="inlineStr"/>
      <c r="F39" t="inlineStr"/>
      <c r="G39" t="inlineStr">
        <is>
          <t>New Orleans, LA</t>
        </is>
      </c>
      <c r="H39" t="inlineStr"/>
      <c r="I39"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**Minimum Degree Required**
 Bachelor's Degree
**Minimum Year(s) Of Experience**
 4 year(s)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0">
      <c r="A40" t="inlineStr">
        <is>
          <t>li-4376322986</t>
        </is>
      </c>
      <c r="B40" t="inlineStr">
        <is>
          <t>Data Scientist I - Early Careers</t>
        </is>
      </c>
      <c r="C40" t="inlineStr">
        <is>
          <t>Lensa</t>
        </is>
      </c>
      <c r="D40" t="inlineStr">
        <is>
          <t>linkedin</t>
        </is>
      </c>
      <c r="E40" t="inlineStr"/>
      <c r="F40" t="inlineStr"/>
      <c r="G40" t="inlineStr">
        <is>
          <t>Boston, MA</t>
        </is>
      </c>
      <c r="H40" t="inlineStr"/>
      <c r="I4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Wayfair. Clicking "Apply Now" or "Read more" on Lensa redirects you to the job board/employer site. Any information collected there is subject to their terms and privacy notice.
 Winter 2026 Start Dates
 Location: Boston, MA
**Additional Details**
* This is a Boston based opportunity with a 4 day in office expectation.
* At this time, Wayfair will not sponsor applicants for employment authorization for this position for the following work visas: STEM OPT EAD, H\-1B, H\-1B1, E\-3, O\-1, J\-1, or TN.
* The salary range for this position is $94,000 \- $99,000 per year. The base salary offered may vary depending on location, job\-related knowledge, skills, and experience
 Wayfair is continuing to expand our commitment to hiring and supporting talent early in their careers, focusing on filling opportunities with experienced graduates who have 1\-3 years of experience.
 Wayfair’s Forecasting \&amp; Replenishment Analytics team enables the Inventory Management function at Wayfair to achieve its mission of building an integrated approach to drive high product availability across CastleGate (CG), Physical Retail, and Dropship; combined with high turns, strong penetration, and optimal positioning for CG. The team consists of data scientists who are responsible for developing and managing global large\-scale demand forecasting systems and scalable analytics products that power Wayfair’s complex supply chain and inform the business on its performance and forward looking outcomes.
 The Forecasting \&amp; Replenishment Analytics team is looking for a data scientist to build analytics products, models, and data infrastructure to support inventory replenishment operations. Example projects include building forecasting models for E\-commerce and Physical Retail stores, building forward looking projections of inventory bleed\-down, and building automated infrastructure to collect data, refresh models, and update analytical tools daily.
**What You’ll Do** 
* 
+ Build scalable analytics products in SQL, Python, and G\-Suite visualization platforms (LookerStudio, Looker) that enable leadership and other internal customers to understand and manage performance, including forward looking models that evaluate the impact of our strategy on fulfillment activities, resourcing, and costs
* Build automated infrastructure in Google Cloud Composer to load and transform data, run models or analytical frameworks, and update front end dashboards.
* Perform statistical analysis across large data sets to develop performance insights and forward looking projections of business outcomes
* Make demand forecasting model enhancements to account for new business strategies that drive specific demand patterns
* Build segment level performance projections to develop holistic views which indicate company wide trajectory across various operational KPI
* Establish data structures that enable scalability in the processes and tools to monitor CG inventory performance across key KPIs (turns, availability, penetration, positioning) and allow for adjacent teams to consume that data
* Communicate findings with colleagues from computer science, operations research and business backgrounds
**What You’ll Need**
 Basic Qualifications
* MS in a quantitative field (Engineering, Operations Research, Mathematics, Economics) with a strong academic record
* A highly analytical individual who can give structure to complex and often ambiguous data and modeling problems
* Exceptional analytics skill set, including a high degree of comfort / expertise with Python and relational databases (SQL) on a daily basis with proven track record of insight development leading to action
* Comfort operating with large data sets to identify trends, drill into specific details, make recommendations, and deliver upon desired outcomes
* High attention to detail with ability to appropriately manage and prioritize projects and tasks appropriately that leads to results
* Innovative problem\-solving skills with a tenacity to develop ideas independently and thrive in a fast\-paced start\-up environment
* Passionate about tackling complex supply\-chain business problems from problem definition and business\-case development to implementation
* Authorization to work in the United States without visa sponsorship by Wayfair now or in the future. This includes the following work visas: STEM OPT EAD, H\-1B, H\-1B1, E\-3, O\-1, J\-1, or TN.
**Preferred Qualifications**
* Must have python in addition to SQL
* Demonstrated ability to design, build, and own data pipelines end\-to\-end, ensuring data accuracy, scalability, and reliability
* Demonstrated curiosity and interest in Artificial Intelligence and its applications in analytics and business
**Wayfair's In\-Office Policy**
 All Boston\-based interns, co\-ops, and corporate employees will be in office in a hybrid capacity. Employees will work in the office on designated days, Monday, Tuesday, Wednesday, and Thursday, and work remotely the other 1 day of the week.
 Benefits \&amp; Perks \- US
* Full health benefits available (Medical, Dental, Vision, HSA/FSA) on day one for eligible employees.
* No\-cost access to 2nd.MD, a virtual expert medical consultation and navigation service.
* Global Traveler Health Insurance through GeoBlue.
* 24/7 access to mental, financial, physical and emotional wellbeing support, plus an enhanced offering of therapy and coaching.
* Automatic enrollment into Basic Life and Accidental Death \&amp; Disability Insurance.
* 401(k) matching with immediate vesting.
* Paid Parental Leave, Surrogacy \&amp; Adoption Reimbursement and Caregiver Services.
* Tuition Reimbursement.
* Wayfair Employee Discount.
* Gym/Fitness Discounts (including Peloton, Wellhub and varying regional memberships).
* Exclusive access to thousands of perks \&amp; discounts through BenefitHub.
* Yearly match up to $500 for personal donations made by employees to registered 501(c)(3\) nonprofits.
**Purpose \&amp; Inclusion At Wayfair**
 At Wayfair, we pride ourselves on fostering an environment where every individual experiences a fair and equitable employee journey. We are committed to developing targeted resources that raise awareness around inclusion and eliminate barriers, ensuring Wayfair provides a fair and inclusive workplace experience for everyone.
**Social Impact \&amp; Responsibility**
 At Wayfair, we focus on helping people on their journey to home \- specifically those who have lost their way from home. We do this by leveraging our best assets, such as collaborating with leading nonprofit organizations, coordinating in\-kind product donations, empowering our employees to get involved through paid volunteer time off programs, and encouraging our customers to donate. This multi\-faceted approach allows us to support communities in need in authentic ways that align with Wayfair's broader mission of helping everyone, anywhere create their sense of home.
 Assistance for Individuals with Disabilities
 Wayfair is fully committed to providing equal opportunities for all individuals, including individuals with disabilities. As part of this commitment, Wayfair will make reasonable accommodations to the known physical or mental limitations of qualified individuals with disabilities, unless doing so would impose an undue hardship on business operations. If you require a reasonable accommodation to participate in the job application or interview process, please let us know by completing our Accomodations for Applicants form (https://docs.google.com/forms/d/1ElBqKaQYGR9j0NiQHQYCGbHkqKqN746Nk62pI32IyLU) .
 Need Technical Assistance?
 For more information about applying for a career at wayfair, visit our FAQ page here (https://www.aboutwayfair.com/careers/careers\-faq) .
**About Wayfair Inc.**
 Wayfair is one of the world’s largest online destinations for the home. Whether you work in our global headquarters in Boston, or in our warehouses or offices throughout the world, we’re reinventing the way people shop for their homes. Through our commitment to industry\-leading technology and creative problem\-solving, we are confident that Wayfair will be home to the most rewarding work of your career. If you’re looking for rapid growth, constant learning, and dynamic challenges, then you’ll find that amazing career opportunities are knocking.
 No matter who you are, Wayfair is a place you can call home. We’re a community of innovators, risk\-takers, and trailblazers who celebrate our differences, and know that our unique perspectives make us stronger, smarter, and well\-positioned for success. We value and rely on the collective voices of our employees, customers, community, and suppliers to help guide us as we build a better Wayfair – and world – for all. Every voice, every perspective matters. That’s why we’re proud to be an equal opportunity employer. We do not discriminate on the basis of race, color, ethnicity, ancestry, religion, sex, national origin, sexual orientation, age, citizenship status, marital status, disability, gender identity, gender expression, veteran status, genetic information, or any other legally protected characteristic.
 Your personal data is processed in accordance with our Candidate Privacy Notice (https://www.wayfair.com/careers/privacy). If you have any questions or wish to exercise your rights under applicable privacy and data protection laws, please contact us at dataprotectionofficer@wayfair.com.
 If you have questions about this posting, please contact support@lensa.com</t>
        </is>
      </c>
    </row>
    <row r="41">
      <c r="A41" t="inlineStr">
        <is>
          <t>li-4376338386</t>
        </is>
      </c>
      <c r="B41" t="inlineStr">
        <is>
          <t>Data Scientist (REMOTE)</t>
        </is>
      </c>
      <c r="C41" t="inlineStr">
        <is>
          <t>Lensa</t>
        </is>
      </c>
      <c r="D41" t="inlineStr">
        <is>
          <t>linkedin</t>
        </is>
      </c>
      <c r="E41" t="inlineStr"/>
      <c r="F41" t="inlineStr"/>
      <c r="G41" t="inlineStr">
        <is>
          <t>Dallas, TX</t>
        </is>
      </c>
      <c r="H41" t="inlineStr"/>
      <c r="I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42">
      <c r="A42" t="inlineStr">
        <is>
          <t>li-4376322970</t>
        </is>
      </c>
      <c r="B42" t="inlineStr">
        <is>
          <t>Junior Data Scientist</t>
        </is>
      </c>
      <c r="C42" t="inlineStr">
        <is>
          <t>Lensa</t>
        </is>
      </c>
      <c r="D42" t="inlineStr">
        <is>
          <t>linkedin</t>
        </is>
      </c>
      <c r="E42" t="inlineStr"/>
      <c r="F42" t="inlineStr"/>
      <c r="G42" t="inlineStr">
        <is>
          <t>Chicago, IL</t>
        </is>
      </c>
      <c r="H42" t="inlineStr"/>
      <c r="I4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Serco. Clicking "Apply Now" or "Read more" on Lensa redirects you to the job board/employer site. Any information collected there is subject to their terms and privacy notice.
**Position Description \&amp; Qualifications**
 At Serco, we foster a dynamic and collaborative work environment where team members contribute to innovative, high\-impact projects for leading government clients. We provide opportunities to solve complex challenges, improve processes, and utilize the latest technologies to deliver top\-tier products and services to our customers. The positions on this contract are located both CONUS and OCONUS in support of Army Sustainment Command (ASC).
 As a Junior Data Scientist you will play a key role in supporting Army Sustainment Command (ASC).
**In This Role, You Will**
* Perform advanced analysis and analytics to produce algorithms and/or businessprocess recommendations.
* Develop and use data, algorithms, and analyses to identify and applymechanisms to both overcome impediments to materiel readiness and exploitopportunities to improve readiness through feasible, cost\-effective software andbusiness process improvements, changes, and interventions.
* Forecast and address complex analytical challenges and identify the challengesand opportunities within systems, develop comprehensive solutions, andincorporate these capabilities solutions into software and workflows.
* Develop analytics and process solution sets, the criteria for recommendedalgorithms and processes shall include preference for efficient methods that useas simple of a process as possible given the current state\-of\-the\-art practices.The analytics and process solution sets shall provide appropriate, economicsavings\-driven answers.
* Regularly identify and communicate courses of actions required for program andproject success, including appropriate reporting processes and applicablemetrics to monitor and assess outcomes.
* Proactively identify mechanisms to improve mission performance.
* Use appropriate quantitative analytics techniques to include time series analysisand forecasting, advanced multivariate regression (including Probit and LogitModels), systems dynamics modelling, Bayesian inference procedures, minimaxprocedures (statistical), subjective probability utilization, expected utility analysis,operational risk analysis, and uncertainty evaluation.
* Use appropriate qualitative analytics techniques to include multi\-criteria decisionanalysis, qualitative comparative analysis, causal mapping, formal game theory,minimax procedures (game theory), decision architecture, systems architectureanalysis, organizational analysis and structural reform, supply chain analysis,and multinational best practices (military and industry) evaluation.
* Use logistics and agent\-based modeling and simulation.
* Conduct business process analysis and optimization across the Doctrine,Organization, Training, Materiel, Leadership, Education, Personnel, Facilities,Policy (DOTMLPF\-P) spectrum and beyond.
* Produce formal use cases, software program change requests, and otherrequired documentation for technology insertion into related defense logisticssupport software.
* Interface and liaise with software program offices and contractors.
* Develop requirements for defense analytics software.
* Conduct stakeholder analysis and create products for stakeholdercommunications and messaging.
**To Be Successful In This Role, You Will Have**
* U.S. Citizenship
* An Active Secret Clearance or an interim Secret Clearance.
* A Bachelor's degree in data science, mathematics, statistics, economics, computer science, engineering, or other related business or quantitativediscipline.
* Minimum 1 year of experience working directly on a data science team.
* Experience working with tools, including object\-oriented programming (Python, Java), computational analysis tools (R, MATLAB), and associated data science libraries (scikit\-learn).
* Experience creating meaningful data visualizations and interactive dashboards using platforms such as Tableau, Qlik, Power BI, RShiny, plotly, and d3\.js to communicate findings and relate them back to how your insights create business impact.
* Working knowledge of databases and SQL; preferred qualifications include linking analytic and data visualization products to database connections.
* Superior communication skills, both oral and written.
* Understand data science methods related to data architecture, data munging, data and feature engineering, and predictive analytics.
* Unstructured text and natural language processing.
* Experience using tools or langauges like R, Python, SAS, or MATLAB, Anaconda, IBM Blue, and Oracle Big Data to analyze large data sets and develop automated analytics in making sense of data.
* Experience using machine learning, data mining, statistical networks, natural language processing, text analytics, and graph\-based algorithms to analyze massive data sets.
* Experience developing software to generate reports and visualizations that summarize data sets and provide data\-driven insights.
* Experience developing and implementing statistical, machine learning, and heuristic techniques to create descriptive, predictive, and prescriptive analytics as well as to develop statistical tests to make data\-driven recommendations and decisions.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 .
 If you have questions about this posting, please contact support@lensa.com</t>
        </is>
      </c>
    </row>
    <row r="43">
      <c r="A43" t="inlineStr">
        <is>
          <t>li-4376350062</t>
        </is>
      </c>
      <c r="B43" t="inlineStr">
        <is>
          <t>Data Scientist</t>
        </is>
      </c>
      <c r="C43" t="inlineStr">
        <is>
          <t>Asplundh Tree Expert, LLC</t>
        </is>
      </c>
      <c r="D43" t="inlineStr">
        <is>
          <t>linkedin</t>
        </is>
      </c>
      <c r="E43" t="inlineStr"/>
      <c r="F43" t="inlineStr"/>
      <c r="G43" t="inlineStr">
        <is>
          <t>Willow Grove, PA</t>
        </is>
      </c>
      <c r="H43" t="inlineStr"/>
      <c r="I43" t="inlineStr">
        <is>
          <t>**Description**
**Data Scientist**
**About Asplundh Tree Expert, LLC**
**Asplundh Tree Expert, LLC** 
 is a leading provider of vegetation management, utility infrastructure services, and related field operations across North America. Our work supports critical electrical and communications infrastructure by helping utilities and municipalities improve safety, reliability, and operational performance. Data and analytics play a growing role in how we plan work, manage costs, optimize resources, and deliver high\-quality service at scale.
**About The Role**
 We’re looking for a Data Scientist to join Asplundh’s Technology / Data \&amp; Analytics organization with a focus on
 **finance and operational performance** 
 . In this role, you will transform complex operational, workforce, and financial data into actionable insights and predictive solutions that improve decision\-making, field efficiency, cost control, and service outcomes.
 You will work closely with leaders across Operations, Finance, Fleet/Assets, Safety, HR/Workforce Planning, and Technology to define analytical problems, build models, and communicate results that drive measurable impact.
**What You’ll Do (Responsibilities)**
* Collect, clean, and preprocess datasets from multiple sources, including operational systems, workforce data, financial platforms, asset/fleet tools, and enterprise data warehouses.
* Analyze financial and field operational trends to identify cost drivers, productivity gaps, performance risks, and optimization opportunities.
* Build, validate, and maintain models for:
+ Financial forecasting (revenue, cost, budget variance, margin drivers)
+ Operational forecasting (workload, demand, staffing, resource needs)
+ Efficiency and cost optimization (crew scheduling, routing, overtime reduction, asset utilization)
* Develop reproducible analytics and pipelines using Python/R and SQL, and follow strong documentation standards.
* Design and monitor key performance indicators (KPIs) for field operations, finance, safety, and service delivery, including root cause analysis for variance.
* Create dashboards, scorecards, and reports for Finance and Operations stakeholders that clearly highlight trends, risks, and recommended actions.
* Partner with business leaders to translate goals (cost control, productivity, throughput, reliability, safety outcomes) into measurable analytic questions.
* Present results to technical and non\-technical audiences, explaining assumptions, uncertainty, and expected impact.
* Support experimentation and continuous improvement efforts (e.g., pilot evaluations, operational process changes).
* Work with data engineering and IT to transition analyses/models into production or operational workflows where applicable.
**Required**
**What We’re Looking For (Qualifications)**
* Bachelor’s degree in Data Science, Statistics, Computer Science, Mathematics, Engineering, Economics, Finance, or a related field (or equivalent practical experience).
* 5\-7 years in a Data Science or related position.
* Strong foundation in statistics and probability (hypothesis testing, distributions, regression).
* Proficiency in Python or R for analysis and machine learning.
* Strong knowledge of SQL for querying large datasets.
* Working understanding of machine learning methods and evaluation metrics.
* Ability to communicate clearly with Finance and Operations teams.
* Strong problem\-solving and project execution skills.
**Preferred / Nice To Have**
* Experience in finance analytics, budgeting, forecasting, or cost modeling.
* Familiarity with operational domains such as field operations, utilities, workforce planning, logistics, asset/fleet management, or safety analytics.
* Experience with time\-series, optimization, or geospatial analysis.
* Experience with BI/visualization tools (Power BI, Tableau, Looker).
* Familiarity with cloud or big\-data platforms (Azure/AWS/GCP, Databricks, Spark) is a plus.
* Comfort with Git/version control and production\-minded analytics practices.
**Key Skills \&amp; Competencies**
* Financial and operational analytical thinking
* Statistical reasoning and model interpretation
* Data wrangling and feature engineering
* Forecasting and predictive modeling
* KPI design and performance monitoring
* Data visualization and storytelling
* Collaboration in cross\-functional environments
* Attention to detail, accuracy, and data governance
**Tools \&amp; Technologies You May Use**
* Languages: Python, R, SQL
* Libraries: pandas, scikit\-learn, numpy, scipy, statsmodels, PyTorch/TensorFlow (as needed)
* Visualization: Power BI, Looker, matplotlib, seaborn, ggplot2
* Data Platforms: Snowflake, Oracle, SQL Server (depending on stack)
* Workflow: Git,
**Success Looks Like**
 Within the first 3–6 months, you will:
* Deliver analytics that improve forecast accuracy, cost visibility, crew productivity, or operational efficiency.
* Build or enhance KPI dashboards used by field and finance leaders.
* Contribute to at least one high\-impact model or analytical tool adopted by stakeholders.
* Build credibility through reliable delivery, clear communication, and measurable results.
**Compensation \&amp; Benefits**
 (Insert your ranges and benefits)
* Competitive salary
* Medical, dental, and vision insurance
* Retirement plan with company match
* Paid time off and holidays
* Learning and professional development support
* Growth opportunities within a national leader in vegetation management and utility services
**Benefits**
 We offer a competitive range of benefits to support our employees’ health, well\-being, and financial security. Medical, dental, and vision benefits are available to all eligible employees on the first day of employment. For more information on the benefits available for this role, please contact the recruiter or hiring manager.
**Individuals with a disability who desire a reasonable accommodation can contact the ADA Coordinator by calling 1\-833\-222\-3066\. We partner with the Department of Homeland Security/U.S. Customs and Immigration Service to e\-Verify all newly hired employees.**
**An Equal Opportunity Employer.**
**Please note:**
* All job offers are subject to pre\-employment drug screening and a background check.
* Unless otherwise noted, we do not sponsor employees for work authorization in the U.S. for this position.
**Notice to Agencies:** 
 We only accept resumes from recruiters, employment agencies, or staffing services if a Service Agreement has been signed and we have requested recruitment/staffing services for the specific position. Any unsolicited resumes will become the property of the company, and no fees or compensation will be paid to the recruiter, employment agency, or staffing service.</t>
        </is>
      </c>
    </row>
    <row r="44">
      <c r="A44" t="inlineStr">
        <is>
          <t>li-4373781162</t>
        </is>
      </c>
      <c r="B44" t="inlineStr">
        <is>
          <t>Data Scientist - Optimization and Advanced Machine Learning</t>
        </is>
      </c>
      <c r="C44" t="inlineStr">
        <is>
          <t>ChatGPT Jobs</t>
        </is>
      </c>
      <c r="D44" t="inlineStr">
        <is>
          <t>linkedin</t>
        </is>
      </c>
      <c r="E44" t="inlineStr"/>
      <c r="F44" t="inlineStr"/>
      <c r="G44" t="inlineStr"/>
      <c r="H44" t="inlineStr"/>
      <c r="I44" t="inlineStr">
        <is>
          <t>**Job Description**
 Data Scientist \- Optimization and Advanced Machine Learning
**FM** 
 \- Johnston, RI
* On\-site, Remote
**Salary:** 
 $103\.04K \- $148\.10K/yr
**Type:** 
 Full\-time
**Benefits:** 
 Medical, Retirement
**Posted:** 
 3 hours ago
**Job Description**
 FM is seeking a Data Scientist specializing in optimization and advanced machine learning to translate business needs into analytical \&amp; AI solutions. The role involves designing, developing, and deploying optimization models, AI/ML algorithms, and decision‑support systems for real‑world problems across various teams.
 Key Responsibilities
* Build machine learning and AI solutions using Python/R and modern ML frameworks.
* Develop and deploy optimization models for risk assessment and operational decision‑making.
* Lead end‑to\-end model development: problem framing, data processing, feature engineering, modeling, validation, implementation, and monitoring.
* Work with cross‑functional partners to translate analytical insights into business actions.
* Work with large‑scale datasets using SQL or similar tools and implement robust data pipelines.
* Apply creativity and domain expertise to evaluate and improve model performance and interpretability.
* Contribute to continuous innovation in optimization, ML, and AI practices across the organization.
**Qualifications**
**Education:**
* Master’s degree in Operations Research, Industrial Engineering, Applied Mathematics, Computer Science, Data Science, or a related field. PhD preferred.
**Experience**
* 5\+ years of industry experience in building optimization or machine learning solutions.
* 5\+ years hands‑on experience with data processing, modeling, and advanced analytics using Python or R.
* 3\+ years experience working with large datasets using SQL or similar technologies.
* Experience leading full‑cycle data science or optimization projects from ideation to deployment.
* Experience with cloud‑based analytics and machine learning platforms, preferably Azure Databricks
**Technical Skills**
 Strong Knowledge \&amp; Practical Experience in:
* Optimization methods:
+ Linear / Non‑linear programming
+ Mixed‑integer optimization
+ Metaheuristics (GA, simulated annealing, evolutionary algorithms)
+ Stochastic and robust optimization
* Core Machine Learning algorithms:
+ Tree‑based models, gradient boosting
+ Clustering \&amp; unsupervised learning
+ Neural networks and deep learning fundamentals
* Simulation
* Model evaluation, validation, and experimentation
* Data wrangling, feature engineering, and pipeline design
* ML engineering practices following MLOps principles (model tracking, reproducibility, deployment)
**Preferred Qualifications**
* Experience in risk management, insurance, or operations modeling.</t>
        </is>
      </c>
    </row>
    <row r="45">
      <c r="A45" t="inlineStr">
        <is>
          <t>li-4373786125</t>
        </is>
      </c>
      <c r="B45" t="inlineStr">
        <is>
          <t>Principal Data Scientist - Remote</t>
        </is>
      </c>
      <c r="C45" t="inlineStr">
        <is>
          <t>ChatGPT Jobs</t>
        </is>
      </c>
      <c r="D45" t="inlineStr">
        <is>
          <t>linkedin</t>
        </is>
      </c>
      <c r="E45" t="inlineStr"/>
      <c r="F45" t="inlineStr"/>
      <c r="G45" t="inlineStr"/>
      <c r="H45" t="inlineStr"/>
      <c r="I45" t="inlineStr">
        <is>
          <t>**Job Description**
 Principal Data Scientist \- Remote
**Company:** 
 UnitedHealth Group
**Location:** 
 San Diego, CA
* On\-site, Remote
**Job Type:** 
 Full\-time
**Benefits:** 
 Medical, Retirement
**Posted:** 
 1 hour ago
**Job Description**
 Optum is seeking a Principal Data Scientist to be a key technical contributor in the design and development of state\-of\-the\-art ML for medical applications. The Data Scientist will work closely with ML engineers, research linguists, software engineers, and subject matter experts on current company technologies and forward\-looking projects.
 The role involves initiating and leading new research initiatives into unexplored modeling approaches and mentoring and guiding teams to adopt new technologies.
 This is a remote position within the U.S., with a requirement to work in the office a minimum of four days per week for hires in the Minneapolis or Washington, D.C. area.
**Primary Responsibilities**
* Initiate and drive novel method development in machine learning from first principles to deployed solutions.
* Provide innovative modifications and extensions to existing deep learning and statistical learning architectures.
* Perform independent statistical inquiry into new areas and identify growth points and areas of untapped information.
* Partner with Engineering, Business, and Technical Product teams to meet project commitments in an agile framework.
* Mentor junior data scientists to successfully deliver software and business value.
* Responsible for continuous improvement for alerts, monitors, and telemetry.
* Communicate with stakeholders, subject matter experts, and colleagues to identify new means of approaching problems in the medical coding field.
* Design novel methods in machine learning and launch them to production with the help of data engineers and deployment software engineers.
* Perform independent analysis of trends in medical coding and production performance of statistical models.
* Demonstrate leadership in the context of machine learning engineering and direct the research direction of a multidisciplinary team focused on deep learning and LLM approaches.
* Stay abreast of leading\-edge technologies in machine learning and deep learning, participate and lead in research talks and white paper reviews.
* Participate in research meant to ensure alignment of models to ethical standards to ensure machine learning models perform without harm to users.
**Required Qualifications**
* 7 years of experience in machine learning or data science.
* 5 years of coding experience with Python or R.
* 2 years of experience leading development in a data science focused team using deep learning architectures.
* 1 years of experience in machine learning model development, transformer architectures, data trend analysis.
* 1 years of production experience with cloud and big data technologies.
* 1 years of agile development experience.
**Preferred Qualifications**
* Experience digesting and implementing research from primary literature or white paper resources.
* Experience with SQL databases and query language.
* Experience in AzureML, AWS, or cluster computing architectures.
* Experience with Hybrid NLP solutions that combine symbolic and machine learning approaches.
* IT full\-stack engineering experience.
* Healthcare domain background.
* Publication history in deep learning or statistical domain.
**Salary Range:** 
 $110,200 to $188,800 annually
 UnitedHealth Group is an Equal Employment Opportunity employer. Candidates are required to pass a drug test before beginning employment.</t>
        </is>
      </c>
    </row>
    <row r="46">
      <c r="A46" t="inlineStr">
        <is>
          <t>li-4376161285</t>
        </is>
      </c>
      <c r="B46" t="inlineStr">
        <is>
          <t>Senior Data Scientist / Applied ML Engineer</t>
        </is>
      </c>
      <c r="C46" t="inlineStr">
        <is>
          <t>The Know</t>
        </is>
      </c>
      <c r="D46" t="inlineStr">
        <is>
          <t>linkedin</t>
        </is>
      </c>
      <c r="E46" t="inlineStr"/>
      <c r="F46" t="inlineStr"/>
      <c r="G46" t="inlineStr">
        <is>
          <t>Washington, DC</t>
        </is>
      </c>
      <c r="H46" t="inlineStr"/>
      <c r="I46" t="inlineStr">
        <is>
          <t>Location: Remote (US)
 Job Type: Full\-time
**About The Know**
 The Know helps corporate executives make confident decisions in moments of uncertainty. Our AI decision engine monitors stakeholder sentiment and external signals such as media, social, competitors, and policymakers so leaders can assess risk, align internally, and act decisively when the right path forward is not obvious.
 We are a venture\-backed, early\-stage company working with Fortune 500 and large enterprise customers across communications, corporate affairs, risk, HR, and the Office of the CEO. We are growing quickly and entering the next phase of the company: tightening our commercial motion, scaling responsibly, and turning strong customer demand into a repeatable, durable business.
**About the role**
 The Know software helps executives respond to sensitive news events so that they can manage risk and retain talent. We're a small team building a social \+ news intelligence product used by large corporate customers to navigate breaking news, politics, and high\-stakes external issues.
 We process thousands of social posts, news articles, and blog posts every day and turn them into reliable, explainable signals: topic classification, complex stances/opinions, emotion, audience insights, and crisis event monitoring. We grew about 4x last year and are expanding quickly. This person will own the heart of our product intelligence and help us scale quality, performance, and cost.
**What you'll do**
* Own our text intelligence stack end\-to\-end: improve and scale topic classification, complex opinion extraction, and emotion detection
* Build modern NLP/LLM systems in production: tokenization to embeddings/vectorization to retrieval to classification/generation, with rigorous evaluation and monitoring
* RAG \+ vector space reasoning: design retrieval strategies, embedding/index choices, chunking/metadata schemes, and confidence and explainability methods for customer\-facing outputs
* Emerging topic discovery: clustering \+ dimensionality reduction \+ labeling workflows to identify new topics on the fly and consolidate them into useful meta\-topics
* Performance \+ cost discipline: optimize throughput, latency, and cloud spend while maintaining integrity
* Data storytelling: turn messy, high\-volume text streams into clear narratives and visualizations customers can trust
* Partner on product \+ customer needs: translate customer goals into measurable system improvements and ship features from idea to production to iteration
* Mentor junior teammates: code reviews, light technical leadership, raising the bar without slowing shipping
**What "great" looks like**
 You are constantly spotting system improvements and folding them into product work without losing focus on customer delivery. You have a bias toward action, but you also know when product integrity demands slowing down and tightening evaluation.
**Required experience / skills**
 Strong applied NLP background, including:
* Text preprocessing/tokenization
* Embeddings/vectorization, transformer models
* Clustering \+ topic modeling approaches, dimensionality reduction
* Feature engineering, model selection, tuning, evaluation design
* Production mindset: shipped ML/NLP systems that run reliably, with monitoring, drift, and failure modes in mind
* Comfort building in real codebases: Python is a must; familiarity with JavaScript or other backend languages is highly preferred
* Data \+ systems fundamentals: database schema design and querying, efficient data pipelines, Git, basic Unix tooling
* Communication: explain methods, limitations, and confidence clearly to non\-technical stakeholders
**Nice to have**
* Experience with AWS (serverless architecture, hosted ML models, non\-relational databases)
* Experience with OpenAI / Claude / Gemini APIs, model routing
* Hugging Face ecosystem fluency (Transformers, Datasets, fine\-tuning/inference)
* Some frontend familiarity (React) or strong data visualization chops (Plotly, D3\)
* Experience in domains like news intelligence, social listening, elections/policy monitoring, trust/safety, public opinion, or risk analytics
**The disposition we need (non\-negotiable)**
* Ramp up quickly: technically and on the product/business side
* Ownership mentality: take a feature from customer pain to design to build to launch to measure to iterate
* Creative problem solver: inventive yet pragmatic and honest about tradeoffs
* Strong project management skills with the ability to lead multiple projects simultaneously
* Bias toward action: you unblock yourself and others; you default to shipping
* System improver: spot architectural and pipeline wins and weave them into product delivery
* Scrappy
**Why this is interesting**
 You'll own the most critical part of the product: translating free text at scale into meaningful narratives and actionable insights. Alongside a small team, you will help determine the future of a critical, timely product needed in a complex geopolitical environment.
 You'll work directly with the head of engineering and influence architecture from day one. The work is applied, customer\-facing, and high leverage: your decisions show up in the product quickly. Work closely with the team to ideate, iterate, and implement solutions to customer needs.</t>
        </is>
      </c>
    </row>
    <row r="47">
      <c r="A47" t="inlineStr">
        <is>
          <t>li-4374967040</t>
        </is>
      </c>
      <c r="B47" t="inlineStr">
        <is>
          <t>People Analytics Data Scientist</t>
        </is>
      </c>
      <c r="C47" t="inlineStr">
        <is>
          <t>Jobs via Dice</t>
        </is>
      </c>
      <c r="D47" t="inlineStr">
        <is>
          <t>linkedin</t>
        </is>
      </c>
      <c r="E47" t="inlineStr"/>
      <c r="F47" t="inlineStr"/>
      <c r="G47" t="inlineStr">
        <is>
          <t>Pleasanton, CA</t>
        </is>
      </c>
      <c r="H47" t="inlineStr"/>
      <c r="I47"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Our team helps Workday to make better people decisions. If your professional passion is creating a high\-performance work environment by pioneering innovative people analytics and insights \-then we should talk. A key member of a small but mighty team, we are looking for a results\-oriented data scientist ready to channel all their experiences into the challenge of creating pioneering solutions that deliver breakthrough business results. The bar is high, and we believe this is a noble cause to invent and apply the contemporary people analytics insights that extend and amplify our special culture during this period of exciting growth.
**About The Role**
 As Workday's People Analytics Data Scientist, you will work closely with members of the Workmate Support and Talent Management organizations to lead and steward areas that we truly believe are the secret to Workday's continuing success \- analytics and insights related to our people, culture, and leadership. This role will deliver results in these key areas:
* Interact with business leaders and product teams to identify business questions and issues for data analysis and experiments.
* Use advanced AI tools like GitHub Copilot, Cursor, and Gemini to automate data cleaning, speed up coding and development, and more quickly transform complex datasets into clear, actionable talent strategies.
* Conduct analytical research studies and establish predictive analytics related to recruiting, retention, growth, performance, team effectiveness, and leadership effectiveness connected to business needs.
* Generate new and innovative analytics and insights based on business needs, audience feedback, cutting\-edge neuroscience, behavioral economics, network, leadership, and management research.
* Produce compelling data visualizations that both inform and influence our executive decision making process.
* Identify meaningful insights from large data; interprets and communicates analysis insights and findings to business executives and relevant products teams to drive executive decision making about our talent strategy.
* Partner with our product colleagues in People Analytics to align insights and strategies to implement as the new product becomes live.
* Create compelling enablement content so that other business leader and People Partners can readily use the insights provided.
**About You**
* Master's or PhD degree in Computational Social Sciences, Management Sciences, Statistics, Computer Science, Economics or related fields.
* Proficient in statistics, machine learning methods, and analytical thinking.
* Experience managing and analyzing data using R or Python (or similar programming language)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USA.CA.Pleasanton
 Primary Location Base Pay Range: $146,200 USD \- $219,400 USD
 Additional US Location(s) Base Pay Range: $123,500 USD \- $219,400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48">
      <c r="A48" t="inlineStr">
        <is>
          <t>li-4374952935</t>
        </is>
      </c>
      <c r="B48" t="inlineStr">
        <is>
          <t>Data Scientist Advisor</t>
        </is>
      </c>
      <c r="C48" t="inlineStr">
        <is>
          <t>Jobs via Dice</t>
        </is>
      </c>
      <c r="D48" t="inlineStr">
        <is>
          <t>linkedin</t>
        </is>
      </c>
      <c r="E48" t="inlineStr"/>
      <c r="F48" t="inlineStr"/>
      <c r="G48" t="inlineStr">
        <is>
          <t>Collierville, TN</t>
        </is>
      </c>
      <c r="H48" t="inlineStr"/>
      <c r="I48" t="inlineStr">
        <is>
          <t>Provides expert leadership at the enterprise level related to vast quantities of data (including disparate data), enterprise analytics, statistical modeling, and initiatives and works on the leading edge of technology, tools, and methodology to ensure that FedEx is a leader in Business Intelligence. Leads lower level Data Scientists in descriptive, diagnostic, predictive, prescriptive and ensemble modeling, advanced statistical techniques, use of database tools and/or other approaches in quantitative analysis of complex business situations. Creates and implements solutions from initial concept to fully tested production and communicates results to a broad range of audiences. Expert in the use of all data types, statistical and quantitative analysis, explanatory and high\- complexity predictive modeling and fact\-based management to drive decision making. Leads cross functional projects and programs. Routinely works on multiple highly complex assignments concurrently.
**Essential Functions**
* Performs both qualitative analysis (e.g., content analysis, phenomenology, hypothesis testing, network analysis, sentiment analysis, and classification) and quantitative analysis (e.g., clustering regression, pattern recognition, descriptive and inferential statistics) on large data sets to understand trends and relationships between variables to gain predictive insights and drive business results.
* Designs and implements experiments to answer targeted questions, solve known issues and suggest/influence the direction of the business by effectively communicating with business partners and functional leaders to understand and prioritize key business challenges.
* Guides others in the collection of new data, refinement strategy, researches, tests, recommends, and implements improvements in the tools and techniques used by FedEx to manage and access data and information.
* Prioritizes problems so that the team works on the most valuable cases; leads investigations into multiple streams of data to solve complex business problems.
* Designs and implements reporting dashboards that track and visually communicate key business metrics and provide actionable insights.
* Identifies internal and external information sources, builds strong working relationships with subject matter experts and leadership within FedEx and the external marketplace.
* Act as primary author of whitepapers and will present various industry topics as it relates to Data Science at conferences.
* Collaborates with IT departments and communicates changes in industry trends and techniques to ensure the team is current with tools, knowledge and methods.
* Perform other duties as assigned.
**Minimum Education**
 Bachelor's degree in a quantitative discipline required. A Master's degree in a related field may off set two years of the required experience. Related experience may offset degree requirements and related education/degree may offset experience requirements.
**Minimum Experience**
 Seven (7\) years experience required in solving analytics problems through the application of data science techniques or work experience in measurement and analysis, quantitative business problem solving, solutions implementation, operations analysis, marketing analysis, simulation development and/or predictive analytics.
 Experience should include using most of the following:
* Machine Learning Frameworks: SKLearn, XGBoost, TensorFlow, PyTorch, MLlib, and other core ML frameworks.
* Programming Languages: Python, Scala, R, C\+\+, Java, and other modern languages.
* Data Tools and Frameworks: MLFlow, Databricks, Spark, Kafka, Hive, Hadoop, and others.
* Cloud Environments: Azure, AWS, etc.
* SQL (Structured Query Language).
* ETL (Extract\-Transform\-Load) concepts, query performance tuning and testing.
* Visualization tools such as Tableau, Spotfire, and Power BI.
**Knowledge, Skills, And Abilities**
 Demonstrated superior analytical skills with diverse analytics, data types and statistical software and applications.
 Outstanding interpersonal skills, written, and oral communication skill. Proven leadership skills.
 Ability to design mathematical algorithms that employ predictive and machine learning models.
 Ability to understand how new tools/methodology can be implemented to solve business problems.
 Ability to read, analyze, and interpret common technical journals, reports, and related documents.
 Ability to effectively present information to management, end users, co\-workers, or vendors.
 Ability to perform complex tasks with limited direction.
 Proficient with MS office applications.
**Preferred Qualifications:** 
 This position is hybrid to Collierville, TN.
**Pay Transparency:** 
 Internal paygrade E28
**Pay:** 
 $8,452\.14 \- $14,368\.63
**Additional Details:** 
 Application Criteria/Deadline: To apply for this position, please upload your current resume and complete application by close of business day (5:00PM CST) on February 26, 2026\.
**For details on our comprehensive benefits, click** 
**here** 
**.**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49">
      <c r="A49" t="inlineStr">
        <is>
          <t>li-4374967039</t>
        </is>
      </c>
      <c r="B49" t="inlineStr">
        <is>
          <t>Sr Data Scientist - Fraud/Risk</t>
        </is>
      </c>
      <c r="C49" t="inlineStr">
        <is>
          <t>Jobs via Dice</t>
        </is>
      </c>
      <c r="D49" t="inlineStr">
        <is>
          <t>linkedin</t>
        </is>
      </c>
      <c r="E49" t="inlineStr"/>
      <c r="F49" t="inlineStr"/>
      <c r="G49" t="inlineStr">
        <is>
          <t>San Francisco, CA</t>
        </is>
      </c>
      <c r="H49" t="inlineStr"/>
      <c r="I49" t="inlineStr">
        <is>
          <t>**About The Role**
**We're looking for a Senior Data Scientist to join our Risk Decision Science team.** 
 In this role, you'll apply a data\-driven approach to identify, understand, and scope emerging fraud trends across the Uber platform.
 As a
 **Senior Data Scientist (L5\)** 
 , you will be a technical bar\-raiser and a trusted domain expert for stakeholders. You won't just analyze data, you will lead critical initiatives in fraud detection and collaborate closely with cross\-functional partners, including engineers, product managers, operations, and other data scientists.
 You will be responsible for balancing complex trade\-offs between fraud mitigation and user experience to drive key performance metrics like fraud losses and false positive rates. Success will require a strong blend of business and technical acumen, along with excellent communication and collaboration skills to work effectively with both internal and external stakeholders.
**What You'll Do**
 1\\\\. Technical Leadership \&amp; Judgment: Apply effective techniques (ML, LLM, and experimentation) to solve a wide variety of new or existing business problems. You will be expected to make sound choices on measurement and metrics, depending on the problem and audience. Evolve our risk metrics, shape and influence our data models and instrumentation to generate insights and develop new data products and models.
 2\\\\. Strategic Influence: Influence the cross\-functional roadmap by providing insights and recommendations that go beyond analytical considerations. You will collaborate with Product, Engineer, Ops, and regional teams to develop long\-term risk strategies.
 3\\\\. Effective Communication: Tailor complex findings into compelling narratives for executive audiences. You will document logic and risks effectively to ensure the \\"why\\" behind your work is understood at a leadership level.
 4\\\\. Operational Excellence: Consistently take effective prioritization calls to maximize business impact. Deliver impactful and meaningful strategies to mitigate fraudulent activities and achieve key results (OKRs)
 5\\\\. Mentorship: Hold the bar for technical excellence by conducting peer reviews and helping junior analysts develop through meaningful feedback
 6\\\\. Stay highly engaged and always hustle, as Uber Risk is a very fast\-paced environment
**Basic Qualifications**
 1\\\\. 5\+ years in a data\-focused role such as product analytics, business analytics, business operations, or data science
 2\\\\. Bachelor's degree in Mathematics, Statistics, Computer Science, Engineering, Economics, or other quantitative fields
 3\\\\. Experience in framing ambiguous business problems into structured analytical work.
 4\\\\. Experience in leading large cross\-functional projects
 5\\\\. Highly proficient in data science and visualization tools, such as SQL, Python, Tableau
 6\\\\. Proficient at defining, utilizing, and communicating performance metrics.
 7\\\\. proven track record of applying analytical/statistical methods to solve real\-world problems using big data
 8\\\\. Creative problem solving, critical thinking skills, and a get\-things\-done attitude
 9\\\\. Hands\-on, data\-driven, and attentive to detail
**Preferred Qualifications**
 1\\\\. Advanced degree in Mathematics, Statistics, Computer Science, Economics, or other quantitative fields
 2\\\\. 3\+ years in Risk/Fraud/Payments
 3\\\\. Expertise in statistics and experimental design
 4\\\\. Demonstrated ability to be an effective leader, producing high\-quality work and crafting meaningful relationships
 5\\\\. Team player \-\- this is a highly collaborative function that will work with a range of senior leaders
 6\\\\. Outstanding communication and people skills \-\- numbers are key, but one should be able to explain the implications to an executive audience
 7\\\\. Passion for Uber!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\[https://jobs.uber.com/en/benefits](https://jobs.uber.com/en/benefits).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form](https://forms.gle/aDWTk9k6xtMU25Y5A).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50">
      <c r="A50" t="inlineStr">
        <is>
          <t>li-4374955824</t>
        </is>
      </c>
      <c r="B50" t="inlineStr">
        <is>
          <t>Sr Staff Data Scientist</t>
        </is>
      </c>
      <c r="C50" t="inlineStr">
        <is>
          <t>Jobs via Dice</t>
        </is>
      </c>
      <c r="D50" t="inlineStr">
        <is>
          <t>linkedin</t>
        </is>
      </c>
      <c r="E50" t="inlineStr"/>
      <c r="F50" t="inlineStr"/>
      <c r="G50" t="inlineStr">
        <is>
          <t>California, United States</t>
        </is>
      </c>
      <c r="H50" t="inlineStr"/>
      <c r="I50"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 Staff Data Engineer and Scientist, you will be an integral member of our Customer Analytics team, responsible for shaping the future of our business operations through robust data infrastructure and advanced analytical solutions. This unique hybrid role combines data engineering and applied AI/ML, requiring an entrepreneurial problem\-solver who thrives in tackling ambiguous business problems through their deep understanding of the business as well as deep technical expertise. You will act as both a strategic partner as well as builder, developing deep insights , building, developing and curating new datasets, as well as owning the end to end ML/AI model deployment for key customer success initiatives.
 You will be constantly challenged by tough engineering and design tasks, working in a fast\-paced setting to deliver high\-quality, impactful work.
**This is an in office role 3 days/week in our HQ, Santa Clara, CA**
**Your Impact**
 In this versatile role, you will drive impact across both data engineering and data science domains:
**Data Engineering Foundations**
* Design \&amp; Development: Design and implement scalable data architectures and datasets that support the organization's evolving data needs, providing the technical foundations for our analytics team and business users.
* Data Engineering: Support and implement large datasets in batch/real\-time analytical solutions leveraging data transformation technologies.
* Data Security \&amp; Scalability: Enable robust data\-level security features and build scalable solutions to support dynamic cloud environments, including financial considerations.
* Process Improvement: Perform code reviews with peers and make recommendations on how to improve our end\-to\-end development processes.
**AI/ML Innovation \&amp; Business Impact**
* Develop \&amp; Deploy Classical ML Models: Own the end\-to\-end lifecycle of machine learning projects. You'll build and productionize sophisticated models for critical business areas such as marketing attribution, customer churn prediction, case escalation and other relevant use\-cases to post\-sales.
* Optimize AI Agentic Systems: Play a key role in our generative AI initiatives. You will be responsible for characterizing, evaluating, and fine\-tuning AI agents\-such as conversational systems that allow users to query massive datasets using natural language\-to improve their accuracy, efficiency, and reliability.
* Partner with Business Stakeholders: Act as an internal consultant to our Go\-to\-Market (GTM), Global Customer Services (GCS) and Product and Finance teams. You'll translate business challenges into data science use\-cases, identify opportunities for AI\-driven solutions, and present your findings in a clear, actionable manner.
* Own the Full Data Science Lifecycle: Your responsibilities will cover the entire project workflow, working with the business to understand the problem, charting a path to solve the problem, feature engineering, model selection and training, robust evaluation, deployment, and, in partnership with the data platform team, ongoing monitoring for performance degradation.
**Qualifications**
* 7 plus years experience building and maintain data pipeline both for reporting, analysis and feature engineering.
* Experience building and optimizing clean, well\-structured analytical datasets for business and data science use cases. This includes Implementing and supporting Big Data solutions for both batch (scheduled) and real\-time (streaming) analytics.
* Prior experience working extensively within dynamic cloud environments, specifically Google Cloud Services (GCS) BigQuery and Vertex AI.
* Prior experience developing dashboards in Tableau/Looker or similar data viz platform.
* Nice to have: Experience implementing and managing data\-level security features to ensure data is protected and access is properly controlled.
* Expert\-level programming skills in Python and familiarity with core data science and machine learning libraries (e.g., Scikit\-learn, Pandas, PyTorch/TensorFlow, XGBoost).
* A solid command of SQL for complex querying and data manipulation.
* Proven ability to work autonomously, navigate ambiguity, and drive projects from concept to completion.
**Preferred Qualifications**
* Prior working experience in Customer Analytics space and customer experience use\-cases, e.g. Escalation, Risk predictors, Renewals and efficiency of project delivery in Professional Services space.
* Direct experience with generative AI, including hands\-on work with LLMs and frameworks like LangChain, LlamaIndex, or the Hugging Face ecosystem.
* Experience in evaluating and optimizing the performance of AI systems or agents.
* Demonstrated expertise in specialized modeling domains such as causal inference, time\-series analysis.
* An MS or PhD in a quantitative field like Computer Science, AI, Statistics, or equivalent practical experience or equivalent military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$141,000\.00 \- $228,075\.00/yr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51">
      <c r="A51" t="inlineStr">
        <is>
          <t>li-4374955824</t>
        </is>
      </c>
      <c r="B51" t="inlineStr">
        <is>
          <t>Sr Staff Data Scientist</t>
        </is>
      </c>
      <c r="C51" t="inlineStr">
        <is>
          <t>Jobs via Dice</t>
        </is>
      </c>
      <c r="D51" t="inlineStr">
        <is>
          <t>linkedin</t>
        </is>
      </c>
      <c r="E51">
        <f>HYPERLINK("https://www.linkedin.com/jobs/view/4374955824", "https://www.linkedin.com/jobs/view/4374955824")</f>
        <v/>
      </c>
      <c r="F51" t="inlineStr"/>
      <c r="G51" t="inlineStr">
        <is>
          <t>California, United States</t>
        </is>
      </c>
      <c r="H51" t="inlineStr"/>
      <c r="I51"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Your Career
 As a Staff Data Engineer and Scientist, you will be an integral member of our Customer Analytics team, responsible for shaping the future of our business operations through robust data infrastructure and advanced analytical solutions. This unique hybrid role combines data engineering and applied AI/ML, requiring an entrepreneurial problem\-solver who thrives in tackling ambiguous business problems through their deep understanding of the business as well as deep technical expertise. You will act as both a strategic partner as well as builder, developing deep insights , building, developing and curating new datasets, as well as owning the end to end ML/AI model deployment for key customer success initiatives.
 You will be constantly challenged by tough engineering and design tasks, working in a fast\-paced setting to deliver high\-quality, impactful work.
**This is an in office role 3 days/week in our HQ, Santa Clara, CA**
**Your Impact**
 In this versatile role, you will drive impact across both data engineering and data science domains:
**Data Engineering Foundations**
* Design \&amp; Development: Design and implement scalable data architectures and datasets that support the organization's evolving data needs, providing the technical foundations for our analytics team and business users.
* Data Engineering: Support and implement large datasets in batch/real\-time analytical solutions leveraging data transformation technologies.
* Data Security \&amp; Scalability: Enable robust data\-level security features and build scalable solutions to support dynamic cloud environments, including financial considerations.
* Process Improvement: Perform code reviews with peers and make recommendations on how to improve our end\-to\-end development processes.
**AI/ML Innovation \&amp; Business Impact**
* Develop \&amp; Deploy Classical ML Models: Own the end\-to\-end lifecycle of machine learning projects. You'll build and productionize sophisticated models for critical business areas such as marketing attribution, customer churn prediction, case escalation and other relevant use\-cases to post\-sales.
* Optimize AI Agentic Systems: Play a key role in our generative AI initiatives. You will be responsible for characterizing, evaluating, and fine\-tuning AI agents\-such as conversational systems that allow users to query massive datasets using natural language\-to improve their accuracy, efficiency, and reliability.
* Partner with Business Stakeholders: Act as an internal consultant to our Go\-to\-Market (GTM), Global Customer Services (GCS) and Product and Finance teams. You'll translate business challenges into data science use\-cases, identify opportunities for AI\-driven solutions, and present your findings in a clear, actionable manner.
* Own the Full Data Science Lifecycle: Your responsibilities will cover the entire project workflow, working with the business to understand the problem, charting a path to solve the problem, feature engineering, model selection and training, robust evaluation, deployment, and, in partnership with the data platform team, ongoing monitoring for performance degradation.
**Qualifications**
* 7 plus years experience building and maintain data pipeline both for reporting, analysis and feature engineering.
* Experience building and optimizing clean, well\-structured analytical datasets for business and data science use cases. This includes Implementing and supporting Big Data solutions for both batch (scheduled) and real\-time (streaming) analytics.
* Prior experience working extensively within dynamic cloud environments, specifically Google Cloud Services (GCS) BigQuery and Vertex AI.
* Prior experience developing dashboards in Tableau/Looker or similar data viz platform.
* Nice to have: Experience implementing and managing data\-level security features to ensure data is protected and access is properly controlled.
* Expert\-level programming skills in Python and familiarity with core data science and machine learning libraries (e.g., Scikit\-learn, Pandas, PyTorch/TensorFlow, XGBoost).
* A solid command of SQL for complex querying and data manipulation.
* Proven ability to work autonomously, navigate ambiguity, and drive projects from concept to completion.
**Preferred Qualifications**
* Prior working experience in Customer Analytics space and customer experience use\-cases, e.g. Escalation, Risk predictors, Renewals and efficiency of project delivery in Professional Services space.
* Direct experience with generative AI, including hands\-on work with LLMs and frameworks like LangChain, LlamaIndex, or the Hugging Face ecosystem.
* Experience in evaluating and optimizing the performance of AI systems or agents.
* Demonstrated expertise in specialized modeling domains such as causal inference, time\-series analysis.
* An MS or PhD in a quantitative field like Computer Science, AI, Statistics, or equivalent practical experience or equivalent military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$141,000\.00 \- $228,075\.00/yr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52">
      <c r="A52" t="inlineStr">
        <is>
          <t>li-4376322986</t>
        </is>
      </c>
      <c r="B52" t="inlineStr">
        <is>
          <t>Data Scientist I - Early Careers</t>
        </is>
      </c>
      <c r="C52" t="inlineStr">
        <is>
          <t>Lensa</t>
        </is>
      </c>
      <c r="D52" t="inlineStr">
        <is>
          <t>linkedin</t>
        </is>
      </c>
      <c r="E52">
        <f>HYPERLINK("https://www.linkedin.com/jobs/view/4376322986", "https://www.linkedin.com/jobs/view/4376322986")</f>
        <v/>
      </c>
      <c r="F52">
        <f>HYPERLINK("https://lensa.com/cgw/4f224b802b8f470cb94337fea7ec1f2dtjo1?jpsi=directemployers&amp;publisher_preference=easier_apply&amp;utm_campaign=Computer%20Occupations&amp;utm_medium=slot&amp;utm_source=linkedin&amp;utm_term=jse&amp;urlHash=MsGF", "https://lensa.com/cgw/4f224b802b8f470cb94337fea7ec1f2dtjo1?jpsi=directemployers&amp;publisher_preference=easier_apply&amp;utm_campaign=Computer%20Occupations&amp;utm_medium=slot&amp;utm_source=linkedin&amp;utm_term=jse&amp;urlHash=MsGF")</f>
        <v/>
      </c>
      <c r="G52" t="inlineStr">
        <is>
          <t>Boston, MA</t>
        </is>
      </c>
      <c r="H52" t="inlineStr"/>
      <c r="I5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Wayfair. Clicking "Apply Now" or "Read more" on Lensa redirects you to the job board/employer site. Any information collected there is subject to their terms and privacy notice.
 Winter 2026 Start Dates
 Location: Boston, MA
**Additional Details**
* This is a Boston based opportunity with a 4 day in office expectation.
* At this time, Wayfair will not sponsor applicants for employment authorization for this position for the following work visas: STEM OPT EAD, H\-1B, H\-1B1, E\-3, O\-1, J\-1, or TN.
* The salary range for this position is $94,000 \- $99,000 per year. The base salary offered may vary depending on location, job\-related knowledge, skills, and experience
 Wayfair is continuing to expand our commitment to hiring and supporting talent early in their careers, focusing on filling opportunities with experienced graduates who have 1\-3 years of experience.
 Wayfair’s Forecasting \&amp; Replenishment Analytics team enables the Inventory Management function at Wayfair to achieve its mission of building an integrated approach to drive high product availability across CastleGate (CG), Physical Retail, and Dropship; combined with high turns, strong penetration, and optimal positioning for CG. The team consists of data scientists who are responsible for developing and managing global large\-scale demand forecasting systems and scalable analytics products that power Wayfair’s complex supply chain and inform the business on its performance and forward looking outcomes.
 The Forecasting \&amp; Replenishment Analytics team is looking for a data scientist to build analytics products, models, and data infrastructure to support inventory replenishment operations. Example projects include building forecasting models for E\-commerce and Physical Retail stores, building forward looking projections of inventory bleed\-down, and building automated infrastructure to collect data, refresh models, and update analytical tools daily.
**What You’ll Do** 
* 
+ Build scalable analytics products in SQL, Python, and G\-Suite visualization platforms (LookerStudio, Looker) that enable leadership and other internal customers to understand and manage performance, including forward looking models that evaluate the impact of our strategy on fulfillment activities, resourcing, and costs
* Build automated infrastructure in Google Cloud Composer to load and transform data, run models or analytical frameworks, and update front end dashboards.
* Perform statistical analysis across large data sets to develop performance insights and forward looking projections of business outcomes
* Make demand forecasting model enhancements to account for new business strategies that drive specific demand patterns
* Build segment level performance projections to develop holistic views which indicate company wide trajectory across various operational KPI
* Establish data structures that enable scalability in the processes and tools to monitor CG inventory performance across key KPIs (turns, availability, penetration, positioning) and allow for adjacent teams to consume that data
* Communicate findings with colleagues from computer science, operations research and business backgrounds
**What You’ll Need**
 Basic Qualifications
* MS in a quantitative field (Engineering, Operations Research, Mathematics, Economics) with a strong academic record
* A highly analytical individual who can give structure to complex and often ambiguous data and modeling problems
* Exceptional analytics skill set, including a high degree of comfort / expertise with Python and relational databases (SQL) on a daily basis with proven track record of insight development leading to action
* Comfort operating with large data sets to identify trends, drill into specific details, make recommendations, and deliver upon desired outcomes
* High attention to detail with ability to appropriately manage and prioritize projects and tasks appropriately that leads to results
* Innovative problem\-solving skills with a tenacity to develop ideas independently and thrive in a fast\-paced start\-up environment
* Passionate about tackling complex supply\-chain business problems from problem definition and business\-case development to implementation
* Authorization to work in the United States without visa sponsorship by Wayfair now or in the future. This includes the following work visas: STEM OPT EAD, H\-1B, H\-1B1, E\-3, O\-1, J\-1, or TN.
**Preferred Qualifications**
* Must have python in addition to SQL
* Demonstrated ability to design, build, and own data pipelines end\-to\-end, ensuring data accuracy, scalability, and reliability
* Demonstrated curiosity and interest in Artificial Intelligence and its applications in analytics and business
**Wayfair's In\-Office Policy**
 All Boston\-based interns, co\-ops, and corporate employees will be in office in a hybrid capacity. Employees will work in the office on designated days, Monday, Tuesday, Wednesday, and Thursday, and work remotely the other 1 day of the week.
 Benefits \&amp; Perks \- US
* Full health benefits available (Medical, Dental, Vision, HSA/FSA) on day one for eligible employees.
* No\-cost access to 2nd.MD, a virtual expert medical consultation and navigation service.
* Global Traveler Health Insurance through GeoBlue.
* 24/7 access to mental, financial, physical and emotional wellbeing support, plus an enhanced offering of therapy and coaching.
* Automatic enrollment into Basic Life and Accidental Death \&amp; Disability Insurance.
* 401(k) matching with immediate vesting.
* Paid Parental Leave, Surrogacy \&amp; Adoption Reimbursement and Caregiver Services.
* Tuition Reimbursement.
* Wayfair Employee Discount.
* Gym/Fitness Discounts (including Peloton, Wellhub and varying regional memberships).
* Exclusive access to thousands of perks \&amp; discounts through BenefitHub.
* Yearly match up to $500 for personal donations made by employees to registered 501(c)(3\) nonprofits.
**Purpose \&amp; Inclusion At Wayfair**
 At Wayfair, we pride ourselves on fostering an environment where every individual experiences a fair and equitable employee journey. We are committed to developing targeted resources that raise awareness around inclusion and eliminate barriers, ensuring Wayfair provides a fair and inclusive workplace experience for everyone.
**Social Impact \&amp; Responsibility**
 At Wayfair, we focus on helping people on their journey to home \- specifically those who have lost their way from home. We do this by leveraging our best assets, such as collaborating with leading nonprofit organizations, coordinating in\-kind product donations, empowering our employees to get involved through paid volunteer time off programs, and encouraging our customers to donate. This multi\-faceted approach allows us to support communities in need in authentic ways that align with Wayfair's broader mission of helping everyone, anywhere create their sense of home.
 Assistance for Individuals with Disabilities
 Wayfair is fully committed to providing equal opportunities for all individuals, including individuals with disabilities. As part of this commitment, Wayfair will make reasonable accommodations to the known physical or mental limitations of qualified individuals with disabilities, unless doing so would impose an undue hardship on business operations. If you require a reasonable accommodation to participate in the job application or interview process, please let us know by completing our Accomodations for Applicants form (https://docs.google.com/forms/d/1ElBqKaQYGR9j0NiQHQYCGbHkqKqN746Nk62pI32IyLU) .
 Need Technical Assistance?
 For more information about applying for a career at wayfair, visit our FAQ page here (https://www.aboutwayfair.com/careers/careers\-faq) .
**About Wayfair Inc.**
 Wayfair is one of the world’s largest online destinations for the home. Whether you work in our global headquarters in Boston, or in our warehouses or offices throughout the world, we’re reinventing the way people shop for their homes. Through our commitment to industry\-leading technology and creative problem\-solving, we are confident that Wayfair will be home to the most rewarding work of your career. If you’re looking for rapid growth, constant learning, and dynamic challenges, then you’ll find that amazing career opportunities are knocking.
 No matter who you are, Wayfair is a place you can call home. We’re a community of innovators, risk\-takers, and trailblazers who celebrate our differences, and know that our unique perspectives make us stronger, smarter, and well\-positioned for success. We value and rely on the collective voices of our employees, customers, community, and suppliers to help guide us as we build a better Wayfair – and world – for all. Every voice, every perspective matters. That’s why we’re proud to be an equal opportunity employer. We do not discriminate on the basis of race, color, ethnicity, ancestry, religion, sex, national origin, sexual orientation, age, citizenship status, marital status, disability, gender identity, gender expression, veteran status, genetic information, or any other legally protected characteristic.
 Your personal data is processed in accordance with our Candidate Privacy Notice (https://www.wayfair.com/careers/privacy). If you have any questions or wish to exercise your rights under applicable privacy and data protection laws, please contact us at dataprotectionofficer@wayfair.com.
 If you have questions about this posting, please contact support@lensa.com</t>
        </is>
      </c>
    </row>
    <row r="53">
      <c r="A53" t="inlineStr">
        <is>
          <t>li-4376338386</t>
        </is>
      </c>
      <c r="B53" t="inlineStr">
        <is>
          <t>Data Scientist (REMOTE)</t>
        </is>
      </c>
      <c r="C53" t="inlineStr">
        <is>
          <t>Lensa</t>
        </is>
      </c>
      <c r="D53" t="inlineStr">
        <is>
          <t>linkedin</t>
        </is>
      </c>
      <c r="E53">
        <f>HYPERLINK("https://www.linkedin.com/jobs/view/4376338386", "https://www.linkedin.com/jobs/view/4376338386")</f>
        <v/>
      </c>
      <c r="F53" t="inlineStr"/>
      <c r="G53" t="inlineStr">
        <is>
          <t>Dallas, TX</t>
        </is>
      </c>
      <c r="H53" t="inlineStr"/>
      <c r="I5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54">
      <c r="A54" t="inlineStr">
        <is>
          <t>li-4376322970</t>
        </is>
      </c>
      <c r="B54" t="inlineStr">
        <is>
          <t>Junior Data Scientist</t>
        </is>
      </c>
      <c r="C54" t="inlineStr">
        <is>
          <t>Lensa</t>
        </is>
      </c>
      <c r="D54" t="inlineStr">
        <is>
          <t>linkedin</t>
        </is>
      </c>
      <c r="E54">
        <f>HYPERLINK("https://www.linkedin.com/jobs/view/4376322970", "https://www.linkedin.com/jobs/view/4376322970")</f>
        <v/>
      </c>
      <c r="F54" t="inlineStr"/>
      <c r="G54" t="inlineStr">
        <is>
          <t>Chicago, IL</t>
        </is>
      </c>
      <c r="H54" t="inlineStr"/>
      <c r="I5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Serco. Clicking "Apply Now" or "Read more" on Lensa redirects you to the job board/employer site. Any information collected there is subject to their terms and privacy notice.
**Position Description \&amp; Qualifications**
 At Serco, we foster a dynamic and collaborative work environment where team members contribute to innovative, high\-impact projects for leading government clients. We provide opportunities to solve complex challenges, improve processes, and utilize the latest technologies to deliver top\-tier products and services to our customers. The positions on this contract are located both CONUS and OCONUS in support of Army Sustainment Command (ASC).
 As a Junior Data Scientist you will play a key role in supporting Army Sustainment Command (ASC).
**In This Role, You Will**
* Perform advanced analysis and analytics to produce algorithms and/or businessprocess recommendations.
* Develop and use data, algorithms, and analyses to identify and applymechanisms to both overcome impediments to materiel readiness and exploitopportunities to improve readiness through feasible, cost\-effective software andbusiness process improvements, changes, and interventions.
* Forecast and address complex analytical challenges and identify the challengesand opportunities within systems, develop comprehensive solutions, andincorporate these capabilities solutions into software and workflows.
* Develop analytics and process solution sets, the criteria for recommendedalgorithms and processes shall include preference for efficient methods that useas simple of a process as possible given the current state\-of\-the\-art practices.The analytics and process solution sets shall provide appropriate, economicsavings\-driven answers.
* Regularly identify and communicate courses of actions required for program andproject success, including appropriate reporting processes and applicablemetrics to monitor and assess outcomes.
* Proactively identify mechanisms to improve mission performance.
* Use appropriate quantitative analytics techniques to include time series analysisand forecasting, advanced multivariate regression (including Probit and LogitModels), systems dynamics modelling, Bayesian inference procedures, minimaxprocedures (statistical), subjective probability utilization, expected utility analysis,operational risk analysis, and uncertainty evaluation.
* Use appropriate qualitative analytics techniques to include multi\-criteria decisionanalysis, qualitative comparative analysis, causal mapping, formal game theory,minimax procedures (game theory), decision architecture, systems architectureanalysis, organizational analysis and structural reform, supply chain analysis,and multinational best practices (military and industry) evaluation.
* Use logistics and agent\-based modeling and simulation.
* Conduct business process analysis and optimization across the Doctrine,Organization, Training, Materiel, Leadership, Education, Personnel, Facilities,Policy (DOTMLPF\-P) spectrum and beyond.
* Produce formal use cases, software program change requests, and otherrequired documentation for technology insertion into related defense logisticssupport software.
* Interface and liaise with software program offices and contractors.
* Develop requirements for defense analytics software.
* Conduct stakeholder analysis and create products for stakeholdercommunications and messaging.
**To Be Successful In This Role, You Will Have**
* U.S. Citizenship
* An Active Secret Clearance or an interim Secret Clearance.
* A Bachelor's degree in data science, mathematics, statistics, economics, computer science, engineering, or other related business or quantitativediscipline.
* Minimum 1 year of experience working directly on a data science team.
* Experience working with tools, including object\-oriented programming (Python, Java), computational analysis tools (R, MATLAB), and associated data science libraries (scikit\-learn).
* Experience creating meaningful data visualizations and interactive dashboards using platforms such as Tableau, Qlik, Power BI, RShiny, plotly, and d3\.js to communicate findings and relate them back to how your insights create business impact.
* Working knowledge of databases and SQL; preferred qualifications include linking analytic and data visualization products to database connections.
* Superior communication skills, both oral and written.
* Understand data science methods related to data architecture, data munging, data and feature engineering, and predictive analytics.
* Unstructured text and natural language processing.
* Experience using tools or langauges like R, Python, SAS, or MATLAB, Anaconda, IBM Blue, and Oracle Big Data to analyze large data sets and develop automated analytics in making sense of data.
* Experience using machine learning, data mining, statistical networks, natural language processing, text analytics, and graph\-based algorithms to analyze massive data sets.
* Experience developing software to generate reports and visualizations that summarize data sets and provide data\-driven insights.
* Experience developing and implementing statistical, machine learning, and heuristic techniques to create descriptive, predictive, and prescriptive analytics as well as to develop statistical tests to make data\-driven recommendations and decisions.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 .
 If you have questions about this posting, please contact support@lensa.com</t>
        </is>
      </c>
    </row>
    <row r="55">
      <c r="A55" t="inlineStr">
        <is>
          <t>li-4376344109</t>
        </is>
      </c>
      <c r="B55" t="inlineStr">
        <is>
          <t>Data Scientist (REMOTE)</t>
        </is>
      </c>
      <c r="C55" t="inlineStr">
        <is>
          <t>Lensa</t>
        </is>
      </c>
      <c r="D55" t="inlineStr">
        <is>
          <t>linkedin</t>
        </is>
      </c>
      <c r="E55">
        <f>HYPERLINK("https://www.linkedin.com/jobs/view/4376344109", "https://www.linkedin.com/jobs/view/4376344109")</f>
        <v/>
      </c>
      <c r="F55">
        <f>HYPERLINK("https://lensa.com/cgw/d4b7ceac6ad14c8bb58c7f4d1c841490tjo1?jpsi=directemployers_no_redirect&amp;publisher_preference=easier_apply&amp;utm_campaign=Computer%20Occupations&amp;utm_medium=slot&amp;utm_source=linkedin&amp;utm_term=jse&amp;urlHash=qSFV", "https://lensa.com/cgw/d4b7ceac6ad14c8bb58c7f4d1c841490tjo1?jpsi=directemployers_no_redirect&amp;publisher_preference=easier_apply&amp;utm_campaign=Computer%20Occupations&amp;utm_medium=slot&amp;utm_source=linkedin&amp;utm_term=jse&amp;urlHash=qSFV")</f>
        <v/>
      </c>
      <c r="G55" t="inlineStr">
        <is>
          <t>Charlotte, NC</t>
        </is>
      </c>
      <c r="H55" t="inlineStr"/>
      <c r="I5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Sedgwick. Clicking "Apply Now" or "Read more" on Lensa redirects you to the job board/employer site. Any information collected there is subject to their terms and privacy notice.
 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Data Scientist (REMOTE)
 Data Scientist (Remote)
**PRIMARY PURPOSE OF THE ROLE:** 
 To develop and manage predictive modeling assignments through completion; to communicate results; to make recommendations to management; and to ensure model ownership, implementation, and monitoring; to spot trends and to gain maximum insight that can give the company a competitive advantage.
**ARE YOU AN IDEAL CANDIDATE?** 
 We are looking for enthusiastic candidates who thrive in a collaborative environment, who are driven to deliver great work, are customer\-oriented and are naturally empathetic.
**Essential Responsiblities May Include**
* Execute data science projects as identified by Sr Data Scientists, leadership, and stakeholders
* Help to build, prototype, and deploy machine learning models in sandbox and production environments
* Produce reports to communicate metrics and outcomes of stakeholder interest
* Assist with developing and maintaining end\-to\-end ETL data pipelines
* Work to explore new internal data sources and their utility within projects
* Communicate modeling challenges, findings, and outcomes to stakeholders
**Qualifications**
* Insurance claims knowledge preferred
* Minimum one year of predictive modeling, data science, and analysis experience with solid background in the using data visualization tools and libraries and data exploration, data wrangling, and feature engineering
* Experience writing Python or R code, and notebook environments
* Knowledge of common unsupervised/supervised ML techniques
**TAKING CARE OF YOU**
* Career development and promotional growth opportunities.
* A diverse and comprehensive benefits offering including medical, dental vision, 401k, PTO and more.
 \#DataEngineering
 \#HiringDataScientists
 \#DataScienceJobs
 \#Python
 \#DataScientist
 Work environment requirements for entry\-level opportunities include \-
 Physical: Computer keyboarding
 Auditory/visual: Hearing, vision and talking
 Mental: Clear and conceptual thinking ability; excellent judgement and discretion; ability to meet deadlines
 The statements contained in this document are intended to describe the general nature and level of work being performed by a colleague assigned to this description. They are not intended to constitute a comprehensive list of functions, duties, or local variances. Sedgwick retains the discretion to add or to change the duties of the position at any time.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
 Sedgwick is the world's leading risk and claims administration partner, which helps clients thrive by navigating the unexpected. The company's expertise, combined with the most advanced AI\-enabled technology available, sets the standard for solutions in claims administration, loss adjusting, benefits administration, and product recall. With over 33,000 colleagues and 10,000 clients across 80 countries, Sedgwick provides unmatched perspective, caring that counts, and solutions for the rapidly changing and complex risk landscape. For more, see
 **sedgwick.com**
 If you have questions about this posting, please contact support@lensa.com</t>
        </is>
      </c>
    </row>
    <row r="56">
      <c r="A56" t="inlineStr">
        <is>
          <t>li-4374979087</t>
        </is>
      </c>
      <c r="B56" t="inlineStr">
        <is>
          <t>Data Scientist</t>
        </is>
      </c>
      <c r="C56" t="inlineStr">
        <is>
          <t>FetchJobs.co</t>
        </is>
      </c>
      <c r="D56" t="inlineStr">
        <is>
          <t>linkedin</t>
        </is>
      </c>
      <c r="E56">
        <f>HYPERLINK("https://www.linkedin.com/jobs/view/4374979087", "https://www.linkedin.com/jobs/view/4374979087")</f>
        <v/>
      </c>
      <c r="F56">
        <f>HYPERLINK("https://www.fetchjobs.co/job-description-usg/3073562065?src=LinkedIn&amp;urlHash=gAGo", "https://www.fetchjobs.co/job-description-usg/3073562065?src=LinkedIn&amp;urlHash=gAGo")</f>
        <v/>
      </c>
      <c r="G56" t="inlineStr"/>
      <c r="H56" t="inlineStr"/>
      <c r="I56" t="inlineStr">
        <is>
          <t>**About The Company**
 Jobot is a leading organization dedicated to connecting talented professionals with innovative companies across various industries. Known for its commitment to diversity, inclusion, and fostering a dynamic work environment, Jobot specializes in providing tailored staffing solutions and career opportunities. With a focus on leveraging advanced technology and personalized service, Jobot has established itself as a trusted partner for both job seekers and employers. The company’s core values emphasize integrity, collaboration, and continuous growth, making it a preferred employer for professionals seeking meaningful and impactful careers.
**About The Role**
 The Raw Data Wrangling \- Advanced Analytics role is a vital position within our data science team, focused on transforming large, complex datasets into actionable insights. This onsite position located in The Woodlands requires a dedicated Data Scientist who is proficient in data manipulation, statistical modeling, and advanced analytics techniques. The successful candidate will work closely with engineering and business teams to develop and implement data\-driven solutions that optimize processes, enhance decision\-making, and generate measurable value for the organization. This role offers an exciting opportunity to engage with cutting\-edge AI technologies, including generative AI and large language models, to solve real\-world problems and drive enterprise transformation.
**Qualifications**
 Applicants should possess a strong educational background in computer science, data science, statistics, or related fields, with demonstrated experience in advanced analytics and data wrangling. Proficiency in programming languages such as Python and familiarity with big data frameworks like Spark and PySpark are essential. Experience with SQL, MySQL, and SparkSQL for data querying and manipulation is required. Knowledge of data visualization tools such as Tableau and experience working with Databricks and AWS Glue are highly desirable. Candidates should have hands\-on experience with machine learning algorithms including Linear Regression, Generalized Linear Models, Random Forests, and an understanding of Generative AI and Large Language Models. Strong problem\-solving skills, attention to detail, and the ability to work collaboratively in a fast\-paced environment are crucial for success in this role.
**Responsibilities**
 The Data Scientist will be responsible for ingesting, cleaning, and transforming large datasets to support advanced analytics initiatives. Key responsibilities include developing and deploying machine learning models, utilizing statistical techniques to identify patterns and trends, and creating dashboards and visualizations to communicate insights effectively. The role involves collaborating with cross\-functional teams to understand business needs and translate them into technical solutions. The candidate will also be tasked with researching and implementing AI innovations, including GenAI and LLMs, to enhance analytical capabilities. Additionally, maintaining data integrity, optimizing data pipelines, and ensuring compliance with data governance standards are integral parts of this position. The role requires proactive engagement in continuous learning to stay current with emerging technologies and industry best practices.
**Benefits**
 Joining Jobot offers a comprehensive benefits package designed to support your professional and personal well\-being. Employees are eligible for competitive salary packages, including performance\-based bonuses and stock options. The company provides health insurance plans covering medical, dental, and vision care, along with wellness programs and mental health resources. Professional development opportunities, including training, certifications, and conferences, are encouraged to foster growth. Additionally, Jobot promotes a flexible work environment, with onsite work in The Woodlands, and values work\-life balance. Employees also enjoy a collaborative culture, recognition programs, and various employee engagement activities aimed at creating a supportive and inclusive workplace.
 Equal Opportunity
 Jobot is an Equal Opportunity Employer committed to fostering an inclusive and diverse work environment. We welcome applications from individuals of all backgrounds, regardless of race, color, sex, sexual orientation, gender identity, religion, national origin, age (40 and over), disability, military status, genetic information, or any other protected characteristic. We prohibit harassment and discrimination in all employment practices and are dedicated to ensuring equal opportunity in hiring, promotion, and all employment\-related decisions. Our policies comply with all applicable federal, state, and local laws, and we strive to create a workplace where everyone feels valued and respected.</t>
        </is>
      </c>
    </row>
    <row r="57">
      <c r="A57" t="inlineStr">
        <is>
          <t>li-4376350062</t>
        </is>
      </c>
      <c r="B57" t="inlineStr">
        <is>
          <t>Data Scientist</t>
        </is>
      </c>
      <c r="C57" t="inlineStr">
        <is>
          <t>Asplundh Tree Expert, LLC</t>
        </is>
      </c>
      <c r="D57" t="inlineStr">
        <is>
          <t>linkedin</t>
        </is>
      </c>
      <c r="E57">
        <f>HYPERLINK("https://www.linkedin.com/jobs/view/4376350062", "https://www.linkedin.com/jobs/view/4376350062")</f>
        <v/>
      </c>
      <c r="F57">
        <f>HYPERLINK("https://careers.asplundh.com/jobs/17180934-data-scientist?tm_job=5325&amp;tm_event=view&amp;tm_company=91679&amp;bid=56&amp;urlHash=YIMi", "https://careers.asplundh.com/jobs/17180934-data-scientist?tm_job=5325&amp;tm_event=view&amp;tm_company=91679&amp;bid=56&amp;urlHash=YIMi")</f>
        <v/>
      </c>
      <c r="G57" t="inlineStr">
        <is>
          <t>Willow Grove, PA</t>
        </is>
      </c>
      <c r="H57" t="inlineStr"/>
      <c r="I57" t="inlineStr">
        <is>
          <t>**Description**
**Data Scientist**
**About Asplundh Tree Expert, LLC**
**Asplundh Tree Expert, LLC** 
 is a leading provider of vegetation management, utility infrastructure services, and related field operations across North America. Our work supports critical electrical and communications infrastructure by helping utilities and municipalities improve safety, reliability, and operational performance. Data and analytics play a growing role in how we plan work, manage costs, optimize resources, and deliver high\-quality service at scale.
**About The Role**
 We’re looking for a Data Scientist to join Asplundh’s Technology / Data \&amp; Analytics organization with a focus on
 **finance and operational performance** 
 . In this role, you will transform complex operational, workforce, and financial data into actionable insights and predictive solutions that improve decision\-making, field efficiency, cost control, and service outcomes.
 You will work closely with leaders across Operations, Finance, Fleet/Assets, Safety, HR/Workforce Planning, and Technology to define analytical problems, build models, and communicate results that drive measurable impact.
**What You’ll Do (Responsibilities)**
* Collect, clean, and preprocess datasets from multiple sources, including operational systems, workforce data, financial platforms, asset/fleet tools, and enterprise data warehouses.
* Analyze financial and field operational trends to identify cost drivers, productivity gaps, performance risks, and optimization opportunities.
* Build, validate, and maintain models for:
+ Financial forecasting (revenue, cost, budget variance, margin drivers)
+ Operational forecasting (workload, demand, staffing, resource needs)
+ Efficiency and cost optimization (crew scheduling, routing, overtime reduction, asset utilization)
* Develop reproducible analytics and pipelines using Python/R and SQL, and follow strong documentation standards.
* Design and monitor key performance indicators (KPIs) for field operations, finance, safety, and service delivery, including root cause analysis for variance.
* Create dashboards, scorecards, and reports for Finance and Operations stakeholders that clearly highlight trends, risks, and recommended actions.
* Partner with business leaders to translate goals (cost control, productivity, throughput, reliability, safety outcomes) into measurable analytic questions.
* Present results to technical and non\-technical audiences, explaining assumptions, uncertainty, and expected impact.
* Support experimentation and continuous improvement efforts (e.g., pilot evaluations, operational process changes).
* Work with data engineering and IT to transition analyses/models into production or operational workflows where applicable.
**Required**
**What We’re Looking For (Qualifications)**
* Bachelor’s degree in Data Science, Statistics, Computer Science, Mathematics, Engineering, Economics, Finance, or a related field (or equivalent practical experience).
* 5\-7 years in a Data Science or related position.
* Strong foundation in statistics and probability (hypothesis testing, distributions, regression).
* Proficiency in Python or R for analysis and machine learning.
* Strong knowledge of SQL for querying large datasets.
* Working understanding of machine learning methods and evaluation metrics.
* Ability to communicate clearly with Finance and Operations teams.
* Strong problem\-solving and project execution skills.
**Preferred / Nice To Have**
* Experience in finance analytics, budgeting, forecasting, or cost modeling.
* Familiarity with operational domains such as field operations, utilities, workforce planning, logistics, asset/fleet management, or safety analytics.
* Experience with time\-series, optimization, or geospatial analysis.
* Experience with BI/visualization tools (Power BI, Tableau, Looker).
* Familiarity with cloud or big\-data platforms (Azure/AWS/GCP, Databricks, Spark) is a plus.
* Comfort with Git/version control and production\-minded analytics practices.
**Key Skills \&amp; Competencies**
* Financial and operational analytical thinking
* Statistical reasoning and model interpretation
* Data wrangling and feature engineering
* Forecasting and predictive modeling
* KPI design and performance monitoring
* Data visualization and storytelling
* Collaboration in cross\-functional environments
* Attention to detail, accuracy, and data governance
**Tools \&amp; Technologies You May Use**
* Languages: Python, R, SQL
* Libraries: pandas, scikit\-learn, numpy, scipy, statsmodels, PyTorch/TensorFlow (as needed)
* Visualization: Power BI, Looker, matplotlib, seaborn, ggplot2
* Data Platforms: Snowflake, Oracle, SQL Server (depending on stack)
* Workflow: Git,
**Success Looks Like**
 Within the first 3–6 months, you will:
* Deliver analytics that improve forecast accuracy, cost visibility, crew productivity, or operational efficiency.
* Build or enhance KPI dashboards used by field and finance leaders.
* Contribute to at least one high\-impact model or analytical tool adopted by stakeholders.
* Build credibility through reliable delivery, clear communication, and measurable results.
**Compensation \&amp; Benefits**
 (Insert your ranges and benefits)
* Competitive salary
* Medical, dental, and vision insurance
* Retirement plan with company match
* Paid time off and holidays
* Learning and professional development support
* Growth opportunities within a national leader in vegetation management and utility services
**Benefits**
 We offer a competitive range of benefits to support our employees’ health, well\-being, and financial security. Medical, dental, and vision benefits are available to all eligible employees on the first day of employment. For more information on the benefits available for this role, please contact the recruiter or hiring manager.
**Individuals with a disability who desire a reasonable accommodation can contact the ADA Coordinator by calling 1\-833\-222\-3066\. We partner with the Department of Homeland Security/U.S. Customs and Immigration Service to e\-Verify all newly hired employees.**
**An Equal Opportunity Employer.**
**Please note:**
* All job offers are subject to pre\-employment drug screening and a background check.
* Unless otherwise noted, we do not sponsor employees for work authorization in the U.S. for this position.
**Notice to Agencies:** 
 We only accept resumes from recruiters, employment agencies, or staffing services if a Service Agreement has been signed and we have requested recruitment/staffing services for the specific position. Any unsolicited resumes will become the property of the company, and no fees or compensation will be paid to the recruiter, employment agency, or staffing service.</t>
        </is>
      </c>
    </row>
    <row r="58">
      <c r="A58" t="inlineStr">
        <is>
          <t>li-4373781162</t>
        </is>
      </c>
      <c r="B58" t="inlineStr">
        <is>
          <t>Data Scientist - Optimization and Advanced Machine Learning</t>
        </is>
      </c>
      <c r="C58" t="inlineStr">
        <is>
          <t>ChatGPT Jobs</t>
        </is>
      </c>
      <c r="D58" t="inlineStr">
        <is>
          <t>linkedin</t>
        </is>
      </c>
      <c r="E58">
        <f>HYPERLINK("https://www.linkedin.com/jobs/view/4373781162", "https://www.linkedin.com/jobs/view/4373781162")</f>
        <v/>
      </c>
      <c r="F58">
        <f>HYPERLINK("https://chatgpt-jobs.com/job/data-scientist-optimization-and-advanced-machine-learning-fm-3866&amp;urlHash=ztBh", "https://chatgpt-jobs.com/job/data-scientist-optimization-and-advanced-machine-learning-fm-3866&amp;urlHash=ztBh")</f>
        <v/>
      </c>
      <c r="G58" t="inlineStr"/>
      <c r="H58" t="inlineStr"/>
      <c r="I58" t="inlineStr">
        <is>
          <t>**Job Description**
 Data Scientist \- Optimization and Advanced Machine Learning
**FM** 
 \- Johnston, RI
* On\-site, Remote
**Salary:** 
 $103\.04K \- $148\.10K/yr
**Type:** 
 Full\-time
**Benefits:** 
 Medical, Retirement
**Posted:** 
 3 hours ago
**Job Description**
 FM is seeking a Data Scientist specializing in optimization and advanced machine learning to translate business needs into analytical \&amp; AI solutions. The role involves designing, developing, and deploying optimization models, AI/ML algorithms, and decision‑support systems for real‑world problems across various teams.
 Key Responsibilities
* Build machine learning and AI solutions using Python/R and modern ML frameworks.
* Develop and deploy optimization models for risk assessment and operational decision‑making.
* Lead end‑to\-end model development: problem framing, data processing, feature engineering, modeling, validation, implementation, and monitoring.
* Work with cross‑functional partners to translate analytical insights into business actions.
* Work with large‑scale datasets using SQL or similar tools and implement robust data pipelines.
* Apply creativity and domain expertise to evaluate and improve model performance and interpretability.
* Contribute to continuous innovation in optimization, ML, and AI practices across the organization.
**Qualifications**
**Education:**
* Master’s degree in Operations Research, Industrial Engineering, Applied Mathematics, Computer Science, Data Science, or a related field. PhD preferred.
**Experience**
* 5\+ years of industry experience in building optimization or machine learning solutions.
* 5\+ years hands‑on experience with data processing, modeling, and advanced analytics using Python or R.
* 3\+ years experience working with large datasets using SQL or similar technologies.
* Experience leading full‑cycle data science or optimization projects from ideation to deployment.
* Experience with cloud‑based analytics and machine learning platforms, preferably Azure Databricks
**Technical Skills**
 Strong Knowledge \&amp; Practical Experience in:
* Optimization methods:
+ Linear / Non‑linear programming
+ Mixed‑integer optimization
+ Metaheuristics (GA, simulated annealing, evolutionary algorithms)
+ Stochastic and robust optimization
* Core Machine Learning algorithms:
+ Tree‑based models, gradient boosting
+ Clustering \&amp; unsupervised learning
+ Neural networks and deep learning fundamentals
* Simulation
* Model evaluation, validation, and experimentation
* Data wrangling, feature engineering, and pipeline design
* ML engineering practices following MLOps principles (model tracking, reproducibility, deployment)
**Preferred Qualifications**
* Experience in risk management, insurance, or operations modeling.</t>
        </is>
      </c>
    </row>
    <row r="59">
      <c r="A59" t="inlineStr">
        <is>
          <t>li-4373776239</t>
        </is>
      </c>
      <c r="B59" t="inlineStr">
        <is>
          <t>Data Scientist - Kaggle Grandmaster</t>
        </is>
      </c>
      <c r="C59" t="inlineStr">
        <is>
          <t>ChatGPT Jobs</t>
        </is>
      </c>
      <c r="D59" t="inlineStr">
        <is>
          <t>linkedin</t>
        </is>
      </c>
      <c r="E59">
        <f>HYPERLINK("https://www.linkedin.com/jobs/view/4373776239", "https://www.linkedin.com/jobs/view/4373776239")</f>
        <v/>
      </c>
      <c r="F59" t="inlineStr"/>
      <c r="G59" t="inlineStr">
        <is>
          <t>Charleston, WV</t>
        </is>
      </c>
      <c r="H59" t="inlineStr"/>
      <c r="I59" t="inlineStr">
        <is>
          <t>**Job Description**
 Data Scientist \- Kaggle Grandmaster
 YO IT CONSULTING \- Charleston, WV
 On\-site, Remote
 Contractor
 Posted 2 hours ago
**Job Description**
* Engagement Type: Independent Contractor
* Work Mode: Fully Remote
* Hours: 30\-40 hours/week or Full\-Time (Flexible)
**About The Role**
 We are partnering with a leading AI research lab to hire a highly skilled
 **Data Scientist with a Kaggle Grandmaster profile** 
 .
 In this role, you will transform complex datasets into actionable insights, high\-performing models, and scalable analytical workflows. You will collaborate closely with researchers and engineers to design rigorous experiments, build advanced statistical and machine learning models, and develop data\-driven frameworks that support product and research decisions.
 Key Responsibilities
* Analyze large, complex datasets to uncover patterns and generate actionable insights
* Build predictive models and ML pipelines across:
+ Tabular data
+ Time\-series data
+ NLP
+ Multimodal datasets
* Design and implement validation strategies, experimental frameworks, and analytical methodologies
* Develop automated data workflows, feature pipelines, and reproducible research environments
* Conduct exploratory data analysis (EDA), hypothesis testing, and model\-driven investigations
* Translate analytical results into clear recommendations for engineering, product, and leadership teams
* Collaborate with ML engineers to productionize models and ensure reliable data workflows at scale
* Present findings via dashboards, structured reports, and documentation
**Required Qualifications**
* Kaggle Competitions Grandmaster or comparable achievement (top\-tier rankings, multiple medals, or exceptional competition performance)
* 3\-5\+ years of experience in data science or applied analytics
* Strong proficiency in Python and data tools (Pandas, NumPy, Polars, scikit\-learn, etc.)
* Experience building ML models end\-to\-end (feature engineering, training, evaluation, deployment)
* Strong understanding of statistical methods, experiment design, and causal/quasi\-experimental analysis
* Familiarity with modern data stacks (SQL, distributed datasets, dashboards, experiment tracking tools)
* Excellent communication skills and ability to present analytical insights clearly
 Nice to Have
* Contributions across multiple Kaggle tracks (Notebooks, Datasets, Discussions, Code)
* Experience in AI labs, fintech, product analytics, or ML\-driven organizations
* Knowledge of LLMs, embeddings, and modern ML techniques for text, image, and multimodal data
* Experience with big data ecosystems (Spark, Ray, Snowflake, BigQuery, etc.)
* Familiarity with Bayesian methods or probabilistic programming frameworks
 Why Join
* Work on cutting\-edge AI research workflows
* Collaborate with world\-class data scientists and ML engineers
* Solve high\-impact, real\-world data science challenges
* Experiment with advanced modeling strategies and competition\-grade validation techniques
* Flexible engagement options ideal for Kaggle\-level problem solvers</t>
        </is>
      </c>
    </row>
    <row r="60">
      <c r="A60" t="inlineStr">
        <is>
          <t>li-4376340387</t>
        </is>
      </c>
      <c r="B60" t="inlineStr">
        <is>
          <t>Data Scientist</t>
        </is>
      </c>
      <c r="C60" t="inlineStr">
        <is>
          <t>Haystack</t>
        </is>
      </c>
      <c r="D60" t="inlineStr">
        <is>
          <t>linkedin</t>
        </is>
      </c>
      <c r="E60">
        <f>HYPERLINK("https://www.linkedin.com/jobs/view/4376340387", "https://www.linkedin.com/jobs/view/4376340387")</f>
        <v/>
      </c>
      <c r="F60" t="inlineStr"/>
      <c r="G60" t="inlineStr"/>
      <c r="H60" t="inlineStr"/>
      <c r="I60" t="inlineStr">
        <is>
          <t>We're working with a premier federal protective and investigative agency on this exciting opportunity. We are seeking a mission\-driven expert to harness advanced analytics and GenAI to safeguard national security and drive organizational transformation.
 This isn't your average data role; you will be at the forefront of high\-stakes intelligence, using Machine Learning, Cloud architectures, and predictive modeling to inform elite\-level decision\-making. If you want your code and insights to have a direct impact on global security, this is the desk for you.
**The Role**
* Direct the creation and implementation of statistically valid data collection tools and systems to streamline agency\-wide reporting requirements.
* Collaborate with interdisciplinary teams to build and maintain sophisticated data models, automation pipelines, and interactive dashboards.
* Deploy advanced expertise in Cloud Platforms and Generative AI to solve complex, real\-world security and operational challenges.
* Translate "black box" analytical findings into compelling narratives and interactive storytelling for senior policymakers and non\-technical stakeholders.
* Lead the lifecycle of MLOps to ensure models are scalable, reliable, and integrated into the agency’s mission\-critical workflows.
**What You'll Need**
* Proficiency in data science programming languages (Python or R) and a strong grasp of Machine Learning Operations (MLOps).
* Deep technical experience in at least two specialized areas: Cloud Platforms (AWS/Azure), Generative AI, or Advanced Statistical Modeling.
* U.S. Citizenship (Required) and the ability to obtain and maintain a Top\-Secret Tier 5 security clearance.
* Demonstrated ability to manage complex data projects from ideation through to senior\-level presentation and implementation.
* Strong communication skills with the ability to navigate high\-pressure environments with precision and tact.
**What's On Offer**
* Competitive federal salary range of $121,785\.00 – $158,322\.00 (GS\-13\) with excellent stability.
* The opportunity to work at the intersection of technology and national security within an elite federal office.
* Comprehensive federal benefits package including health, retirement, and job security.
* Influence over massive data sets that drive positive transformation for one of the world's most recognized agencies.
**Apply via Haystack today!**</t>
        </is>
      </c>
    </row>
    <row r="61">
      <c r="A61" t="inlineStr">
        <is>
          <t>li-4376324966</t>
        </is>
      </c>
      <c r="B61" t="inlineStr">
        <is>
          <t>Data Scientist</t>
        </is>
      </c>
      <c r="C61" t="inlineStr">
        <is>
          <t>Lensa</t>
        </is>
      </c>
      <c r="D61" t="inlineStr">
        <is>
          <t>linkedin</t>
        </is>
      </c>
      <c r="E61">
        <f>HYPERLINK("https://www.linkedin.com/jobs/view/4376324966", "https://www.linkedin.com/jobs/view/4376324966")</f>
        <v/>
      </c>
      <c r="F61" t="inlineStr"/>
      <c r="G61" t="inlineStr">
        <is>
          <t>Phoenix, AZ</t>
        </is>
      </c>
      <c r="H61" t="inlineStr"/>
      <c r="I6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Intel. Clicking "Apply Now" or "Read more" on Lensa redirects you to the job board/employer site. Any information collected there is subject to their terms and privacy notice.
**Job Details**
**Job Description:**
 Join Intel's Advanced Packaging Technology and Manufacturing (APTM) Yield Organization and become the architect of next\-generation manufacturing intelligence! As a Data Scientist, you'll be at the forefront of transforming how we understand, predict, and optimize manufacturing yields through groundbreaking AI/ML technologies and autonomous agent systems.
**What You'll Create**
 Drive the future of manufacturing analytics by developing revolutionary proof\-of\-concepts that demonstrate the technical feasibility of predictive yield models using AI/ML, agentic AI, and computer vision technologies. You'll design and architect sophisticated AI agent ecosystems for yield modeling and manufacturing data analytics, including advanced frameworks for agent orchestration, multi\-agent coordination, RAG systems, and continuous improvement pipelines.
 Your work will directly bridge the gap between complex manufacturing challenges and scalable AI solutions, collaborating closely with yield analysts and business partners to translate real\-world manufacturing yield issues into transformative system requirements.
 This isn't just data science\-it's manufacturing transformation. Your innovations will influence production processes that power the world's most advanced semiconductor technologies, directly impacting yield optimization across Intel's cutting\-edge packaging operations.
**Ready to Transform Manufacturing Intelligence?**
 If you're passionate about applying cutting\-edge AI to solve complex manufacturing challenges and want to see your innovations impact global semiconductor production, this is your opportunity to lead the future of manufacturing analytics.
**Apply now and help us build the AI systems that will define next\-generation manufacturing excellence!**
**Qualifications**
**Qualifications**
**Minimum Qualifications**
* Bachelor's degree with 6 years of experience, Master's or Ph. D degree with 3 years of experience in Computer Science, Data Science, or Engineering discipline
* AI/ML Experience \- 5\+ years in AI/ML and software engineering with measurable impact
* Autonomous AI mastery \- Hands\-on experience developing LLMs and autonomous AI systems using multi\-agent frameworks (LangChain, LangGraph, AutoGen) and RAG pipeline development with vector databases
* Applied AI track record \- Demonstrated success applying AI/ML, agentic AI, deep learning/computer vision (PyTorch, TensorFlow, OpenCV), and statistical methods to high\-volume data extraction and insights
* Full\-stack Python \- Python for end\-to\-end system development including data parsing, ETL pipelines, UI frameworks (Streamlit, Flask), database integration (MySQL, PostgreSQL, MongoDB), and API development (FastAPI)
**Preferred Qualifications**
* Manufacturing AI experience \- Experience applying AI/ML solutions to extract insights and solve real manufacturing business problems
* DevOps proficiency \- Git version control, CI/CD practices, and MLOps for automated deployment
* Container orchestration \- Docker and Kubernetes for scalable system deployment
**Job Type**
 Experienced Hire
**Shift**
 Shift 1 (United States of America)
**Primary Location:**
 US, Arizona, Phoenix
**Additional Locations:**
**Business Group**
 Intel Foundry strives to make every facet of semiconductor manufacturing state\-of\-the\-art while delighting our customers \-\- from delivering cutting\-edge silicon process and packaging technology leadership for the AI era, enabling our customers to design leadership products, global manufacturing scale and supply chain, through the continuous yield improvements to advanced packaging all the way to final test and assembly. We ensure our foundry customers' products receive our utmost focus in terms of service, technology enablement and capacity commitments. Employees in the Foundry Technology Manufacturing are part of a worldwide factory network that designs, develops, manufactures, and assembly/test packages the compute devices to improve the lives of every person on Earth.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**Benefits**
 We offer a total compensation package that ranks among the best in the industry. It consists of competitive pay, stock bonuses, and benefit programs which include health, retirement, and vacation. Find out more about the benefits of working at Intel (https://intel.wd1\.myworkdayjobs.com/External/page/1025c144664a100150b4b1665c750003\) .
 Annual Salary Range for jobs which could be performed in the US: $136,900\.00\-269,150\.00 USD
 The range displayed on this job posting reflects the minimum and maximum target compensation for the position across all US locations. Within the range, individual pay is determined by work location and additional factors, including job\-related skills, experience, and relevant education or training. Your recruiter can share more about the specific compensation range for your preferred location during the hiring process.
**Work Model for this Role**
 This role will require an on\-site presence. \* Job posting details (such as work model, location or time type) are subject to change.
-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
 If you have questions about this posting, please contact support@lensa.com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2026-02-22T04:36:48Z</dcterms:created>
  <dcterms:modified xsi:type="dcterms:W3CDTF">2026-02-22T04:36:48Z</dcterms:modified>
</cp:coreProperties>
</file>