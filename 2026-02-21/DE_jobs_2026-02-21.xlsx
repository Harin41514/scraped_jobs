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in-a5c25903ac772cff</t>
        </is>
      </c>
      <c r="B2" t="inlineStr">
        <is>
          <t>Application Data Engineer Assoc R41056</t>
        </is>
      </c>
      <c r="C2" t="inlineStr">
        <is>
          <t>Baystate Health</t>
        </is>
      </c>
      <c r="D2" t="inlineStr">
        <is>
          <t>indeed</t>
        </is>
      </c>
      <c r="E2" t="inlineStr"/>
      <c r="F2" t="inlineStr"/>
      <c r="G2" t="inlineStr">
        <is>
          <t>Springfield, MA, US</t>
        </is>
      </c>
      <c r="H2" s="1" t="n">
        <v>46072</v>
      </c>
      <c r="I2" t="inlineStr">
        <is>
          <t>**Req\#: R41056**  
**Category(s):** Information Technology/Health Information Management, IT Engineer, Applications  
**Full Time / Part Time:** Full\-Time  
**Shift:** First
Note: The compensation range(s) in the table below represent the base salaries for all positions at a given grade across the health system. Typically, a new hire can expect a starting salary somewhere in the lower part of the range. Actual salaries may vary by position and will be determined based on the candidate's relevant experience. No employee will be paid below the minimum of the range. Pay ranges are listed as hourly for non\-exempt employees and based on assumed full time commitment for exempt employees.
Minimum – Midpoint – Maximum
$75,545\.00 – $86,840\.00 – $102,689\.00
### **Summary:**
**Location:** 280 Chestnut St; Springfield MA (Hybrid opportunity)
**Schedule:** Monday\-Friday; 8a\-430p; evenings or nights as needed; On\-call rotation required
The incumbent is responsible for translating business and technical requirements into well\-engineered, documented and successfully deployed application systems. The incumbent is accountable for full life cycle software engineer including designing, developing, testing, installing, and deploying software applications that meet business expectations. The incumbent may perform the implementation of vendor\-supplied software packages including the installation, customization, deployment, maintenance, and administration. The incumbent will be accountable for day\-to\-day support including rotational off\-hour support.
This individual will contribute to the project management activities including the identification of work tasks and their dependencies, estimating work effort, and contributing pertinent information as input to project evaluation and prioritization. The incumbent will interface and coordinate with vendors as well as server; database and network support as required, to ensure applications are stable, scalable and meet service level expectations.
In an associate level position, the incumbent will demonstrated the basic technical skills required for the position and will require additional oversight and mentoring. The incumbent is expected to demonstrate consistent growth in performing increasingly complex assignments with a broader understanding of the technologies being supported. It is expected that an incumbent in an associate level position will achieve the levels of proficiency required of an Application Engineer within 3 years of being hired into the associate level position.
### **Job Responsibilities:**
1\) APPLICATION DEVELOPMENT, MAINTENANCE \&amp; DELIVERY
– Effectively works with business partners to capture accurate and complete business requirements.  
– Writes functional and technical specifications involving moderately complex systems or solutions  
– Deliverables are developed and implemented following established standards and guidelines to meet functional and technical specifications along with business expectations  
– Promotes efficiency and quality by utilizing streamlined processes, automated solutions and quality control measures as appropriate.  
– Deliverables are well documented and knowledge transfer is provided to ensure effective on\-call and back\-up support  
– Follows appropriate release management procedures  
– Participates in the assessment of new technology solutions for best fit into the Baystate Health technical environment balancing customer needs with technical feasibility and IT architectural standards
2\) TESTING MANAGEMENT
– Test plans defined are appropriate to scope  
– Works with stakeholders to support business acceptance testing and signoff  
– Performs and monitors unit/system/functional testing  
– Works with stakeholders to support business acceptance testing and signoff  
– Demonstrates accuracy and thoroughness in defect identification, resolution and documentation.  
– Ensures acceptability of testing outcomes occur prior to live implementation and defects detected by users in production are minimal  
– Monitors first production usage
3\) PROBLEM RESOLUTION
– Participates in 24×7 on\-call rotational support.  
– Provides timely response to problem tickets and issue resolution  
– Demonstrates accuracy and thoroughness in problem identification, resolution and documentation  
– Appropriate root cause analysis is performed to implement preventative measures  
– Maintains sufficient knowledge of applications and environment to provide effective on\-call or backup support  
– Assists users with day\-to\-day application usage issues
4\) PROJECT ASSESSMENT, PLANNING \&amp; SUPPORT
– Assists business partners defining the value of proposed initiatives and identifies viable solutions  
– May participate in budgetary planning for proposed solutions.  
– Accountable for the development of work plans including tasks and dependencies throughout all project phases along with sound task time estimates  
– Identifies issues and risks. Recommends corrective actions to keep project on track. Strives to meet delivery dates  
– Maintains effective collaboration and status with project constituents to ensure project success.  
– Adheres to Baystate project development methodology  
5\) OPERATIONAL EXCELLENCE \&amp; INNOVATION  
– Follows established IT and Team standards and best practices  
– Contributes to the introduction and adoption of best practices, proven methodologies, and lessons learned. Supports team performance and operational efficiency improvement initiatives  
– Keeps abreast of new software features and functionality and makes appropriate recommendation for their use  
– Supports our customers consultatively, offering fresh approaches and value added solution recommendations  
– Shares learning and solutions and fosters knowledge growth among team members.
6\) SYSTEMS ADMINISTRATION \&amp; SUPPORT
– May be responsible for administration of 3rd party software including installation, configuration, upgrades, providing user access.  
– Partners with server, network, and database administration functions to monitor and ensure the system is stable, reliable and meets service level expectations.  
– Coordinates with software vendors for system specifications, troubleshooting and submission of support incidents.
### **Required Work Experience:**
1\+ years of experience in the implementation, configuration, development, maintenance and ongoing support of moderately complex to complex computer systems or similar skills obtained from a degree or certificate.
**Skills and Competencies:**
Technical Skills
– Appropriate technical knowledge of requisite systems and applications.
– Demonstrate consistent growth in performing increasingly complex assignments with a broader understanding of the technologies being supported.
– Achieve the levels of proficiency required of an Application Engineer within 3 years of being hired into the associate level position
Customer Focus
– Exemplifies customer service excellence
– Responsive to issues
Builds Partnerships / Collaboration
– Builds effective relationships.
– Strong team player. Contributes to a team work environment; values information sharing
– Effectively interacts with all levels of the organization
Problem Solving
* Proven ability to troubleshoot problems, implement resolutions and resolve client support issues.
Effective Communication
– Excellent communication skills, both written and verbal
Takes initiative
– Solutions\-oriented
– Contributes to fresh approaches and ideas.
Self\-Management
– Works efficiently, makes good use of work time
– Action oriented. Drives to meet deadlines and commitments
– Attention to detail
**Education:**
Bachelors Degree (Required)
**Certifications:**
**Equal Employment Opportunity Employer**
Baystate Health is an Equal Opportunity employer. All qualified applicants will receive consideration for employment without regard to race, color, religion, sex, sexual orientation, gender identity, marital status, national origin, ancestry, age, genetic information, disability, or protected veteran status.</t>
        </is>
      </c>
    </row>
    <row r="3">
      <c r="A3" t="inlineStr">
        <is>
          <t>in-8c5264b95b1d01bb</t>
        </is>
      </c>
      <c r="B3" t="inlineStr">
        <is>
          <t>Data engineer</t>
        </is>
      </c>
      <c r="C3" t="inlineStr">
        <is>
          <t>Stacklogy</t>
        </is>
      </c>
      <c r="D3" t="inlineStr">
        <is>
          <t>indeed</t>
        </is>
      </c>
      <c r="E3" t="inlineStr"/>
      <c r="F3" t="inlineStr"/>
      <c r="G3" t="inlineStr">
        <is>
          <t>US</t>
        </is>
      </c>
      <c r="H3" s="1" t="n">
        <v>46073</v>
      </c>
      <c r="I3"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4">
      <c r="A4" t="inlineStr">
        <is>
          <t>in-e2f5e83e963ff4f9</t>
        </is>
      </c>
      <c r="B4" t="inlineStr">
        <is>
          <t>Azure Data Engineer</t>
        </is>
      </c>
      <c r="C4" t="inlineStr">
        <is>
          <t>BV Teck</t>
        </is>
      </c>
      <c r="D4" t="inlineStr">
        <is>
          <t>indeed</t>
        </is>
      </c>
      <c r="E4" t="inlineStr"/>
      <c r="F4" t="inlineStr"/>
      <c r="G4" t="inlineStr">
        <is>
          <t>Remote, US</t>
        </is>
      </c>
      <c r="H4" s="1" t="n">
        <v>46073</v>
      </c>
      <c r="I4" t="inlineStr">
        <is>
          <t>Role: **Azure Data Engineer**  
Bright Vision Technologies is a forward\-thinking software development company dedicated to building innovative solutions that help businesses automate and optimize their operations.
We leverage cutting\-edge technologies to create scalable, secure, and user\-friendly applications. As we continue to grow, we’re looking for a skilled to join our dynamic team and contribute to our mission of transforming business processes through technology.
This is a fantastic opportunity to join an established and well\-respected organization offering tremendous career growth potential.
Job Title: **Azure Data Engineer**
Job Location: Dallas, TX  
Onsite/Hybrid: Remote  
Job Description:
We are seeking a highly skilled **Azure Data Engineer** to design, build, and optimize enterprise\-grade data solutions on Microsoft Azure. The ideal candidate will have extensive experience in data architecture, ETL pipelines, big data processing, and cloud\-native analytics, with a strong focus on scalability, performance, and security.  
* **Technical Expertise**:
	+ Azure Synapse, Azure SQL, Azure Data Lake, Azure Data Factory.
	+ Databricks, Spark, Python, SQL, Scala.
	+ Event Hub, Stream Analytics, Cosmos DB.
	+ Power BI for visualization and reporting.
	+ Strong knowledge of data warehousing, ETL, and big data concepts.
**Soft Skills**:
* Strong analytical and problem\-solving skills.
* Excellent communication and stakeholder management.
* Ability to lead projects and work in Agile/Scrum environments.
**Education*** Bachelor's or Master's degree in Computer Science, Engineering, or related field
**Visa \&amp; Compliance*** Candidates must be eligible for **new H\-1B filing**
* OPT, STEM OPT, CPT (with required experience), H\-1B transfer, EAD, Non\-H1b looking for H1b sponsorship.
* All filings will be handled as per USCIS and DOL compliance guidelines
**Why Join Us*** Opportunity to work with leading enterprise clients
* Transparent H\-1B process and long\-term project visibility
* Strong recruiter and legal support
* Career growth across multiple technology domains
If you are a **Cloud Engineer** with the above skills and are looking for an **H\-1 B sponsorship** this year, please send your resume immediately to **Sreedhar@bvteck.com**.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Position offered by “No Fee agency.”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GoHdvyPQi6</t>
        </is>
      </c>
    </row>
    <row r="5">
      <c r="A5" t="inlineStr">
        <is>
          <t>in-4e53ba87fb0092b7</t>
        </is>
      </c>
      <c r="B5" t="inlineStr">
        <is>
          <t>Staff Data Engineer - Data Quality</t>
        </is>
      </c>
      <c r="C5" t="inlineStr">
        <is>
          <t>HCA Healthcare</t>
        </is>
      </c>
      <c r="D5" t="inlineStr">
        <is>
          <t>indeed</t>
        </is>
      </c>
      <c r="E5" t="inlineStr"/>
      <c r="F5" t="inlineStr"/>
      <c r="G5" t="inlineStr">
        <is>
          <t>Nashville, TN, US</t>
        </is>
      </c>
      <c r="H5" s="1" t="n">
        <v>46073</v>
      </c>
      <c r="I5" t="inlineStr">
        <is>
          <t>##### **Introduction**
Experience the HCA Healthcare difference where colleagues are trusted, valued members of our healthcare team. Grow your career with an organization committed to delivering respectful, compassionate care, and where the unique and intrinsic worth of each individual is recognized. Submit your application for the opportunity below: Staff Data Engineer HCA Healthcare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We are seeking a(an) Staff Data Engineer for our team to ensure that we continue to provide all patients with high quality, efficient care. Did you get into our industry for these reasons? We are an amazing team that works hard to support each other and are seeking a phenomenal addition like you who feels patient care is as meaningful as we do. We want you to apply!
##### **Job Summary and Qualifications**
The Staff Data Engineer serves as a primary development resource for design, writing code, test, implementation, document functionality, and maintain of NextGen solutions for the GCP Cloud enterprise data initiatives. The role requires working closely with data teams, frequently in a matrixed environment as part of a broader project team. This role requires ‘self\-starters’ who are proficient in problem solving and capable of bringing clarity to complex situations. The culture of the organization places an emphasis on teamwork, so social and interpersonal skills are equally important as technical capability. Due to the emerging and fast\-evolving nature of GCP technology and practice, the position requires that one stay well\-informed of technological advancements and be proficient at putting new innovations into effective practice.  
In addition, this candidate will have a history of increasing responsibility in a small multi\-role team. This position requires a candidate who can analyze business requirements, perform design tasks, construct, test, and implement solutions with minimal supervision. This candidate will have a record of accomplishment of participation in successful projects in a fast\-paced, mixed team (consultant and employee) environment. In addition, the applicant must be willing to mentor other developers to prepare them for assuming the responsibilities.  
As a Staff Data Engineer, you will collaborate closely with all team members to create a modular, scalable solution that addresses current needs, but will also serve as a foundation for future success. The position will be critical in building the team’s engineering practices in test driven development, continuous integration, and automated deployment and is a hands\-on team member who actively coaches the team to solve complex problems.
At HCA DT\&amp;I, your deliverables will influence patient care. Every process, technology, and decision matters. This role will provide application development for specific business environments. Focus on setting technical direction on groups of applications and similar technologies as well as taking responsibility for technically robust solutions encompassing all business, architecture, and technology constraints.
Work with data engineers, data architects, data scientists, and other internal stakeholders to understand product requirements and then design, build, and monitor data platforms and pipelines that meet today's requirements but can gracefully scale.
* Implement automated workflows that lower manual/operational costs, define and uphold SLAs for timely delivery of data, and move the company closer to democratizing data.
* Enable a self\-service data architecture supporting query exploration, dashboards, data catalog, and rich data discovery.
* Promote a collaborative team environment that prioritizes effective communication, team member growth, and success of the team over success of the individual.
* Design and create real\-time data pipelines that accelerate the time from idea to insight.
* Adheres to and supports data engineering best practices, processes, and standards.
* Produce high quality, modular, reusable code that incorporates best practices and serves as an example for less experienced engineers.
* Helps promote and support data security best practices that align with industry standards and regulatory and legal requirements.
* Help mentor team members on complex data projects and following the Agile process.
* Help lead data analysis efforts and solution proposals to data related and data architecture problems.
* Help lead implementation of unit and integration tests and promote and conduct performance testing where appropriate.
* Be a leader in the HCA data community. Evangelize data engineering best practices and standards, participate, or present at community events, and encourage the continual growth and development of others.
* Be curious. Be growth minded. Encourage and enable this in others.
* Demonstrate professional and personal maturity through self\-leadership.
* Build productive and healthy relationships within the department and other teams to foster growth of our culture, our people, and our platforms.
* Practices and adheres to the “Code of Conduct” philosophy and “Mission and Value Statement.”
* Perform other duties as assigned.
* Responsible for building and supporting a GCP based ecosystem designed for enterprise\-wide analysis of structured, semi\-structured, and unstructured data.
* Work independently, and complete tasks on\-schedule by exercising strong judgment and problem\-solving skills.
* Analyze requirements, design AI/ML based solutions, and integrate those solutions for customer environments.
* Proven experience effectively prioritizing workload to meet deadlines and work objectives.
* Works in an environment with rapidly changing business requirements and priorities
* Shares knowledge and experience to contribute to growth of overall team capabilities.
* Actively participate in technical group discussions and adopt any modern technologies to improve the development and operations.
A successful candidate will have:
* Bachelor's degree in computer science, related technical field, or equivalent experience required
* Master's degree in computer science or related field preferred
* 5\+ years of experience in Data Engineer required
* 1\+ year(s) of experience in Healthcare preferred
* 7\+ years of experience in Information Technology required
* Strong understanding of best practices and standards for GCP Data process design and implementation.
* 2\+ years hands\-on experience with GCP platform and experience with many of the following components:
* Cloud Run, GKE, Cloud Functions
* Pub/Sub,
* Bigtable, Cloud SQL, Cloud Spanner
* BigQuery, Dataflow, Data Fusion
* Cloud Composer, DataProc, CI/CD, Cloud Logging
* Vertex AI, NLP, GitHub
* 4\+ Years of hands\-on experience with many of the following components:
* Spark Streaming, Kafka
* SQL, JSON, Avro, Parquet
* Java, Python, or Scala
* Certifications (a plus, but not required):
* GCP Cloud Professional Data Engineer
"There is so much good to do in the world and so many different ways to do it."\- Dr. Thomas Frist, Sr.  
HCA Healthcare Co\-Founder
If you find this opportunity compelling, we encourage you to apply for our Staff Data Engineer opening. We promptly review all applications. Highly qualified candidates will be directly contacted by a member of our team.We are interviewing apply today!
*We are an equal opportunity employer. We do not discriminate on the basis of race, religion, color, national origin, gender, sexual orientation, age, marital status, veteran status, or disability status.*</t>
        </is>
      </c>
    </row>
    <row r="6">
      <c r="A6" t="inlineStr">
        <is>
          <t>in-871f088c07b4cdec</t>
        </is>
      </c>
      <c r="B6" t="inlineStr">
        <is>
          <t>Cloud Data Engineer</t>
        </is>
      </c>
      <c r="C6" t="inlineStr">
        <is>
          <t>VistaCNO</t>
        </is>
      </c>
      <c r="D6" t="inlineStr">
        <is>
          <t>indeed</t>
        </is>
      </c>
      <c r="E6" t="inlineStr"/>
      <c r="F6" t="inlineStr"/>
      <c r="G6" t="inlineStr">
        <is>
          <t>Detroit, MI, US</t>
        </is>
      </c>
      <c r="H6" s="1" t="n">
        <v>46072</v>
      </c>
      <c r="I6" t="inlineStr">
        <is>
          <t>**Pay:** $55 \- $65/hour \+ Benefits
**Contract:** 24 months, Full\-Time
**Schedule:** Monday \- Friday, 40 hours/week
Why Join Us?
Join a data\-driven organization where your work directly impacts enterprise analytics and
business intelligence. You'll build and optimize data pipelines that power critical business
decisions, working with cutting\-edge Azure technologies in a collaborative hybrid environment.
This is an opportunity to take ownership of impactful projects while growing your expertise in
cloud data engineering.
What You'll Do
* Build automated data pipelines using Microsoft Azure Data Factory (ADF) and Azure
Data Explorer (ADX) to support process improvement and operational metrics
* Develop ETL processes ensuring optimal data flow, transformation, and storage across
enterprise systems
* Create Power BI dashboards and reports that deliver actionable insights on
compliance rates, efficiency, and key performance metrics
* Optimize data retrieval and processing through performance tuning for downstream
analytics and machine learning
* Perform ad hoc analysis gathering requirements, making recommendations, and
executing follow\-through activities
* Build automation solutions using Power Apps and Power Automate to reduce manual
processes
What You'll Bring
**Required:**  
* Bachelor's degree in Computer Science, Information Systems, Software Engineering, or
related field
* Hands\-on experience with Microsoft Azure Data Factory (ADF) and Azure Data Explorer
(ADX)
* Proficiency in ETL processes and KQL (Kusto Query Language)
* Experience writing and executing SQL queries in relational databases
* Ability to work independently, analyze complex issues, and recommend solutions
**Nice to Have:**  
* Databricks experience (PySpark, SQL) for large\-scale data processing
* SQL Server administration experience
* Machine learning model deployment and feature engineering backgroundTechnical Stack
Azure Data Factory • Azure Data Explorer • KQL • SQL • Power BI • Power Apps • Power
Automate • Databricks (preferred)
Work Environment
* Hybrid schedule with a mix of on\-site (Allen Road Center, Detroit) and remote work
* Standard business hours: Monday \- Friday
* No travel required</t>
        </is>
      </c>
    </row>
    <row r="7">
      <c r="A7" t="inlineStr">
        <is>
          <t>in-084ea62442a4fe78</t>
        </is>
      </c>
      <c r="B7" t="inlineStr">
        <is>
          <t>Data Engineer II , UTR PLanning Tech</t>
        </is>
      </c>
      <c r="C7" t="inlineStr">
        <is>
          <t>Amazon.com</t>
        </is>
      </c>
      <c r="D7" t="inlineStr">
        <is>
          <t>indeed</t>
        </is>
      </c>
      <c r="E7" t="inlineStr"/>
      <c r="F7" t="inlineStr"/>
      <c r="G7" t="inlineStr">
        <is>
          <t>Nashville, TN, US</t>
        </is>
      </c>
      <c r="H7" s="1" t="n">
        <v>46070</v>
      </c>
      <c r="I7"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8">
      <c r="A8" t="inlineStr">
        <is>
          <t>in-2c8b2682b4230ddb</t>
        </is>
      </c>
      <c r="B8" t="inlineStr">
        <is>
          <t>Data Engineer II , UTR PLanning Tech</t>
        </is>
      </c>
      <c r="C8" t="inlineStr">
        <is>
          <t>Amazon.com</t>
        </is>
      </c>
      <c r="D8" t="inlineStr">
        <is>
          <t>indeed</t>
        </is>
      </c>
      <c r="E8" t="inlineStr"/>
      <c r="F8" t="inlineStr"/>
      <c r="G8" t="inlineStr">
        <is>
          <t>Bellevue, WA, US</t>
        </is>
      </c>
      <c r="H8" s="1" t="n">
        <v>46070</v>
      </c>
      <c r="I8"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9">
      <c r="A9" t="inlineStr">
        <is>
          <t>in-0622455e2e2de7bd</t>
        </is>
      </c>
      <c r="B9" t="inlineStr">
        <is>
          <t>Data Engineer II , UTR PLanning Tech</t>
        </is>
      </c>
      <c r="C9" t="inlineStr">
        <is>
          <t>Amazon.com</t>
        </is>
      </c>
      <c r="D9" t="inlineStr">
        <is>
          <t>indeed</t>
        </is>
      </c>
      <c r="E9" t="inlineStr"/>
      <c r="F9" t="inlineStr"/>
      <c r="G9" t="inlineStr">
        <is>
          <t>Austin, TX, US</t>
        </is>
      </c>
      <c r="H9" s="1" t="n">
        <v>46070</v>
      </c>
      <c r="I9"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0">
      <c r="A10" t="inlineStr">
        <is>
          <t>in-9ff95449355087f5</t>
        </is>
      </c>
      <c r="B10" t="inlineStr">
        <is>
          <t>Data Engineer I, UTR PLanning Tech</t>
        </is>
      </c>
      <c r="C10" t="inlineStr">
        <is>
          <t>Amazon.com</t>
        </is>
      </c>
      <c r="D10" t="inlineStr">
        <is>
          <t>indeed</t>
        </is>
      </c>
      <c r="E10" t="inlineStr"/>
      <c r="F10" t="inlineStr"/>
      <c r="G10" t="inlineStr">
        <is>
          <t>Bellevue, WA, US</t>
        </is>
      </c>
      <c r="H10" s="1" t="n">
        <v>46065</v>
      </c>
      <c r="I10"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I to build data pipelines, contribute to these frameworks, and help shape how AI transforms data engineering at Amazon.  
Key job responsibilities  
* Design and implement physical data models and ETL pipelines using AWS services (Redshift, S3, EMR, Glue, Lambda) and Python\-based orchestration (Airflow/MWAA).
* Build configuration\-driven data frameworks that replace repetitive custom code with reusable, declarative patterns for ingestion, transformation, and metric curation.
* Develop and optimize pipelines that ingest from multiple upstream sources, apply quality controls, and produce datasets that scientists and analysts use for labor planning decisions.
* Implement monitoring, alarming, and data quality controls using standardized data contracts. Measure and improve dataset quality.
* Build tooling that enables AI agents to interact with data engineering workflows: generating SQL, validating configurations, and executing pipeline operations through natural language interfaces.
* Collaborate with planning scientists, software engineers, BI engineers, and product managers to translate data requirements into reusable solutions.
* Write secure, testable, maintainable code. Get your data models, pipeline designs, and code reviewed. Document your solutions so others can maintain them.
* Participate in operational excellence practices: on\-call rotations, COE reviews, and pipeline health monitoring.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1">
      <c r="A11" t="inlineStr">
        <is>
          <t>in-2e207f9a18540c2d</t>
        </is>
      </c>
      <c r="B11" t="inlineStr">
        <is>
          <t>Data Engineer I, UTR PLanning Tech</t>
        </is>
      </c>
      <c r="C11" t="inlineStr">
        <is>
          <t>Amazon.com</t>
        </is>
      </c>
      <c r="D11" t="inlineStr">
        <is>
          <t>indeed</t>
        </is>
      </c>
      <c r="E11" t="inlineStr"/>
      <c r="F11" t="inlineStr"/>
      <c r="G11" t="inlineStr">
        <is>
          <t>Austin, TX, US</t>
        </is>
      </c>
      <c r="H11" s="1" t="n">
        <v>46065</v>
      </c>
      <c r="I11"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I to build data pipelines, contribute to these frameworks, and help shape how AI transforms data engineering at Amazon.  
Key job responsibilities  
* Design and implement physical data models and ETL pipelines using AWS services (Redshift, S3, EMR, Glue, Lambda) and Python\-based orchestration (Airflow/MWAA).
* Build configuration\-driven data frameworks that replace repetitive custom code with reusable, declarative patterns for ingestion, transformation, and metric curation.
* Develop and optimize pipelines that ingest from multiple upstream sources, apply quality controls, and produce datasets that scientists and analysts use for labor planning decisions.
* Implement monitoring, alarming, and data quality controls using standardized data contracts. Measure and improve dataset quality.
* Build tooling that enables AI agents to interact with data engineering workflows: generating SQL, validating configurations, and executing pipeline operations through natural language interfaces.
* Collaborate with planning scientists, software engineers, BI engineers, and product managers to translate data requirements into reusable solutions.
* Write secure, testable, maintainable code. Get your data models, pipeline designs, and code reviewed. Document your solutions so others can maintain them.
* Participate in operational excellence practices: on\-call rotations, COE reviews, and pipeline health monitoring.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2">
      <c r="A12" t="inlineStr">
        <is>
          <t>in-2637d749e0880735</t>
        </is>
      </c>
      <c r="B12" t="inlineStr">
        <is>
          <t>Data Engineer II, UTR PLanning Tech</t>
        </is>
      </c>
      <c r="C12" t="inlineStr">
        <is>
          <t>Amazon.com</t>
        </is>
      </c>
      <c r="D12" t="inlineStr">
        <is>
          <t>indeed</t>
        </is>
      </c>
      <c r="E12" t="inlineStr"/>
      <c r="F12" t="inlineStr"/>
      <c r="G12" t="inlineStr">
        <is>
          <t>Nashville, TN, US</t>
        </is>
      </c>
      <c r="H12" s="1" t="n">
        <v>46065</v>
      </c>
      <c r="I12"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3">
      <c r="A13" t="inlineStr">
        <is>
          <t>in-55b3a579c39e74d8</t>
        </is>
      </c>
      <c r="B13" t="inlineStr">
        <is>
          <t>Data Engineer II, UTR PLanning Tech</t>
        </is>
      </c>
      <c r="C13" t="inlineStr">
        <is>
          <t>Amazon.com</t>
        </is>
      </c>
      <c r="D13" t="inlineStr">
        <is>
          <t>indeed</t>
        </is>
      </c>
      <c r="E13" t="inlineStr"/>
      <c r="F13" t="inlineStr"/>
      <c r="G13" t="inlineStr">
        <is>
          <t>Bellevue, WA, US</t>
        </is>
      </c>
      <c r="H13" s="1" t="n">
        <v>46065</v>
      </c>
      <c r="I13"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4">
      <c r="A14" t="inlineStr">
        <is>
          <t>in-cc7876c8ea8409e2</t>
        </is>
      </c>
      <c r="B14" t="inlineStr">
        <is>
          <t>Data Engineer II, UTR PLanning Tech</t>
        </is>
      </c>
      <c r="C14" t="inlineStr">
        <is>
          <t>Amazon.com</t>
        </is>
      </c>
      <c r="D14" t="inlineStr">
        <is>
          <t>indeed</t>
        </is>
      </c>
      <c r="E14" t="inlineStr"/>
      <c r="F14" t="inlineStr"/>
      <c r="G14" t="inlineStr">
        <is>
          <t>Austin, TX, US</t>
        </is>
      </c>
      <c r="H14" s="1" t="n">
        <v>46065</v>
      </c>
      <c r="I14"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5">
      <c r="A15" t="inlineStr">
        <is>
          <t>in-e648cb45aa73b100</t>
        </is>
      </c>
      <c r="B15" t="inlineStr">
        <is>
          <t>Data Engineer I, UTR PLanning Tech</t>
        </is>
      </c>
      <c r="C15" t="inlineStr">
        <is>
          <t>Amazon.com</t>
        </is>
      </c>
      <c r="D15" t="inlineStr">
        <is>
          <t>indeed</t>
        </is>
      </c>
      <c r="E15" t="inlineStr"/>
      <c r="F15" t="inlineStr"/>
      <c r="G15" t="inlineStr">
        <is>
          <t>Nashville, TN, US</t>
        </is>
      </c>
      <c r="H15" s="1" t="n">
        <v>46065</v>
      </c>
      <c r="I15"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I to build data pipelines, contribute to these frameworks, and help shape how AI transforms data engineering at Amazon.  
Key job responsibilities  
* Design and implement physical data models and ETL pipelines using AWS services (Redshift, S3, EMR, Glue, Lambda) and Python\-based orchestration (Airflow/MWAA).
* Build configuration\-driven data frameworks that replace repetitive custom code with reusable, declarative patterns for ingestion, transformation, and metric curation.
* Develop and optimize pipelines that ingest from multiple upstream sources, apply quality controls, and produce datasets that scientists and analysts use for labor planning decisions.
* Implement monitoring, alarming, and data quality controls using standardized data contracts. Measure and improve dataset quality.
* Build tooling that enables AI agents to interact with data engineering workflows: generating SQL, validating configurations, and executing pipeline operations through natural language interfaces.
* Collaborate with planning scientists, software engineers, BI engineers, and product managers to translate data requirements into reusable solutions.
* Write secure, testable, maintainable code. Get your data models, pipeline designs, and code reviewed. Document your solutions so others can maintain them.
* Participate in operational excellence practices: on\-call rotations, COE reviews, and pipeline health monitoring.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6">
      <c r="A16" t="inlineStr">
        <is>
          <t>in-c59adc296568af8a</t>
        </is>
      </c>
      <c r="B16" t="inlineStr">
        <is>
          <t>Data Engineer, AMZL Orbit Data Engineering</t>
        </is>
      </c>
      <c r="C16" t="inlineStr">
        <is>
          <t>Amazon.com</t>
        </is>
      </c>
      <c r="D16" t="inlineStr">
        <is>
          <t>indeed</t>
        </is>
      </c>
      <c r="E16" t="inlineStr"/>
      <c r="F16" t="inlineStr"/>
      <c r="G16" t="inlineStr">
        <is>
          <t>Austin, TX, US</t>
        </is>
      </c>
      <c r="H16" s="1" t="n">
        <v>46054</v>
      </c>
      <c r="I16"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7">
      <c r="A17" t="inlineStr">
        <is>
          <t>in-6fd2e43535162774</t>
        </is>
      </c>
      <c r="B17" t="inlineStr">
        <is>
          <t>Data Engineer, AMZL Orbit Data Engineering</t>
        </is>
      </c>
      <c r="C17" t="inlineStr">
        <is>
          <t>Amazon.com</t>
        </is>
      </c>
      <c r="D17" t="inlineStr">
        <is>
          <t>indeed</t>
        </is>
      </c>
      <c r="E17" t="inlineStr"/>
      <c r="F17" t="inlineStr"/>
      <c r="G17" t="inlineStr">
        <is>
          <t>Nashville, TN, US</t>
        </is>
      </c>
      <c r="H17" s="1" t="n">
        <v>46054</v>
      </c>
      <c r="I17"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8">
      <c r="A18" t="inlineStr">
        <is>
          <t>in-986872aba9da21a1</t>
        </is>
      </c>
      <c r="B18" t="inlineStr">
        <is>
          <t>Data Engineer, AMZL Orbit Data Engineering</t>
        </is>
      </c>
      <c r="C18" t="inlineStr">
        <is>
          <t>Amazon.com</t>
        </is>
      </c>
      <c r="D18" t="inlineStr">
        <is>
          <t>indeed</t>
        </is>
      </c>
      <c r="E18" t="inlineStr"/>
      <c r="F18" t="inlineStr"/>
      <c r="G18" t="inlineStr">
        <is>
          <t>Bellevue, WA, US</t>
        </is>
      </c>
      <c r="H18" s="1" t="n">
        <v>46054</v>
      </c>
      <c r="I18"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9">
      <c r="A19" t="inlineStr">
        <is>
          <t>in-956f7fcd77cc0d2d</t>
        </is>
      </c>
      <c r="B19" t="inlineStr">
        <is>
          <t>SIGINT Assessments &amp; Data Analytics Engineer</t>
        </is>
      </c>
      <c r="C19" t="inlineStr">
        <is>
          <t>KBR</t>
        </is>
      </c>
      <c r="D19" t="inlineStr">
        <is>
          <t>indeed</t>
        </is>
      </c>
      <c r="E19" t="inlineStr"/>
      <c r="F19" t="inlineStr"/>
      <c r="G19" t="inlineStr">
        <is>
          <t>Chantilly, VA, US</t>
        </is>
      </c>
      <c r="H19" s="1" t="n">
        <v>46006</v>
      </c>
      <c r="I19" t="inlineStr">
        <is>
          <t>***Belong.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KBR is seeking an Engineer to support constellation design and planning studies, requirements development and verification, and compliance analyses against user requirements. Additionally, the selected Engineer will provide programmatic support directly to Government Leads.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**Key Responsibilities:**
* Support development of models and simulations to predict expected mission performance against requirements.
* Support development of detailed test objectives, plans, and success criteria to support analysis objectives.
* Conduct engineering analysis in support of system impact assessments and evaluation of results for complex aerospace systems.
* Work with multiple Teams and stakeholders in the development of analysis plans, analyzing data and reporting results.
* Coordinate system level analysis across the enterprise.
* Help the customer establish priorities and engage with various internal and external stakeholders to include senior executive officials, military officers, development contractors, and end users.
* Develop briefings and assessments to a variety of audiences and must be able to convey information in a clear and articulate manner to customer leadership.
**Work Environment:**
* **Location:** On\-site
* **Travel Requirements:** 10\-20% within the United States
* **Working Hours:** Standard
**Qualifications:**
**Required:**
* Active/Current TS/SCI with Poly
* Bachelor’s degree in Math, Physics, Electrical Engineering, or similar technical field.
* 10 or more years of relative systems engineering experience.
* Astronautics or Aerospace Engineering experience.
* Experience in the analysis of data from space system components with the ability to conduct performance analysis and other technical assessments of the data.
* Familiarity with signal processing, digital communications, and RF Theory.
* Knowledge and proficiency in conducting engineering analysis and modeling using tools such as Python, MATLAB.
* Simulink, Satellite Tool Kit (STK), Excel and other standard analysis tools.
* Ability to clearly and concisely present analysis data.
* Modeling and Simulation.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20">
      <c r="A20" t="inlineStr">
        <is>
          <t>in-5807fbda6bbf3327</t>
        </is>
      </c>
      <c r="B20" t="inlineStr">
        <is>
          <t>Data Engineer</t>
        </is>
      </c>
      <c r="C20" t="inlineStr">
        <is>
          <t>Amazon.com</t>
        </is>
      </c>
      <c r="D20" t="inlineStr">
        <is>
          <t>indeed</t>
        </is>
      </c>
      <c r="E20" t="inlineStr"/>
      <c r="F20" t="inlineStr"/>
      <c r="G20" t="inlineStr">
        <is>
          <t>San Francisco, CA, US</t>
        </is>
      </c>
      <c r="H20" s="1" t="n">
        <v>46001</v>
      </c>
      <c r="I2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row r="21">
      <c r="A21" t="inlineStr">
        <is>
          <t>in-6c32ea41a0791854</t>
        </is>
      </c>
      <c r="B21" t="inlineStr">
        <is>
          <t>Data Engineer</t>
        </is>
      </c>
      <c r="C21" t="inlineStr">
        <is>
          <t>Amazon.com</t>
        </is>
      </c>
      <c r="D21" t="inlineStr">
        <is>
          <t>indeed</t>
        </is>
      </c>
      <c r="E21" t="inlineStr"/>
      <c r="F21" t="inlineStr"/>
      <c r="G21" t="inlineStr">
        <is>
          <t>Seattle, WA, US</t>
        </is>
      </c>
      <c r="H21" s="1" t="n">
        <v>46001</v>
      </c>
      <c r="I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row r="22">
      <c r="A22" t="inlineStr">
        <is>
          <t>in-a380c38ec84d56a2</t>
        </is>
      </c>
      <c r="B22" t="inlineStr">
        <is>
          <t>Data Engineer</t>
        </is>
      </c>
      <c r="C22" t="inlineStr">
        <is>
          <t>KBR</t>
        </is>
      </c>
      <c r="D22" t="inlineStr">
        <is>
          <t>indeed</t>
        </is>
      </c>
      <c r="E22" t="inlineStr"/>
      <c r="F22" t="inlineStr"/>
      <c r="G22" t="inlineStr">
        <is>
          <t>Camarillo, CA, US</t>
        </is>
      </c>
      <c r="H22" s="1" t="n">
        <v>45944</v>
      </c>
      <c r="I22" t="inlineStr">
        <is>
          <t>***Belong.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**Come join the ITEA award winning TRMC BDKM team and be a part of the team responsible for revolutionizing how analysis is performed across the entire Department of Defense!**
**Key Responsibilities:**
As a Data Engineer, you will be a critical part of the team that is responsible for enabling the development of data\-driven decision analysis products through the innovative application, and promotion, of novel methods from data science, machine learning, and operations research to provide robust and flexible testing and evaluation capabilities to support DoD modernization.
* **Analytic Experience:** Candidate will be a part of the technical team responsible for providing analytic consulting services, supporting analytic workflow and product development and testing, promoting the user adoption of methods and best practices from data science, conducting applied methods projects, and supporting the creation of analysis\-ready data.
* **Onsite Support:** Candidate will be the face of the CHEETAS Team and will be responsible for ensuring stakeholders have the analytical tools, data products and reports they need to make insightful recommendations based on your data driven analysis.
* **Stakeholder Assistance:** Candidate will directly assisting both analyst / technical and non\-analyst / non\-technical stakeholders with the analysis of DoD datasets and demonstrating the 'art of the possible' to the stakeholders and VIPs with insights gained from your analysis of DoD Test and Evaluation (T\&amp;E) data.
* **Communication:** Must effectively communicate at both a programmatic and technical level. Although you potentially may be the only team member physically on\-site supporting you will not be alone. You will have support from other data science team members as well as the software engineering and system administration teams.
* **Technical Support:** Candidate will be responsible for running and operating CHEETAS (and other tools); demonstrating these tools to stakeholders \&amp; VIPs; conveying analysis results; adapting internally\-developed tools, notebooks and reports to meet emerging needs; gathering use cases, requirements, gaps and needs from stakeholders and for larger development items providing that information as feature requests or bug reports to the CHEETAS development team; and performing impromptu hands\-on training sessions with end users and potentially troubleshooting problems from within closed networks without internet access (with support from distributed team members).
* **Independent Work:** Candidate must be self\-motivated and capable of working independently with little supervision / direct tasking.
**Work Environment:**
* **Location:** Onsite; Honolulu, HI
* **Travel Requirements:** This position will require travel of 25% with potential surge to 50% to support end users located at various DoD ranges \&amp; labs located across the US (including Alaska and Hawaii). When not supporting a site, this position can work remotely or from a nearby KBR office (*if available and desired*).
* **Working Hours:** Standard, although you potentially may be the only team member physically on\-site providing support, you will not be alone.
**Basic Qualifications:**
* **Security Clearance:** Active or current TS/SCI Clearance is required
* **Education:** A degree in operations research, engineering, applied math, statistics, computer science or information technology with preferred 15\+ years of experience within DoD. Candidates with 10\-15 years of DoD experience will be considered on a case\-by\-case basis. Entry level candidates will not be considered.
* **Technical Experience:** Previous experience must include five (5\) years of hands\-on experience in big data analytics, five (5\) years of hands\-on experience with object\-oriented and functional languages (e.g., Python, R, C\+\+, C\#, Java, Scala, etc.).
* **Data Experience:** Experience in dealing with imperfections in data. Experience should demonstrate competency in key concepts from software engineering, computer programming, statistical analysis, data mining algorithms, machine learning, and modeling sufficient to inform technical choices and infrastructure configuration.
* **Data Analytics:** Proven analytical skills and experience in preparing and handling large volumes of data for ETL processes. Experience should include working with teams in the development and interpretation the results of analytic products with DoD specific data types.
* **Big Data Infrastructure:** Experience in the installation, configuration, and use of big data infrastructure (Spark, Trino, Hadoop, Hive, Neo4J, JanusGraph, HBase, MS SQL Server with Polybase, VMWare as examples). Experience in implementing Data Visualization solutions.
**Qualifications Required:**
* Experience using scripting languages (Python and R) to process, analyze and visualize data.
* Experience using notebooks (Jupyter Notebooks and RMarkdown) to create reproducible and explainable products.
* Experience using interactive visualization tools (RShiny, pyShiny, Dash) to create interactive analytics.
* Experience generating and presenting reports, visualizations and findings to customers.
* Experience building and optimizing ‘big data’ data pipelines, architectures and data sets.
* Experience cleaning and preparing time series and geospatial data for analysis.
* Experience working with Windows, Linux, and containers.
* Experience querying databases using SQL and working with and configuring distributed storage and computing environments to conduct analysis (Spark, Trino, Hadoop, Hive, Neo4J, JanusGraph, MongoDB, Accumulo, HBase as examples).
* Experience working with code repositories in a collaborative team.
* Ability to make insightful recommendations based on data driven analysis and customer interactions.
* Ability to effectively communicate both orally and in writing with customers and teammates.
* Ability to speak and present findings in front of large technical and non\-technical groups.
* Ability to create documentation and repeatable procedures to enable reproducible research.
* Ability to create training and educational content for novice end users on the use of tools and novel analytic methods.
* Ability to solve problems, debug, and troubleshoot while under pressure and time constraints is required.
* Should be self\-motivated to design, develop, enhance, reengineer or integrate software applications to improve the quality of data outputs available for end users.
* Ability to work closely with data scientists to develop and subsequently implement the best technical design and approach for new analytical products.
* Strong analytical skills related to working with both structured and unstructured datasets.
* Excellent programming, testing, debugging, and problem\-solving skills.
* Experience designing, building, and maintaining both new and existing data systems and solutions
* Understanding of ETL processes, how they function and experience implementing ETL processes required.
* Knowledge of message queuing, stream processing and extracting value from large disparate datasets.
* Knowledge of software design patterns and Agile Development methodologies is required.
* Knowledge of methods from operations research, statistical and machine learning, data science, and computer science is sufficient to select appropriate methods to enable data preparation and computing architecture configuration to implement these approaches.
* Knowledge of computer programming concepts, data structures and storage architecture, to include relational and non\-relational databases, distributed computing frameworks, and modeling and simulation experimentation sufficient to select appropriate methods to enable data preparation and computing architecture configuration to implement these approaches.
**Scheduled Weekly Hours: 40**
**Basic Compensation:**
$119,900 \- $179,800
The offered rate will be based on the selected candidate’s knowledge, skills, abilities and/or experience and in consideration of internal parity.
**Additional Compensation:**
KBR may offer bonuses, commissions, or other forms of compensation to certain job titles or levels, per internal policy or contractual designation. Additional compensation may be in the form of sign on bonus, relocation benefits, short\-term incentives, long\-term incentives, or discretionary payments for exceptional performance.
**Ready to Make a Difference?**
If you’re excited about making a significant impact in the field of space defense and working on projects that matter, we encourage you to apply and join our team at KBR. Let's shape the future together.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23">
      <c r="A23" t="inlineStr">
        <is>
          <t>in-291e5528fda72bed</t>
        </is>
      </c>
      <c r="B23" t="inlineStr">
        <is>
          <t>Oracle GoldenGate Administrator / Data Engineer</t>
        </is>
      </c>
      <c r="C23" t="inlineStr">
        <is>
          <t>Tata Consultancy Services (TCS)</t>
        </is>
      </c>
      <c r="D23" t="inlineStr">
        <is>
          <t>indeed</t>
        </is>
      </c>
      <c r="E23" t="inlineStr"/>
      <c r="F23" t="inlineStr"/>
      <c r="G23" t="inlineStr">
        <is>
          <t>Seattle, WA, US</t>
        </is>
      </c>
      <c r="H23" s="1" t="n">
        <v>46073</v>
      </c>
      <c r="I23" t="inlineStr">
        <is>
          <t>Must Have Technical/Functional Skills
Oracle Golden Gate Classic architecture(text based) and administration – Mandatory
* Oracle Golden Gate New architecture(GUI based) \- Plus
* Data extract/transfer experience from Non\-Oracle Databases
(Teradata, Amazon S3,SQL. Azure, GCP etc.)
* HVR(High Value Replicator),FiveTran product administration and Data Engineering – is a Plus
* Linux skill, PL/SQL , Jenkins job execution \&amp; Java awareness
* Familiarity with couple of database systems
Responsibilities
* Extract data and data replication in Oracle GG product
* Building and maintaining ETL pipelines with Oracle Goldengate ( HVR also is a plus)
* System administration and Tuning
* Daily Systems Monitoring
* Patching and software upgrades for product and servers
* Break fix all production issues
* Incident management and service requests
* Upgrades/migrations/customizations
* On\-call Support
Base Salary Range : $110,000 to $135,000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\#LI\-SV2
\#LI\-KUMARAN
**Location**
Seattle, WA
**Job Function**
TECHNOLOGY
**Role**
Engineer
**Job Id**
397902
**Desired Skills**
Oracle Golden gate
**Salary Range**
$110,000\-$135,000 a year
Desired Candidate Profile
**Qualifications** : BACHELOR OF COMPUTER SCIENCE</t>
        </is>
      </c>
    </row>
    <row r="24">
      <c r="A24" t="inlineStr">
        <is>
          <t>in-291e5528fda72bed</t>
        </is>
      </c>
      <c r="B24" t="inlineStr">
        <is>
          <t>Oracle GoldenGate Administrator / Data Engineer</t>
        </is>
      </c>
      <c r="C24" t="inlineStr">
        <is>
          <t>Tata Consultancy Services (TCS)</t>
        </is>
      </c>
      <c r="D24" t="inlineStr">
        <is>
          <t>indeed</t>
        </is>
      </c>
      <c r="E24">
        <f>HYPERLINK("https://www.indeed.com/viewjob?jk=291e5528fda72bed", "https://www.indeed.com/viewjob?jk=291e5528fda72bed")</f>
        <v/>
      </c>
      <c r="F24">
        <f>HYPERLINK("https://ibegin.tcsapps.com/candidate/jobs/shared-job/Mzk3OTAySg==", "https://ibegin.tcsapps.com/candidate/jobs/shared-job/Mzk3OTAySg==")</f>
        <v/>
      </c>
      <c r="G24" t="inlineStr">
        <is>
          <t>Seattle, WA, US</t>
        </is>
      </c>
      <c r="H24" s="2" t="n">
        <v>46073</v>
      </c>
      <c r="I24" t="inlineStr">
        <is>
          <t>Must Have Technical/Functional Skills
Oracle Golden Gate Classic architecture(text based) and administration – Mandatory
* Oracle Golden Gate New architecture(GUI based) \- Plus
* Data extract/transfer experience from Non\-Oracle Databases
(Teradata, Amazon S3,SQL. Azure, GCP etc.)
* HVR(High Value Replicator),FiveTran product administration and Data Engineering – is a Plus
* Linux skill, PL/SQL , Jenkins job execution \&amp; Java awareness
* Familiarity with couple of database systems
Responsibilities
* Extract data and data replication in Oracle GG product
* Building and maintaining ETL pipelines with Oracle Goldengate ( HVR also is a plus)
* System administration and Tuning
* Daily Systems Monitoring
* Patching and software upgrades for product and servers
* Break fix all production issues
* Incident management and service requests
* Upgrades/migrations/customizations
* On\-call Support
Base Salary Range : $110,000 to $135,000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\#LI\-SV2
\#LI\-KUMARAN
**Location**
Seattle, WA
**Job Function**
TECHNOLOGY
**Role**
Engineer
**Job Id**
397902
**Desired Skills**
Oracle Golden gate
**Salary Range**
$110,000\-$135,000 a year
Desired Candidate Profile
**Qualifications** : BACHELOR OF COMPUTER SCIENCE</t>
        </is>
      </c>
    </row>
    <row r="25">
      <c r="A25" t="inlineStr">
        <is>
          <t>in-8c5264b95b1d01bb</t>
        </is>
      </c>
      <c r="B25" t="inlineStr">
        <is>
          <t>Data engineer</t>
        </is>
      </c>
      <c r="C25" t="inlineStr">
        <is>
          <t>Stacklogy</t>
        </is>
      </c>
      <c r="D25" t="inlineStr">
        <is>
          <t>indeed</t>
        </is>
      </c>
      <c r="E25">
        <f>HYPERLINK("https://www.indeed.com/viewjob?jk=8c5264b95b1d01bb", "https://www.indeed.com/viewjob?jk=8c5264b95b1d01bb")</f>
        <v/>
      </c>
      <c r="F25">
        <f>HYPERLINK("https://stacklogy.com/career/", "https://stacklogy.com/career/")</f>
        <v/>
      </c>
      <c r="G25" t="inlineStr">
        <is>
          <t>US</t>
        </is>
      </c>
      <c r="H25" s="2" t="n">
        <v>46073</v>
      </c>
      <c r="I25"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26">
      <c r="A26" t="inlineStr">
        <is>
          <t>in-e2f5e83e963ff4f9</t>
        </is>
      </c>
      <c r="B26" t="inlineStr">
        <is>
          <t>Azure Data Engineer</t>
        </is>
      </c>
      <c r="C26" t="inlineStr">
        <is>
          <t>BV Teck</t>
        </is>
      </c>
      <c r="D26" t="inlineStr">
        <is>
          <t>indeed</t>
        </is>
      </c>
      <c r="E26">
        <f>HYPERLINK("https://www.indeed.com/viewjob?jk=e2f5e83e963ff4f9", "https://www.indeed.com/viewjob?jk=e2f5e83e963ff4f9")</f>
        <v/>
      </c>
      <c r="F26">
        <f>HYPERLINK("https://brightvisiontechnologies.applytojob.com/apply/GoHdvyPQi6/Azure-Data-Engineer?source=INDE&amp;~", "https://brightvisiontechnologies.applytojob.com/apply/GoHdvyPQi6/Azure-Data-Engineer?source=INDE&amp;~")</f>
        <v/>
      </c>
      <c r="G26" t="inlineStr">
        <is>
          <t>Remote, US</t>
        </is>
      </c>
      <c r="H26" s="2" t="n">
        <v>46073</v>
      </c>
      <c r="I26" t="inlineStr">
        <is>
          <t>Role: **Azure Data Engineer**  
Bright Vision Technologies is a forward\-thinking software development company dedicated to building innovative solutions that help businesses automate and optimize their operations.
We leverage cutting\-edge technologies to create scalable, secure, and user\-friendly applications. As we continue to grow, we’re looking for a skilled to join our dynamic team and contribute to our mission of transforming business processes through technology.
This is a fantastic opportunity to join an established and well\-respected organization offering tremendous career growth potential.
Job Title: **Azure Data Engineer**
Job Location: Dallas, TX  
Onsite/Hybrid: Remote  
Job Description:
We are seeking a highly skilled **Azure Data Engineer** to design, build, and optimize enterprise\-grade data solutions on Microsoft Azure. The ideal candidate will have extensive experience in data architecture, ETL pipelines, big data processing, and cloud\-native analytics, with a strong focus on scalability, performance, and security.  
* **Technical Expertise**:
	+ Azure Synapse, Azure SQL, Azure Data Lake, Azure Data Factory.
	+ Databricks, Spark, Python, SQL, Scala.
	+ Event Hub, Stream Analytics, Cosmos DB.
	+ Power BI for visualization and reporting.
	+ Strong knowledge of data warehousing, ETL, and big data concepts.
**Soft Skills**:
* Strong analytical and problem\-solving skills.
* Excellent communication and stakeholder management.
* Ability to lead projects and work in Agile/Scrum environments.
**Education*** Bachelor's or Master's degree in Computer Science, Engineering, or related field
**Visa \&amp; Compliance*** Candidates must be eligible for **new H\-1B filing**
* OPT, STEM OPT, CPT (with required experience), H\-1B transfer, EAD, Non\-H1b looking for H1b sponsorship.
* All filings will be handled as per USCIS and DOL compliance guidelines
**Why Join Us*** Opportunity to work with leading enterprise clients
* Transparent H\-1B process and long\-term project visibility
* Strong recruiter and legal support
* Career growth across multiple technology domains
If you are a **Cloud Engineer** with the above skills and are looking for an **H\-1 B sponsorship** this year, please send your resume immediately to **Sreedhar@bvteck.com**.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Position offered by “No Fee agency.”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GoHdvyPQi6</t>
        </is>
      </c>
    </row>
    <row r="27">
      <c r="A27" t="inlineStr">
        <is>
          <t>in-871f088c07b4cdec</t>
        </is>
      </c>
      <c r="B27" t="inlineStr">
        <is>
          <t>Cloud Data Engineer</t>
        </is>
      </c>
      <c r="C27" t="inlineStr">
        <is>
          <t>VistaCNO</t>
        </is>
      </c>
      <c r="D27" t="inlineStr">
        <is>
          <t>indeed</t>
        </is>
      </c>
      <c r="E27">
        <f>HYPERLINK("https://www.indeed.com/viewjob?jk=871f088c07b4cdec", "https://www.indeed.com/viewjob?jk=871f088c07b4cdec")</f>
        <v/>
      </c>
      <c r="F27">
        <f>HYPERLINK("https://apply.workable.com/j/B45C0A2A5E", "https://apply.workable.com/j/B45C0A2A5E")</f>
        <v/>
      </c>
      <c r="G27" t="inlineStr">
        <is>
          <t>Detroit, MI, US</t>
        </is>
      </c>
      <c r="H27" s="2" t="n">
        <v>46072</v>
      </c>
      <c r="I27" t="inlineStr">
        <is>
          <t>**Pay:** $55 \- $65/hour \+ Benefits
**Contract:** 24 months, Full\-Time
**Schedule:** Monday \- Friday, 40 hours/week
Why Join Us?
Join a data\-driven organization where your work directly impacts enterprise analytics and
business intelligence. You'll build and optimize data pipelines that power critical business
decisions, working with cutting\-edge Azure technologies in a collaborative hybrid environment.
This is an opportunity to take ownership of impactful projects while growing your expertise in
cloud data engineering.
What You'll Do
* Build automated data pipelines using Microsoft Azure Data Factory (ADF) and Azure
Data Explorer (ADX) to support process improvement and operational metrics
* Develop ETL processes ensuring optimal data flow, transformation, and storage across
enterprise systems
* Create Power BI dashboards and reports that deliver actionable insights on
compliance rates, efficiency, and key performance metrics
* Optimize data retrieval and processing through performance tuning for downstream
analytics and machine learning
* Perform ad hoc analysis gathering requirements, making recommendations, and
executing follow\-through activities
* Build automation solutions using Power Apps and Power Automate to reduce manual
processes
What You'll Bring
**Required:**  
* Bachelor's degree in Computer Science, Information Systems, Software Engineering, or
related field
* Hands\-on experience with Microsoft Azure Data Factory (ADF) and Azure Data Explorer
(ADX)
* Proficiency in ETL processes and KQL (Kusto Query Language)
* Experience writing and executing SQL queries in relational databases
* Ability to work independently, analyze complex issues, and recommend solutions
**Nice to Have:**  
* Databricks experience (PySpark, SQL) for large\-scale data processing
* SQL Server administration experience
* Machine learning model deployment and feature engineering backgroundTechnical Stack
Azure Data Factory • Azure Data Explorer • KQL • SQL • Power BI • Power Apps • Power
Automate • Databricks (preferred)
Work Environment
* Hybrid schedule with a mix of on\-site (Allen Road Center, Detroit) and remote work
* Standard business hours: Monday \- Friday
* No travel required</t>
        </is>
      </c>
    </row>
    <row r="28">
      <c r="A28" t="inlineStr">
        <is>
          <t>in-956f7fcd77cc0d2d</t>
        </is>
      </c>
      <c r="B28" t="inlineStr">
        <is>
          <t>SIGINT Assessments &amp; Data Analytics Engineer</t>
        </is>
      </c>
      <c r="C28" t="inlineStr">
        <is>
          <t>KBR</t>
        </is>
      </c>
      <c r="D28" t="inlineStr">
        <is>
          <t>indeed</t>
        </is>
      </c>
      <c r="E28">
        <f>HYPERLINK("https://www.indeed.com/viewjob?jk=956f7fcd77cc0d2d", "https://www.indeed.com/viewjob?jk=956f7fcd77cc0d2d")</f>
        <v/>
      </c>
      <c r="F28">
        <f>HYPERLINK("https://careers.kbr.com/us/en/job/R2105670", "https://careers.kbr.com/us/en/job/R2105670")</f>
        <v/>
      </c>
      <c r="G28" t="inlineStr">
        <is>
          <t>Chantilly, VA, US</t>
        </is>
      </c>
      <c r="H28" s="2" t="n">
        <v>46006</v>
      </c>
      <c r="I28" t="inlineStr">
        <is>
          <t>***Belong.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KBR is seeking an Engineer to support constellation design and planning studies, requirements development and verification, and compliance analyses against user requirements. Additionally, the selected Engineer will provide programmatic support directly to Government Leads.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**Key Responsibilities:**
* Support development of models and simulations to predict expected mission performance against requirements.
* Support development of detailed test objectives, plans, and success criteria to support analysis objectives.
* Conduct engineering analysis in support of system impact assessments and evaluation of results for complex aerospace systems.
* Work with multiple Teams and stakeholders in the development of analysis plans, analyzing data and reporting results.
* Coordinate system level analysis across the enterprise.
* Help the customer establish priorities and engage with various internal and external stakeholders to include senior executive officials, military officers, development contractors, and end users.
* Develop briefings and assessments to a variety of audiences and must be able to convey information in a clear and articulate manner to customer leadership.
**Work Environment:**
* **Location:** On\-site
* **Travel Requirements:** 10\-20% within the United States
* **Working Hours:** Standard
**Qualifications:**
**Required:**
* Active/Current TS/SCI with Poly
* Bachelor’s degree in Math, Physics, Electrical Engineering, or similar technical field.
* 10 or more years of relative systems engineering experience.
* Astronautics or Aerospace Engineering experience.
* Experience in the analysis of data from space system components with the ability to conduct performance analysis and other technical assessments of the data.
* Familiarity with signal processing, digital communications, and RF Theory.
* Knowledge and proficiency in conducting engineering analysis and modeling using tools such as Python, MATLAB.
* Simulink, Satellite Tool Kit (STK), Excel and other standard analysis tools.
* Ability to clearly and concisely present analysis data.
* Modeling and Simulation.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29">
      <c r="A29" t="inlineStr">
        <is>
          <t>in-a380c38ec84d56a2</t>
        </is>
      </c>
      <c r="B29" t="inlineStr">
        <is>
          <t>Data Engineer</t>
        </is>
      </c>
      <c r="C29" t="inlineStr">
        <is>
          <t>KBR</t>
        </is>
      </c>
      <c r="D29" t="inlineStr">
        <is>
          <t>indeed</t>
        </is>
      </c>
      <c r="E29">
        <f>HYPERLINK("https://www.indeed.com/viewjob?jk=a380c38ec84d56a2", "https://www.indeed.com/viewjob?jk=a380c38ec84d56a2")</f>
        <v/>
      </c>
      <c r="F29">
        <f>HYPERLINK("https://careers.kbr.com/us/en/job/R2111231", "https://careers.kbr.com/us/en/job/R2111231")</f>
        <v/>
      </c>
      <c r="G29" t="inlineStr">
        <is>
          <t>Camarillo, CA, US</t>
        </is>
      </c>
      <c r="H29" s="2" t="n">
        <v>45944</v>
      </c>
      <c r="I29" t="inlineStr">
        <is>
          <t>***Belong.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**Come join the ITEA award winning TRMC BDKM team and be a part of the team responsible for revolutionizing how analysis is performed across the entire Department of Defense!**
**Key Responsibilities:**
As a Data Engineer, you will be a critical part of the team that is responsible for enabling the development of data\-driven decision analysis products through the innovative application, and promotion, of novel methods from data science, machine learning, and operations research to provide robust and flexible testing and evaluation capabilities to support DoD modernization.
* **Analytic Experience:** Candidate will be a part of the technical team responsible for providing analytic consulting services, supporting analytic workflow and product development and testing, promoting the user adoption of methods and best practices from data science, conducting applied methods projects, and supporting the creation of analysis\-ready data.
* **Onsite Support:** Candidate will be the face of the CHEETAS Team and will be responsible for ensuring stakeholders have the analytical tools, data products and reports they need to make insightful recommendations based on your data driven analysis.
* **Stakeholder Assistance:** Candidate will directly assisting both analyst / technical and non\-analyst / non\-technical stakeholders with the analysis of DoD datasets and demonstrating the 'art of the possible' to the stakeholders and VIPs with insights gained from your analysis of DoD Test and Evaluation (T\&amp;E) data.
* **Communication:** Must effectively communicate at both a programmatic and technical level. Although you potentially may be the only team member physically on\-site supporting you will not be alone. You will have support from other data science team members as well as the software engineering and system administration teams.
* **Technical Support:** Candidate will be responsible for running and operating CHEETAS (and other tools); demonstrating these tools to stakeholders \&amp; VIPs; conveying analysis results; adapting internally\-developed tools, notebooks and reports to meet emerging needs; gathering use cases, requirements, gaps and needs from stakeholders and for larger development items providing that information as feature requests or bug reports to the CHEETAS development team; and performing impromptu hands\-on training sessions with end users and potentially troubleshooting problems from within closed networks without internet access (with support from distributed team members).
* **Independent Work:** Candidate must be self\-motivated and capable of working independently with little supervision / direct tasking.
**Work Environment:**
* **Location:** Onsite; Honolulu, HI
* **Travel Requirements:** This position will require travel of 25% with potential surge to 50% to support end users located at various DoD ranges \&amp; labs located across the US (including Alaska and Hawaii). When not supporting a site, this position can work remotely or from a nearby KBR office (*if available and desired*).
* **Working Hours:** Standard, although you potentially may be the only team member physically on\-site providing support, you will not be alone.
**Basic Qualifications:**
* **Security Clearance:** Active or current TS/SCI Clearance is required
* **Education:** A degree in operations research, engineering, applied math, statistics, computer science or information technology with preferred 15\+ years of experience within DoD. Candidates with 10\-15 years of DoD experience will be considered on a case\-by\-case basis. Entry level candidates will not be considered.
* **Technical Experience:** Previous experience must include five (5\) years of hands\-on experience in big data analytics, five (5\) years of hands\-on experience with object\-oriented and functional languages (e.g., Python, R, C\+\+, C\#, Java, Scala, etc.).
* **Data Experience:** Experience in dealing with imperfections in data. Experience should demonstrate competency in key concepts from software engineering, computer programming, statistical analysis, data mining algorithms, machine learning, and modeling sufficient to inform technical choices and infrastructure configuration.
* **Data Analytics:** Proven analytical skills and experience in preparing and handling large volumes of data for ETL processes. Experience should include working with teams in the development and interpretation the results of analytic products with DoD specific data types.
* **Big Data Infrastructure:** Experience in the installation, configuration, and use of big data infrastructure (Spark, Trino, Hadoop, Hive, Neo4J, JanusGraph, HBase, MS SQL Server with Polybase, VMWare as examples). Experience in implementing Data Visualization solutions.
**Qualifications Required:**
* Experience using scripting languages (Python and R) to process, analyze and visualize data.
* Experience using notebooks (Jupyter Notebooks and RMarkdown) to create reproducible and explainable products.
* Experience using interactive visualization tools (RShiny, pyShiny, Dash) to create interactive analytics.
* Experience generating and presenting reports, visualizations and findings to customers.
* Experience building and optimizing ‘big data’ data pipelines, architectures and data sets.
* Experience cleaning and preparing time series and geospatial data for analysis.
* Experience working with Windows, Linux, and containers.
* Experience querying databases using SQL and working with and configuring distributed storage and computing environments to conduct analysis (Spark, Trino, Hadoop, Hive, Neo4J, JanusGraph, MongoDB, Accumulo, HBase as examples).
* Experience working with code repositories in a collaborative team.
* Ability to make insightful recommendations based on data driven analysis and customer interactions.
* Ability to effectively communicate both orally and in writing with customers and teammates.
* Ability to speak and present findings in front of large technical and non\-technical groups.
* Ability to create documentation and repeatable procedures to enable reproducible research.
* Ability to create training and educational content for novice end users on the use of tools and novel analytic methods.
* Ability to solve problems, debug, and troubleshoot while under pressure and time constraints is required.
* Should be self\-motivated to design, develop, enhance, reengineer or integrate software applications to improve the quality of data outputs available for end users.
* Ability to work closely with data scientists to develop and subsequently implement the best technical design and approach for new analytical products.
* Strong analytical skills related to working with both structured and unstructured datasets.
* Excellent programming, testing, debugging, and problem\-solving skills.
* Experience designing, building, and maintaining both new and existing data systems and solutions
* Understanding of ETL processes, how they function and experience implementing ETL processes required.
* Knowledge of message queuing, stream processing and extracting value from large disparate datasets.
* Knowledge of software design patterns and Agile Development methodologies is required.
* Knowledge of methods from operations research, statistical and machine learning, data science, and computer science is sufficient to select appropriate methods to enable data preparation and computing architecture configuration to implement these approaches.
* Knowledge of computer programming concepts, data structures and storage architecture, to include relational and non\-relational databases, distributed computing frameworks, and modeling and simulation experimentation sufficient to select appropriate methods to enable data preparation and computing architecture configuration to implement these approaches.
**Scheduled Weekly Hours: 40**
**Basic Compensation:**
$119,900 \- $179,800
The offered rate will be based on the selected candidate’s knowledge, skills, abilities and/or experience and in consideration of internal parity.
**Additional Compensation:**
KBR may offer bonuses, commissions, or other forms of compensation to certain job titles or levels, per internal policy or contractual designation. Additional compensation may be in the form of sign on bonus, relocation benefits, short\-term incentives, long\-term incentives, or discretionary payments for exceptional performance.
**Ready to Make a Difference?**
If you’re excited about making a significant impact in the field of space defense and working on projects that matter, we encourage you to apply and join our team at KBR. Let's shape the future together.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4"/>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li-4376316548</t>
        </is>
      </c>
      <c r="B2" t="inlineStr">
        <is>
          <t>Data Engineer</t>
        </is>
      </c>
      <c r="C2" t="inlineStr">
        <is>
          <t>Shrive Technologies</t>
        </is>
      </c>
      <c r="D2" t="inlineStr">
        <is>
          <t>linkedin</t>
        </is>
      </c>
      <c r="E2" t="inlineStr"/>
      <c r="F2" t="inlineStr"/>
      <c r="G2" t="inlineStr">
        <is>
          <t>Texas, United States</t>
        </is>
      </c>
      <c r="H2" t="inlineStr"/>
      <c r="I2" t="inlineStr">
        <is>
          <t>**Role Overview**
 We are seeking an experienced
 **Senior Data Engineering Consultant** 
 to design, develop, and optimize enterprise data solutions.
 **The ideal candidate will have strong expertise in database technologies, ETL/ELT frameworks, and Master Data Management (MDM) tools, with a focus on delivering high\-quality, reliable, and scalable data systems.**
**Key Responsibilities**
* Design and implement robust data pipelines using ETL/ELT frameworks.
* Develop and optimize queries for PostgreSQL and SQL Server databases.
* Integrate and manage Master Data Management solutions (preferably Ataccama or similar).
* Perform data profiling and ensure data quality management across systems.
* Implement automated testing, monitoring, and alerting for data comparisons and integrity checks.
* Collaborate with cross\-functional teams to define data architecture and governance standards.
* Troubleshoot and resolve performance issues related to data processing and storage.
**Primary Skills**
* Proficiency in PostgreSQL and SQL Server
* Strong experience in ETL/ELT frameworks
* Hands\-on experience with Ataccama or other MDM tools
**Preferred Skills**
* Data Profiling and Data Quality Management
* Query Optimization techniques</t>
        </is>
      </c>
    </row>
    <row r="3">
      <c r="A3" t="inlineStr">
        <is>
          <t>li-4376199816</t>
        </is>
      </c>
      <c r="B3" t="inlineStr">
        <is>
          <t>Junior Data Engineer</t>
        </is>
      </c>
      <c r="C3" t="inlineStr">
        <is>
          <t>Helic &amp; Co.</t>
        </is>
      </c>
      <c r="D3" t="inlineStr">
        <is>
          <t>linkedin</t>
        </is>
      </c>
      <c r="E3" t="inlineStr"/>
      <c r="F3" t="inlineStr"/>
      <c r="G3" t="inlineStr"/>
      <c r="H3" t="inlineStr"/>
      <c r="I3" t="inlineStr">
        <is>
          <t>This is a remote position.
 Overview
 We are looking for a motivated Junior Data Engineer to assist in building and maintaining scalable data pipelines and infrastructure. This entry\-level role offers hands\-on experience with data processing, ETL workflows, and collaboration with data teams to support business analytics.
 Key Responsibilities
* Assist in designing, building, and maintaining data pipelines for ETL/ELT processes using tools like Python, SQL, and cloud platforms.
* Collect, clean, and transform data from various sources (e.g., databases, APIs, files in JSON/CSV/XML formats) to ensure quality and usability.
* Support database management, optimization, and basic troubleshooting to enable efficient data storage and retrieval.
* Perform data quality checks, validation, and monitoring to identify and resolve issues in pipelines.
* Document processes, pipelines, and code for team collaboration and knowledge sharing.
* Collaborate with data analysts, scientists, and stakeholders to understand data needs and contribute to projects.
 Qualifications
* Bachelor’s degree in Computer Science, Data Engineering, or a related field.
* Proficiency in SQL, Python (or Java), and basic data tools; familiarity with ETL processes and databases.
* 0\-2 years of relevant experience or internships; strong problem\-solving and analytical skills.
* Experience with version control (e.g., Git) and data formats is a plus.
 Preferred Attributes
* Knowledge of big data tools (e.g., Spark, Hadoop) or cloud platforms (e.g., AWS, GCP).
* Attention to detail, eagerness to learn, and collaborative team mindset.
 What You’ll Gain
* Mentorship in modern data engineering practices and real\-world projects.
* Opportunities to grow into senior roles while contributing to data\-driven decisions.</t>
        </is>
      </c>
    </row>
    <row r="4">
      <c r="A4" t="inlineStr">
        <is>
          <t>li-4376314595</t>
        </is>
      </c>
      <c r="B4" t="inlineStr">
        <is>
          <t>Juniro Data Engineer</t>
        </is>
      </c>
      <c r="C4" t="inlineStr">
        <is>
          <t>Columbus Crew</t>
        </is>
      </c>
      <c r="D4" t="inlineStr">
        <is>
          <t>linkedin</t>
        </is>
      </c>
      <c r="E4" t="inlineStr"/>
      <c r="F4" t="inlineStr"/>
      <c r="G4" t="inlineStr">
        <is>
          <t>Columbus, OH</t>
        </is>
      </c>
      <c r="H4" t="inlineStr"/>
      <c r="I4" t="inlineStr">
        <is>
          <t>**Overview**
 The Columbus Crew is seeking an early\-career Junior Data Engineer to join our Business Analytics team. This role is focused on building and maintaining data pipelines, improving data quality, and reengineering internal processes to support business operations across the organization.
 This position is designed for candidates beginning their professional careers in data engineering and information systems. Strong technical fundamentals are required. Interest in sports is welcomed, but this is a data\-first role.
**What You Will Do**
* Develop, maintain, and support ETL integrations and data pipelines
* Write and optimize SQL queries, views, functions, and stored procedures
* Monitor and validate data accuracy across multiple systems
* Identify data quality issues and implement corrective solutions
* Gather requirements from business stakeholders and translate them into technical solutions
* Analyze and reengineer existing workflows to improve efficiency and reliability
* Create and maintain flowcharts and process documentation
* Develop and publish reports and dashboards
* Support data processes during business\-critical periods, including games and events
* Perform other duties as assigned
**Required Qualifications**
* Bachelor's degree in Management Information Systems (MIS), Information Systems, Computer Science, Data Analytics, or a related technical discipline
* Approximately 0\-2 years of professional experience in data engineering, analytics engineering, business intelligence, or related technical work
* Demonstrated foundational knowledge of relational databases and SQL
**Technical Skills**
* SQL (Microsoft T\-SQL preferred)
* ETL tools (SSIS or comparable platforms preferred)
* Reporting tools (Tableau, SSRS, or similar)
* Basic object\-oriented programming experience (C\# or similar language preferred)
* Experience documenting processes and building workflow diagrams or flowcharts
**Candidate Profile**
**The Ideal Candidate**
* Has strong technical and systems\-oriented thinking
* Enjoys building and improving data processes
* Is detail\-oriented and committed to data accuracy
* Is comfortable working cross\-functionally with non\-technical stakeholders
* Is seeking long\-term growth in data engineering or information systems
 This is not a sports management role transitioning into analytics. Technical capability and data proficiency are essential.
**Work Environment**
* In\-person position located in Columbus, OH
* Standard business hours: Monday\-Friday, 8:30 AM\-5:30 PM
* Occasional evenings and weekends required to support games and events
 This position requires extended computer\-based work and periodic attendance at organizational events.
**Work Authorization**
 Candidates must be authorized to work in the United States at the time of hire. This position is not eligible for employment visa sponsorship now or in the future.
**Equal Opportunity Employer**
 The Columbus Crew is an equal opportunity employer and does not discriminate on the basis of any protected characteristic under applicable law. Applicants requiring reasonable accommodation during the application or interview process should notify Human Resources.</t>
        </is>
      </c>
    </row>
    <row r="5">
      <c r="A5" t="inlineStr">
        <is>
          <t>li-4374948008</t>
        </is>
      </c>
      <c r="B5" t="inlineStr">
        <is>
          <t>Data Engineer</t>
        </is>
      </c>
      <c r="C5" t="inlineStr">
        <is>
          <t>FetchJobs.co</t>
        </is>
      </c>
      <c r="D5" t="inlineStr">
        <is>
          <t>linkedin</t>
        </is>
      </c>
      <c r="E5" t="inlineStr"/>
      <c r="F5" t="inlineStr"/>
      <c r="G5" t="inlineStr"/>
      <c r="H5" t="inlineStr"/>
      <c r="I5" t="inlineStr">
        <is>
          <t>**About The Company**
 Jobot is a leading technology\-enabled platform dedicated to connecting talented professionals with innovative organizations across various industries. With a commitment to fostering diversity, inclusion, and equal opportunity, Jobot provides a comprehensive ecosystem that supports career growth and development. Our focus is on creating a dynamic and inclusive work environment where employees can thrive, innovate, and make meaningful contributions. We leverage cutting\-edge technology and a collaborative culture to match qualified candidates with roles that align with their skills and aspirations, ensuring mutual success for both individuals and organizations.
**About The Role**
 We are seeking a highly skilled and motivated Azure Databricks \&amp; Data Factory Specialist to join our dynamic team. This role involves designing, developing, and maintaining data solutions using Azure cloud services, primarily focusing on Databricks and Data Factory. The ideal candidate will have a strong background in data engineering, data modeling, and cloud\-based data integration. You will work closely with data scientists, analysts, and other stakeholders to build scalable data pipelines, optimize data workflows, and ensure data quality and security. This position offers an excellent opportunity to contribute to innovative data projects within a fast\-paced environment, supporting our mission to deliver actionable insights and drive strategic decision\-making.
**Qualifications**
* Bachelor’s degree in Computer Science, Information Technology, or a related field; Master’s degree preferred.
* Proven experience with Azure Databricks, Azure Data Factory, and related Azure cloud services.
* Strong proficiency in SQL, Python, and Scala for data processing and scripting.
* Experience with Data Lake and Lakehouse architectures.
* Knowledge of data modeling, data warehousing, and ETL/ELT processes.
* Familiarity with CI/CD pipelines, Git version control, and DevOps practices.
* Excellent problem\-solving skills and ability to work collaboratively in a team environment.
* Strong communication skills to effectively articulate technical concepts to non\-technical stakeholders.
**Responsibilities**
* Design, develop, and optimize data pipelines using Azure Data Factory and Databricks to support business analytics and reporting needs.
* Create and maintain scalable data models and schemas within Data Lake and Lakehouse environments.
* Implement data security, governance, and compliance best practices across all data solutions.
* Collaborate with cross\-functional teams to gather requirements and translate them into technical specifications.
* Develop and automate data workflows to improve efficiency and reduce manual intervention.
* Monitor and troubleshoot data pipelines, ensuring high availability and performance.
* Maintain version control and documentation for all data engineering projects.
* Stay updated on emerging trends and technologies in cloud data engineering to continuously improve our data infrastructure.
**Benefits**
 Our company offers a comprehensive benefits package designed to support your health, well\-being, and professional growth. You will have access to competitive salary packages, health insurance plans, and retirement savings options. We also provide paid time off, flexible work arrangements, and opportunities for continuous learning and development. Our inclusive culture encourages innovation and collaboration, ensuring you feel valued and empowered in your role. Additionally, employees benefit from a supportive work environment, mentorship programs, and recognition initiatives aimed at fostering career advancement and personal achievement.
 Equal Opportunity
 Jobot is an Equal Opportunity Employer. We are committed to creating an inclusive environment where all qualified candidates receive fair consideration for employment without regard to race, color, sex, sexual orientation, gender identity, religion, national origin, age (40 and over), disability, military status, genetic information, or any other protected characteristic under applicable federal, state, or local laws. We prohibit harassment of any kind and promote diversity and inclusion in all aspects of our workplace. Our policies ensure compliance with all relevant laws and foster a culture of respect, fairness, and equal opportunity for everyone.</t>
        </is>
      </c>
    </row>
    <row r="6">
      <c r="A6" t="inlineStr">
        <is>
          <t>li-4376330055</t>
        </is>
      </c>
      <c r="B6" t="inlineStr">
        <is>
          <t>Senior Data &amp; Analytics Engineer (USA - Remote)</t>
        </is>
      </c>
      <c r="C6" t="inlineStr">
        <is>
          <t>Gurobi Optimization</t>
        </is>
      </c>
      <c r="D6" t="inlineStr">
        <is>
          <t>linkedin</t>
        </is>
      </c>
      <c r="E6" t="inlineStr"/>
      <c r="F6" t="inlineStr"/>
      <c r="G6" t="inlineStr"/>
      <c r="H6" t="inlineStr"/>
      <c r="I6" t="inlineStr">
        <is>
          <t>*At Gurobi Optimization, we're on a mission!*
 A mission that focuses on mathematical optimization. We empower our customers to expand their use of mathematical optimization technology in order to make smarter decisions and solve some of the world's toughest and most impactful business problems. We're looking for passionate, dedicated, innovative game\-changers to join our team and drive the future of Gurobi.
 We are seeking a Senior Data \&amp; Analytics Engineer to design, build, and maintain our modern BI data pipeline. This role combines data engineering and analytics engineering and is responsible for transforming raw data into reliable, well\-modeled, business\-ready datasets.
 As a senior member of the team, you will not only architect and maintain scalable data pipelines but also mentor others, establish best practices, and help lead the technical execution of our long\-term data strategy. You will play a foundational role in building a modern data platform that empowers stakeholders across the company with trusted, actionable insights.
**What will you be doing?**
* Build and maintain scalable data pipelines from ingestion through transformation and delivery.
* Design, build, and maintain our data warehouse and data marts.
* Build scalable ELT workflows using modern data stack tools.
* Develop and maintain our data transformations using SQL and Python.
* Lead and maintain our dbt setup and data modeling standards.
* Ensure data quality, testing, documentation, and governance best practices.
* Build and maintain Git\-based workflows and CI/CD for data projects.
* Partner with stakeholders to translate business needs into clean data models.
* Mentor junior team members and promote engineering best practices.
* Evaluate, implement, and integrate tools such as reverse ETL platforms to operationalize warehouse data.
**What experience and qualifications should you have?**
* 5\+ years in data engineering, analytics engineering, or similar roles.
* Strong SQL and Python skills (required).
* Experience building and maintaining production\-grade data pipelines.
* Experience designing data models and analytics\-ready data marts.
* Hands\-on experience with modern cloud data warehouses (BigQuery is a plus).
* Experience working within Google Cloud Platform (GCP) environments (preferred).
* Familiarity with ELT tools (Fivetran is a plus).
* Strong experience with dbt in a production environment.
* Experience with Git\-based version control and CI/CD workflows.
* Exposure to reverse ETL tools is a plus.
**What skills and abilities should you have?**
* Strong data modeling fundamentals.
* Ability to design scalable, maintainable data systems.
* Strong communication skills and ability to work cross\-functionally.
* Passion for clean, reliable, well\-documented data.
* Ability to mentor and raise the bar for others.
* Strong problem\-solving skills and attention to detail.
**What other skills should you have?**
* Experience with data analysis and BI tools — we are a small, high\-impact team and value engineers who can occasionally operate across the full analytics stack.
* Strong ownership mindset with the ability to operate independently and drive initiatives forward.
* Comfort operating in a fast\-moving, growing company.
* Experience building a modern data platform from early\-stage or greenfield environments is a strong plus.
**Your Alignment with our Gurobi Core Values:**
* Customer Focus: Verbal \&amp; written communication skills that bring clarity and build trust.
* Power of the Team: Motivated with a team\-oriented mindset that aims to both inspire and be inspired by others.
* Innovation: The courage to bring ideas forward and see yourself as an integral part of our global team.
* Dedication: Organized and agile, focusing on meeting professional objectives while promoting a healthy work/life balance.
* Integrity: Promise to uphold honesty as your compass and conduct all business practices with an ethical mindset and fiscal responsibility.
*Gurobi Optimization is an Equal Opportunity Employer. All qualified applicants will receive consideration for employment without regard to race, color, religion, sex, national origin, age, disability, protected veteran status, or any other characteristic protected by law.*
*Gurobi Optimization is an E\-Verify employer. As part of our hiring process, we utilize the federal E\-Verify program to verify the employment eligibility of all newly hired employees. For additional information regarding E\-Verify, please visit www.e\-verify.gov.*</t>
        </is>
      </c>
    </row>
    <row r="7">
      <c r="A7" t="inlineStr">
        <is>
          <t>li-4376189118</t>
        </is>
      </c>
      <c r="B7" t="inlineStr">
        <is>
          <t>Data Engineer, OT</t>
        </is>
      </c>
      <c r="C7" t="inlineStr">
        <is>
          <t>Wiraa</t>
        </is>
      </c>
      <c r="D7" t="inlineStr">
        <is>
          <t>linkedin</t>
        </is>
      </c>
      <c r="E7" t="inlineStr"/>
      <c r="F7" t="inlineStr"/>
      <c r="G7" t="inlineStr"/>
      <c r="H7" t="inlineStr"/>
      <c r="I7" t="inlineStr">
        <is>
          <t>**About The Company**
 The ASR Group® family of companies is recognized as the world's largest refiner and marketer of cane sugar. With a rich legacy spanning decades, the group produces a comprehensive portfolio of products including grocery items, industrial solutions, foodservice supplies, and specialty sweeteners. Their operations are geographically diverse, with five sugar refineries across North America in California, Maryland, Louisiana, Canada, and Mexico, as well as facilities in Europe, including the United Kingdom, Portugal, and Italy through a joint venture. Additionally, the company farms sugarcane and owns sugar mills in Mexico and Belize, ensuring control over the entire supply chain. The company's brands, such as Domino®, C\&amp;H®, Florida Crystals®, Redpath®, Tate \&amp; Lyle®, Lyle's®, Sidul®, and Whitworths®, are household names recognized for quality and reliability. Beyond sugar, ASR Group® innovates with products like Tellus®, a sustainable, single\-use, compostable tableware made from plant fibers including sugarcane, emphasizing their commitment to environmental responsibility.
**About The Role**
 The Entry Level Data Engineer plays a vital role in supporting the integration and management of data systems across the company's global manufacturing operations. This position is tailored for early\-career professionals who are passionate about leveraging data to enhance manufacturing processes, improve operational efficiency, and enable data\-driven decision\-making. The role involves working closely with senior data engineers and cross\-functional teams to maintain and troubleshoot SCADA systems, develop and organize a Unified Namespace (UNS) architecture, and support SAP integration efforts. The ideal candidate will gain hands\-on experience with industrial data platforms, analytics tools, and data governance principles, contributing to ongoing process optimization initiatives. This position offers an excellent opportunity for growth within a global organization dedicated to innovation and sustainability in the manufacturing sector.
**Qualifications**
* Bachelor’s degree in Engineering, Computer Science, or a related field
* Strong interest in manufacturing processes and data analytics
* Familiarity with databases (SQL)
* Proficiency in programming languages such as Python
* Experience with analytics tools like Power BI and SSRS
* Understanding of data governance concepts (desirable)
* Excellent problem\-solving and communication skills
* Ability to work collaboratively in a manufacturing environment
**Responsibilities**
* Assist in maintaining and troubleshooting SCADA systems and related data platforms
* Support data integration efforts between SAP, SCADA, LIMS, and other plant systems
* Contribute to the development and organization of a Unified Namespace (UNS) for real\-time data accessibility
* Validate and monitor data accuracy for operational reporting and analytics
* Collaborate with operations and IT teams to implement data\-driven improvements
* Support and promote the use of manufacturing analytics platforms across teams
* Learn and apply basic analytics techniques to identify operational trends and opportunities for process optimization
**Benefits**
* Competitive salary package aligned with industry standards
* Opportunities for professional development and training in advanced analytics and data governance
* Exposure to cutting\-edge manufacturing data architecture and integration tools
* Collaborative work environment with cross\-functional teams
* Potential for career growth within a global organization focused on innovation and sustainability
* Flexible work arrangements, including possible remote work with travel to various locations
 Equal Opportunity
 We are an equal opportunity employer. We do not discriminate on the basis of race, color, creed, religion, gender, sexual orientation, gender identity, age, national origin, disability, veteran status, or any other category protected under federal, state, or local law. All employment decisions are made based on qualifications, merit, and business needs.</t>
        </is>
      </c>
    </row>
    <row r="8">
      <c r="A8" t="inlineStr">
        <is>
          <t>li-4367677730</t>
        </is>
      </c>
      <c r="B8" t="inlineStr">
        <is>
          <t>Data Engineer</t>
        </is>
      </c>
      <c r="C8" t="inlineStr">
        <is>
          <t>Progyny, Inc.</t>
        </is>
      </c>
      <c r="D8" t="inlineStr">
        <is>
          <t>linkedin</t>
        </is>
      </c>
      <c r="E8" t="inlineStr"/>
      <c r="F8" t="inlineStr"/>
      <c r="G8" t="inlineStr">
        <is>
          <t>New York, NY</t>
        </is>
      </c>
      <c r="H8" t="inlineStr"/>
      <c r="I8" t="inlineStr">
        <is>
          <t>Thank you for considering Progyny!
 We are looking for a Data Engineer to join our team. You will be responsible for all aspects of the design, development and delivery of data and database solutions.
**What You'll Do...**
* Design, develop and implement data solutions. This may include architecture design, prototyping of concepts to proof of concept, development of standards, design and development of test plans, code and module design, development and testing, data solution debugging, design and implementation of a solution that follows efficient design techniques and development that meets and exceeds the intent of the design of the data solution.
* Develop, construct, test and maintain optimal data pipeline architecture
* Support and maintain data and database systems to meet business delivery specifications and needs.
* Partner with a team of developers to effectively meet the deliverables and schedule of a data solution component within a larger application project.
* Lend support to various business and technology teams as necessary to ensure solid, scalable, robust solutions.
* Build the infrastructure required for optimal extraction, transformation, and loading of data from a wide variety of data sources using Postgres, Python and ETL Tools
* Assemble large, complex data sets that meet functional / non\-functional business requirements.
* Identify, design, and implement internal process improvements: automating manual processes, optimizing data delivery, re\-designing infrastructure for greater scalability, etc.
* Prepare data for predictive analysis \&amp; use data to discover tasks that can be automated
* Partner with internal stakeholders including the BI \&amp; Finance teams to assist with data\-related technical issues and support their data infrastructure needs.
**About You...**
* 3\-5 years of experience in a Data Engineer role
* Degree in Computer Science, Statistics, Information Systems, equivalent field, and or comparable experience
* Advanced working SQL knowledge and experience working with relational databases
* Proven experience with Data Transformations \&amp; Integrity testing by using test\-driven development methodologies.
* Demonstrated experience with EXPLAIN, indexing and query optimizations
* Prior experience with object\-oriented/object function scripting languages: Python, Java, C\+\+
* Prior experience with Amazon AWS RDS \&amp; Aurora
* Demonstrated experience with at least one DAG\-based orchestration tool such as Apache Airflow, Dagster, Azure Data Factory and/or its derived systems.
* Working knowledge of with Docker, Git \&amp; SDLC Methodologies
* Knowledge of Salesforce Data APIs and SOQL
* Experience building (or redesigning) and optimizing data pipelines, architectures and data sets.
* Knowledge of non\-SQL data sources: such as JSON, MongoDB, and consuming data from APIs
* Prior experience performing root cause analysis on internal and external data and processes to answer specific business questions and identify opportunities for improvement.
* Proven experience building processes supporting data transformation, data structures, metadata, dependency and workload management.
* Demonstrated experience with data security, encryption, HIPAA
**Please note:** 
 This is not a digital nomad or remote international position; candidates must be based in the United States. Progyny is unable to provide visa sponsorship for this position. Candidates must be authorized to work in United States without the need for sponsorship, now or in the future.
**About Progyny:**
 Progyny (Nasdaq: PGNY) is a global leader in women’s health and family building solutions, trusted by the nation’s leading employers, health plans and benefit purchasers. We envision a world where everyone can realize dreams of family and ideal health. Our outcomes prove that comprehensive, inclusive and intentionally designed solutions simultaneously benefit employers, patients and physicians.
 Our benefits solution empowers patients with concierge support, coaching, education, and digital tools; provides access to a premier network of fertility and women's health specialists who use the latest science and technologies; drives optimal clinical outcomes; and reduces healthcare costs.
 Our mission is to empower healthier, supported journeys through transformative fertility, family building and women’s health benefits.
 Headquartered in New York City, Progyny has been recognized for its leadership and growth as a TIME100 Most Influential Company, CNBC Disruptor 50, Modern Healthcare's Best Places to Work in Healthcare, Forbes' Best Employers, Financial Times Fastest Growing Companies, Inc. 5000, Inc. Power Partners, and Crain's Fast 50 for NYC. For more information, visit www.progyny.com.
**Our perks:**
* Family friendly benefits: Paid family and parental leave, preconception, fertility and family building benefits (including egg freezing, IVF, and adoption support), family and pet care fund, and Parents’ Employee Affiliation Group
* Menopause and midlife care
* Health, dental, vision and life insurance options for employees and family
* Free in\-person, virtual and text\-based mental health and wellness support
* Paid time off, including vacation, sick leave, personal days and summer flex time
* Company equity
* Bonus program
* 401(k) plan with company match
* Access to on\-demand legal and financial advice
* Learning and development programs to help you grow professionally and a mentorship program
* Company social events to include annual volunteer day and donation matching
* Flex days (3 days a week in the office) and onsite meals and snacks for employees reporting into our NY office
 In compliance with New York City's Wage Transparency Law, the annual salary \[wage] range for NYC\-based applicants is:
 **$140,000 \- $155,000\.** 
 There are a variety of factors that go into determining a salary range, including but not limited to external market benchmark data, geographic location, and years of experience sought/required. Progyny offers a total compensation package comprised of base salary, cash bonus, and equity.
 Progyny is proud to be an Equal Opportunity and Affirmative Action employer. We respect and seek to empower each individual and support the diverse cultures, perspectives, skills and experiences within our workforce. All qualified applicants will receive consideration for employment without regard to race, creed, color, religion, sex, sexual orientation, gender identity or expression, national origin, disability, age, genetic information, marital status, pregnancy or related condition, status as a protected veteran, criminal history consistent with legal requirements or any other basis protected by law.
 If you are an individual with a disability and need assistance or an accommodation during the recruiting process, please send an e\-mail to apply@progyny.com.</t>
        </is>
      </c>
    </row>
    <row r="9">
      <c r="A9" t="inlineStr">
        <is>
          <t>li-4376309430</t>
        </is>
      </c>
      <c r="B9" t="inlineStr">
        <is>
          <t>Senior Data Engineer</t>
        </is>
      </c>
      <c r="C9" t="inlineStr">
        <is>
          <t>James Search Group</t>
        </is>
      </c>
      <c r="D9" t="inlineStr">
        <is>
          <t>linkedin</t>
        </is>
      </c>
      <c r="E9" t="inlineStr"/>
      <c r="F9" t="inlineStr"/>
      <c r="G9" t="inlineStr"/>
      <c r="H9" t="inlineStr"/>
      <c r="I9" t="inlineStr">
        <is>
          <t>**Senior Data Engineer (P\&amp;C Insurance)** 
 Fully Remote \| Full\-Time
 Base Salary: $120,000 – $150,000
**Partnering with a Leading P\&amp;C Insurance Carrier** 
 James Search Group is proud to partner with a highly rated Property \&amp; Casualty insurance carrier that is making significant investments in
 **data engineering, analytics, and machine learning** 
 . The company is building a centralized Data \&amp; ML/AI organization that unites experts across data architecture, engineering, analytics, governance, and modeling—creating a unique opportunity for growth, collaboration, and innovation.
 We are seeking a
 **Senior Data Engineer** 
 to design, build, and maintain the upstream components of a modern data platform. From ingestion and real\-time streaming to data quality frameworks, you’ll play a pivotal role in shaping the technical foundation of the company’s next\-generation data environment. This is a hands\-on role where you’ll be coding daily, mentoring peers, and collaborating closely with analytics engineers, data scientists, and business partners.
**Office Locations (Optional Hybrid):** 
 This is a remote\-first position, but you can also work from one of the carrier’s multiple U.S. office locations.
**What You’ll Do:** 
* Design, build, and optimize
 **scalable data pipelines** 
 for batch and real\-time processing.
* Implement
 **data ingestion frameworks** 
 including CDC from core systems, APIs, and third\-party platforms (Salesforce, Workday, Duck Creek, etc.).
* Develop and optimize
 **Apache Spark jobs on Databricks** 
 , leveraging Delta Lake, DLT pipelines, and lakehouse architectures.
* Ensure
 **data quality, lineage, and governance** 
 using Unity Catalog, CI/CD, and role\-based access/security controls.
* Partner with analytics engineers (dbt) to deliver clean, structured upstream data.
* Mentor peers, contribute to architecture decisions, and foster a culture of craftsmanship.
* Leverage
 **AWS services** 
 (S3, Glue, Lambda, etc.) and DevOps tools (GitHub, CI/CD) for scalable, production\-grade deployments.
**What You Bring:** 
* 3\-5\+ years of professional experience in
 **data engineering** 
 , ideally within insurance or financial services.
* Strong proficiency in
 **Python, SQL, and Spark** 
 for building and optimizing pipelines.
* Hands\-on expertise with
 **Databricks** 
 (Unity Catalog, Delta Lake, DLT pipelines) and/or Azure Data Services.
* Strong knowledge of
 **AWS data services** 
 , with the ability to adapt across cloud platforms (Azure, GCP).
* Familiarity with modern data architectures (medallion, lakehouse, streaming).
* Experience with GitHub, CI/CD pipelines, and testing frameworks.
* A problem\-solving mindset: balancing pragmatism with scalability, and a passion for working in collaborative teams.
**What’s In It for You:** 
* Competitive base salary ($120K–$150K)
* Performance\-based bonus
* Comprehensive benefits package
* 401(k) with company match
* Generous PTO and wellness programs
 This is a rare opportunity to join a
 **ground\-floor data transformation** 
 at a forward\-thinking P\&amp;C insurer, working with the latest tools and approaches to build something lasting.
 If you’re excited to design and deliver production\-grade data systems that directly empower analytics, AI, and business outcomes—we’d love to connect.</t>
        </is>
      </c>
    </row>
    <row r="10">
      <c r="A10" t="inlineStr">
        <is>
          <t>li-4376320194</t>
        </is>
      </c>
      <c r="B10" t="inlineStr">
        <is>
          <t>Data Engineer</t>
        </is>
      </c>
      <c r="C10" t="inlineStr">
        <is>
          <t>Hirenza</t>
        </is>
      </c>
      <c r="D10" t="inlineStr">
        <is>
          <t>linkedin</t>
        </is>
      </c>
      <c r="E10" t="inlineStr"/>
      <c r="F10" t="inlineStr"/>
      <c r="G10" t="inlineStr"/>
      <c r="H10" t="inlineStr"/>
      <c r="I10" t="inlineStr">
        <is>
          <t>**About The Company**
 Jobot is a leading organization committed to innovation, technology, and data\-driven solutions. With a focus on fostering a collaborative and inclusive work environment, Jobot invests heavily in its engineering and data science teams to drive impactful digital products. The company prides itself on maintaining a stable yet dynamic organizational structure that encourages continuous improvement and modernization while offering long\-term stability. Employees benefit from competitive compensation packages, comprehensive benefits, and opportunities to work on high\-visibility projects that have a real\-world impact. Jobot’s culture emphasizes quality, innovation, and professional growth, making it an ideal place for talented engineers and data scientists to thrive and contribute meaningfully to the organization’s success.
**About The Role**
 We are seeking a highly skilled Senior Data Engineer to join our high\-performing engineering team. This role is pivotal in architecting, deploying, and maintaining next\-generation data platforms that support our global operations. As a Senior Data Engineer, you will serve as a bridge between Data Science and Production Engineering, ensuring that datasets, machine learning models, and core services are reliably deployed in scalable, secure cloud environments. This position offers the opportunity to lead complex data architecture initiatives, develop and optimize backend services, and oversee MLOps pipelines that enable continuous training, deployment, and monitoring of machine learning models. Your expertise will directly influence the company’s ability to leverage data for strategic decision\-making and operational excellence.
**Qualifications**
 To be successful in this role, candidates should possess a minimum of 5\+ years of professional experience in Data Engineering, Software Engineering, or Cloud Engineering. Deep proficiency in Python is essential, particularly for application development, data processing, and automation tasks. Candidates must have proven experience in building and deploying production\-grade backend services and APIs using frameworks like FastAPI, Flask, or Django. Strong SQL skills, along with experience designing and optimizing schemas for relational and analytical data stores such as BigQuery and Cloud SQL, are required. Hands\-on experience with data orchestration tools like Dagster or Airflow is necessary, as is extensive familiarity with Google Cloud Platform services including BigQuery, Pub/Sub, Vertex AI, and Compute Engine. Expertise in containerization and orchestration tools such as Docker and Kubernetes, including Helm, is also essential. Nice\-to\-have skills include experience with Infrastructure as Code tools like Terraform, CI/CD pipelines, observability stacks such as Prometheus and Grafana, and a solid understanding of cloud security and compliance. Experience supporting production MLOps workflows, including model monitoring and automated retraining, is a plus.
**Responsibilities**
 The core responsibilities of this role include designing, building, and maintaining robust data ingestion and transformation pipelines utilizing modern orchestration tools to ensure reliable and observable data flows supporting machine learning workloads. You will develop clean, efficient, and well\-tested Python code for automation, infrastructure tooling, and service integration, while also creating shared libraries and glue services that connect cloud\-native components. A key aspect of the role involves designing, developing, and deploying high\-performance APIs using frameworks such as FastAPI or Flask to serve machine learning predictions and core application logic.
 You will take ownership of end\-to\-end MLOps pipelines, managing processes for continuous training, deployment, versioning, and monitoring of production machine learning models, especially recommendation or personalization systems. Infrastructure management is a critical component, requiring you to architect and maintain scalable, fault\-tolerant systems using Kubernetes within Google Cloud Platform, ensuring optimal performance, reliability, and cost efficiency across environments.
 Collaboration and mentorship are integral to this position. You will partner closely with data scientists, software engineers, and platform teams to deliver integrated solutions, while providing technical leadership and mentorship to junior engineers. This role demands proactive problem\-solving, innovative thinking, and the ability to operate effectively within a fast\-paced, highly technical environment.
**Benefits**
 Jobot offers a competitive salary range of $155,000 to $175,000 per year, complemented by comprehensive benefits that support the well\-being and professional development of our employees. Benefits include health insurance, retirement plans, paid time off, and opportunities for continuous learning and career growth. Employees have access to a collaborative work environment that encourages innovation, knowledge sharing, and personal achievement. The organization promotes a healthy work\-life balance and values diversity, inclusion, and equal opportunity, making it an ideal place for talented professionals to build a rewarding career.
 Equal Opportunity
 Jobot is an Equal Opportunity Employer. We are committed to creating an inclusive environment that celebrates diversity and ensures all qualified candidates receive fair consideration for employment regardless of race, color, sex, sexual orientation, gender identity, religion, national origin, age, disability, military status, genetic information, or any other protected characteristic. We prohibit harassment and discrimination of any kind and adhere to all applicable federal, state, and local laws. Jobot values diversity and strives to foster an environment where every employee can thrive and contribute to our shared success.</t>
        </is>
      </c>
    </row>
    <row r="11">
      <c r="A11" t="inlineStr">
        <is>
          <t>li-4367282762</t>
        </is>
      </c>
      <c r="B11" t="inlineStr">
        <is>
          <t>Senior Data Engineer</t>
        </is>
      </c>
      <c r="C11" t="inlineStr">
        <is>
          <t>Ingram Content Group</t>
        </is>
      </c>
      <c r="D11" t="inlineStr">
        <is>
          <t>linkedin</t>
        </is>
      </c>
      <c r="E11" t="inlineStr"/>
      <c r="F11" t="inlineStr"/>
      <c r="G11" t="inlineStr">
        <is>
          <t>La Vergne, TN</t>
        </is>
      </c>
      <c r="H11" t="inlineStr"/>
      <c r="I11" t="inlineStr">
        <is>
          <t>**Job Description**
**Ingram Content Group** 
 (ICG) is currently seeking a
 **Senior Data Engineer** 
 to join our team in
 **LaVergne, TN** 
 (Greater Nashville area). This person will design, build, and optimize the systems that allow our data to be gathered, ingested, stored, analyzed, transformed, and distributed. You will be responsible for the entire lifecycle of data pipelines, from ingestion to the creation of Operational Data Stores (ODS). Senior Data Engineer Acts as the senior/lead technical programmer in the team, owns the solution stack, and has an appetite for problem solving. Delivers results through independent contributions and mentoring of junior engineers. Works with the data architect, CI/CD architects, and other data engineers to build and deliver world\-class data platforms. This position will be hybrid and work from the Ingram headquarters 4 days per week.
*Want to help explore and build new ways to deliver content to the world?*
 At Ingram, our Technology team is blazing a trail by providing content distribution services to thousands of publishers with key initiatives around business intelligence, machine learning, continuous integration and omnichannel.  We support diverse people and technology that highlights innovation through SaaS platforms, metadata, cloud, and containerization.   Our teams are agile, and emphasize authenticity, creativity, and transparency upon a fact\-based foundation.
 The world is reading, and it is our goal to connect as many people as possible to the content they want in the simplest ways.  If you are an IT professional who strives to deliver results through collaborative partnerships, understanding what drives business, and enjoys working in a connected culture, we can’t wait to meet you!
**The ideal candidate will have the following minimum qualifications:**
* Education: Bachelor's or master's degree in computer science, Computer Engineering, IT, or a closely related technical field.
* 6\+ years of professional experience in data engineering or a similar data\-intensive role.
* Core Languages: Expert\-level proficiency in SQL and Python.
* Databases: Deep experience with MySQL and at least one major NoSQL provider (e.g., MongoDB, Cassandra).
* Integration: Hands\-on experience creating and deploying SSIS Packages.
* Streaming: Proven experience using Apache Kafka for event\-driven architecture.
* Concepts: Strong understanding of data modeling, schema design, and distributed systems.
**We have a preference for:**
* Technical expertise in a core technology area Data and Software engineering
* Knowledge of external technologies within domain of expertise
* Knowledge of all phases of applications systems analysis and programming
* Knowledge of Development Tools with demonstrated expert experience in: Python, data manipulation packages of Python
* Working knowledge of client\-server architectures and RESTFul APIs
* Knowledge of software collaboration platforms like GitHub, Azure DevOps, and JIRA
* Ability to communicate effectively across the organization and with leadership
* Ability to apply new knowledge, technology, and procedure to job responsibilities
* Ability to be flexible/multi\-task based on workflow demands
**The Sr Java Software Engineer key responsibilities are:**
* Pipeline Development: Design and implement robust ETL/ELT data pipelines using Apache Kafka for streaming and batch processing.
* Database Management: Architect and maintain both Relational (MySQL, SQL Server) and Non\-relational (NoSQL) database environments to ensure high performance and scalability.
* SQL server related: Transact\-SQL, ETL and Data warehousing, SQL server management studio, maintaining and optimizing stored procedures, maintaining and monitoring background jobs.
* ODS Architecture: Build and manage Operational Data Stores to integrate data from disparate sources for real\-time and batched operational reporting.
* Data Handling: Write complex, optimized SQL queries, develop Python scripts using libraries like Pandas, NumPy, and PySpark, and integrate Kafka for sophisticated data transfer, manipulation and cleansing.
* System Optimization: Monitor and tune database performance, ensuring data integrity and security across all platforms.
* Lead and execute testing to ensure data validation and data integrity.
* Drives solutions and guides the work of others to provide full application development life cycle support including specifications, prototypes, development, quality assurance, and deployment.
* Works with user/customer community, business analysts, and architects to capture system requirements and design.
* Leverages a technical network to collaborate across the organization's units.
*Hiring Salary Range: $110,981k \- $141,123k. This range represents the anticipated low and high end of the salary for this position. It will be determined by factors including but not limited to: the applicant’s education, experience, knowledge, skills, and abilities, geographic location, as well as internal equity and alignment with market data.*
**Additional Information**
**Perks/Benefits:**
* A highly competitive compensation package with generous benefits beginning first day of employment for Medical/Prescription Drug plans, HSA, Vision, Dental and Health Care FSA.
+ 15 vacation days \&amp; 12 sick days accrued annually and 3 personal days
+ 401K match, Life and AD\&amp;D, Employee Assistance programs, Group Legal, \&amp; more
+ Wellness program with access to onsite gym and basketball court for associates
* Encouraged continued education with our tuition reimbursement program
* Financial and in\-kind opportunities to engage with non\-profits in your community
+ Company match program for United Way donations
+ Volunteer opportunities and in\-kind drives for non\-profits throughout the year
* Take breaks or brainstorm in our game room with ping pong \&amp; foosball
* Casual Dress Code \&amp; Flexible Schedules (per team)
 The world is reading, and Ingram Content Group (“Ingram”) connects people with content in all forms. Providing comprehensive services for publishers, retailers, libraries and educators, Ingram makes these services seamless and accessible through technology, innovation and creativity. With an expansive global network of offices and facilities, Ingram’s services include digital and physical book distribution, print\-on\-demand, and digital learning. Ingram Content Group is a part of Ingram Industries Inc. and includes Ingram Book Group LLC, Ingram Publisher Services LLC, Lightning Source LLC, Ingram Library Services LLC, Tennessee Book Company LLC, Ingram Content Group UK Ltd. and Ingram Content Group Australia Pty Ltd.
*All qualified applicants will receive consideration for employment without regard to race, color, religion, sex, national origin, age, work related mental or physical disability, veteran status, sexual orientation, gender identity, or genetic information.*
* EOE\-Race/Gender/Veterans/Disabled
* We participate in EVerify.
* EEO Poster in English
* EEO Poster in Spanish</t>
        </is>
      </c>
    </row>
    <row r="12">
      <c r="A12" t="inlineStr">
        <is>
          <t>li-4376313286</t>
        </is>
      </c>
      <c r="B12" t="inlineStr">
        <is>
          <t>Senior Data Engineer</t>
        </is>
      </c>
      <c r="C12" t="inlineStr">
        <is>
          <t>Cox Automotive Inc.</t>
        </is>
      </c>
      <c r="D12" t="inlineStr">
        <is>
          <t>linkedin</t>
        </is>
      </c>
      <c r="E12" t="inlineStr"/>
      <c r="F12" t="inlineStr"/>
      <c r="G12" t="inlineStr"/>
      <c r="H12" t="inlineStr"/>
      <c r="I12" t="inlineStr">
        <is>
          <t>The
 **Insights \&amp; Advisory** 
 team at
 **Cox Automotive** 
 is seeking a highly skilled and forward\-thinking
 **Senior Data Engineer** 
 to design, build, and optimize data architecture and pipelines that power strategic decision\-making across the enterprise. This role combines deep technical expertise with a strong focus on
 **data quality and integrity** 
 , ensuring that data is accessible, trusted, and actionable for internal teams and automotive OEM clients.
 You'll play a critical role in shaping the data infrastructure roadmap, enabling advanced analytics through AI, machine learning, and big data technologies, while embedding rigorous testing and validation practices into every stage of the data lifecycle.
**Key Responsibilities**
**Data Architecture \&amp; Engineering**
* Design and implement robust data architectures supporting structured and unstructured data from internal and external sources.
* Build and maintain scalable, secure data pipelines using cloud\-based and distributed technologies.
* Establish data structures and routing mechanisms based on business and technical requirements.
* Ensure alignment with enterprise architecture standards and business goals
**Data Quality \&amp; Automated Testing**
* Develop and execute automated test cases to validate ETL workflows, data pipelines, and reporting logic.
* Create regression test suites to ensure ongoing data integrity and system stability.
* Monitor and troubleshoot data anomalies, proactively identifying root causes and implementing fixes.
* Maintain high standards of data quality across all reporting and analytical outputs.
**Advanced Data Solutions**
* Develop tools and programming to cleanse, organize, and transform data using AI, ML, and big data techniques.
* Automate manual data processes, transforming them into repeatable, scalable capabilities.
* Collaborate on application development projects to evolve database architecture and design.
**Data Analysis \&amp; Reporting**
* Analyze current and historical performance data to identify trends, variances, and opportunities.
* Support dashboard and reporting development using tools like Tableau, Power BI, or Domo.
* Fulfill routine and ad\-hoc reporting requests using accepted metrics and methodologies.
**Collaboration \&amp; Stakeholder Engagement**
* Partner with data consumers, project managers, and business stakeholders to define logical and physical database designs for analytics models.
* Collaborate with internal and external data providers to validate data, provide feedback, and customize data feeds and mappings.
* Communicate findings and test results clearly to both technical and non\-technical audiences.
**Process Improvement \&amp; Innovation**
* Identify and implement improvements in internal data management and testing processes.
* Influence the data infrastructure roadmap through technical leadership and innovation.
* Contribute to the development of design standards and assurance processes for software, systems, and applications.
**Minimum Qualifications**
* Bachelor's degree in a related discipline and 4\+ years of experience in data engineering or architecture. The right candidate could also have a different combination, such as a master's degree and 2 years' experience; a Ph.D. and up to 1 year of experience; or 16 years' experience in a related field
* Proven experience designing and building data pipelines and architectures in cloud environments (e.g., AWS, Azure, Snowflake).
* Strong programming skills in Python, Scala, or Java, and proficiency in SQL.
* Experience with big data technologies (e.g., Spark, Kafka, Hadoop) and machine learning frameworks.
* Familiarity with ETL processes, data modeling, and data warehousing concepts.
* Experience with automated testing frameworks (e.g., PyTest, Selenium, dbt tests) and data validation techniques.
* Excellent problem\-solving skills and ability to communicate technical concepts to non\-technical stakeholders.
* Experience supporting cross\-functional teams including Finance, Sales, and Product Development is a plus.
**Preferred Skills**
* Experience with AI/ML frameworks (e.g., TensorFlow, PyTorch, Scikit\-learn) for data transformation and predictive modeling.
* Familiarity with data orchestration tools such as Apache Airflow, dbt, or Dagster.
* Hands\-on experience with cloud\-native data platforms (e.g., Snowflake, AWS Redshift, Azure Synapse).
* Knowledge of data governance and metadata management best practices.
* Experience integrating external data sources and APIs into enterprise data ecosystems.
* Strong understanding of CI/CD pipelines and DevOps practices for data engineering.
* Ability to work in Agile environments and contribute to sprint planning and backlog grooming.
* Exposure to real\-time data streaming technologies (e.g., Kafka, Kinesis) is a plus.
**Why Join Cox Automotive?**
 At Cox Automotive, data is at the heart of every decision. As a Sr Data Engineer, you'll be part of a collaborative team that values innovation, precision, and impact. This role offers the opportunity to shape the future of data infrastructure and empower business leaders with trusted, high\-quality data solutions.
 USD 101,500\.00 \- 169,100\.00 per year
**Compensation**
 Compensation includes a base salary of $101,500\.00 \- $169,100\.00\.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Application Deadline: 02/22/2026</t>
        </is>
      </c>
    </row>
    <row r="13">
      <c r="A13" t="inlineStr">
        <is>
          <t>li-4376330008</t>
        </is>
      </c>
      <c r="B13" t="inlineStr">
        <is>
          <t>Data Engineer</t>
        </is>
      </c>
      <c r="C13" t="inlineStr">
        <is>
          <t>CGS Federal (Contact Government Services)</t>
        </is>
      </c>
      <c r="D13" t="inlineStr">
        <is>
          <t>linkedin</t>
        </is>
      </c>
      <c r="E13" t="inlineStr"/>
      <c r="F13" t="inlineStr"/>
      <c r="G13" t="inlineStr">
        <is>
          <t>Michigan, United States</t>
        </is>
      </c>
      <c r="H13" t="inlineStr"/>
      <c r="I13" t="inlineStr">
        <is>
          <t>Data Engineer Employment Type: Full\-Time, Mid\-levelDepartment: Business Intelligence CGS is seeking a passionate and driven Data Engineer to support a rapidly growing Data Analytics and Business Intelligence platform focused on providing solutions that empower our federal customers with the tools and capabilities needed to turn data into actionable insights. The ideal candidate is a critical thinker and perpetual learner; excited to gain exposure and build skillsets across a range of technologies while solving some of our clients’ toughest challenges.
 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 Skills and attributes for success:\-Complete development efforts across data pipeline to store, manage, store, and provision to data consumers.\-Being an active and collaborating member of an Agile/Scrum team and following all Agile/Scrum best practices.\-Write code to ensure the performance and reliability of data extraction and processing.\-Support continuous process automation for data ingest.\-Achieve technical excellence by advocating for and adhering to lean\-agile engineering principles and practices such as API\-first design, simple design, continuous integration, version control, and automated testing.\-Work with program management and engineers to implement and document complex and evolving requirements.\-Help cultivate an environment that promotes customer service excellence, innovation, collaboration, and teamwork.\-Collaborate with others as part of a cross\-functional team that includes user experience researchers and designers, product managers, engineers, and other functional specialists.
 Qualifications:\-Must be a US Citizen.\-Must be able to obtain a Public Trust Clearance.\-7\+ years of IT experience including experience in design, management, and solutioning of large, complex data sets and models.\-Experience with developing data pipelines from many sources from structured and unstructured data sets in a variety of formats.\-Proficiency in developing ETL processes, and performing test and validation steps.\-Proficiency to manipulate data (Python, R, SQL, SAS).\-Strong knowledge of big data analysis and storage tools and technologies.\-Strong understanding of the agile principles and ability to apply them.\-Strong understanding of the CI/CD pipelines and ability to apply them.\-Experience with relational database, such as, PostgreSQL.\-Work comfortably in version control systems, such as, Git Repositories.
 Ideally, you will also have:\-Experience creating and consuming APIs.\-Experience with DHS and knowledge of DHS standards a plus.\-Candidates will be given special consideration for extensive experience with Python.\-Ability to develop visualizations utilizing Tableau or PowerBI.\-Experience in developing Shell scripts on Linux.\-Demonstrated experience translating business and technical requirements into comprehensive data strategies and analytic solutions.\-Demonstrated ability to communicate across all levels of the organization and communicate technical terms to non\-technical audiences. 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
 For the past seven years, we’ve been growing our government\-contracting portfolio, and along the way, we’ve created valuable partnerships by demonstrating a commitment to honesty, professionalism, and quality work.
 Here at CGS we value honesty through hard work and self\-awareness, professionalism in all we do, and to deliver the best quality to our consumers mending those relations for years to come.
 We care about our employees. Therefore, we offer a comprehensive benefits package:\-Health, Dental, and Vision\-Life Insurance\-401k\-Flexible Spending Account (Health, Dependent Care, and Commuter)\-Paid Time Off and Observance of State/Federal Holidays
 Contact Government Services, LLC is an Equal Opportunity Employer. Applicants will be considered without regard to their race, color, religion, sex, sexual orientation, gender identity, national origin, disability, or status as a protected veteran.
 Join our team and become part of government innovation!
 Explore additional job opportunities with CGS on our Job Board:https://cgsfederal.com/join\-our\-team/
 For more information about CGS please visit: https://www.cgsfederal.com or contact:Email: \[email protected]
 \#CJ$112,597\.33 \- $152,810\.66 a yearWe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
      <c r="A14" t="inlineStr">
        <is>
          <t>li-4374938464</t>
        </is>
      </c>
      <c r="B14" t="inlineStr">
        <is>
          <t>Data Engineer</t>
        </is>
      </c>
      <c r="C14" t="inlineStr">
        <is>
          <t>Haystack</t>
        </is>
      </c>
      <c r="D14" t="inlineStr">
        <is>
          <t>linkedin</t>
        </is>
      </c>
      <c r="E14" t="inlineStr"/>
      <c r="F14" t="inlineStr"/>
      <c r="G14" t="inlineStr"/>
      <c r="H14" t="inlineStr"/>
      <c r="I14" t="inlineStr">
        <is>
          <t>**Data Engineer \| San Diego, CA \| Hybrid \| $61,900 \- $141,000** 
 We're working with a premier global transformation consultancy on this exciting opportunity.
 Join a multi\-disciplinary team leveraging Python, SQL, and Cloud infrastructure to solve high\-stakes challenges ranging from fraud detection to national intelligence. If you want to build scalable data pipelines that turn disparate information into mission\-critical insights, this is the environment for you.
**The Role** 
 • Develop and deploy robust data pipelines and platforms to organize structured and unstructured data from IoT and AI sources.
 • Implement ETL operations across on\-premises and Cloud environments to support large\-scale analytical exploration.
 • Collaborate in an agile environment with data scientists, software engineers, and customer success managers to build advanced technology solutions.
 • Script and automate data workflows on both Linux and Windows operating systems to ensure platform scalability.
 • Support the assessment, design, and maintenance of data platforms that drive critical research in fields like cancer research and national security.
**What You'll Need** 
 • 2\+ years of professional experience writing software in programming languages, specifically Python.
 • 2\+ years of hands\-on experience with ETL operations and Cloud infrastructure (AWS, Azure, or similar).
 • 1\+ years of experience with source control and collaboration tools including Git, Atlassian, or JIRA.
 • Strong technical knowledge of relational and non\-relational databases using SQL or GraphQL.
 • Ability to obtain a Secret security clearance and a Bachelor’s degree in a technical field.
 • Bonus points for experience with Apache Spark, Terraform, AWS Redshift, Databricks, or Security\+ certification.
**What's On Offer** 
 • Highly competitive salary range ($61,900 \- $141,000\) with a comprehensive benefits package.
 • Robust professional development including tuition assistance, certifications (AWS/Azure), and specialized training.
 • Flexible hybrid work model focused on a people\-first culture and collaborative wellness.
 • Impactful work supporting high\-profile missions that use "data for good" on a global scale.
**Apply via Haystack today!**</t>
        </is>
      </c>
    </row>
    <row r="15">
      <c r="A15" t="inlineStr">
        <is>
          <t>li-4376320344</t>
        </is>
      </c>
      <c r="B15" t="inlineStr">
        <is>
          <t>Senior Data Engineer (Full Time) - Sugar Land, East Lawn</t>
        </is>
      </c>
      <c r="C15" t="inlineStr">
        <is>
          <t>Prosperity Bank</t>
        </is>
      </c>
      <c r="D15" t="inlineStr">
        <is>
          <t>linkedin</t>
        </is>
      </c>
      <c r="E15" t="inlineStr"/>
      <c r="F15" t="inlineStr"/>
      <c r="G15" t="inlineStr">
        <is>
          <t>Sugar Land, TX</t>
        </is>
      </c>
      <c r="H15" t="inlineStr"/>
      <c r="I15" t="inlineStr">
        <is>
          <t>**POSITION PURPOSE**
 Will work closely with our BI team and IT Management to help derive internal business intelligence reporting \&amp; development to create, improve and maintain ad hoc \&amp; automated reporting and dashboards. Will have Hands\-on experience with SQL. Will be familiar with predictive analysis and data visualization techniques using relevant tools (e.g., Tableau, Power BI)
**Essential Functions And Basic Duties**
* Help teams on the technical design and implementation of applications using existing and emerging technology platforms
* Help align with firm data management standards and ensure applications within the portfolio are in line with those standards
* Write SQL queries, stored procedures and utilize SQL Server to generate reports and respond to requests from users for data
* Work closely with other technology members to ensure quality of monitoring
* Clearly communicate problem/resolution process to users or management
* Contribute technical documentation and application procedures
* Assure compliance to change management and security policies The above statements describe the general nature and level of work only. They are not an exhaustive list of all required responsibilities, duties, and skills. Other duties may be added, or this job description amended at any time.
**Supervisory Responsibilities**
 This role has no supervisory duties.
**Qualifications**
**Education/Certification:** 
 Bachelor’s degree in Computer Science, Information systems or equivalent
**Required Knowledge:** 
 Working knowledge of ETL using SSIS or comparable tool
 Knowledge of MS Access, MS Visual Studio, Crystal Reports or Datawatch Monarch is a plus.
**Experience Required:** 
 Experience with Data management standards such as data governance is a plus 7\+ years of experience Database Analysis and/or Development experience with SQL Server, writing SQL statements and generating reports 3\-5 years of experience in financial/banking industry a plus
 **Skills/Abilities:** 
 Excellent understanding of Relational Database Design Strong technical experience in database development, performing DDL operations, writing queries and stored procedures, and optimizing database objects Solid reporting skills preferably using SSRS Establishment and implementation of reporting tools to create reports and dashboards using SSRS, Power BI, Tableau, or similar analytic tool Effective analyst able to work closely with non\-technical users. Proficiency in interpersonal communication, presentation, problem solving and analytical skills
 Must be flexible and willing to adapt to changes and can establish and maintain effective working relationships with staff and other departments/agencies. Be self\-driven with the desire to achieve measurable, specific results within tight time frames Excellent written and verbal communication and presentation skills Must be willing to work after\-hours Must work well in a team environment Must be able to interface with users and vendors Must have sense of urgency and ownership to support financial applications, with architectural and system component knowledge preferred
 Proficiency in interpersonal communication, presentation, problem solving, and analytical skills
 Ability to manage multiple tasks and projects simultaneously with attention to detail and accuracy.
 Must be a self\-starter that is driven to understand and complete tasks within the guidelines and timeframes assigned.
**PHYSICAL ACTIVITIES AND REQUIREMENTS OF THIS POSITION** 
 Talking: Especially where one must frequently convey detailed or important instructions or ideas accurately, loudly, or quickly. Average Hearing: Able to hear average or normal conversations and receive ordinary information. Repetitive Motion: Movements frequently and regularly required using the wrists, hands, and/or fingers. Average Visual Abilities: Average, ordinary, visual acuity necessary to prepare or inspect documents or products, or operate machinery. Physical Strength: Sedentary work; sitting most of the time. Exerts up to 10 lbs. of force occasionally. (Almost all office jobs.)
**WORKING CONDITIONS** 
 None: No hazardous or significantly unpleasant conditions (such as in a typical office).
**MENTAL ACTIVITIES AND REQUIREMENTS OF THIS POSITION** 
 Reasoning Ability: Ability to apply logical or scientific thinking to define problems, collect data establish facts and draw conclusions. Able to interpret a variety of technical instructions and can deal with multiple variables. Mathematics Ability: Ability to compute discount, interest, profit, and loss; commission markup and selling price; and ratio, proportion, and percentage. Able to perform very simple algebra. Language Ability: Ability to read periodicals, journals, manuals, dictionaries, thesauruses, and encyclopedias. Ability to prepare business letters, proposals, summaries, and reports using prescribed format and conforming to all rules of punctuation, grammar, diction, and style. Ability to conduct training, communicates at panel discussions, and make professional presentations.
 Hours: Monday \- Friday 8:00 AM \- 5:00 PM.</t>
        </is>
      </c>
    </row>
    <row r="16">
      <c r="A16" t="inlineStr">
        <is>
          <t>li-4342814540</t>
        </is>
      </c>
      <c r="B16" t="inlineStr">
        <is>
          <t>Senior Analytics Engineer</t>
        </is>
      </c>
      <c r="C16" t="inlineStr">
        <is>
          <t>Nextdoor</t>
        </is>
      </c>
      <c r="D16" t="inlineStr">
        <is>
          <t>linkedin</t>
        </is>
      </c>
      <c r="E16" t="inlineStr"/>
      <c r="F16" t="inlineStr"/>
      <c r="G16" t="inlineStr"/>
      <c r="H16" t="inlineStr"/>
      <c r="I16" t="inlineStr">
        <is>
          <t>**\#Team** 
**Nextdoor**
 Nextdoor (NYSE: NXDR) is the essential neighborhood network. Neighbors, public agencies, and businesses use Nextdoor to connect around local information that matters in more than 340,000 neighborhoods across 11 countries. Nextdoor builds innovative technology to foster local community, share important news, and create neighborhood connections at scale. Download the app and join the neighborhood at
 **nextdoor.com** 
 .
**Meet Your Future** 
**Neighbors**
 In the Analytics Engineering team at Nextdoor, we believe in the transformative power of information, bringing together data from a wide variety of sources and making it digestible and attainable by everyone in the company. We are a lean but powerful team with diverse backgrounds and perspectives, because that’s what we seek out and respect in others. We collaborate cross\-functionally to make the numbers available and clear, playing a key role in the company’s overall effort to foster stronger and healthier communities.
 At Nextdoor, we offer a warm and inclusive work environment that embraces a hybrid employment experience, providing a flexible experience for our valued employees. The hiring team will go over these expectations with you if you are being considered for a role near one of our offices in San Francisco, Los Angeles, Chicago, Dallas, New York, and London.
**The** 
**Impact** 
**You’ll Make**
 As an Analytics Engineer at Nextdoor, you’ll work to democratize data and reporting to drive strategy and measure performance against KPIs across the business. In this role, you will work with various Consumer product stakeholders, building data pipelines, owning and defining metrics in collaboration with the data scientists, and be a trusted resource for all the data needs. You'll be responsible for understanding where our data comes from, transforming it, and making it available to stakeholders across the company via queries, tools, and dashboards. The ideal candidate is a tech\-savvy, strong communicator who understands how to make data understandable by everyone.
 You should be excited to bring your experience and expertise every day in order to:
* Own reporting tools, pipelines, and dashboards to ensure consistent availability and accuracy of mission\-critical data
* Partner with key stakeholders on KPI development and tracking across the Consumer organization
* Build datasets and reports that represent the source of truth for our key metrics
* Keep data sources fresh even while requirements and definitions change. Address data quality issues and build in alerting
* Partner with data science, finance \&amp; strategy, marketing, sales, product, and engineering on analytics engineering strategy to enable data\-driven decision making across the company
* Set expectations and SLAs on data availability, and own communications around SLA performance to the business
* Drive self\-service and data literacy for business users on our data platform by creating and documenting data structures and sets, SQL and data tools training, and dashboard development
* Care deeply about data quality and empowering employees to leverage data to help them succeed in their careers and help Nextdoor grow and succeed
* Participate in in\-person Nextdoor events such as trainings, off\-sites, volunteer days, and team building exercises
* Build in\-person relationships with team members and contribute to Nextdoor’s company culture
**What You’ll Bring To The Team**
* 6\+ years working in data engineering or analytics
* Advanced knowledge of SQL, including writing and optimizing queries in multiple dialects
* Experience with Looker (preferred) or another BI/visualization tool
* Experience working with ETL/ELT pipelines
* Strong communication skills, both written and verbal
* Ability to understand, tackle, and solve problems from both technical and business perspectives
* Experience in effectively presenting insights and summarizing complex data to diverse audiences through visualizations and other means
* Demonstrated experience working with and delivering to cross\-functional stakeholders from multiple parts of the company (Finance, Engineering, etc.)
* Demonstrated experience driving projects end\-to\-end and can speak to outcome and impact
* Eagerness to explore and apply AI and emerging technologies to reimagine how work gets done
**Rewards**
 Compensation, benefits, perks, and recognition programs at Nextdoor come together to create our total rewards package. Compensation will vary depending on your relevant skills, experience, and qualifications. Compensation may also vary by geography.
 The starting salary for this role is expected to range from $163,000 \- $229,000 on an annualized basis, or potentially greater in the event that your 'level' of proficiency exceeds the level expected for the role. The salary range will be determined by the candidate's geographic location.
 We expect to award a meaningful equity grant for this role. With quarterly vesting, your first vest date will take place within 3 months of your start date.
 When it comes to benefits, we have you covered! Nextdoor employees can choose between a variety of health plans, including a 100% covered employee only plan option, and we also provide a OneMedical membership for concierge care.
 At Nextdoor, we empower our employees to build stronger local communities. To create a platform where all feel welcome, we want our workforce to reflect the diversity of the neighbors we serve. We encourage everyone interested in our mission to apply. We do not discriminate on the basis of race, gender, religion, sexual orientation, age, or any other trait that unfairly targets a group of people. In accordance with the San Francisco Fair Chance Ordinance, we always consider qualified applicants with arrest and conviction records.
 For information about our collection and use of applicants’ personal information, please see Nextdoor's Personnel Privacy Notice, found here.</t>
        </is>
      </c>
    </row>
    <row r="17">
      <c r="A17" t="inlineStr">
        <is>
          <t>li-4376320394</t>
        </is>
      </c>
      <c r="B17" t="inlineStr">
        <is>
          <t>Data Engineer</t>
        </is>
      </c>
      <c r="C17" t="inlineStr">
        <is>
          <t>VeeRteq Solutions LLC</t>
        </is>
      </c>
      <c r="D17" t="inlineStr">
        <is>
          <t>linkedin</t>
        </is>
      </c>
      <c r="E17" t="inlineStr"/>
      <c r="F17" t="inlineStr"/>
      <c r="G17" t="inlineStr">
        <is>
          <t>Princeton, NJ</t>
        </is>
      </c>
      <c r="H17" t="inlineStr"/>
      <c r="I17" t="inlineStr">
        <is>
          <t>**Experience:** 
 \- 10\+ Years
 **Location: \-** 
 Hybrid\- Princeton, NJ Skills: \-
**Mandatory Skills**
 Snowflake, DBT, ADF and SQL
**What is in it for you?**
 As an Data Engineer you will be a part of an Agile team to build healthcare applications and implement new features while adhering the best coding development standards.
**Responsibilities: \-**
 Overall, 7\-9 years experience as Data Engineer on the Microsoft Azure cloud platform
 Strong understanding of Azure services and expertise on Data Lake, Data Factory and Data Bricks
**Healthcare Industry Experience Preferred.**
 Deep experience with SQL, database design, optimization, and tuning
 Experience with open\-source relational database (e.g. PostgreSQL, MSSQL, etc.)
 Experience in Shell Scripting and one other object\-oriented language such as Python, or Php
 Strong experience in continuous integration and development methodologies tools such as Jenkins, and experience using GitHub
 Experience in an Agile development environment
 Programming skills particularly SQL, Shell Scripting, and Python
**Educational Qualifications: \-**
 Engineering Degree BE/ME/BTech/MTech/BSc/MSc.
 Technical certification in multiple technologies is desirable.</t>
        </is>
      </c>
    </row>
    <row r="18">
      <c r="A18" t="inlineStr">
        <is>
          <t>li-4365934491</t>
        </is>
      </c>
      <c r="B18" t="inlineStr">
        <is>
          <t>Staff Data Engineer, Product Analytics</t>
        </is>
      </c>
      <c r="C18" t="inlineStr">
        <is>
          <t>Inworld AI</t>
        </is>
      </c>
      <c r="D18" t="inlineStr">
        <is>
          <t>linkedin</t>
        </is>
      </c>
      <c r="E18" t="inlineStr"/>
      <c r="F18" t="inlineStr"/>
      <c r="G18" t="inlineStr">
        <is>
          <t>Mountain View, CA</t>
        </is>
      </c>
      <c r="H18" t="inlineStr"/>
      <c r="I18" t="inlineStr">
        <is>
          <t>Inworld is a product\-oriented research lab of top AI researchers and engineers, developing best\-in\-class realtime multimodal models and the only realtime orchestration platform optimized for thousands of queries per second.
 We’ve raised more than $125M from Lightspeed, Section 32, Kleiner Perkins, Microsoft’s M12 venture fund, Founders Fund, Meta and Stanford, among others. Our technology has powered experiences from companies such as NVIDIA, Microsoft Xbox, Niantic, Logitech Streamlabs, Wishroll, Little Umbrella and Bible Chat. We’ve also been recognized by CB Insights as one of the 100 most promising AI companies globally and have been named one of LinkedIn’s Top 10 Startups in the USA.
**About the role** 
 We’re looking for a Staff Data Engineer to own and evolve our analytics and data infrastructure. This is a high\-impact, individual contributor role at the intersection of product and engineering where you’ll be responsible not just for building pipelines, but for driving business outcomes from the data.
 This is the first time we’re hiring at this level for data engineering, so we need someone who thrives in ambiguity, takes ownership, and can operate independently from day one. You’ll have the opportunity to shape our data architecture and set the technical direction for how we turn data into decisions by identifying what’s working, what’s not, and driving the actions that move the business forward.
**What You’ll Do** 
* Own our analytics platform end\-to\-end: assess what we have today, identify gaps, and build what’s missing
* Design and build data pipelines focused on customer intelligence to identify opportunities to grow, improve retention, and drive smarter business decisions
* Turn data into action: analyze results, surface insights, and push the organization to act on them
* Partner closely with product, engineering, and ML teams to define what we measure, why it matters, and how we operationalize insights
* Drive technical direction for our data stack and establish best practices as the function grows
**What You’ll Bring** 
* 7\-10\+ years of experience in Data Engineering
* Bachelor’s degree in Computer Science, Engineering, or a related field (or equivalent professional experience)
* Deep hands\-on experience with data platforms and tooling, including BigQuery, Google Cloud Dataflow, Dagster, Looker Studio, or equivalent tools
* Strong communicator who can translate data into business decisions and influence cross\-functional stakeholders
* Experience designing data architecture and providing technical guidance to others
 Candidates must be based in the SF Bay Area or willing to relocate (you will be working on\-site in our South Bay office a few days a week).
 The US base salary range for this full\-time position is $200,000 \- $290,000\. In addition to base pay, total compensation includes equity and benefits. Within the range, individual pay is determined by work location, level, and additional factors, including competencies, experience, and business needs. The base pay range is subject to change and may be modified in the future.</t>
        </is>
      </c>
    </row>
    <row r="19">
      <c r="A19" t="inlineStr">
        <is>
          <t>li-4374947115</t>
        </is>
      </c>
      <c r="B19" t="inlineStr">
        <is>
          <t>Analytics Engineer</t>
        </is>
      </c>
      <c r="C19" t="inlineStr">
        <is>
          <t>RemoteHunter</t>
        </is>
      </c>
      <c r="D19" t="inlineStr">
        <is>
          <t>linkedin</t>
        </is>
      </c>
      <c r="E19" t="inlineStr"/>
      <c r="F19" t="inlineStr"/>
      <c r="G19" t="inlineStr"/>
      <c r="H19" t="inlineStr"/>
      <c r="I19" t="inlineStr">
        <is>
          <t>About the Opportunity:
 A United States based Analytics Engineer is needed to support reporting, ad\-hoc analysis, and analytics development across the organization while helping evolve the data platform over time. This role bridges data engineering and business functions, managing day\-to\-day analytics needs such as Power BI dashboards, ad\-hoc reporting, and SQL development, with growth into data modeling and advanced analytics including machine learning. The role collaborates closely with a Senior Solutions Engineer focused on data ingestion and integrations.
 Responsibilities: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 Write high\-quality SQL to support reporting and analytics
 • Build and improve analytics\-ready (gold\-layer) datasets
 • Contribute to dimensional and fact\-based data models
 • Improve consistency, usability, and documentation of core datasets
 • Gradually take on more responsibility in data modeling and analytics engineering
 • Collaborate on improving analytics architecture and best practices
 • Explore advanced analytics or machine learning use cases over time
 Requirements:
 • Strong expertise in SQL development with modular design skills
 • Proven ability working with large and complex datasets
 • Hands\-on experience building reports or dashboards (Power BI preferred)
 • Experience handling ad\-hoc analysis and evolving business questions
 • Understanding of dimensional modeling
 • Ability to communicate clearly with non\-technical stakeholders
 • Curiosity and motivation to grow technically
 • Nice to have: 2\+ years of SQL development experience
 • Experience with Databricks, Snowflake, or other cloud data platforms
 • Familiarity with analytics engineering concepts
 • Familiarity with version control and CI/CD tools (GitHub, Gitlab, etc.)
 • Exposure to healthcare, EMR, or regulated data environments
 • Interest in machine learning or advanced analytics (not required)
 Benefits \&amp; Perks:
 • Bonus eligible
 • Health care plan including medical, dental, and vision
 • Retirement plan (401k)
 • Life insurance
 • Paid time off
 • Short term and long term disability
 • Training and development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0">
      <c r="A20" t="inlineStr">
        <is>
          <t>li-4376180506</t>
        </is>
      </c>
      <c r="B20" t="inlineStr">
        <is>
          <t>Data Engineer/Reporting Analyst</t>
        </is>
      </c>
      <c r="C20" t="inlineStr">
        <is>
          <t>Wiraa</t>
        </is>
      </c>
      <c r="D20" t="inlineStr">
        <is>
          <t>linkedin</t>
        </is>
      </c>
      <c r="E20" t="inlineStr"/>
      <c r="F20" t="inlineStr"/>
      <c r="G20" t="inlineStr"/>
      <c r="H20" t="inlineStr"/>
      <c r="I20" t="inlineStr">
        <is>
          <t>**About The Company**
 Accenture Federal Services is a leading technology company dedicated to serving the US federal government. With a team of over 13,000 professionals, our mission is to enhance national security, defense, public safety, civilian agencies, and military health organizations by leveraging innovative technology solutions. We are committed to helping government agencies operate more efficiently, securely, and effectively, ultimately making the nation stronger and safer. Recognized as a Glassdoor Top 100 Best Place to Work, we foster a collaborative, inclusive, and growth\-oriented environment where employees are empowered to develop their skills through hands\-on experience, certifications, industry training, and continuous learning. Our core values emphasize integrity, respect, and a shared purpose to deliver meaningful impact for our clients and the American people. We believe that diversity and inclusion are essential to driving innovation and achieving excellence in our mission.
**About The Role**
 We are seeking a motivated and experienced Data Engineer to join our high\-performing Data Engineering and Analytics team. In this role, you will work closely with senior data engineers to develop, deploy, and maintain complex data solutions tailored to meet the expanding needs of our federal clients. Your primary focus will be on designing and implementing robust back\-end data solutions within a Microsoft SQL Server environment, ensuring data integrity, performance, and usability. You will collaborate with cross\-functional teams, including developers, operational staff, project managers, and cloud engineers, to create scalable and efficient data pipelines. The ideal candidate will have strong technical expertise, logical thinking, and excellent interpersonal skills to thrive in a dynamic, collaborative environment. This role offers the opportunity to contribute to impactful projects that support national security and public safety initiatives, all while working remotely within the contiguous United States.
**Qualifications**
* Bachelor’s Degree in Computer Science, Information Technology, or a related field, or relevant experience in lieu of degree
* Minimum of 5 years of relevant experience in data engineering or related roles
* Experience analyzing data and presenting insights to stakeholders
* Proficiency in programming, SQL, or Business Intelligence platforms
* Must be a US Person with the ability to obtain and maintain security clearances
* Experience with Microsoft SQL Server, including functions, triggers, stored procedures
* Knowledge of ETL/ELT processes and tools such as SSIS, Azure Data Factory
* Familiarity with APIs and data integration techniques
* Experience with version control systems like GitHub
* Understanding of relational and dimensional data modeling
* Strong communication skills, both verbal and written
 Preferred qualifications include active Public Trust clearance, experience with Azure cloud services, Azure Data Factory, Azure DevOps, and advanced SQL skills.
**Responsibilities**
* Develop and maintain back\-end data solutions within a Microsoft SQL Server environment
* Create data integration solutions to transfer data between SQL Server and Microsoft Dynamics 365
* Design and implement data pipelines using Azure Data Factory, SSIS, and APIs
* Gather requirements, conduct research, and develop insights to inform solution design
* Document current processes and develop documentation for new workflows to facilitate knowledge sharing
* Ensure data accuracy, performance, usability, and compliance with functional requirements
* Participate in the full software development lifecycle, including solution design, coding, testing, deployment, and maintenance
* Collaborate with cross\-functional teams to deliver high\-quality, scalable data solutions
* Prioritize tasks to meet critical deadlines while maintaining attention to detail and accountability
* Adapt schedules as needed to support project timelines, including night or weekend work when necessary
**Benefits**
* Comprehensive health, dental, and vision insurance plans
* Competitive salary ranges based on experience and location
* Flexible remote working arrangements within the contiguous US
* Paid time off and holidays to support work\-life balance
* Opportunities for professional development, certifications, and industry training
* Retirement savings plans and financial wellness resources
* Inclusive and collaborative work environment that values diversity and innovation
 Equal Opportunity
 Accenture Federal Services is an Equal Employment Opportunity employer. We are committed to creating a workplace that respects and values diversity in all its forms. We do not discriminate against any individual based on age, race, creed, color, religion, sex, national origin, ancestry, disability status, veteran status, sexual orientation, gender identity or expression, genetic information, marital status, citizenship status, or any other protected characteristic under federal, state, or local law. Our inclusive culture fosters innovation and excellence by embracing different perspectives and backgrounds. We also provide reasonable accommodations to applicants and employees with disabilities or religious observances, ensuring equal opportunity for all to succeed and grow within our organization.</t>
        </is>
      </c>
    </row>
    <row r="21">
      <c r="A21" t="inlineStr">
        <is>
          <t>li-4374945276</t>
        </is>
      </c>
      <c r="B21" t="inlineStr">
        <is>
          <t>Data Engineer</t>
        </is>
      </c>
      <c r="C21" t="inlineStr">
        <is>
          <t>Haystack</t>
        </is>
      </c>
      <c r="D21" t="inlineStr">
        <is>
          <t>linkedin</t>
        </is>
      </c>
      <c r="E21" t="inlineStr"/>
      <c r="F21" t="inlineStr"/>
      <c r="G21" t="inlineStr">
        <is>
          <t>Hawaii, United States</t>
        </is>
      </c>
      <c r="H21" t="inlineStr"/>
      <c r="I21" t="inlineStr">
        <is>
          <t>**Data Engineer \| Honolulu, HI \| Hybrid \| $77,600 \- $176,000** 
 We're working with a premier global defence and technology consultancy on this exciting opportunity to transform mission\-critical data into actionable intelligence. This is your chance to lead high\-stakes engineering projects in Hawaii, leveraging the full power of Palantir Foundry and AIP to build scalable applications that support national security.
 You will be at the forefront of the DoD’s digital evolution, using Python, TypeScript, and Pipeline Builder to architect robust data models. We are looking for a cleared engineer who thrives in Agile environments and wants to see their code drive real\-world impact across complex logistics and analytics ecosystems.
**The Role** 
 • Engineer and maintain high\-performance Palantir Foundry pipelines using Pipeline Builder to ingest and transform massive datasets.
 • Build modular, front\-end applications and custom workflows using TypeScript, Python, and Foundry AIP (Artificial Intelligence Platform).
 • Lead ontology mapping and data modeling efforts to ensure seamless integration across diverse mission\-critical data sources.
 • Drive the full software development lifecycle (SDLC), utilizing Git\-based repositories for version control and CI/CD best practices.
 • Collaborate directly with stakeholders in Agile sprints to translate mission requirements into technical reality.
**What You'll Need** 
 • 2\+ years of dedicated professional experience with Palantir Foundry and its application ecosystem.
 • Strong technical proficiency in Python or TypeScript for data engineering and software development.
 • Proven experience with Pipeline Builder, Foundry AIP, and Git\-based version control workflows.
 • Active Secret security clearance is essential for this mission\-critical role.
 • Bachelor’s degree in a technical field (or additional equivalent professional experience in data engineering).
 • Bonus points for experience with Maven Smart Systems, SharePoint, Power Platform, or DoD analytics environments.
**What's On Offer** 
 • Highly competitive salary range ($77,600 \- $176,000\) with a performance\-based recognition program.
 • Robust benefits suite including comprehensive health, dental, and vision insurance plus a 401(k) with company match.
 • Commitment to professional growth through tuition assistance, technical certifications, and dedicated work\-life programs.
 • The opportunity to work on the cutting edge of AI and big data in a stunning Honolulu\-based hybrid environment.
**Apply via Haystack today!**</t>
        </is>
      </c>
    </row>
    <row r="22">
      <c r="A22" t="inlineStr">
        <is>
          <t>li-4373767861</t>
        </is>
      </c>
      <c r="B22" t="inlineStr">
        <is>
          <t>Data Engineer I, UTR PLanning Tech</t>
        </is>
      </c>
      <c r="C22" t="inlineStr">
        <is>
          <t>myGwork - LGBTQ+ Business Community</t>
        </is>
      </c>
      <c r="D22" t="inlineStr">
        <is>
          <t>linkedin</t>
        </is>
      </c>
      <c r="E22" t="inlineStr"/>
      <c r="F22" t="inlineStr"/>
      <c r="G22" t="inlineStr">
        <is>
          <t>Nashville, TN</t>
        </is>
      </c>
      <c r="H22" t="inlineStr"/>
      <c r="I22" t="inlineStr">
        <is>
          <t>**This job is with Amazon, an inclusive employer and a member of myGwork – the largest global platform for the LGBTQ\+ business community. Please do not contact the recruiter directly.**
**Description**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I to build data pipelines, contribute to these frameworks, and help shape how AI transforms data engineering at Amazon.
 Key job responsibilities
* Design and implement physical data models and ETL pipelines using AWS services (Redshift, S3, EMR, Glue, Lambda) and Python\-based orchestration (Airflow/MWAA).
* Build configuration\-driven data frameworks that replace repetitive custom code with reusable, declarative patterns for ingestion, transformation, and metric curation.
* Develop and optimize pipelines that ingest from multiple upstream sources, apply quality controls, and produce datasets that scientists and analysts use for labor planning decisions.
* Implement monitoring, alarming, and data quality controls using standardized data contracts. Measure and improve dataset quality.
* Build tooling that enables AI agents to interact with data engineering workflows: generating SQL, validating configurations, and executing pipeline operations through natural language interfaces.
* Collaborate with planning scientists, software engineers, BI engineers, and product managers to translate data requirements into reusable solutions.
* Write secure, testable, maintainable code. Get your data models, pipeline designs, and code reviewed. Document your solutions so others can maintain them.
* Participate in operational excellence practices: on\-call rotations, COE reviews, and pipeline health monitoring.
**Basic Qualifications**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
 USA, TN, Nashville \- 96,200\.00 \- 160,000\.00 USD annually
 USA, TX, Austin \- 101,300\.00 \- 160,000\.00 USD annually
 USA, WA, Bellevue \- 101,300\.00 \- 160,000\.00 USD annually]]\&gt;</t>
        </is>
      </c>
    </row>
    <row r="23">
      <c r="A23" t="inlineStr">
        <is>
          <t>li-4376317505</t>
        </is>
      </c>
      <c r="B23" t="inlineStr">
        <is>
          <t>Healthcare Data Engineer with Enrollment &amp; Claims Exp - 100% Remote (GC or USC only)</t>
        </is>
      </c>
      <c r="C23" t="inlineStr">
        <is>
          <t>Caliber Smart</t>
        </is>
      </c>
      <c r="D23" t="inlineStr">
        <is>
          <t>linkedin</t>
        </is>
      </c>
      <c r="E23" t="inlineStr"/>
      <c r="F23" t="inlineStr"/>
      <c r="G23" t="inlineStr">
        <is>
          <t>Washington, DC</t>
        </is>
      </c>
      <c r="H23" t="inlineStr"/>
      <c r="I23" t="inlineStr">
        <is>
          <t>**Position: Healthcare Data Engineer with Enrollment \&amp; Claims Exp**
**Duration: 6 Months to Hire (GC and USC only)**
**Location: Remote but candidate must be located and can work only from below states**
**Approved States**
 Alabama
 Alaska
 Arizona
 Arkansas
 Florida
 Georgia
 Idaho
 Indiana
 Iowa
 Kansas
 Kentucky
 Louisiana
 Maine
 Michigan
 Minnesota
 Mississippi
 Missouri
 Nebraska
 New Mexico
 North Carolina
 North Dakota
 Ohio
 Oklahoma
 Pennsylvania
 South Carolina
 South Dakota
 Tennessee
 Texas
 Utah
 Virginia
 West Virginia
 Wisconsin
 Wyoming
**Health Plan Data Routing Enrollment \&amp; Claims**
* Context: Handles health plan data routing for enrollment and claims processing.
* Role Focus: Extract data from Databricks for routing, streaming, cloud to cloud, data exchange via files; build tools (possibly using Streamlit) to support enrollment and claim workflows.
* Requirements: Strong Python skills; experience with Streamlit; familiarity with health plan terminology (in network, out of network, co pay) and preferably pharma, Payor/ Provider, PBM Background. Working with business stakeholders and presenting to leadership. Building apps in Databricks is a big plus.
**Best Regards,**
 Chetna
**Chetna@smartcaliber.com**
 www.smartcaliber.com
 Truth Lies in Heart</t>
        </is>
      </c>
    </row>
    <row r="24">
      <c r="A24" t="inlineStr">
        <is>
          <t>li-4376316288</t>
        </is>
      </c>
      <c r="B24" t="inlineStr">
        <is>
          <t>Data Engineer</t>
        </is>
      </c>
      <c r="C24" t="inlineStr">
        <is>
          <t>TEKsystems</t>
        </is>
      </c>
      <c r="D24" t="inlineStr">
        <is>
          <t>linkedin</t>
        </is>
      </c>
      <c r="E24" t="inlineStr"/>
      <c r="F24" t="inlineStr"/>
      <c r="G24" t="inlineStr">
        <is>
          <t>Fort George G. Meade, MD</t>
        </is>
      </c>
      <c r="H24" t="inlineStr"/>
      <c r="I24" t="inlineStr">
        <is>
          <t>Description
 Clearance Level: Secret Clearance/ Interim Secret
 Primary Responsibilities
* Integration Solutions: Develop and implement integration solutions for the JMT project using Kafka and Elastic as the primary data architecture platforms.
* Data Integration: Integrate data sources (ServiceNow, Terminal Cert DB, Modem Cert DB, Baseband Mission Workup, TRS, MRS, UDL) into Confluent (Kafka) and Elastic platforms. Develop Kafka system integrations between Elasticsearch/Logstash and other systems.
* Kafka Integration \&amp; Development: Develop Kafka system integrations, custom connectors, and work with ksqlDB and Kafka Streams for data processing based on the design solution.
* Kafka Cluster Management: Deploy and manage Kafka clusters on Kubernetes in multi\-site environments (both on\-premise and cloud).
* Software Lifecycle Automation: Automate the full software lifecycle, from design and development to testing and deployment, including production environments.
* DevOps Pipelines: Design and build application deployment pipelines, including containerized environments using Kubernetes and Docker, and automated testing pipelines.
 Technical Qualifications
* Data architecture/designer/engineer – Develop Elastic indexes, Data transformations and enrichment.
* Experience working inside Elastic and Confluent
* Data Automation: Experience automating data cleansing, formatting, staging, and transformation processes.
* Text Mining \&amp; ELK Stack: Proficiency with text mining tools, summarization, search (ELK Stack), entity extraction, training set generation, and anomaly detection.
* CI/CD \&amp; Containerization: Familiarity with CI/CD techniques for developing and releasing software through containerized pipelines.
* BI Tools \&amp; Search Analytics: Knowledge of BI tools (e.g., Kibana, Splunk) and experience with developing search and analytics applications.
* Big Data Technologies: Experience with Elasticsearch, Logstash, Kibana, Kafka, ksql, NiFi, Apache Spark, ServiceNow.
* Elastic Engineer Certification: Certified Elastic Engineer with experience developing logstash and ingest pipelines.
* Experience developing in Confluent ksql and kstreams for data ETL purposes.
* Kubernetes Expertise: Familiarity with Kubernetes and deployment of containers.
* Agile Processes: Experience with Agile methodologies and related tools.
 Job Type \&amp; Location
 This is a Contract position based out of Fort Meade, MD.
 Pay And Benefits
 The pay range for this position is $60\.00 \- $80\.00/hr.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Workplace Type This is a hybrid position in Fort Meade,MD. Application Deadline This position is anticipated to close on Mar 6, 2026\. h4\&gt;About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25">
      <c r="A25" t="inlineStr">
        <is>
          <t>li-4373774107</t>
        </is>
      </c>
      <c r="B25" t="inlineStr">
        <is>
          <t>Cloud Data Platform Engineer</t>
        </is>
      </c>
      <c r="C25" t="inlineStr">
        <is>
          <t>Charles Schwab</t>
        </is>
      </c>
      <c r="D25" t="inlineStr">
        <is>
          <t>linkedin</t>
        </is>
      </c>
      <c r="E25" t="inlineStr"/>
      <c r="F25" t="inlineStr"/>
      <c r="G25" t="inlineStr">
        <is>
          <t>Austin, TX</t>
        </is>
      </c>
      <c r="H25" t="inlineStr"/>
      <c r="I25" t="inlineStr">
        <is>
          <t>Your opportunity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We are seeking a Software Engineer specializing in Data to contribute to the development of the cloud\-native data platform for Schwab Asset Management (SAM). We are looking for a code\-first engineer, not just a tool operator—who treats data infrastructure as software. This role is ideal for a professional with deep experience in programmatic data engineering who is ready to design scalable architectures with minimal supervision. You will be integral to building robust data services and pipelines on Snowflake and Google Cloud. This is an exciting opportunity to work in a dynamic environment where you will write production\-grade code to drive the evolution and optimization of our data ecosystem.
 What you have
**Core Engineering \&amp; Architecture**
* 3\-5 years of experience architecting and building cloud\-native data platforms (GCP preferred) with a focus on writing clean, maintainable infrastructure\-as\-code.
* Strong proficiency in Python (or Java/Scala) with a track record of building production\-grade data applications, not just scripts.
**Data Systems**
* Deep experience modeling and optimizing data for cloud warehouses (Snowflake, BigQuery) using modern design patterns (Star Schema, Data Vault).
* Hands\-on expertise with distributed processing frameworks (Apache Spark, Beam, or Flink) and orchestration tools (Airflow/Composer).
**DevOps \&amp; CI/CD**
* Solid understanding of the full software development lifecycle, utilizing CI/CD pipelines (GitHub Actions, Bamboo, Jenkins) and containerization (Docker, Kubernetes).
**Database Versatility**
* Working knowledge of both RDBMS and NoSQL technologies (MongoDB, BigTable, DynamoDB) and when to apply them.
**Professional Traits**
* Strong technical communication skills with an ability to translate complex data problems into scalable software solutions.
* Self\-starter mentality with the ability to prioritize tasks and deliver results with minimal supervision.
**Required Qualifications**
* Education: Bachelor’s degree in Computer Science, Engineering, or equivalent practical experience in software development.
* Experience: 3\+ years of experience engineering cloud\-native data platforms, with a focus on backend development and data architecture (vs. just analytics).
* Infrastructure as Code: Proven ability to manage infrastructure programmatically.
**Preferred Qualifications \&amp; Attributes**
* Financial Domain: Prior experience in financial services, specifically with asset management concepts like NAV, Total Returns, or Fair Value calculations.
* Data Governance: Experience implementing automated data quality checks, technical governance, and lineage within pipelines (treating data quality as code).
* Engineering Mindset: A strong critical thinker who approaches data issues with a software engineering lens—root cause analysis, unit testing, and scalable design patterns.
* Communication: Ability to abstract complex technical details when speaking with business stakeholders, while documenting architectural decisions clearly for the engineering team.
* Autonomy: A true self\-starter who identifies gaps in the platform and takes the initiative to fix them without waiting for a ticket.
 In addition to the salary range, this role is also eligible for bonus or incentive opportunities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26">
      <c r="A26" t="inlineStr">
        <is>
          <t>li-4373769239</t>
        </is>
      </c>
      <c r="B26" t="inlineStr">
        <is>
          <t>Cloud Data Platform Engineer</t>
        </is>
      </c>
      <c r="C26" t="inlineStr">
        <is>
          <t>Charles Schwab</t>
        </is>
      </c>
      <c r="D26" t="inlineStr">
        <is>
          <t>linkedin</t>
        </is>
      </c>
      <c r="E26" t="inlineStr"/>
      <c r="F26" t="inlineStr"/>
      <c r="G26" t="inlineStr">
        <is>
          <t>Southlake, TX</t>
        </is>
      </c>
      <c r="H26" t="inlineStr"/>
      <c r="I26" t="inlineStr">
        <is>
          <t>Your opportunity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We are seeking a Software Engineer specializing in Data to contribute to the development of the cloud\-native data platform for Schwab Asset Management (SAM). We are looking for a code\-first engineer, not just a tool operator—who treats data infrastructure as software. This role is ideal for a professional with deep experience in programmatic data engineering who is ready to design scalable architectures with minimal supervision. You will be integral to building robust data services and pipelines on Snowflake and Google Cloud. This is an exciting opportunity to work in a dynamic environment where you will write production\-grade code to drive the evolution and optimization of our data ecosystem.
 What you have
**Core Engineering \&amp; Architecture**
* 3\-5 years of experience architecting and building cloud\-native data platforms (GCP preferred) with a focus on writing clean, maintainable infrastructure\-as\-code.
* Strong proficiency in Python (or Java/Scala) with a track record of building production\-grade data applications, not just scripts.
**Data Systems**
* Deep experience modeling and optimizing data for cloud warehouses (Snowflake, BigQuery) using modern design patterns (Star Schema, Data Vault).
* Hands\-on expertise with distributed processing frameworks (Apache Spark, Beam, or Flink) and orchestration tools (Airflow/Composer).
**DevOps \&amp; CI/CD**
* Solid understanding of the full software development lifecycle, utilizing CI/CD pipelines (GitHub Actions, Bamboo, Jenkins) and containerization (Docker, Kubernetes).
**Database Versatility**
* Working knowledge of both RDBMS and NoSQL technologies (MongoDB, BigTable, DynamoDB) and when to apply them.
**Professional Traits**
* Strong technical communication skills with an ability to translate complex data problems into scalable software solutions.
* Self\-starter mentality with the ability to prioritize tasks and deliver results with minimal supervision.
**Required Qualifications**
* Education: Bachelor’s degree in Computer Science, Engineering, or equivalent practical experience in software development.
* Experience: 3\+ years of experience engineering cloud\-native data platforms, with a focus on backend development and data architecture (vs. just analytics).
* Infrastructure as Code: Proven ability to manage infrastructure programmatically.
**Preferred Qualifications \&amp; Attributes**
* Financial Domain: Prior experience in financial services, specifically with asset management concepts like NAV, Total Returns, or Fair Value calculations.
* Data Governance: Experience implementing automated data quality checks, technical governance, and lineage within pipelines (treating data quality as code).
* Engineering Mindset: A strong critical thinker who approaches data issues with a software engineering lens—root cause analysis, unit testing, and scalable design patterns.
* Communication: Ability to abstract complex technical details when speaking with business stakeholders, while documenting architectural decisions clearly for the engineering team.
* Autonomy: A true self\-starter who identifies gaps in the platform and takes the initiative to fix them without waiting for a ticket.
 In addition to the salary range, this role is also eligible for bonus or incentive opportunities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27">
      <c r="A27" t="inlineStr">
        <is>
          <t>li-4374943264</t>
        </is>
      </c>
      <c r="B27" t="inlineStr">
        <is>
          <t>REMOTE DoW Mid/Senior Data Engineer (Database Engineer) - 26859</t>
        </is>
      </c>
      <c r="C27" t="inlineStr">
        <is>
          <t>RemoteHunter</t>
        </is>
      </c>
      <c r="D27" t="inlineStr">
        <is>
          <t>linkedin</t>
        </is>
      </c>
      <c r="E27" t="inlineStr"/>
      <c r="F27" t="inlineStr"/>
      <c r="G27" t="inlineStr"/>
      <c r="H27" t="inlineStr"/>
      <c r="I27" t="inlineStr">
        <is>
          <t>About the Opportunity:
 This role is within a business group focused on cyber and mission IT, electronic warfare, and C5ISR systems supporting national defense. The position supports Executive Order projects by enhancing a centralized data environment (CDE) that delivers auditable financial transaction data, improves transparency and accountability across the Department of the Workforce (DoW), and provides a common operating picture for senior leadership decision\-making. The role requires expertise in Python development and relational databases to translate strategic imperatives into actionable data solutions in a national security environment.
 Responsibilities:
 • Design, model, document, and govern logical and conceptual data architectures and schema evolutions for enterprise\-scale applications supporting tracking and accountability reforms
 • Analyze system requirements and develop technical, structural, and organizational specifications for auditable, transparent data flows
 • Establish and enforce data modeling standards, capacity planning, and performance optimization for high\-reliability DoW environments
 • Develop Python\-based scripts and ETL/ELT pipelines for secure data ingestion, transformation, and integration from diverse sources
 • Apply advanced SQL skills for querying, schema design, optimization, and data integrity assurance
 • Operate within Agile/SAFe frameworks to deliver iterative, high\-value increments aligned with business priorities and DoW policies
 • Provide technical guidance and mentorship to align development with strategic financial management system reform objectives including enhanced tracking, oversight, and reporting
 • Perform additional duties as assigned to advance mission goals
 Requirements:
 • Proven Python development experience including building scalable data pipelines and automation solutions
 • Strong relational database (SQL) skills with advanced querying and optimization
 • Ability to work independently and collaboratively in team settings
 • Self\-motivated with strong problem\-solving skills and a proactive mindset
 • Must possess and maintain an active Secret clearance at the time of consideration
 • Remote\-eligible position aligned with Eastern Time Zone core business hours
 Experience Levels:
 \- Database Engineer II: 2 years relevant experience with Bachelor’s degree; or 6 years relevant experience with High School Diploma or equivalent
 \- Database Engineer III: 5 years relevant experience with Bachelor’s degree; or 9 years relevant experience with High School Diploma or equivalent
 \- Database Engineer IV: 9 years relevant experience with Bachelor’s degree; or 13 years relevant experience with High School Diploma or equivalent
 Preferred Requirements:
 • Strong understanding of transactional data flows, financial management systems, and auditability requirements in DoW/security cooperation contexts
 • Direct experience with ADVANA
 • Experience in SAFe Agile environments, including PI planning, Scrum/Kanban ceremonies, and DevSecOps practices
 • Candidate residing in the East Coast region
 Benefits \&amp; Perks:
 • Medical, dental, and vision insurance plans
 • Wellness resources and employee assistance programs
 • Savings plan options (401(k))
 • Financial planning tools
 • Life insurance
 Compensation:
 • Anticipated salary range: $90,000\.00 to $145,000\.00 annually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8">
      <c r="A28" t="inlineStr">
        <is>
          <t>li-4373765913</t>
        </is>
      </c>
      <c r="B28" t="inlineStr">
        <is>
          <t>Data Engineer II, UTR PLanning Tech</t>
        </is>
      </c>
      <c r="C28" t="inlineStr">
        <is>
          <t>myGwork - LGBTQ+ Business Community</t>
        </is>
      </c>
      <c r="D28" t="inlineStr">
        <is>
          <t>linkedin</t>
        </is>
      </c>
      <c r="E28" t="inlineStr"/>
      <c r="F28" t="inlineStr"/>
      <c r="G28" t="inlineStr">
        <is>
          <t>Bellevue, WA</t>
        </is>
      </c>
      <c r="H28" t="inlineStr"/>
      <c r="I28" t="inlineStr">
        <is>
          <t>**This job is with Amazon, an inclusive employer and a member of myGwork – the largest global platform for the LGBTQ\+ business community. Please do not contact the recruiter directly.**
**Description**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
 USA, TN, Nashville \- 125,500\.00 \- 169,800\.00 USD annually
 USA, TX, Austin \- 132,100\.00 \- 178,800\.00 USD annually
 USA, WA, Bellevue \- 132,100\.00 \- 178,800\.00 USD annually]]\&gt;</t>
        </is>
      </c>
    </row>
    <row r="29">
      <c r="A29" t="inlineStr">
        <is>
          <t>li-4373754940</t>
        </is>
      </c>
      <c r="B29" t="inlineStr">
        <is>
          <t>Data Engineer II , UTR PLanning Tech</t>
        </is>
      </c>
      <c r="C29" t="inlineStr">
        <is>
          <t>myGwork - LGBTQ+ Business Community</t>
        </is>
      </c>
      <c r="D29" t="inlineStr">
        <is>
          <t>linkedin</t>
        </is>
      </c>
      <c r="E29" t="inlineStr"/>
      <c r="F29" t="inlineStr"/>
      <c r="G29" t="inlineStr">
        <is>
          <t>Bellevue, WA</t>
        </is>
      </c>
      <c r="H29" t="inlineStr"/>
      <c r="I29" t="inlineStr">
        <is>
          <t>**This job is with Amazon, an inclusive employer and a member of myGwork – the largest global platform for the LGBTQ\+ business community. Please do not contact the recruiter directly.**
**Description**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
 USA, TN, Nashville \- 125,500\.00 \- 169,800\.00 USD annually
 USA, TX, Austin \- 132,100\.00 \- 178,800\.00 USD annually
 USA, WA, Bellevue \- 132,100\.00 \- 178,800\.00 USD annually]]\&gt;</t>
        </is>
      </c>
    </row>
    <row r="30">
      <c r="A30" t="inlineStr">
        <is>
          <t>li-4374919894</t>
        </is>
      </c>
      <c r="B30" t="inlineStr">
        <is>
          <t>Data Engineer</t>
        </is>
      </c>
      <c r="C30" t="inlineStr">
        <is>
          <t>Jobs via Dice</t>
        </is>
      </c>
      <c r="D30" t="inlineStr">
        <is>
          <t>linkedin</t>
        </is>
      </c>
      <c r="E30" t="inlineStr"/>
      <c r="F30" t="inlineStr"/>
      <c r="G30" t="inlineStr">
        <is>
          <t>Plano, TX</t>
        </is>
      </c>
      <c r="H30" t="inlineStr"/>
      <c r="I30" t="inlineStr">
        <is>
          <t>Dice is the leading career destination for tech experts at every stage of their careers. Our client, Proventus Metrics, is seeking the following. Apply via Dice today!
 JOB POSITION \- DATA ENGINEER
**Key Skills \-**
* Python
* Pyspark
* Data modeling
* Data engineering
* AWS Glue</t>
        </is>
      </c>
    </row>
    <row r="31">
      <c r="A31" t="inlineStr">
        <is>
          <t>li-4374951289</t>
        </is>
      </c>
      <c r="B31" t="inlineStr">
        <is>
          <t>Data Engineer</t>
        </is>
      </c>
      <c r="C31" t="inlineStr">
        <is>
          <t>Jobs via Dice</t>
        </is>
      </c>
      <c r="D31" t="inlineStr">
        <is>
          <t>linkedin</t>
        </is>
      </c>
      <c r="E31" t="inlineStr"/>
      <c r="F31" t="inlineStr"/>
      <c r="G31" t="inlineStr">
        <is>
          <t>Fort Meade, MD</t>
        </is>
      </c>
      <c r="H31" t="inlineStr"/>
      <c r="I31" t="inlineStr">
        <is>
          <t>**Description**
 Clearance Level: Secret Clearance/ Interim Secret
 Primary Responsibilities:
 Integration Solutions: Develop and implement integration solutions for the JMT project using Kafka and Elastic as the primary data architecture platforms.
 Data Integration: Integrate data sources (ServiceNow, Terminal Cert DB, Modem Cert DB, Baseband Mission Workup, TRS, MRS, UDL) into Confluent (Kafka) and Elastic platforms. Develop Kafka system integrations between Elasticsearch/Logstash and other systems.
 Kafka Integration \&amp; Development: Develop Kafka system integrations, custom connectors, and work with ksqlDB and Kafka Streams for data processing based on the design solution.
 Kafka Cluster Management: Deploy and manage Kafka clusters on Kubernetes in multi\-site environments (both on\-premise and cloud).
 Software Lifecycle Automation: Automate the full software lifecycle, from design and development to testing and deployment, including production environments.
 DevOps Pipelines: Design and build application deployment pipelines, including containerized environments using Kubernetes and Docker, and automated testing pipelines.
**Technical Qualifications**
 Data architecture/designer/engineer \- Develop Elastic indexes, Data transformations and enrichment.
 Experience working inside Elastic and Confluent
 Data Automation: Experience automating data cleansing, formatting, staging, and transformation processes.
 Text Mining \&amp; ELK Stack: Proficiency with text mining tools, summarization, search (ELK Stack), entity extraction, training set generation, and anomaly detection.
 CI/CD \&amp; Containerization: Familiarity with CI/CD techniques for developing and releasing software through containerized pipelines.
 BI Tools \&amp; Search Analytics: Knowledge of BI tools (e.g., Kibana, Splunk) and experience with developing search and analytics applications.
 Big Data Technologies: Experience with Elasticsearch, Logstash, Kibana, Kafka, ksql, NiFi, Apache Spark, ServiceNow.
 Elastic Engineer Certification: Certified Elastic Engineer with experience developing logstash and ingest pipelines.
 Experience developing in Confluent ksql and kstreams for data ETL purposes.
 Kubernetes Expertise: Familiarity with Kubernetes and deployment of containers.
 Agile Processes: Experience with Agile methodologies and related tools.
**Job Type \&amp; Location**
 This is a Contract position based out of Fort Meade, MD.
**Pay And Benefits**
 The pay range for this position is $60\.00 \- $80\.00/hr.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hybrid position in Fort Meade,MD.
**Application Deadline**
 This position is anticipated to close on Mar 6,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32">
      <c r="A32" t="inlineStr">
        <is>
          <t>li-4373132479</t>
        </is>
      </c>
      <c r="B32" t="inlineStr">
        <is>
          <t>Sr. Consultant, Data Engineering</t>
        </is>
      </c>
      <c r="C32" t="inlineStr">
        <is>
          <t>Hakkōda, an IBM Company</t>
        </is>
      </c>
      <c r="D32" t="inlineStr">
        <is>
          <t>linkedin</t>
        </is>
      </c>
      <c r="E32" t="inlineStr"/>
      <c r="F32" t="inlineStr"/>
      <c r="G32" t="inlineStr">
        <is>
          <t>Tempe, AZ</t>
        </is>
      </c>
      <c r="H32" t="inlineStr"/>
      <c r="I32" t="inlineStr">
        <is>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We are looking for a Sr. Consultant, Data Engineer to join our growing team of experts. This position will work in the design and development of Snowflake Data Cloud solutions. The work includes data ingestion pipelines, data architecture, data governance and security. The ideal candidate is an experienced data pipeline builder and migrations who enjoys optimizing data systems and building them from the ground up.
 The Sr. Consultant, Data Engineer will develop database architectures, data warehouses and will ensure optimal data delivery architecture is consistent throughout ongoing customer projects. On this role you will be leading technical teams. The right candidate will be excited by the prospect of working for a start\-up company to support our customers' next generation of data initiatives.
 As of April 2025, Hakkoda has been acquired by IBM and will be integrated in the IBM organization. Your recruitment process will be managed by IBM. IBM will be the hiring entity
 This role can be performed from anywhere in the US.
**Preferred Education**
 Master's Degree
**Required Technical And Professional Expertise**
* Bachelor’s degree in engineering, computer science or equivalent area.
* Expertise in evaluating, selecting, and integrating ingestion technologies to solve complex data challenges.
* Leadership in architectural decisions for high\-throughput data ingestion frameworks, including real\-time data processing and analytics.
* Mentorship of junior engineers in best practices for data ingestion, performance tuning, and troubleshooting.
* 5\+yrs in related technical roles, data management, database development, ETL,Data \- \- Warehouses and pipelines.
* Experience designing and developing data warehouses (Teradata, Oracle Exadata, Netezza, SQL Server, Spark)
* Experience building ETL / ELT ingestion pipelines with tools like DataStage, Informatica, Matillion
* SQL scripting
* Cloud experience on AWS (Azure, GCP are nice to have as well)
* Python Scripting, Scala is required.
* Ability to prepare reports and present to internal and customer stakeholders
* Track record of sound problem solving skills and action oriented mindset
* Strong interpersonal skills including assertiveness and ability to build strong client relationships
* Ability to work in Agile teams
* Experience hiring, developing and managing a technical team
**Preferred Technical And Professional Experience**
* Advanced Snowflake Platform Knowledge: Experience with advanced Snowflake features, including data sharing, data pipelines, and data security. Ability to design and implement complex data and AI usecases on Snowflake platforms.
* Cloud Architecture Expertise: Experience with designing and implementing scalable and secure cloud architectures for data and AI applications. Knowledge of cloud migration, deployment, and management best practices.
* Data Engineering Best Practices: Experience with implementing data engineering best practices, including data modeling, data warehousing, and data governance. Ability to optimize data and AI solutions for performance and scalability.</t>
        </is>
      </c>
    </row>
    <row r="33">
      <c r="A33" t="inlineStr">
        <is>
          <t>li-4376334657</t>
        </is>
      </c>
      <c r="B33" t="inlineStr">
        <is>
          <t>Data Engineer</t>
        </is>
      </c>
      <c r="C33" t="inlineStr">
        <is>
          <t>Bright Vision Technologies</t>
        </is>
      </c>
      <c r="D33" t="inlineStr">
        <is>
          <t>linkedin</t>
        </is>
      </c>
      <c r="E33" t="inlineStr"/>
      <c r="F33" t="inlineStr"/>
      <c r="G33" t="inlineStr">
        <is>
          <t>Dallas, TX</t>
        </is>
      </c>
      <c r="H33" t="inlineStr"/>
      <c r="I33" t="inlineStr">
        <is>
          <t>**Role \- Data Engineer**
 Bright Vision Technologies is a forward\-thinking software development company dedicated to building innovative solutions that help businesses automate and optimize their operations.
 We leverage cutting\-edge data engineering technologies to build scalable, reliable, and high\-performance data platforms. As we continue to grow, we’re looking for a skilled
 **Data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
**Company:** 
 Bright Vision Technologies ( www.bvteck.com )
**Job Title:** 
 Data Engineer
**Onsite/Hybrid:** 
 Remote
**FULL\-TIME ROLE WITH BRIGHT VISION**
**Job Description:**
**Environment:**
 Python, SQL, Data Warehousing, ETL/ELT pipelines, Apache Spark, Airflow, Kafka, Hadoop ecosystem, Snowflake / Redshift / BigQuery, Data Modeling, RESTful APIs, Cloud Platforms (AWS / Azure / GCP), Docker, Kubernetes (basic), CI/CD pipelines, Git, Linux, Agile methodologies
**BUT STRICTLY NO C2C/1099/3RD PARTY COMPANIES. ALL OUR ROLES ARE W2 AND NO 3RD PARTY BROKERING PLEASE.**
 For every role, a
 **coding test is required** 
 , so apply only if you are
 **confident and technically strong** 
 .
 We prefer
 **at least 3 to 5 years real time experience** 
 .
 If you are a
 **Data Engineer** 
 with the above skills and are looking for an
 **H\-1 B sponsorship** 
 this year, please send your resume immediately to
 **Sreedhar@bvteck.com** 
 .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**Position offered by “No Fee agency.”**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Powered by JazzHR
 sVwFNzVH3T</t>
        </is>
      </c>
    </row>
    <row r="34">
      <c r="A34" t="inlineStr">
        <is>
          <t>li-4376333541</t>
        </is>
      </c>
      <c r="B34" t="inlineStr">
        <is>
          <t>Software Developer/Data Engineer - Entry Level</t>
        </is>
      </c>
      <c r="C34" t="inlineStr">
        <is>
          <t>Lensa</t>
        </is>
      </c>
      <c r="D34" t="inlineStr">
        <is>
          <t>linkedin</t>
        </is>
      </c>
      <c r="E34" t="inlineStr"/>
      <c r="F34" t="inlineStr"/>
      <c r="G34" t="inlineStr">
        <is>
          <t>Nashville, TN</t>
        </is>
      </c>
      <c r="H34" t="inlineStr"/>
      <c r="I3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Developer/Data Engineer \-\- Entry Level**
**Category:** 
 Software Development/ Engineering
**Main location:** 
 United States, Tennessee, Nashville
**Position ID:** 
 J0825\-1368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Developer/Data Engineer,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Nashville, TN in a hybrid working model.
 Spring Application Period: Monday, January 18th, 2026 \- Friday, February 27th, 2026
**Your Future Duties And Responsibilities**
 How You'll Make an Impact
* Design, prototype, and develop front\-end, back\-end, and full\-stack software using modern languages and frameworks (e.g., .NET, Java, open\-source stacks, React).
* Apply software design patterns and best practices for scalable, maintainable code.
* Collaborate with team members to continuously improve approaches and tools.
* Build database\-integrated and data\-enabled solutions, including ETL pipelines, using contemporary database technologies.
* Deliver analytics and reporting solutions by working with data models, queries, and visualizations.
* Contribute to projects that leverage AI or machine learning capabilities within software and data solutions.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This role includes opportunities to focus on application development, data and analytics work, or a blend of both, depending on project needs.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$57,100 \- $94,200\.
 \#CGIEarlyCareers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35">
      <c r="A35" t="inlineStr">
        <is>
          <t>li-4376346214</t>
        </is>
      </c>
      <c r="B35" t="inlineStr">
        <is>
          <t>Remote Data Platform Engineer</t>
        </is>
      </c>
      <c r="C35" t="inlineStr">
        <is>
          <t>Jobgether</t>
        </is>
      </c>
      <c r="D35" t="inlineStr">
        <is>
          <t>linkedin</t>
        </is>
      </c>
      <c r="E35" t="inlineStr"/>
      <c r="F35" t="inlineStr"/>
      <c r="G35" t="inlineStr">
        <is>
          <t>Kentucky, United States</t>
        </is>
      </c>
      <c r="H35" t="inlineStr"/>
      <c r="I35" t="inlineStr">
        <is>
          <t>This position is posted by Jobgether on behalf of a partner company. We are currently looking for a Software Engineer \- REMOTE. In this role, you will have the opportunity to design, build, and optimize a data platform that empowers businesses and developers alike. Your work will directly impact how data\-driven initiatives are executed, impacting millions of users globally. By collaborating with diverse teams, you will create scalable and effective data solutions that foster innovation in a remote\-first environment. Your contributions will play a vital role in a vibrant culture that embraces inclusion and professional growth.
**Accountabilities**
* Design, build, and maintain infrastructure and scalable frameworks to support data ingestion, processing, and analysis.
* Collaborate with stakeholders, analysts, and product teams to understand business requirements and translate them into technical solutions.
* Architect and implement data solutions using modern data technologies such as Kafka, Spark, Hive, Hudi, Presto, Airflow, and cloud\-based services like AWS Lakeformation, Glue and Athena.
* Ensure data quality, integrity, and security throughout the data lifecycle.
* Stay current with emerging technologies and best practices in big data technologies.
* Mentor early career engineers and contribute to a culture of continuous learning and improvement.
**Requirements**
* Bachelor's or Master's degree in Computer Science, Engineering, or a related field.
* 5\+ years of experience in software development or a related field.
* Strong proficiency in programming languages such as Python, Java, or Scala.
* Experience with building frameworks for big data technologies such as Spark, Kafka, Hive, and distributed computing systems.
* Experience with AWS technologies at scale.
* Solid understanding of software engineering principles, including object\-oriented and functional programming paradigms.
* Excellent problem\-solving and analytical skills.
* Strong verbal \&amp; written communication skills.
**Benefits**
* Competitive salary and performance\-based bonuses.
* Generous time\-off policy and parental leave.
* Comprehensive healthcare and retirement savings program.
* Opportunities for professional development and continuous learning.
* Flexible remote work environment.
* Support for community volunteering and positive change initiatives.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6">
      <c r="A36" t="inlineStr">
        <is>
          <t>li-4376348171</t>
        </is>
      </c>
      <c r="B36" t="inlineStr">
        <is>
          <t>Lead Data Engineer - Remote</t>
        </is>
      </c>
      <c r="C36" t="inlineStr">
        <is>
          <t>Jobgether</t>
        </is>
      </c>
      <c r="D36" t="inlineStr">
        <is>
          <t>linkedin</t>
        </is>
      </c>
      <c r="E36" t="inlineStr"/>
      <c r="F36" t="inlineStr"/>
      <c r="G36" t="inlineStr">
        <is>
          <t>Massachusetts, United States</t>
        </is>
      </c>
      <c r="H36" t="inlineStr"/>
      <c r="I36" t="inlineStr">
        <is>
          <t>This position is posted by Jobgether on behalf of a partner company. We are currently looking for a Senior Data Engineering Manager \- REMOTE. In this role, you will oversee a team of data engineers while driving the technical vision for building and optimizing data pipelines that support our streaming services. Your leadership will facilitate collaboration across departments to deliver effective data solutions that enhance the overall user experience. The Data Engineering team is pivotal in processing billions of data events and providing actionable insights, making your role crucial in shaping the data infrastructure that propels the organization forward. You will blend coding with management, mentoring your team in best practices while ensuring high\-performance data systems are established.
**Accountabilities**
* Drive technical leadership to members of the Data Engineering team.
* Provide strong people management for the team, facilitating career development.
* Lead the design and implementation of data platform architecture.
* Set technical standards and best practices for data engineering.
* Collaborate with cross\-functional teams to understand data needs.
* Design scalable data pipelines and infrastructure.
* Manage team workload, priorities, and delivery timelines.
* Implement data governance, security, and quality control processes.
* Guide technical decisions for long\-term sustainability.
**Requirements**
* 10\+ years of experience in data engineering, especially high\-volume data platforms.
* 2\+ years managing data engineering teams in cloud\-native environments.
* Deep expertise in AWS data services, Snowflake, dbt, and more.
* Strong people management skills, with a focus on coaching and development.
* Proven track record in designing and implementing data platforms.
* Excellent communication skills for engaging technical and non\-technical stakeholders.
* Experience managing cloud\-based data platforms.
**Benefits**
* Full health, dental and vision coverage for you and your family.
* 401(k) plan with employer contributions.
* Flexible working hours.
* Up to 20 weeks of fully paid parental leave.
* Unlimited paid time off for vacation and sick leave.
* $2,000 annual vacation bonus.
* $5,250 annually for professional development.
* $1,250 first\-year home office stipend.
* $500/month bonus for in\-office work commitment.
* Free Gympass subscription.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7">
      <c r="A37" t="inlineStr">
        <is>
          <t>li-4376346213</t>
        </is>
      </c>
      <c r="B37" t="inlineStr">
        <is>
          <t>Remote Lead Data Engineer</t>
        </is>
      </c>
      <c r="C37" t="inlineStr">
        <is>
          <t>Jobgether</t>
        </is>
      </c>
      <c r="D37" t="inlineStr">
        <is>
          <t>linkedin</t>
        </is>
      </c>
      <c r="E37" t="inlineStr"/>
      <c r="F37" t="inlineStr"/>
      <c r="G37" t="inlineStr">
        <is>
          <t>New Jersey, United States</t>
        </is>
      </c>
      <c r="H37" t="inlineStr"/>
      <c r="I37" t="inlineStr">
        <is>
          <t>This position is posted by Jobgether on behalf of a partner company. We are currently looking for a Senior Data Engineering Manager \- REMOTE. In this role, you will oversee a team of data engineers while driving the technical vision for building and optimizing data pipelines that support our streaming services. Your leadership will facilitate collaboration across departments to deliver effective data solutions that enhance the overall user experience. The Data Engineering team is pivotal in processing billions of data events and providing actionable insights, making your role crucial in shaping the data infrastructure that propels the organization forward. You will blend coding with management, mentoring your team in best practices while ensuring high\-performance data systems are established.
**Accountabilities**
* Drive technical leadership to members of the Data Engineering team.
* Provide strong people management for the team, facilitating career development.
* Lead the design and implementation of data platform architecture.
* Set technical standards and best practices for data engineering.
* Collaborate with cross\-functional teams to understand data needs.
* Design scalable data pipelines and infrastructure.
* Manage team workload, priorities, and delivery timelines.
* Implement data governance, security, and quality control processes.
* Guide technical decisions for long\-term sustainability.
**Requirements**
* 10\+ years of experience in data engineering, especially high\-volume data platforms.
* 2\+ years managing data engineering teams in cloud\-native environments.
* Deep expertise in AWS data services, Snowflake, dbt, and more.
* Strong people management skills, with a focus on coaching and development.
* Proven track record in designing and implementing data platforms.
* Excellent communication skills for engaging technical and non\-technical stakeholders.
* Experience managing cloud\-based data platforms.
**Benefits**
* Full health, dental and vision coverage for you and your family.
* 401(k) plan with employer contributions.
* Flexible working hours.
* Up to 20 weeks of fully paid parental leave.
* Unlimited paid time off for vacation and sick leave.
* $2,000 annual vacation bonus.
* $5,250 annually for professional development.
* $1,250 first\-year home office stipend.
* $500/month bonus for in\-office work commitment.
* Free Gympass subscription.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8">
      <c r="A38" t="inlineStr">
        <is>
          <t>li-4374954854</t>
        </is>
      </c>
      <c r="B38" t="inlineStr">
        <is>
          <t>Data Engineer</t>
        </is>
      </c>
      <c r="C38" t="inlineStr">
        <is>
          <t>Jobs via Dice</t>
        </is>
      </c>
      <c r="D38" t="inlineStr">
        <is>
          <t>linkedin</t>
        </is>
      </c>
      <c r="E38" t="inlineStr"/>
      <c r="F38" t="inlineStr"/>
      <c r="G38" t="inlineStr">
        <is>
          <t>Atlanta, GA</t>
        </is>
      </c>
      <c r="H38" t="inlineStr"/>
      <c r="I38" t="inlineStr">
        <is>
          <t>**THE POSITION** 
 Our roster has an opening with your name on it
 FanDuel is looking for a Data Support Engineer to advance our data capabilities and ensure the reliability and performance of our critical data pipelines and infrastructure. FanDuel's competitive edge is enabled by our ability to leverage accurate and timely data for informed decision\-making.
 As a Data Support Engineer, you will be a valued member of the Data Support team, maintaining exceptional standards and servicing the needs of data consumers across the company. You will ensure the health of our data infrastructure, contribute to the delivery of reliable, timely, and consumable data, and combine technical troubleshooting with proactive monitoring. You'll have the opportunity to work in an agile environment where you will team up with colleagues having experience in data engineering, machine learning and more.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Provide on\-call technical assistance to analysts, data consumers, and data engineering teams, responding to inquiries relating to query optimization, reporting anomalies, complex data pipeline issues, failed jobs, and data inconsistencies.
* Investigate and resolve data quality issues in response to system alerts or notifications from stakeholders, ensuring compliance with internal/external audits and control practices.
* Design and implement batch and real\-time data pipelines to the data warehouse or data lake using data transformation technologies, enhancing monitoring dashboards and support tools.
* Lead impactful initiatives to enhance data pipelines and other data operations capabilities while mentoring and onboarding new support data engineers. Identify operational inefficiencies and implement automation solutions to reduce manual intervention.
* Create and maintain technical support documentation, including FAQs, troubleshooting steps, support runbooks, and a knowledge base of solutions to recurring issues.
* Drive operational best practices and shape workflows for routine consumer support, operations monitoring, incident management, and problem management.
* Administer account access to tools across the technology stack in accordance with our governance policies.
 Able to join team's On\-call Pager duty rotation to ensure 24/7 coverage and timely response to critical data issues.
**THE STATS**
 What we're looking for in our next teammate
* Minimum of 3\+ years of experience in data engineering with focus on operational support
* Advanced SQL skills with proven query optimization experience
* Strong problem\-solving skills with ability to take ownership and accountability for issues through resolution
* Python programming proficiency for automation and data processing
* Experience with cloud data platforms (AWS, Databricks, Spark)
* Understanding of data warehousing and ETL/ELT processing
* Experience with dimensional data modeling, batch data ingestion, and real\-time technologies like Kafka or Kinesis
* Working knowledge of orchestration and monitoring tools (Airflow, Datadog, Databand, DataFold, Monte Carlo, Prometheus, Grafana)
* Strong incident management and root cause analysis capabilities
* Customer\-oriented mindset with focus on delivering high\-quality support services and attention to detail
* Exceptional communication and interpersonal skills
* Proven ability to work effectively within teams and across organizational boundaries
* Experience owning and coordinating issues across multiple time zones
* Experience identifying operational inefficiencies and implementing automation solutions using AI techniques
 Preferred Qualifications:
* Experience with data streaming patterns and tools like Dbt
* Familiarity with CI/CD practices for data pipelines (BuildKite or Github Actions)
* Familiarity with data visualization tools such as Tableau or Looker
* Exposure to database design, performance analysis, and data quality metrics
* Exposure to Data Science, Machine Learning, and AI applications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**It is unlawful in Massachusetts to require or administer a lie detector test as a condition of employment or continued employment. An employer who violates this law shall be subject to criminal penalties and civil liability.**</t>
        </is>
      </c>
    </row>
    <row r="39">
      <c r="A39" t="inlineStr">
        <is>
          <t>li-4374953846</t>
        </is>
      </c>
      <c r="B39" t="inlineStr">
        <is>
          <t>Data Engineer</t>
        </is>
      </c>
      <c r="C39" t="inlineStr">
        <is>
          <t>Jobs via Dice</t>
        </is>
      </c>
      <c r="D39" t="inlineStr">
        <is>
          <t>linkedin</t>
        </is>
      </c>
      <c r="E39" t="inlineStr"/>
      <c r="F39" t="inlineStr"/>
      <c r="G39" t="inlineStr">
        <is>
          <t>Sterling, VA</t>
        </is>
      </c>
      <c r="H39" t="inlineStr"/>
      <c r="I39" t="inlineStr">
        <is>
          <t>At Leidos,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The National Security Sector at Leidos currently has an opening for a Data Engineer with a strong background in data analytics to support an exciting DHS software development program. In this role, you will work alongside various business process stakeholders and application developers to provide data necessary for decision support tools across an array of operational functions. The ideal candidate will have solid core skills and proven history in implementing appropriate modeling and data science strategies required to address customer needs. This role requires a strong foundation in Data Science concepts, Python programming experience, and the ability to work in fast\-paced collaborative development teams.
**Primary Responsibilities**
* Conducting data analytics, data engineering, data mining, exploratory analysis, predictive analysis, and statistical analysis to transform data into narrative products for informed decision making.
* Designing and building data management systems, collaborating with data users to optimize architectures and systems.
* Selecting and configuring backend database technologies and optimizing scalable, efficient data pipelines to ingest, process, and transform structured and unstructured data infrastructure for intelligence needs.
* Implementing automated processes for integrating various datasets, conducting scalable data research, and developing scripts to handle data efficiently.
* Collaborating with collection managers and computer scientists to design new data processes and generate algorithms for automated collection strategies
* Participating in briefings, meetings, conferences, and working groups to provide advice and resolve issues as requested by the Government.
* Support multiple simultaneous projects and take open\-ended or high\-level guidance, independently and collaboratively make discoveries that are mission\-relevant, and package and deliver the findings to a non\-technical audience.
**Basic Qualifications**
* Bachelors degree and 6\-8 years of relevant experience in Statistics, Mathematics, Data Analytics, or a related analytical field
* Ability to get/maintain Public Trust clearance
* Strong understanding of data modeling, data warehousing, and database design principles
* Skilled in relational databases, SQL, and API\-based data querying
* Experience developing predictive algorithms, image classifiers, object detectors, and others
* Proficiency in data visualization and graphical applications (PowerBI, etc)
* Experience with major data science languages such as R and Python
* Ability to manage and merge disparate data sources using R, Python, or SQL
**Preferred Qualifications**
* Exceptional coordination and collaboration skills
* Track record of active learning and creative problem solving
* Familiarity using GIT, SVN, Jira, or other version control technologies
* Experience with Azure cloud data analytics tools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October 20,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40">
      <c r="A40" t="inlineStr">
        <is>
          <t>li-4374961326</t>
        </is>
      </c>
      <c r="B40" t="inlineStr">
        <is>
          <t>Analytics Engineer</t>
        </is>
      </c>
      <c r="C40" t="inlineStr">
        <is>
          <t>Jobs via Dice</t>
        </is>
      </c>
      <c r="D40" t="inlineStr">
        <is>
          <t>linkedin</t>
        </is>
      </c>
      <c r="E40" t="inlineStr"/>
      <c r="F40" t="inlineStr"/>
      <c r="G40" t="inlineStr">
        <is>
          <t>New York, NY</t>
        </is>
      </c>
      <c r="H40" t="inlineStr"/>
      <c r="I40" t="inlineStr">
        <is>
          <t>**THE POSITION** 
 Our roster has an opening with your name on it
 FanDuel is looking for an Analytics Engineer who will be responsible for designing, building, maintaining, and improving the data models, datasets and data visualizations which are and will be used by data scientists, analysts and stakeholders to power business performance impacting decisions. In this role you will primarily focus on supporting Personalization for Sportsbook Product so will need to build a deep understanding of our customers. You will bridge the gap from our data and the Data Engineering team, to the data scientists, analysts and business stakeholders aiming to leverage that data for insights and business decisions.
 This is a great opportunity for somebody who wants to work in an environment where curiosity is rewarded, and people are empowered to make decisions. The ideal candidate will have a passion for continual learning and developing innovative solutions to business problems.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Work with Data Scientists and Data Engineers to optimize data pipelines and feature engineering for reporting, analysis, classification and prediction models
* Manage data transformation jobs for relevant data, ensure completion on schedule, optimize code, troubleshoot any issues
* Optimize modeled metric pipelines, streamline execution times and prioritizations, reduce query execution times where possible, remove unnecessary or unused metrics
* Build a strong understanding of Sportsbook Product, our customers behaviors and preferences, and your stakeholders objectives, to support collaboration, a focus on delivering impactful output and ideation
* Through idea generation and exploratory analysis, develop new and innovative ways to turn behaviors into features for use in analysis, segmentation and predictive modeling
* Maintain business rule definitions, and code implementations
* Design and implement data quality checks and alerts to manage accuracy of underlying data, and ensure modeled metrics are fit for purpose
* Build strong knowledge in how to optimally use our data platforms, and assist in educating team members in optimal platform usage;
* Build and maintain strong working relationships with key stakeholders in relevant teams within the Data Engineering and Data Product departments;
* Build and maintain dashboards, optimize code, troubleshoot issues
* Identifying potential improvements in underlying ingested data, or new data needs, and working with Data Engineering to prioritize and deliver
**THE STATS**
 What we're looking for in our next teammate
* Minimum 3 years of experience in a similar role
* Minimum 2 years building, maintaining and optimizing complex data pipelines with real world applications
* Advanced SQL coding and experience of manipulating large datasets
* Proficient in at least one programming language (e.g. Python, R, C\# etc.)
* Strong problem solving ability and attention to detail are important
* Experience building data pipelines using Python and Databricks an advantage
* Experience working with data visualization tools like Tableau an advantage
* Undergraduate degree in a coding heavy or technical discipline
* Interest in Sports an advantage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**It is unlawful in Massachusetts to require or administer a lie detector test as a condition of employment or continued employment. An employer who violates this law shall be subject to criminal penalties and civil liability.**</t>
        </is>
      </c>
    </row>
    <row r="41">
      <c r="A41" t="inlineStr">
        <is>
          <t>li-4373130511</t>
        </is>
      </c>
      <c r="B41" t="inlineStr">
        <is>
          <t>Sr. Consultant, Data Engineering</t>
        </is>
      </c>
      <c r="C41" t="inlineStr">
        <is>
          <t>Hakkōda, an IBM Company</t>
        </is>
      </c>
      <c r="D41" t="inlineStr">
        <is>
          <t>linkedin</t>
        </is>
      </c>
      <c r="E41" t="inlineStr"/>
      <c r="F41" t="inlineStr"/>
      <c r="G41" t="inlineStr">
        <is>
          <t>University Park, TX</t>
        </is>
      </c>
      <c r="H41" t="inlineStr"/>
      <c r="I41" t="inlineStr">
        <is>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We are looking for a Sr. Consultant, Data Engineer to join our growing team of experts. This position will work in the design and development of Snowflake Data Cloud solutions. The work includes data ingestion pipelines, data architecture, data governance and security. The ideal candidate is an experienced data pipeline builder and migrations who enjoys optimizing data systems and building them from the ground up.
 The Sr. Consultant, Data Engineer will develop database architectures, data warehouses and will ensure optimal data delivery architecture is consistent throughout ongoing customer projects. On this role you will be leading technical teams. The right candidate will be excited by the prospect of working for a start\-up company to support our customers' next generation of data initiatives.
 As of April 2025, Hakkoda has been acquired by IBM and will be integrated in the IBM organization. Your recruitment process will be managed by IBM. IBM will be the hiring entity
 This role can be performed from anywhere in the US.
**Preferred Education**
 Master's Degree
**Required Technical And Professional Expertise**
* Bachelor’s degree in engineering, computer science or equivalent area.
* Expertise in evaluating, selecting, and integrating ingestion technologies to solve complex data challenges.
* Leadership in architectural decisions for high\-throughput data ingestion frameworks, including real\-time data processing and analytics.
* Mentorship of junior engineers in best practices for data ingestion, performance tuning, and troubleshooting.
* 5\+yrs in related technical roles, data management, database development, ETL,Data \- \- Warehouses and pipelines.
* Experience designing and developing data warehouses (Teradata, Oracle Exadata, Netezza, SQL Server, Spark)
* Experience building ETL / ELT ingestion pipelines with tools like DataStage, Informatica, Matillion
* SQL scripting
* Cloud experience on AWS (Azure, GCP are nice to have as well)
* Python Scripting, Scala is required.
* Ability to prepare reports and present to internal and customer stakeholders
* Track record of sound problem solving skills and action oriented mindset
* Strong interpersonal skills including assertiveness and ability to build strong client relationships
* Ability to work in Agile teams
* Experience hiring, developing and managing a technical team
**Preferred Technical And Professional Experience**
* Advanced Snowflake Platform Knowledge: Experience with advanced Snowflake features, including data sharing, data pipelines, and data security. Ability to design and implement complex data and AI usecases on Snowflake platforms.
* Cloud Architecture Expertise: Experience with designing and implementing scalable and secure cloud architectures for data and AI applications. Knowledge of cloud migration, deployment, and management best practices.
* Data Engineering Best Practices: Experience with implementing data engineering best practices, including data modeling, data warehousing, and data governance. Ability to optimize data and AI solutions for performance and scalability.</t>
        </is>
      </c>
    </row>
    <row r="42">
      <c r="A42" t="inlineStr">
        <is>
          <t>li-4374961331</t>
        </is>
      </c>
      <c r="B42" t="inlineStr">
        <is>
          <t>Senior Manager Data Engineering / Data Science</t>
        </is>
      </c>
      <c r="C42" t="inlineStr">
        <is>
          <t>Jobs via Dice</t>
        </is>
      </c>
      <c r="D42" t="inlineStr">
        <is>
          <t>linkedin</t>
        </is>
      </c>
      <c r="E42" t="inlineStr"/>
      <c r="F42" t="inlineStr"/>
      <c r="G42" t="inlineStr">
        <is>
          <t>Raleigh, NC</t>
        </is>
      </c>
      <c r="H42" t="inlineStr"/>
      <c r="I42" t="inlineStr">
        <is>
          <t>**Work Schedule**
 Standard (Mon\-Fri)
**Environmental Conditions**
 Office
**Job Description**
 When you join us at Thermo Fisher Scientific, you'll be part of an inquisitive team that shares your passion for exploration and discovery. With revenues exceeding $40 billion and the industry's largest investment in R\&amp;D, we provide our people the resources and chances to create significant contributions to the world.
 If you are passionate about the intersection of finance, data solutions, data science, analytics, and data visualization, this is the role for you. These areas come together to tell a story and drive decision\-making within a world\-leading life science company.
 As a member of the Finance Digital Transformation group, the Data \&amp; Analytics Engineer will collaborate across various divisions and functions. They will build, develop, and maintain analytics and data solutions for customers with diverse technical backgrounds. Their work aims to generate data insights that improve efficiency, productivity, and revenue.
**Key Responsibilities:**
- Lead the architecture and implementation of data pipelines and Microsoft Fabric\-based data models to enable unified financial reporting and analytics.
- Build, review, and optimize ETL processes developed in Python, ensuring efficient data ingestion, transformation, and quality across diverse data sources (ERP, financial systems, operational platforms).
- Partner with Finance leadership to define business requirements, translate them into robust technical builds, and deliver actionable insights for decision\-making.
- Establish and enforce data engineering standards, including coding procedures, documentation, version control, and automated testing for ETL pipelines.
- Develop, test, and deploy scalable data models using Lakehouse architectures and Fabric Data Warehouses to support forecasting, planning, and profitability analysis.
- Provide technical leadership and mentorship to data engineers and analysts, encouraging skill growth in Fabric, Power BI, and modern Python data frameworks (Pandas, PySpark, SQLAlchemy).
- Collaborate multi\-functionally with Finance, IT, and Data Governance teams to ensure alignment with enterprise data architecture and security policies.
- Keep up\-to\-date with developments in Microsoft Fabric, Power BI, Python, and data orchestration tools, and suggest their strategic implementation.
- Requirements/Qualifications:
- Bachelor's degree or equivalent experience in a quantitative field, such as Statistics, Computer Science, Mathematics, Data Science or a related field; master's or equivalent experience preferred
- 4\+ years' experience in a data engineer or data science role with progressive responsibilities and scope
- Experience building models and analyzing large, complex data sets yielding opportunities for revenue and/or process improvement within an organization
- Technical proficiency in Python and SQL
- Proficiency in data engineering and reporting platforms such as Databricks, Power Bi, Tableau, SAS Analytics
- Knowledge of Agile/Scrum methodology is a plus
- Hands\-on experience with distributed computational framework, such as Spark
 Minimal travel required</t>
        </is>
      </c>
    </row>
    <row r="43">
      <c r="A43" t="inlineStr">
        <is>
          <t>li-4376324890</t>
        </is>
      </c>
      <c r="B43" t="inlineStr">
        <is>
          <t>REMOTE- Junior Data Engineer</t>
        </is>
      </c>
      <c r="C43" t="inlineStr">
        <is>
          <t>Lensa</t>
        </is>
      </c>
      <c r="D43" t="inlineStr">
        <is>
          <t>linkedin</t>
        </is>
      </c>
      <c r="E43" t="inlineStr"/>
      <c r="F43" t="inlineStr"/>
      <c r="G43" t="inlineStr">
        <is>
          <t>Fort Worth, TX</t>
        </is>
      </c>
      <c r="H43" t="inlineStr"/>
      <c r="I4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One of the largest logistics and transportation employers in the US is seeking a Jr. Data Engineer to join their expanding team. The Jr. Data Engineer will play a crucial role in understanding business problems and assisting in designing solutions that transform complex ideas into sustainable processes. This individual will focus on supporting the onboarding of new lines of business into the data analytics team. Their responsibilities will include assisting in the full life cycle of data engineering, from gathering requirements from internal customers to building data pipelines, testing, reporting, and maintaining solutions. Additionally, the Jr. Data Engineer will support escalation tasks, contribute to system development, help automate processes, maintain internal systems, and assist in data modeling. They will use their growing expertise in data structures specific to the company's operating systems to help turn data into valuable business insights.
 We are a company committed to creating inclusive environments where people can bring their full, authentic selves to work every day. We are an equal opportunity employer that believes everyone matters. Qualified candidates will receive consideration for employment opportunities without regard to race, religion, sex, age, marital status, national origin, sexual orientation, citizenship status, disability, or any other status or characteristic protected by applicable laws, regulations, and ordinances. If you need assistance and/or a reasonable accommodation due to a disability during the application or recruiting process, please send a request to Human Resources Request Form (https://airtable.com/app21VjYyxLDIX0ez/shrOg4IQS1J6dRiMo) . The EEOC "Know Your Rights" Poster is available here (https://www.eeoc.gov/sites/default/files/2023\-06/22\-088\_EEOC\_KnowYourRights6\.12ScreenRdr.pdf) .
 To learn more about how we collect, keep, and process your private information, please review Insight Global's Workforce Privacy Policy: https://insightglobal.com/workforce\-privacy\-policy/ .
**Skills And Requirements**
 2\-5\+ years' experience of data engineer experience
  Strong ADF experience (creating pipelines from scratch/ knowledge of connectors and activities following architect plan)
  Strong knowledge of SQL (Mostly working with SQL scripting implementing into ADF)
  Understanding of full life cycle data engineering
  Extremely detail oriented and ability to provide effective updates
  Strong communication for working with internal/ external customers
  Strong critical thinking skills Python or Spark experience (Small environment is in Python\- basic level scripting and reviews)
  DevOps Experience
  Data Bricks Experience
  Background in Logistics
  Agile Methodologies
  Experience with cloud (Azure specifically)
 If you have questions about this posting, please contact support@lensa.com</t>
        </is>
      </c>
    </row>
    <row r="44">
      <c r="A44" t="inlineStr">
        <is>
          <t>li-4373789115</t>
        </is>
      </c>
      <c r="B44" t="inlineStr">
        <is>
          <t>Data Engineer - Manufacturing</t>
        </is>
      </c>
      <c r="C44" t="inlineStr">
        <is>
          <t>ChatGPT Jobs</t>
        </is>
      </c>
      <c r="D44" t="inlineStr">
        <is>
          <t>linkedin</t>
        </is>
      </c>
      <c r="E44" t="inlineStr"/>
      <c r="F44" t="inlineStr"/>
      <c r="G44" t="inlineStr"/>
      <c r="H44" t="inlineStr"/>
      <c r="I44" t="inlineStr">
        <is>
          <t>**Job Description**
 Data Engineer \- Manufacturing
 Foundation EGI
 Remote Nationwide,
* Remote
* Full\-Time
**Job Description**
 We are an MIT\-born, venture\-backed Silicon Valley startup building Engineering General Intelligence (EGI)—an AI Copilot for design and manufacturing. Our mission is to fundamentally reinvent how physical products are designed and built, dramatically accelerating the pace of product development.
 As an Individual Contributor on the Data Studio team, you will play a key role in transforming raw customer data into structured, high\-fidelity datasets that power model training, evaluation, and customer delivery. This role is deeply hands\-on and sits at the intersection of product, research, and engineering. You will apply your mechanical engineering and manufacturing expertise to create data pipelines, labeling workflows, reference models, and quality checks that ensure the accuracy and reliability of our AI systems. Mechanical engineering or manufacturing design experience is essential; candidates without this background will not be considered.
 Key Responsibilities
* Data Creation, Processing \&amp; Quality
+ Ingest, clean, transform, and structure customer and internally generated engineering data for AI training and inference.
+ Design and build high\-quality mechanical components and assemblies in CAD to serve as authoritative ground truth for evaluating and training AI systems.
+ Produce labeled datasets, reference designs, annotations, exploded views, sequences, and other engineering artifacts that encode real\-world reasoning.
+ Apply engineering judgment to define and assess output quality across datasets.
+ Continuously refine standards for metadata, annotation, and model quality, maintaining a living “definition of quality” for ME datasets.
* Workflow \&amp; Tooling Contributions
+ Collaborate with Product Managers to shape tooling used for annotation, data correction, model\-output review, and pipeline automation.
+ Provide detailed feedback on tool usability, workflow efficiency, and automation opportunities.
+ Help develop scalable, repeatable data processes that improve throughput and data consistency.
* Cross\-Functional Collaboration
+ Partner closely with engineering and research teams to understand model data requirements, failure modes, and areas needing new data.
+ Influence model behavior by supplying representative engineering examples and ground\-truth mechanical designs.
+ Partner with customer\-facing teams to translate domain requirements, industry standards, and customer data schemas into actionable dataset specifications.
+ Serve as a subject matter expert on mechanical engineering formats, CAD standards, manufacturing practices, and design artifacts.
* Domain Expertise \&amp; Reference Content Creation
+ Generate technical documentation, exploded views, sequences, and annotations that encode engineering reasoning into training data.
+ Ensure that datasets reflect real\-world constraints, DFM (Design for Manufacturing) considerations, material behavior, and industry best practices.
+ Embed engineering reasoning into training data so that AI systems learn not just geometry or text, but engineering intent.
* Customer \&amp; Project Support
+ Work with customers to understand their data sources, schemas, formats, and quality expectations.
+ Guide customers in preparing high\-quality datasets, defining structured schemas, and improving data pipelines.
+ Support delivery timelines by communicating progress clearly and surfacing risks or issues early.
+ Review and work with external contractors, ensuring high\-quality output and adherence to SOPs.
**Required Qualifications**
* Strong domain expertise in mechanical engineering, manufacturing design, or industrial workflows.
* Hands\-on experience with CAD tools such as SolidWorks, CATIA, Siemens NX, or Creo.
* Familiarity with annotation tools and illustration software (e.g., Creo Illustrate, Adobe Illustrator, Arbortext).
* Ability to interpret complex mechanical assemblies, technical drawings, GD\&amp;T, and engineering documentation.
* Experience creating artifacts like exploded views, work\-step sequences, repair manuals, or manufacturing instructions.
* Strong problem\-solving skills and the ability to translate domain workflows into structured data requirements.
* Excellent communication and cross\-functional collaboration skills.
**Preferred Qualifications**
* Experience with data operations, labeling workflows, ML data pipelines, or AI/ML data lifecycle (collection \-\&gt; labeling \-\&gt; QA \-\&gt; training \-\&gt; evaluation \-\&gt; deployment).
* Experience in fast\-paced startup or high\-growth environments.
* Comfort with customer\-facing discovery or solutioning.
 What Success Looks Like
* Deliver high\-quality datasets that measurably improve model performance.
* Drive standardization and reliability across ME datasets, CAD models, workflows, metadata, and annotations.
* Enable faster model training, evaluation, and deployment through strong cross\-functional collaboration.
* Maintain clear documentation, repeatable processes, and continuous quality improvement.
* Be recognized as a trusted ME expert in data quality and domain insight.</t>
        </is>
      </c>
    </row>
    <row r="45">
      <c r="A45" t="inlineStr">
        <is>
          <t>li-4374973184</t>
        </is>
      </c>
      <c r="B45" t="inlineStr">
        <is>
          <t>IT Data Engineer</t>
        </is>
      </c>
      <c r="C45" t="inlineStr">
        <is>
          <t>FetchJobs.co</t>
        </is>
      </c>
      <c r="D45" t="inlineStr">
        <is>
          <t>linkedin</t>
        </is>
      </c>
      <c r="E45" t="inlineStr"/>
      <c r="F45" t="inlineStr"/>
      <c r="G45" t="inlineStr"/>
      <c r="H45" t="inlineStr"/>
      <c r="I45" t="inlineStr">
        <is>
          <t>**About The Company**
 Procter \&amp; Gamble (P\&amp;G) is a globally renowned consumer goods corporation with a rich history spanning over 180 years. Established initially as a humble soap and candle manufacturer, P\&amp;G has evolved into the world's largest and most diversified consumer goods company. The company's portfolio boasts some of the most trusted and iconic brands, including Always®, Ariel®, Gillette®, Head \&amp; Shoulders®, Herbal Essences®, Oral\-B®, Pampers®, Pantene®, and Tampax®, among others. With operations in approximately 70 countries worldwide, P\&amp;G is committed to delivering quality, innovation, and leadership across multiple categories to meet the diverse needs of consumers globally.
 At the core of P\&amp;G’s success are its values of leadership, innovation, and citizenship. The company fosters a culture that emphasizes responsible governance, ethical practices, environmental sustainability, and community support. P\&amp;G’s dedication to these principles has helped it grow into a respected organization that not only delivers superior products but also contributes positively to society and the environment. The company prides itself on nurturing talent, developing future leaders, and maintaining a work environment where employees feel valued, challenged, and inspired.
**About The Role**
 We are seeking a highly skilled Senior Data Engineer to join our dynamic team in Hyderabad, India. This role is pivotal in accelerating the publication of data to our core Azure Data Lake, ensuring that data pipelines are efficient, reliable, and aligned with our strategic goals. As a Senior Data Engineer, you will work with established cloud data platforms and internal tooling to build, enhance, and maintain data pipelines that support analytics, reporting, and decision\-making processes across the organization.
 Your primary focus will be on executing and improving existing data patterns and standards to deliver high\-quality, governed data. You will collaborate with data asset managers, architects, and development leads to develop scalable solutions that meet technical and business requirements. The role offers an exciting opportunity to work at the forefront of data engineering, leveraging cutting\-edge technologies to enable data\-driven insights and innovation. You will also mentor junior engineers, sharing your expertise and fostering a culture of continuous improvement and excellence in data practices.
**Qualifications**
 The ideal candidate will possess strong technical skills and relevant certifications, including expertise in Python, SQL, Delta Lake, Databricks, Spark/PySpark, Github, and Azure cloud services. Attaining or maintaining certifications such as Databricks and Azure certifications is expected to demonstrate your commitment to continuous learning and technical excellence. Experience with CI/CD tools like Github Actions, SonarQube, and Snyk is highly desirable.
 Additional qualifications include a solid understanding of distributed computing concepts, big data processing, and data engineering platforms. Familiarity with D\&amp;A platform capabilities and experience working outside of P\&amp;G or similar data platforms will be considered advantageous. The role requires excellent problem\-solving skills, a collaborative mindset, and the ability to work effectively within a team environment. Mentoring and coaching junior engineers is also a key aspect of this position, emphasizing leadership and knowledge sharing.
**Responsibilities**
* Productionize data pipelines for large and complex datasets, ensuring they meet both technical standards and business needs.
* Collaborate with data asset managers, architects, and development teams to design and implement robust technical solutions.
* Adhere to and contribute to coding standards and best practices, focusing on creating efficient, reusable, and cost\-effective data pipelines and components.
* Identify opportunities for process improvements and implement innovative solutions to enhance data engineering workflows.
* Optimize Spark jobs for performance and cost efficiency by tuning configurations, minimizing shuffles, and leveraging advanced techniques such as broadcast joins, caching, and partitioning.
* Ensure data quality, reliability, and performance through rigorous validation, monitoring, and optimization practices.
* Monitor, troubleshoot, and resolve issues in data pipelines and workflows to maintain seamless data operations.
* Stay updated on the latest features, tools, and industry trends related to Databricks and big data processing to continuously enhance data engineering practices.
* Provide mentorship and guidance to junior team members, fostering a collaborative and growth\-oriented environment.
**Benefits**
 Procter \&amp; Gamble offers a comprehensive benefits package designed to support the well\-being and professional growth of its employees. This includes continuous mentorship and training programs, opportunities for career advancement, and exposure to innovative projects. The company promotes a dynamic and encouraging work environment where employees are valued and their initiatives supported. P\&amp;G emphasizes work\-life balance, offering flexible working arrangements and a culture that prioritizes employee health and wellness. Additionally, employees have access to various development resources, recognition programs, and a collaborative community that fosters learning and innovation.
 Equal Opportunity
 Procter \&amp; Gamble is an equal\-opportunity employer committed to fostering a diverse and inclusive workplace. We do not discriminate against individuals based on race, color, gender, age, national origin, religion, sexual orientation, gender identity or expression, marital status, citizenship, disability, HIV/AIDS status, or any other legally protected characteristic. Our hiring process is personalized and transparent, ensuring fair opportunities for all candidates. We uphold the highest standards of ethics and corporate responsibility, creating an environment where everyone can thrive and contribute to our collective success.</t>
        </is>
      </c>
    </row>
    <row r="46">
      <c r="A46" t="inlineStr">
        <is>
          <t>li-4376328980</t>
        </is>
      </c>
      <c r="B46" t="inlineStr">
        <is>
          <t>Remote Senior Data Engineer</t>
        </is>
      </c>
      <c r="C46" t="inlineStr">
        <is>
          <t>Jobgether</t>
        </is>
      </c>
      <c r="D46" t="inlineStr">
        <is>
          <t>linkedin</t>
        </is>
      </c>
      <c r="E46" t="inlineStr"/>
      <c r="F46" t="inlineStr"/>
      <c r="G46" t="inlineStr">
        <is>
          <t>Idaho, United States</t>
        </is>
      </c>
      <c r="H46" t="inlineStr"/>
      <c r="I46" t="inlineStr">
        <is>
          <t>This position is posted by Jobgether on behalf of a partner company. We are currently looking for a Senior Data Engineering Manager \- REMOTE. In this role, you will oversee a team of data engineers while driving the technical vision for building and optimizing data pipelines that support our streaming services. Your leadership will facilitate collaboration across departments to deliver effective data solutions that enhance the overall user experience. The Data Engineering team is pivotal in processing billions of data events and providing actionable insights, making your role crucial in shaping the data infrastructure that propels the organization forward. You will blend coding with management, mentoring your team in best practices while ensuring high\-performance data systems are established.
**Accountabilities**
* Drive technical leadership to members of the Data Engineering team.
* Provide strong people management for the team, facilitating career development.
* Lead the design and implementation of data platform architecture.
* Set technical standards and best practices for data engineering.
* Collaborate with cross\-functional teams to understand data needs.
* Design scalable data pipelines and infrastructure.
* Manage team workload, priorities, and delivery timelines.
* Implement data governance, security, and quality control processes.
* Guide technical decisions for long\-term sustainability.
**Requirements**
* 10\+ years of experience in data engineering, especially high\-volume data platforms.
* 2\+ years managing data engineering teams in cloud\-native environments.
* Deep expertise in AWS data services, Snowflake, dbt, and more.
* Strong people management skills, with a focus on coaching and development.
* Proven track record in designing and implementing data platforms.
* Excellent communication skills for engaging technical and non\-technical stakeholders.
* Experience managing cloud\-based data platforms.
**Benefits**
* Full health, dental and vision coverage for you and your family.
* 401(k) plan with employer contributions.
* Flexible working hours.
* Up to 20 weeks of fully paid parental leave.
* Unlimited paid time off for vacation and sick leave.
* $2,000 annual vacation bonus.
* $5,250 annually for professional development.
* $1,250 first\-year home office stipend.
* $500/month bonus for in\-office work commitment.
* Free Gympass subscription.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7">
      <c r="A47" t="inlineStr">
        <is>
          <t>li-4373774613</t>
        </is>
      </c>
      <c r="B47" t="inlineStr">
        <is>
          <t>Flight Data Engineer</t>
        </is>
      </c>
      <c r="C47" t="inlineStr">
        <is>
          <t>Boeing</t>
        </is>
      </c>
      <c r="D47" t="inlineStr">
        <is>
          <t>linkedin</t>
        </is>
      </c>
      <c r="E47" t="inlineStr"/>
      <c r="F47" t="inlineStr"/>
      <c r="G47" t="inlineStr">
        <is>
          <t>Seattle, WA</t>
        </is>
      </c>
      <c r="H47" t="inlineStr"/>
      <c r="I47" t="inlineStr">
        <is>
          <t>**Job Description**
 At Boeing, we innovate and collaborate to make the world a better place. We’re committed to fostering an environment for every teammate that’s welcoming, respectful and inclusive, with great opportunity for professional growth. Find your future with us.
 We are Boeing Global Services (BGS) Engineering team creating and implementing innovative technologies that make the impossible possible and enabling the future of aerospace. We provide engineering design and support, including aftermarket modifications, and are innovating to make product and services safety even stronger. Join us and put your passion, determination, and skill to work building the future! \#TheFutureIsBuiltHere \#ChangeTheWorld
 Boeing Seattle is seeking a
 **Flight Data Engineer** 
 in
 **Seattle, Washington** 
 to automate flight data translations within the Boeing Global Services, reporting to the Manager of Prognostics Development working out of the Seattle, WA office.
 The Flight Data Translation Engineer will be responsible for the delivery of cutting\-edge flight data analytics products to commercial aviation customers. As part of an integrated product team, the successful candidate will be part of a technical team supporting product feature development and life support. In this role, the Flight Data Translation Engineer will work with a team of highly motivated aviation SMEs, software architects, developers, and data scientists. This role will work with portfolio leadership, development teams and stakeholders to establish and drive the implementation of flight data management for the success of each product and initiative.
**Position Responsibilities:**
* Leverage the power of data and engagement insights to drive advancements in flight safety, fleet reliability and sustainability, while executing on the Boeing Flight Data Analytics value and vision
* Collaborate closely with engineering, DevOps, product management, and airline customers in an agile environment
* Ensure high quality aviation domain data is available for advanced aviation data insights that benefit both our internal teams and customers
* Gain a deep understanding of our customers, their flight operations, and their analytics needs; you will play a pivotal role in finding innovative solutions to meet their evolving needs
* Configure, test and validate aircraft safety, maintenance, sustainability and reliability data models for use in product development, and create high quality documentation required to support these tasks
* Define and validate experiments using Machine Learning, as assigned by Lead Data Architect, or Product Management
* Ensure data integrity across the entire data pipeline by leveraging expert\-level knowledge of ARINC 717, 767 and other protocols, as applied to different aircraft types, including Boeing and Airbus
* Proactively identify and troubleshoot data integrity issues to ensure products are providing an exceptional customer experience
* Employ expertise in database and schema design, anticipating the data questions and data narratives that stakeholders may require
* Perform hands\-on technical work, including working with data, building utilities and tooling, and providing flight data and integrated dataset support to both the product team and customers
* Work closely with the lead data architect and product managers to strategically shape the future direction of our analytics product
* Undertake other tasks, projects, and initiatives as needed
**Basic Qualifications (Required Skills/Experience):**
* Bachelor of Science degree in Engineering (with a focus in Electrical, Mechanical or Aeronautical), Computer Science, Data Science, Mathematics, Physics, Chemistry or non\-US equivalent
* 1\+ years of progressive experience in software development and design
* Experienced working with aerospace systems ARINC standards (ARINC 717, 767\)
* 9\+ years of related work experience or an equivalent combination of technical education and experience
**Preferred Qualifications (Education/Experience):**
* Working experience with cloud solutions Experience with programming, eg java or python, SQL
* Experience in data science and/or data analytics Advanced experience in business intelligence tools, statistics and data modelling
* Experience working in a global technology organization and managing many stakeholders
* Experience with airline safety, airline maintenance engineering, avionics or aircraft flight data recording
* Experience with Airbus and Boeing aircraft operations
**Drug Free Workplace:**
 Boeing is a Drug Free Workplace where post offer applicants and employees are subject to testing for marijuana, cocaine, opioids, amphetamines, PCP, and alcohol when criteria is met as outlined in our policies.
**Total Rewards and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Expert $146,200 \- $197,800
 Applications for this position will be accepted until
 **Feb. 24, 2026**
**Export Control Requirements:**
 This is not an Export Control position.
**Education**
 Bachelor's Degree or Equivalent Required
**Relocation**
 This position offers relocation based on candidate eligibility.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48">
      <c r="A48" t="inlineStr">
        <is>
          <t>li-4374966310</t>
        </is>
      </c>
      <c r="B48" t="inlineStr">
        <is>
          <t>Senior Data Engineer - Microsoft Fabric Expert</t>
        </is>
      </c>
      <c r="C48" t="inlineStr">
        <is>
          <t>Tykhe Inc</t>
        </is>
      </c>
      <c r="D48" t="inlineStr">
        <is>
          <t>linkedin</t>
        </is>
      </c>
      <c r="E48" t="inlineStr"/>
      <c r="F48" t="inlineStr"/>
      <c r="G48" t="inlineStr">
        <is>
          <t>Lakewood, CO</t>
        </is>
      </c>
      <c r="H48" t="inlineStr"/>
      <c r="I48" t="inlineStr">
        <is>
          <t>We are seeking a
 **Senior Data Engineer for our client in Lakewood, CO who can play a critical role in their enterprise adoption of Microsoft Fabric.** 
 This is a high\-impact, highly visible position focused on designing and delivering modern, scalable data platforms that power analytics, reporting, and strategic decision\-making across the organization.
**What You’ll Do** 
* Design, build, and evolve end\-to\-end data pipelines using Microsoft Fabric, Azure Data Factory, and Spark
* Serve as a key driver of measurable business impact, ensuring data warehousing solutions directly support enterprise capabilities and outcomes
* Architect and maintain Lakehouse and Warehouse solutions leveraging Delta Lake for performance, reliability, and scalability
* Implement and continuously improve Medallion architecture (Bronze / Silver / Gold) within OneLake
* Develop resilient, scalable ETL/ELT frameworks supporting batch, dynamic, and incremental data ingestion
**Required Experience, Skills \&amp; Abilities** 
* Senior\-level experience in Data Engineering, Analytics Engineering, or a related discipline, with a track record of delivering enterprise\-scale solutions
* Deep, hands\-on experience with Azure data services or comparable cloud ecosystems, including:
* Microsoft Fabric (Lakehouse, Warehouse, OneLake)
* Azure Data Factory
* Azure Synapse Analytics
* Power BI, Tableau, MicroStrategy, or similar.
* AWS or Snowflake\-based data platforms
* Strong experience with Spark (PySpark and/or Spark SQL)
* Advanced SQL expertise (T\-SQL and/or ANSI SQL)
* Proven ability to design and operate large\-scale, production\-grade, high\-performance data pipelines
* Hands\-on experience with Delta Lake and modern data lake architectures
* Strong problem\-solving skills and the ability to clearly communicate complex technical concepts to both technical and non\-technical stakeholders</t>
        </is>
      </c>
    </row>
    <row r="49">
      <c r="A49" t="inlineStr">
        <is>
          <t>li-4374959937</t>
        </is>
      </c>
      <c r="B49" t="inlineStr">
        <is>
          <t>Data Engineer</t>
        </is>
      </c>
      <c r="C49" t="inlineStr">
        <is>
          <t>Backstage</t>
        </is>
      </c>
      <c r="D49" t="inlineStr">
        <is>
          <t>linkedin</t>
        </is>
      </c>
      <c r="E49">
        <f>HYPERLINK("https://www.linkedin.com/jobs/view/4374959937", "https://www.linkedin.com/jobs/view/4374959937")</f>
        <v/>
      </c>
      <c r="F49" t="inlineStr"/>
      <c r="G49" t="inlineStr">
        <is>
          <t>New York, NY</t>
        </is>
      </c>
      <c r="H49" t="inlineStr"/>
      <c r="I49" t="inlineStr">
        <is>
          <t>Backstage is seeking a Data Engineer to help build and evolve the data foundation that supports many aspects of our business — enabling intelligent customer interactions, powering customer\-facing products, and driving insights for fast\-moving teams across the company.
 You will join our Data \&amp; Analytics team, which currently includes two Data Engineers, a Data Scientist, a Data Analyst and a Director, and sits within the larger Product \&amp; Engineering department of high\-performance engineers, designers, product managers, analysts, and QA specialists. We value curiosity, trust, and impact, and we foster a culture of constant learning and improvement where teammates work together to accomplish user\-focused initiatives in a supportive, open, and respectful environment. Our teams are experienced, nimble, collaborative, and considerate, and we actively create opportunities for everyone to learn and build new skills.
 Backstage’s Data team has strategically built a data foundation that supports many aspects of the business. As a Data Engineer, you’ll play a key role in maintaining and expanding this foundation with an unwavering commitment to data quality, consistency, and scalability. You’ll not only answer business questions but also design durable data solutions that grow with the company’s needs.
 You’ll own major parts of Backstage’s analytics data stack and partner closely with the BI, marketing, and product teams. You’ll transform complex, raw data from multiple systems into clean, meaningful models that drive actionable insight across a growing global organization. This role requires top\-tier SQL capabilities — someone skilled at writing advanced queries with layered business logic and translating ambiguous requirements into structured, reusable datasets.
 You’ll report to Backstage’s Director of Data and Analytics, and work cross\-functionally to build sustainable, future\-proof data infrastructure for marketing attribution, customer analytics, and operational reporting.
**What You’ll Do** 
* Build, maintain, and optimize ETL pipelines that integrate and transform data from varied first\- and third\-party sources into analytics\-ready models.
* Work with both structured data (e.g., relational tables) and unstructured event data (e.g., clickstream, telemetry) to create coherent, user\-level datasets and customer journeys.
* Partner with analytics, finance, marketing, and product teams to design data models that reflect real business logic and connect customer behavior across systems.
* Transform event\-level telemetry data into actionable customer journeys aggregated across time windows for product and marketing insight.
* Develop and manage data integration pipelines, including reverse ETL workflows using tools like Hightouch.
* Define audience segments, customer profiles, and attribution logic using SQL and dbt in a modern cloud data warehouse (e.g., Redshift).
* Implement and maintain CI/CD, version control, and automated data quality tests to ensure consistent, trustworthy reporting.
* Collaborate with marketing and BI to design dashboards in Looker and Amplitude that track campaign performance, segmentation, and ROI.
* Document data models and transformation logic for transparency and scalability.
* Balance short\-term delivery with long\-term maintainability, evolving models to support new business questions efficiently.
* Monitor data compliance impacts on tracking and reporting, ensuring alignment with privacy standards (such as GDPR and CCPA).
**What We’re Looking For** 
* 7\+ years of professional experience in data engineering, analytics engineering, or related roles supporting marketing or product analytics.
* Expert\-level SQL skills, demonstrated through real\-world examples of complex transformations and business logic implementation.
* Strong understanding of event\-based data structures and experience modeling user\-level metrics from raw telemetry or clickstream data.
* Proficiency in modern ELT tools and frameworks (dbt), including writing modular, tested transformations.
* Experience configuring and optimizing large\-scale cloud data warehouses (Redshift, Snowflake, or BigQuery).
* Hands\-on experience with customer behavior event tracking and marketing attribution.
* Familiarity with reverse ETL patterns, marketing activation, and identity resolution workflows.
* Strong data governance mindset — aware of naming conventions, semantic definitions, and data lifecycle management.
* Excellent written and verbal communication skills; able to translate complex transformations into accessible explanations for technical and non\-technical audiences alike.
* Driven by curiosity and a desire to help others make smarter, faster decisions through data.
**Special Work Conditions** 
* Sedentary – Involves sitting most of the time but may involve walking or standing for brief periods of time. Some positions may entail exerting up to 15 lbs. of force occasionally and/or a negligible amount of force to lift, carry, push, or pull.
**Benefits** 
 Cast \&amp; Crew provides a comprehensive package of employee benefits including: Medical, Dental, Vision, PTO, health and wellness programs, employee discounts, and more! Note: Cast \&amp; Crew benefits are subject to eligibility requirements.
 Cast \&amp; Crew is an equal opportunity employer committed to hiring a diverse workforce and sustaining an inclusive culture. It is our policy to provide equal employment opportunities to all individuals based on job\-related qualifications and ability to perform a job, without regard to age, gender, gender identity, sexual orientation, race, color, religion, creed, national origin, disability, genetic information, veteran status, citizenship or marital status, and to maintain a non\-discriminatory environment free from intimidation, harassment or bias based upon these grounds.
**CA residents** 
 Your personal information may be collected in connection with certain services provided by Cast \&amp; Crew or its affiliated companies. A summary of your California privacy rights can be found at: https://www.castandcrew.com/privacy\-policy/
 Compensation is commensurate with various factors including, but not limited to, relevant experience, qualifications, skills, training, licensure, certifications, geographic cost of labor, and other business and organizational needs. Compensation range for candidates in other locations may differ based on the cost of labor in that location. The compensation range for this position is: $135,000\.00 \- $155,000\.00 per year.</t>
        </is>
      </c>
    </row>
    <row r="50">
      <c r="A50" t="inlineStr">
        <is>
          <t>li-4376324890</t>
        </is>
      </c>
      <c r="B50" t="inlineStr">
        <is>
          <t>REMOTE- Junior Data Engineer</t>
        </is>
      </c>
      <c r="C50" t="inlineStr">
        <is>
          <t>Lensa</t>
        </is>
      </c>
      <c r="D50" t="inlineStr">
        <is>
          <t>linkedin</t>
        </is>
      </c>
      <c r="E50">
        <f>HYPERLINK("https://www.linkedin.com/jobs/view/4376324890", "https://www.linkedin.com/jobs/view/4376324890")</f>
        <v/>
      </c>
      <c r="F50">
        <f>HYPERLINK("https://lensa.com/cgw/5762e8598b2946fe82489aa07d80d2b1tjo1?jpsi=directemployers&amp;publisher_preference=easier_apply&amp;utm_campaign=Computer%20Occupations&amp;utm_medium=slot&amp;utm_source=linkedin&amp;utm_term=jse&amp;urlHash=iq0i", "https://lensa.com/cgw/5762e8598b2946fe82489aa07d80d2b1tjo1?jpsi=directemployers&amp;publisher_preference=easier_apply&amp;utm_campaign=Computer%20Occupations&amp;utm_medium=slot&amp;utm_source=linkedin&amp;utm_term=jse&amp;urlHash=iq0i")</f>
        <v/>
      </c>
      <c r="G50" t="inlineStr">
        <is>
          <t>Fort Worth, TX</t>
        </is>
      </c>
      <c r="H50" t="inlineStr"/>
      <c r="I5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One of the largest logistics and transportation employers in the US is seeking a Jr. Data Engineer to join their expanding team. The Jr. Data Engineer will play a crucial role in understanding business problems and assisting in designing solutions that transform complex ideas into sustainable processes. This individual will focus on supporting the onboarding of new lines of business into the data analytics team. Their responsibilities will include assisting in the full life cycle of data engineering, from gathering requirements from internal customers to building data pipelines, testing, reporting, and maintaining solutions. Additionally, the Jr. Data Engineer will support escalation tasks, contribute to system development, help automate processes, maintain internal systems, and assist in data modeling. They will use their growing expertise in data structures specific to the company's operating systems to help turn data into valuable business insights.
 We are a company committed to creating inclusive environments where people can bring their full, authentic selves to work every day. We are an equal opportunity employer that believes everyone matters. Qualified candidates will receive consideration for employment opportunities without regard to race, religion, sex, age, marital status, national origin, sexual orientation, citizenship status, disability, or any other status or characteristic protected by applicable laws, regulations, and ordinances. If you need assistance and/or a reasonable accommodation due to a disability during the application or recruiting process, please send a request to Human Resources Request Form (https://airtable.com/app21VjYyxLDIX0ez/shrOg4IQS1J6dRiMo) . The EEOC "Know Your Rights" Poster is available here (https://www.eeoc.gov/sites/default/files/2023\-06/22\-088\_EEOC\_KnowYourRights6\.12ScreenRdr.pdf) .
 To learn more about how we collect, keep, and process your private information, please review Insight Global's Workforce Privacy Policy: https://insightglobal.com/workforce\-privacy\-policy/ .
**Skills And Requirements**
 2\-5\+ years' experience of data engineer experience
  Strong ADF experience (creating pipelines from scratch/ knowledge of connectors and activities following architect plan)
  Strong knowledge of SQL (Mostly working with SQL scripting implementing into ADF)
  Understanding of full life cycle data engineering
  Extremely detail oriented and ability to provide effective updates
  Strong communication for working with internal/ external customers
  Strong critical thinking skills Python or Spark experience (Small environment is in Python\- basic level scripting and reviews)
  DevOps Experience
  Data Bricks Experience
  Background in Logistics
  Agile Methodologies
  Experience with cloud (Azure specifically)
 If you have questions about this posting, please contact support@lensa.com</t>
        </is>
      </c>
    </row>
    <row r="51">
      <c r="A51" t="inlineStr">
        <is>
          <t>li-4376334657</t>
        </is>
      </c>
      <c r="B51" t="inlineStr">
        <is>
          <t>Data Engineer</t>
        </is>
      </c>
      <c r="C51" t="inlineStr">
        <is>
          <t>Bright Vision Technologies</t>
        </is>
      </c>
      <c r="D51" t="inlineStr">
        <is>
          <t>linkedin</t>
        </is>
      </c>
      <c r="E51">
        <f>HYPERLINK("https://www.linkedin.com/jobs/view/4376334657", "https://www.linkedin.com/jobs/view/4376334657")</f>
        <v/>
      </c>
      <c r="F51">
        <f>HYPERLINK("https://brightvisiontechnologies.applytojob.com/apply/sVwFNzVH3T/Data-Engineer?source=LILI&amp;source=LINKEDIN&amp;urlHash=GAhV", "https://brightvisiontechnologies.applytojob.com/apply/sVwFNzVH3T/Data-Engineer?source=LILI&amp;source=LINKEDIN&amp;urlHash=GAhV")</f>
        <v/>
      </c>
      <c r="G51" t="inlineStr">
        <is>
          <t>Dallas, TX</t>
        </is>
      </c>
      <c r="H51" t="inlineStr"/>
      <c r="I51" t="inlineStr">
        <is>
          <t>**Role \- Data Engineer**
 Bright Vision Technologies is a forward\-thinking software development company dedicated to building innovative solutions that help businesses automate and optimize their operations.
 We leverage cutting\-edge data engineering technologies to build scalable, reliable, and high\-performance data platforms. As we continue to grow, we’re looking for a skilled
 **Data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
**Company:** 
 Bright Vision Technologies ( www.bvteck.com )
**Job Title:** 
 Data Engineer
**Onsite/Hybrid:** 
 Remote
**FULL\-TIME ROLE WITH BRIGHT VISION**
**Job Description:**
**Environment:**
 Python, SQL, Data Warehousing, ETL/ELT pipelines, Apache Spark, Airflow, Kafka, Hadoop ecosystem, Snowflake / Redshift / BigQuery, Data Modeling, RESTful APIs, Cloud Platforms (AWS / Azure / GCP), Docker, Kubernetes (basic), CI/CD pipelines, Git, Linux, Agile methodologies
**BUT STRICTLY NO C2C/1099/3RD PARTY COMPANIES. ALL OUR ROLES ARE W2 AND NO 3RD PARTY BROKERING PLEASE.**
 For every role, a
 **coding test is required** 
 , so apply only if you are
 **confident and technically strong** 
 .
 We prefer
 **at least 3 to 5 years real time experience** 
 .
 If you are a
 **Data Engineer** 
 with the above skills and are looking for an
 **H\-1 B sponsorship** 
 this year, please send your resume immediately to
 **Sreedhar@bvteck.com** 
 .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**Position offered by “No Fee agency.”**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Powered by JazzHR
 sVwFNzVH3T</t>
        </is>
      </c>
    </row>
    <row r="52">
      <c r="A52" t="inlineStr">
        <is>
          <t>li-4376333541</t>
        </is>
      </c>
      <c r="B52" t="inlineStr">
        <is>
          <t>Software Developer/Data Engineer - Entry Level</t>
        </is>
      </c>
      <c r="C52" t="inlineStr">
        <is>
          <t>Lensa</t>
        </is>
      </c>
      <c r="D52" t="inlineStr">
        <is>
          <t>linkedin</t>
        </is>
      </c>
      <c r="E52">
        <f>HYPERLINK("https://www.linkedin.com/jobs/view/4376333541", "https://www.linkedin.com/jobs/view/4376333541")</f>
        <v/>
      </c>
      <c r="F52">
        <f>HYPERLINK("https://lensa.com/cgw/dfb0ca0263bb459daea1ac31eff735batjo1?jpsi=directemployers_no_redirect&amp;publisher_preference=easier_apply&amp;utm_campaign=Computer%20Occupations&amp;utm_medium=slot&amp;utm_source=linkedin&amp;utm_term=jse&amp;urlHash=yuGs", "https://lensa.com/cgw/dfb0ca0263bb459daea1ac31eff735batjo1?jpsi=directemployers_no_redirect&amp;publisher_preference=easier_apply&amp;utm_campaign=Computer%20Occupations&amp;utm_medium=slot&amp;utm_source=linkedin&amp;utm_term=jse&amp;urlHash=yuGs")</f>
        <v/>
      </c>
      <c r="G52" t="inlineStr">
        <is>
          <t>Nashville, TN</t>
        </is>
      </c>
      <c r="H52" t="inlineStr"/>
      <c r="I5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Developer/Data Engineer \-\- Entry Level**
**Category:** 
 Software Development/ Engineering
**Main location:** 
 United States, Tennessee, Nashville
**Position ID:** 
 J0825\-1368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Developer/Data Engineer,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Nashville, TN in a hybrid working model.
 Spring Application Period: Monday, January 18th, 2026 \- Friday, February 27th, 2026
**Your Future Duties And Responsibilities**
 How You'll Make an Impact
* Design, prototype, and develop front\-end, back\-end, and full\-stack software using modern languages and frameworks (e.g., .NET, Java, open\-source stacks, React).
* Apply software design patterns and best practices for scalable, maintainable code.
* Collaborate with team members to continuously improve approaches and tools.
* Build database\-integrated and data\-enabled solutions, including ETL pipelines, using contemporary database technologies.
* Deliver analytics and reporting solutions by working with data models, queries, and visualizations.
* Contribute to projects that leverage AI or machine learning capabilities within software and data solutions.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This role includes opportunities to focus on application development, data and analytics work, or a blend of both, depending on project needs.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$57,100 \- $94,200\.
 \#CGIEarlyCareers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53">
      <c r="A53" t="inlineStr">
        <is>
          <t>li-4373789115</t>
        </is>
      </c>
      <c r="B53" t="inlineStr">
        <is>
          <t>Data Engineer - Manufacturing</t>
        </is>
      </c>
      <c r="C53" t="inlineStr">
        <is>
          <t>ChatGPT Jobs</t>
        </is>
      </c>
      <c r="D53" t="inlineStr">
        <is>
          <t>linkedin</t>
        </is>
      </c>
      <c r="E53">
        <f>HYPERLINK("https://www.linkedin.com/jobs/view/4373789115", "https://www.linkedin.com/jobs/view/4373789115")</f>
        <v/>
      </c>
      <c r="F53" t="inlineStr"/>
      <c r="G53" t="inlineStr"/>
      <c r="H53" t="inlineStr"/>
      <c r="I53" t="inlineStr">
        <is>
          <t>**Job Description**
 Data Engineer \- Manufacturing
 Foundation EGI
 Remote Nationwide,
* Remote
* Full\-Time
**Job Description**
 We are an MIT\-born, venture\-backed Silicon Valley startup building Engineering General Intelligence (EGI)—an AI Copilot for design and manufacturing. Our mission is to fundamentally reinvent how physical products are designed and built, dramatically accelerating the pace of product development.
 As an Individual Contributor on the Data Studio team, you will play a key role in transforming raw customer data into structured, high\-fidelity datasets that power model training, evaluation, and customer delivery. This role is deeply hands\-on and sits at the intersection of product, research, and engineering. You will apply your mechanical engineering and manufacturing expertise to create data pipelines, labeling workflows, reference models, and quality checks that ensure the accuracy and reliability of our AI systems. Mechanical engineering or manufacturing design experience is essential; candidates without this background will not be considered.
 Key Responsibilities
* Data Creation, Processing \&amp; Quality
+ Ingest, clean, transform, and structure customer and internally generated engineering data for AI training and inference.
+ Design and build high\-quality mechanical components and assemblies in CAD to serve as authoritative ground truth for evaluating and training AI systems.
+ Produce labeled datasets, reference designs, annotations, exploded views, sequences, and other engineering artifacts that encode real\-world reasoning.
+ Apply engineering judgment to define and assess output quality across datasets.
+ Continuously refine standards for metadata, annotation, and model quality, maintaining a living “definition of quality” for ME datasets.
* Workflow \&amp; Tooling Contributions
+ Collaborate with Product Managers to shape tooling used for annotation, data correction, model\-output review, and pipeline automation.
+ Provide detailed feedback on tool usability, workflow efficiency, and automation opportunities.
+ Help develop scalable, repeatable data processes that improve throughput and data consistency.
* Cross\-Functional Collaboration
+ Partner closely with engineering and research teams to understand model data requirements, failure modes, and areas needing new data.
+ Influence model behavior by supplying representative engineering examples and ground\-truth mechanical designs.
+ Partner with customer\-facing teams to translate domain requirements, industry standards, and customer data schemas into actionable dataset specifications.
+ Serve as a subject matter expert on mechanical engineering formats, CAD standards, manufacturing practices, and design artifacts.
* Domain Expertise \&amp; Reference Content Creation
+ Generate technical documentation, exploded views, sequences, and annotations that encode engineering reasoning into training data.
+ Ensure that datasets reflect real\-world constraints, DFM (Design for Manufacturing) considerations, material behavior, and industry best practices.
+ Embed engineering reasoning into training data so that AI systems learn not just geometry or text, but engineering intent.
* Customer \&amp; Project Support
+ Work with customers to understand their data sources, schemas, formats, and quality expectations.
+ Guide customers in preparing high\-quality datasets, defining structured schemas, and improving data pipelines.
+ Support delivery timelines by communicating progress clearly and surfacing risks or issues early.
+ Review and work with external contractors, ensuring high\-quality output and adherence to SOPs.
**Required Qualifications**
* Strong domain expertise in mechanical engineering, manufacturing design, or industrial workflows.
* Hands\-on experience with CAD tools such as SolidWorks, CATIA, Siemens NX, or Creo.
* Familiarity with annotation tools and illustration software (e.g., Creo Illustrate, Adobe Illustrator, Arbortext).
* Ability to interpret complex mechanical assemblies, technical drawings, GD\&amp;T, and engineering documentation.
* Experience creating artifacts like exploded views, work\-step sequences, repair manuals, or manufacturing instructions.
* Strong problem\-solving skills and the ability to translate domain workflows into structured data requirements.
* Excellent communication and cross\-functional collaboration skills.
**Preferred Qualifications**
* Experience with data operations, labeling workflows, ML data pipelines, or AI/ML data lifecycle (collection \-\&gt; labeling \-\&gt; QA \-\&gt; training \-\&gt; evaluation \-\&gt; deployment).
* Experience in fast\-paced startup or high\-growth environments.
* Comfort with customer\-facing discovery or solutioning.
 What Success Looks Like
* Deliver high\-quality datasets that measurably improve model performance.
* Drive standardization and reliability across ME datasets, CAD models, workflows, metadata, and annotations.
* Enable faster model training, evaluation, and deployment through strong cross\-functional collaboration.
* Maintain clear documentation, repeatable processes, and continuous quality improvement.
* Be recognized as a trusted ME expert in data quality and domain insight.</t>
        </is>
      </c>
    </row>
    <row r="54">
      <c r="A54" t="inlineStr">
        <is>
          <t>li-4376346214</t>
        </is>
      </c>
      <c r="B54" t="inlineStr">
        <is>
          <t>Remote Data Platform Engineer</t>
        </is>
      </c>
      <c r="C54" t="inlineStr">
        <is>
          <t>Jobgether</t>
        </is>
      </c>
      <c r="D54" t="inlineStr">
        <is>
          <t>linkedin</t>
        </is>
      </c>
      <c r="E54">
        <f>HYPERLINK("https://www.linkedin.com/jobs/view/4376346214", "https://www.linkedin.com/jobs/view/4376346214")</f>
        <v/>
      </c>
      <c r="F54">
        <f>HYPERLINK("https://jobs.lever.co/jobgether/a7d4c56d-7fe8-4cf1-8dce-4c698b1ef9a6/apply?source=LinkedIn&amp;urlHash=AbEO", "https://jobs.lever.co/jobgether/a7d4c56d-7fe8-4cf1-8dce-4c698b1ef9a6/apply?source=LinkedIn&amp;urlHash=AbEO")</f>
        <v/>
      </c>
      <c r="G54" t="inlineStr">
        <is>
          <t>Kentucky, United States</t>
        </is>
      </c>
      <c r="H54" t="inlineStr"/>
      <c r="I54" t="inlineStr">
        <is>
          <t>This position is posted by Jobgether on behalf of a partner company. We are currently looking for a Software Engineer \- REMOTE. In this role, you will have the opportunity to design, build, and optimize a data platform that empowers businesses and developers alike. Your work will directly impact how data\-driven initiatives are executed, impacting millions of users globally. By collaborating with diverse teams, you will create scalable and effective data solutions that foster innovation in a remote\-first environment. Your contributions will play a vital role in a vibrant culture that embraces inclusion and professional growth.
**Accountabilities**
* Design, build, and maintain infrastructure and scalable frameworks to support data ingestion, processing, and analysis.
* Collaborate with stakeholders, analysts, and product teams to understand business requirements and translate them into technical solutions.
* Architect and implement data solutions using modern data technologies such as Kafka, Spark, Hive, Hudi, Presto, Airflow, and cloud\-based services like AWS Lakeformation, Glue and Athena.
* Ensure data quality, integrity, and security throughout the data lifecycle.
* Stay current with emerging technologies and best practices in big data technologies.
* Mentor early career engineers and contribute to a culture of continuous learning and improvement.
**Requirements**
* Bachelor's or Master's degree in Computer Science, Engineering, or a related field.
* 5\+ years of experience in software development or a related field.
* Strong proficiency in programming languages such as Python, Java, or Scala.
* Experience with building frameworks for big data technologies such as Spark, Kafka, Hive, and distributed computing systems.
* Experience with AWS technologies at scale.
* Solid understanding of software engineering principles, including object\-oriented and functional programming paradigms.
* Excellent problem\-solving and analytical skills.
* Strong verbal \&amp; written communication skills.
**Benefits**
* Competitive salary and performance\-based bonuses.
* Generous time\-off policy and parental leave.
* Comprehensive healthcare and retirement savings program.
* Opportunities for professional development and continuous learning.
* Flexible remote work environment.
* Support for community volunteering and positive change initiatives.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5">
      <c r="A55" t="inlineStr">
        <is>
          <t>li-4374973184</t>
        </is>
      </c>
      <c r="B55" t="inlineStr">
        <is>
          <t>IT Data Engineer</t>
        </is>
      </c>
      <c r="C55" t="inlineStr">
        <is>
          <t>FetchJobs.co</t>
        </is>
      </c>
      <c r="D55" t="inlineStr">
        <is>
          <t>linkedin</t>
        </is>
      </c>
      <c r="E55">
        <f>HYPERLINK("https://www.linkedin.com/jobs/view/4374973184", "https://www.linkedin.com/jobs/view/4374973184")</f>
        <v/>
      </c>
      <c r="F55" t="inlineStr"/>
      <c r="G55" t="inlineStr"/>
      <c r="H55" t="inlineStr"/>
      <c r="I55" t="inlineStr">
        <is>
          <t>**About The Company**
 Procter \&amp; Gamble (P\&amp;G) is a globally renowned consumer goods corporation with a rich history spanning over 180 years. Established initially as a humble soap and candle manufacturer, P\&amp;G has evolved into the world's largest and most diversified consumer goods company. The company's portfolio boasts some of the most trusted and iconic brands, including Always®, Ariel®, Gillette®, Head \&amp; Shoulders®, Herbal Essences®, Oral\-B®, Pampers®, Pantene®, and Tampax®, among others. With operations in approximately 70 countries worldwide, P\&amp;G is committed to delivering quality, innovation, and leadership across multiple categories to meet the diverse needs of consumers globally.
 At the core of P\&amp;G’s success are its values of leadership, innovation, and citizenship. The company fosters a culture that emphasizes responsible governance, ethical practices, environmental sustainability, and community support. P\&amp;G’s dedication to these principles has helped it grow into a respected organization that not only delivers superior products but also contributes positively to society and the environment. The company prides itself on nurturing talent, developing future leaders, and maintaining a work environment where employees feel valued, challenged, and inspired.
**About The Role**
 We are seeking a highly skilled Senior Data Engineer to join our dynamic team in Hyderabad, India. This role is pivotal in accelerating the publication of data to our core Azure Data Lake, ensuring that data pipelines are efficient, reliable, and aligned with our strategic goals. As a Senior Data Engineer, you will work with established cloud data platforms and internal tooling to build, enhance, and maintain data pipelines that support analytics, reporting, and decision\-making processes across the organization.
 Your primary focus will be on executing and improving existing data patterns and standards to deliver high\-quality, governed data. You will collaborate with data asset managers, architects, and development leads to develop scalable solutions that meet technical and business requirements. The role offers an exciting opportunity to work at the forefront of data engineering, leveraging cutting\-edge technologies to enable data\-driven insights and innovation. You will also mentor junior engineers, sharing your expertise and fostering a culture of continuous improvement and excellence in data practices.
**Qualifications**
 The ideal candidate will possess strong technical skills and relevant certifications, including expertise in Python, SQL, Delta Lake, Databricks, Spark/PySpark, Github, and Azure cloud services. Attaining or maintaining certifications such as Databricks and Azure certifications is expected to demonstrate your commitment to continuous learning and technical excellence. Experience with CI/CD tools like Github Actions, SonarQube, and Snyk is highly desirable.
 Additional qualifications include a solid understanding of distributed computing concepts, big data processing, and data engineering platforms. Familiarity with D\&amp;A platform capabilities and experience working outside of P\&amp;G or similar data platforms will be considered advantageous. The role requires excellent problem\-solving skills, a collaborative mindset, and the ability to work effectively within a team environment. Mentoring and coaching junior engineers is also a key aspect of this position, emphasizing leadership and knowledge sharing.
**Responsibilities**
* Productionize data pipelines for large and complex datasets, ensuring they meet both technical standards and business needs.
* Collaborate with data asset managers, architects, and development teams to design and implement robust technical solutions.
* Adhere to and contribute to coding standards and best practices, focusing on creating efficient, reusable, and cost\-effective data pipelines and components.
* Identify opportunities for process improvements and implement innovative solutions to enhance data engineering workflows.
* Optimize Spark jobs for performance and cost efficiency by tuning configurations, minimizing shuffles, and leveraging advanced techniques such as broadcast joins, caching, and partitioning.
* Ensure data quality, reliability, and performance through rigorous validation, monitoring, and optimization practices.
* Monitor, troubleshoot, and resolve issues in data pipelines and workflows to maintain seamless data operations.
* Stay updated on the latest features, tools, and industry trends related to Databricks and big data processing to continuously enhance data engineering practices.
* Provide mentorship and guidance to junior team members, fostering a collaborative and growth\-oriented environment.
**Benefits**
 Procter \&amp; Gamble offers a comprehensive benefits package designed to support the well\-being and professional growth of its employees. This includes continuous mentorship and training programs, opportunities for career advancement, and exposure to innovative projects. The company promotes a dynamic and encouraging work environment where employees are valued and their initiatives supported. P\&amp;G emphasizes work\-life balance, offering flexible working arrangements and a culture that prioritizes employee health and wellness. Additionally, employees have access to various development resources, recognition programs, and a collaborative community that fosters learning and innovation.
 Equal Opportunity
 Procter \&amp; Gamble is an equal\-opportunity employer committed to fostering a diverse and inclusive workplace. We do not discriminate against individuals based on race, color, gender, age, national origin, religion, sexual orientation, gender identity or expression, marital status, citizenship, disability, HIV/AIDS status, or any other legally protected characteristic. Our hiring process is personalized and transparent, ensuring fair opportunities for all candidates. We uphold the highest standards of ethics and corporate responsibility, creating an environment where everyone can thrive and contribute to our collective success.</t>
        </is>
      </c>
    </row>
    <row r="56">
      <c r="A56" t="inlineStr">
        <is>
          <t>li-4376328980</t>
        </is>
      </c>
      <c r="B56" t="inlineStr">
        <is>
          <t>Remote Senior Data Engineer</t>
        </is>
      </c>
      <c r="C56" t="inlineStr">
        <is>
          <t>Jobgether</t>
        </is>
      </c>
      <c r="D56" t="inlineStr">
        <is>
          <t>linkedin</t>
        </is>
      </c>
      <c r="E56">
        <f>HYPERLINK("https://www.linkedin.com/jobs/view/4376328980", "https://www.linkedin.com/jobs/view/4376328980")</f>
        <v/>
      </c>
      <c r="F56">
        <f>HYPERLINK("https://jobs.lever.co/jobgether/3f983f24-98b4-4b7d-895e-b136c22f1aa1/apply?source=LinkedIn&amp;urlHash=LwIc", "https://jobs.lever.co/jobgether/3f983f24-98b4-4b7d-895e-b136c22f1aa1/apply?source=LinkedIn&amp;urlHash=LwIc")</f>
        <v/>
      </c>
      <c r="G56" t="inlineStr">
        <is>
          <t>Idaho, United States</t>
        </is>
      </c>
      <c r="H56" t="inlineStr"/>
      <c r="I56" t="inlineStr">
        <is>
          <t>This position is posted by Jobgether on behalf of a partner company. We are currently looking for a Senior Data Engineering Manager \- REMOTE. In this role, you will oversee a team of data engineers while driving the technical vision for building and optimizing data pipelines that support our streaming services. Your leadership will facilitate collaboration across departments to deliver effective data solutions that enhance the overall user experience. The Data Engineering team is pivotal in processing billions of data events and providing actionable insights, making your role crucial in shaping the data infrastructure that propels the organization forward. You will blend coding with management, mentoring your team in best practices while ensuring high\-performance data systems are established.
**Accountabilities**
* Drive technical leadership to members of the Data Engineering team.
* Provide strong people management for the team, facilitating career development.
* Lead the design and implementation of data platform architecture.
* Set technical standards and best practices for data engineering.
* Collaborate with cross\-functional teams to understand data needs.
* Design scalable data pipelines and infrastructure.
* Manage team workload, priorities, and delivery timelines.
* Implement data governance, security, and quality control processes.
* Guide technical decisions for long\-term sustainability.
**Requirements**
* 10\+ years of experience in data engineering, especially high\-volume data platforms.
* 2\+ years managing data engineering teams in cloud\-native environments.
* Deep expertise in AWS data services, Snowflake, dbt, and more.
* Strong people management skills, with a focus on coaching and development.
* Proven track record in designing and implementing data platforms.
* Excellent communication skills for engaging technical and non\-technical stakeholders.
* Experience managing cloud\-based data platforms.
**Benefits**
* Full health, dental and vision coverage for you and your family.
* 401(k) plan with employer contributions.
* Flexible working hours.
* Up to 20 weeks of fully paid parental leave.
* Unlimited paid time off for vacation and sick leave.
* $2,000 annual vacation bonus.
* $5,250 annually for professional development.
* $1,250 first\-year home office stipend.
* $500/month bonus for in\-office work commitment.
* Free Gympass subscription.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7">
      <c r="A57" t="inlineStr">
        <is>
          <t>li-4376348171</t>
        </is>
      </c>
      <c r="B57" t="inlineStr">
        <is>
          <t>Lead Data Engineer - Remote</t>
        </is>
      </c>
      <c r="C57" t="inlineStr">
        <is>
          <t>Jobgether</t>
        </is>
      </c>
      <c r="D57" t="inlineStr">
        <is>
          <t>linkedin</t>
        </is>
      </c>
      <c r="E57">
        <f>HYPERLINK("https://www.linkedin.com/jobs/view/4376348171", "https://www.linkedin.com/jobs/view/4376348171")</f>
        <v/>
      </c>
      <c r="F57" t="inlineStr"/>
      <c r="G57" t="inlineStr">
        <is>
          <t>Massachusetts, United States</t>
        </is>
      </c>
      <c r="H57" t="inlineStr"/>
      <c r="I57" t="inlineStr">
        <is>
          <t>This position is posted by Jobgether on behalf of a partner company. We are currently looking for a Senior Data Engineering Manager \- REMOTE. In this role, you will oversee a team of data engineers while driving the technical vision for building and optimizing data pipelines that support our streaming services. Your leadership will facilitate collaboration across departments to deliver effective data solutions that enhance the overall user experience. The Data Engineering team is pivotal in processing billions of data events and providing actionable insights, making your role crucial in shaping the data infrastructure that propels the organization forward. You will blend coding with management, mentoring your team in best practices while ensuring high\-performance data systems are established.
**Accountabilities**
* Drive technical leadership to members of the Data Engineering team.
* Provide strong people management for the team, facilitating career development.
* Lead the design and implementation of data platform architecture.
* Set technical standards and best practices for data engineering.
* Collaborate with cross\-functional teams to understand data needs.
* Design scalable data pipelines and infrastructure.
* Manage team workload, priorities, and delivery timelines.
* Implement data governance, security, and quality control processes.
* Guide technical decisions for long\-term sustainability.
**Requirements**
* 10\+ years of experience in data engineering, especially high\-volume data platforms.
* 2\+ years managing data engineering teams in cloud\-native environments.
* Deep expertise in AWS data services, Snowflake, dbt, and more.
* Strong people management skills, with a focus on coaching and development.
* Proven track record in designing and implementing data platforms.
* Excellent communication skills for engaging technical and non\-technical stakeholders.
* Experience managing cloud\-based data platforms.
**Benefits**
* Full health, dental and vision coverage for you and your family.
* 401(k) plan with employer contributions.
* Flexible working hours.
* Up to 20 weeks of fully paid parental leave.
* Unlimited paid time off for vacation and sick leave.
* $2,000 annual vacation bonus.
* $5,250 annually for professional development.
* $1,250 first\-year home office stipend.
* $500/month bonus for in\-office work commitment.
* Free Gympass subscription.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8">
      <c r="A58" t="inlineStr">
        <is>
          <t>li-4376346213</t>
        </is>
      </c>
      <c r="B58" t="inlineStr">
        <is>
          <t>Remote Lead Data Engineer</t>
        </is>
      </c>
      <c r="C58" t="inlineStr">
        <is>
          <t>Jobgether</t>
        </is>
      </c>
      <c r="D58" t="inlineStr">
        <is>
          <t>linkedin</t>
        </is>
      </c>
      <c r="E58">
        <f>HYPERLINK("https://www.linkedin.com/jobs/view/4376346213", "https://www.linkedin.com/jobs/view/4376346213")</f>
        <v/>
      </c>
      <c r="F58">
        <f>HYPERLINK("https://jobs.lever.co/jobgether/38ebfe7a-8db2-4af8-9fd9-5259ea3a30a1/apply?source=LinkedIn&amp;urlHash=95_S", "https://jobs.lever.co/jobgether/38ebfe7a-8db2-4af8-9fd9-5259ea3a30a1/apply?source=LinkedIn&amp;urlHash=95_S")</f>
        <v/>
      </c>
      <c r="G58" t="inlineStr">
        <is>
          <t>New Jersey, United States</t>
        </is>
      </c>
      <c r="H58" t="inlineStr"/>
      <c r="I58" t="inlineStr">
        <is>
          <t>This position is posted by Jobgether on behalf of a partner company. We are currently looking for a Senior Data Engineering Manager \- REMOTE. In this role, you will oversee a team of data engineers while driving the technical vision for building and optimizing data pipelines that support our streaming services. Your leadership will facilitate collaboration across departments to deliver effective data solutions that enhance the overall user experience. The Data Engineering team is pivotal in processing billions of data events and providing actionable insights, making your role crucial in shaping the data infrastructure that propels the organization forward. You will blend coding with management, mentoring your team in best practices while ensuring high\-performance data systems are established.
**Accountabilities**
* Drive technical leadership to members of the Data Engineering team.
* Provide strong people management for the team, facilitating career development.
* Lead the design and implementation of data platform architecture.
* Set technical standards and best practices for data engineering.
* Collaborate with cross\-functional teams to understand data needs.
* Design scalable data pipelines and infrastructure.
* Manage team workload, priorities, and delivery timelines.
* Implement data governance, security, and quality control processes.
* Guide technical decisions for long\-term sustainability.
**Requirements**
* 10\+ years of experience in data engineering, especially high\-volume data platforms.
* 2\+ years managing data engineering teams in cloud\-native environments.
* Deep expertise in AWS data services, Snowflake, dbt, and more.
* Strong people management skills, with a focus on coaching and development.
* Proven track record in designing and implementing data platforms.
* Excellent communication skills for engaging technical and non\-technical stakeholders.
* Experience managing cloud\-based data platforms.
**Benefits**
* Full health, dental and vision coverage for you and your family.
* 401(k) plan with employer contributions.
* Flexible working hours.
* Up to 20 weeks of fully paid parental leave.
* Unlimited paid time off for vacation and sick leave.
* $2,000 annual vacation bonus.
* $5,250 annually for professional development.
* $1,250 first\-year home office stipend.
* $500/month bonus for in\-office work commitment.
* Free Gympass subscription.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9">
      <c r="A59" t="inlineStr">
        <is>
          <t>li-4373774613</t>
        </is>
      </c>
      <c r="B59" t="inlineStr">
        <is>
          <t>Flight Data Engineer</t>
        </is>
      </c>
      <c r="C59" t="inlineStr">
        <is>
          <t>Boeing</t>
        </is>
      </c>
      <c r="D59" t="inlineStr">
        <is>
          <t>linkedin</t>
        </is>
      </c>
      <c r="E59">
        <f>HYPERLINK("https://www.linkedin.com/jobs/view/4373774613", "https://www.linkedin.com/jobs/view/4373774613")</f>
        <v/>
      </c>
      <c r="F59" t="inlineStr"/>
      <c r="G59" t="inlineStr">
        <is>
          <t>Seattle, WA</t>
        </is>
      </c>
      <c r="H59" t="inlineStr"/>
      <c r="I59" t="inlineStr">
        <is>
          <t>**Job Description**
 At Boeing, we innovate and collaborate to make the world a better place. We’re committed to fostering an environment for every teammate that’s welcoming, respectful and inclusive, with great opportunity for professional growth. Find your future with us.
 We are Boeing Global Services (BGS) Engineering team creating and implementing innovative technologies that make the impossible possible and enabling the future of aerospace. We provide engineering design and support, including aftermarket modifications, and are innovating to make product and services safety even stronger. Join us and put your passion, determination, and skill to work building the future! \#TheFutureIsBuiltHere \#ChangeTheWorld
 Boeing Seattle is seeking a
 **Flight Data Engineer** 
 in
 **Seattle, Washington** 
 to automate flight data translations within the Boeing Global Services, reporting to the Manager of Prognostics Development working out of the Seattle, WA office.
 The Flight Data Translation Engineer will be responsible for the delivery of cutting\-edge flight data analytics products to commercial aviation customers. As part of an integrated product team, the successful candidate will be part of a technical team supporting product feature development and life support. In this role, the Flight Data Translation Engineer will work with a team of highly motivated aviation SMEs, software architects, developers, and data scientists. This role will work with portfolio leadership, development teams and stakeholders to establish and drive the implementation of flight data management for the success of each product and initiative.
**Position Responsibilities:**
* Leverage the power of data and engagement insights to drive advancements in flight safety, fleet reliability and sustainability, while executing on the Boeing Flight Data Analytics value and vision
* Collaborate closely with engineering, DevOps, product management, and airline customers in an agile environment
* Ensure high quality aviation domain data is available for advanced aviation data insights that benefit both our internal teams and customers
* Gain a deep understanding of our customers, their flight operations, and their analytics needs; you will play a pivotal role in finding innovative solutions to meet their evolving needs
* Configure, test and validate aircraft safety, maintenance, sustainability and reliability data models for use in product development, and create high quality documentation required to support these tasks
* Define and validate experiments using Machine Learning, as assigned by Lead Data Architect, or Product Management
* Ensure data integrity across the entire data pipeline by leveraging expert\-level knowledge of ARINC 717, 767 and other protocols, as applied to different aircraft types, including Boeing and Airbus
* Proactively identify and troubleshoot data integrity issues to ensure products are providing an exceptional customer experience
* Employ expertise in database and schema design, anticipating the data questions and data narratives that stakeholders may require
* Perform hands\-on technical work, including working with data, building utilities and tooling, and providing flight data and integrated dataset support to both the product team and customers
* Work closely with the lead data architect and product managers to strategically shape the future direction of our analytics product
* Undertake other tasks, projects, and initiatives as needed
**Basic Qualifications (Required Skills/Experience):**
* Bachelor of Science degree in Engineering (with a focus in Electrical, Mechanical or Aeronautical), Computer Science, Data Science, Mathematics, Physics, Chemistry or non\-US equivalent
* 1\+ years of progressive experience in software development and design
* Experienced working with aerospace systems ARINC standards (ARINC 717, 767\)
* 9\+ years of related work experience or an equivalent combination of technical education and experience
**Preferred Qualifications (Education/Experience):**
* Working experience with cloud solutions Experience with programming, eg java or python, SQL
* Experience in data science and/or data analytics Advanced experience in business intelligence tools, statistics and data modelling
* Experience working in a global technology organization and managing many stakeholders
* Experience with airline safety, airline maintenance engineering, avionics or aircraft flight data recording
* Experience with Airbus and Boeing aircraft operations
**Drug Free Workplace:**
 Boeing is a Drug Free Workplace where post offer applicants and employees are subject to testing for marijuana, cocaine, opioids, amphetamines, PCP, and alcohol when criteria is met as outlined in our policies.
**Total Rewards and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Expert $146,200 \- $197,800
 Applications for this position will be accepted until
 **Feb. 24, 2026**
**Export Control Requirements:**
 This is not an Export Control position.
**Education**
 Bachelor's Degree or Equivalent Required
**Relocation**
 This position offers relocation based on candidate eligibility.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60">
      <c r="A60" t="inlineStr">
        <is>
          <t>li-4374966310</t>
        </is>
      </c>
      <c r="B60" t="inlineStr">
        <is>
          <t>Senior Data Engineer - Microsoft Fabric Expert</t>
        </is>
      </c>
      <c r="C60" t="inlineStr">
        <is>
          <t>Tykhe Inc</t>
        </is>
      </c>
      <c r="D60" t="inlineStr">
        <is>
          <t>linkedin</t>
        </is>
      </c>
      <c r="E60">
        <f>HYPERLINK("https://www.linkedin.com/jobs/view/4374966310", "https://www.linkedin.com/jobs/view/4374966310")</f>
        <v/>
      </c>
      <c r="F60" t="inlineStr"/>
      <c r="G60" t="inlineStr">
        <is>
          <t>Lakewood, CO</t>
        </is>
      </c>
      <c r="H60" t="inlineStr"/>
      <c r="I60" t="inlineStr">
        <is>
          <t>We are seeking a
 **Senior Data Engineer for our client in Lakewood, CO who can play a critical role in their enterprise adoption of Microsoft Fabric.** 
 This is a high\-impact, highly visible position focused on designing and delivering modern, scalable data platforms that power analytics, reporting, and strategic decision\-making across the organization.
**What You’ll Do** 
* Design, build, and evolve end\-to\-end data pipelines using Microsoft Fabric, Azure Data Factory, and Spark
* Serve as a key driver of measurable business impact, ensuring data warehousing solutions directly support enterprise capabilities and outcomes
* Architect and maintain Lakehouse and Warehouse solutions leveraging Delta Lake for performance, reliability, and scalability
* Implement and continuously improve Medallion architecture (Bronze / Silver / Gold) within OneLake
* Develop resilient, scalable ETL/ELT frameworks supporting batch, dynamic, and incremental data ingestion
**Required Experience, Skills \&amp; Abilities** 
* Senior\-level experience in Data Engineering, Analytics Engineering, or a related discipline, with a track record of delivering enterprise\-scale solutions
* Deep, hands\-on experience with Azure data services or comparable cloud ecosystems, including:
* Microsoft Fabric (Lakehouse, Warehouse, OneLake)
* Azure Data Factory
* Azure Synapse Analytics
* Power BI, Tableau, MicroStrategy, or similar.
* AWS or Snowflake\-based data platforms
* Strong experience with Spark (PySpark and/or Spark SQL)
* Advanced SQL expertise (T\-SQL and/or ANSI SQL)
* Proven ability to design and operate large\-scale, production\-grade, high\-performance data pipelines
* Hands\-on experience with Delta Lake and modern data lake architectures
* Strong problem\-solving skills and the ability to clearly communicate complex technical concepts to both technical and non\-technical stakeholders</t>
        </is>
      </c>
    </row>
    <row r="61">
      <c r="A61" t="inlineStr">
        <is>
          <t>li-4374954854</t>
        </is>
      </c>
      <c r="B61" t="inlineStr">
        <is>
          <t>Data Engineer</t>
        </is>
      </c>
      <c r="C61" t="inlineStr">
        <is>
          <t>Jobs via Dice</t>
        </is>
      </c>
      <c r="D61" t="inlineStr">
        <is>
          <t>linkedin</t>
        </is>
      </c>
      <c r="E61">
        <f>HYPERLINK("https://www.linkedin.com/jobs/view/4374954854", "https://www.linkedin.com/jobs/view/4374954854")</f>
        <v/>
      </c>
      <c r="F61" t="inlineStr"/>
      <c r="G61" t="inlineStr">
        <is>
          <t>Atlanta, GA</t>
        </is>
      </c>
      <c r="H61" t="inlineStr"/>
      <c r="I61" t="inlineStr">
        <is>
          <t>**THE POSITION** 
 Our roster has an opening with your name on it
 FanDuel is looking for a Data Support Engineer to advance our data capabilities and ensure the reliability and performance of our critical data pipelines and infrastructure. FanDuel's competitive edge is enabled by our ability to leverage accurate and timely data for informed decision\-making.
 As a Data Support Engineer, you will be a valued member of the Data Support team, maintaining exceptional standards and servicing the needs of data consumers across the company. You will ensure the health of our data infrastructure, contribute to the delivery of reliable, timely, and consumable data, and combine technical troubleshooting with proactive monitoring. You'll have the opportunity to work in an agile environment where you will team up with colleagues having experience in data engineering, machine learning and more.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Provide on\-call technical assistance to analysts, data consumers, and data engineering teams, responding to inquiries relating to query optimization, reporting anomalies, complex data pipeline issues, failed jobs, and data inconsistencies.
* Investigate and resolve data quality issues in response to system alerts or notifications from stakeholders, ensuring compliance with internal/external audits and control practices.
* Design and implement batch and real\-time data pipelines to the data warehouse or data lake using data transformation technologies, enhancing monitoring dashboards and support tools.
* Lead impactful initiatives to enhance data pipelines and other data operations capabilities while mentoring and onboarding new support data engineers. Identify operational inefficiencies and implement automation solutions to reduce manual intervention.
* Create and maintain technical support documentation, including FAQs, troubleshooting steps, support runbooks, and a knowledge base of solutions to recurring issues.
* Drive operational best practices and shape workflows for routine consumer support, operations monitoring, incident management, and problem management.
* Administer account access to tools across the technology stack in accordance with our governance policies.
 Able to join team's On\-call Pager duty rotation to ensure 24/7 coverage and timely response to critical data issues.
**THE STATS**
 What we're looking for in our next teammate
* Minimum of 3\+ years of experience in data engineering with focus on operational support
* Advanced SQL skills with proven query optimization experience
* Strong problem\-solving skills with ability to take ownership and accountability for issues through resolution
* Python programming proficiency for automation and data processing
* Experience with cloud data platforms (AWS, Databricks, Spark)
* Understanding of data warehousing and ETL/ELT processing
* Experience with dimensional data modeling, batch data ingestion, and real\-time technologies like Kafka or Kinesis
* Working knowledge of orchestration and monitoring tools (Airflow, Datadog, Databand, DataFold, Monte Carlo, Prometheus, Grafana)
* Strong incident management and root cause analysis capabilities
* Customer\-oriented mindset with focus on delivering high\-quality support services and attention to detail
* Exceptional communication and interpersonal skills
* Proven ability to work effectively within teams and across organizational boundaries
* Experience owning and coordinating issues across multiple time zones
* Experience identifying operational inefficiencies and implementing automation solutions using AI techniques
 Preferred Qualifications:
* Experience with data streaming patterns and tools like Dbt
* Familiarity with CI/CD practices for data pipelines (BuildKite or Github Actions)
* Familiarity with data visualization tools such as Tableau or Looker
* Exposure to database design, performance analysis, and data quality metrics
* Exposure to Data Science, Machine Learning, and AI applications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**It is unlawful in Massachusetts to require or administer a lie detector test as a condition of employment or continued employment. An employer who violates this law shall be subject to criminal penalties and civil liability.**</t>
        </is>
      </c>
    </row>
    <row r="62">
      <c r="A62" t="inlineStr">
        <is>
          <t>li-4374953846</t>
        </is>
      </c>
      <c r="B62" t="inlineStr">
        <is>
          <t>Data Engineer</t>
        </is>
      </c>
      <c r="C62" t="inlineStr">
        <is>
          <t>Jobs via Dice</t>
        </is>
      </c>
      <c r="D62" t="inlineStr">
        <is>
          <t>linkedin</t>
        </is>
      </c>
      <c r="E62">
        <f>HYPERLINK("https://www.linkedin.com/jobs/view/4374953846", "https://www.linkedin.com/jobs/view/4374953846")</f>
        <v/>
      </c>
      <c r="F62">
        <f>HYPERLINK("https://click.appcast.io/t/4PgwDEDYMTPy62oTcjE4K4Bq6LGb5Dsk5WbDCuu7Snc=&amp;urlHash=j62u", "https://click.appcast.io/t/4PgwDEDYMTPy62oTcjE4K4Bq6LGb5Dsk5WbDCuu7Snc=&amp;urlHash=j62u")</f>
        <v/>
      </c>
      <c r="G62" t="inlineStr">
        <is>
          <t>Sterling, VA</t>
        </is>
      </c>
      <c r="H62" t="inlineStr"/>
      <c r="I62" t="inlineStr">
        <is>
          <t>At Leidos,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The National Security Sector at Leidos currently has an opening for a Data Engineer with a strong background in data analytics to support an exciting DHS software development program. In this role, you will work alongside various business process stakeholders and application developers to provide data necessary for decision support tools across an array of operational functions. The ideal candidate will have solid core skills and proven history in implementing appropriate modeling and data science strategies required to address customer needs. This role requires a strong foundation in Data Science concepts, Python programming experience, and the ability to work in fast\-paced collaborative development teams.
**Primary Responsibilities**
* Conducting data analytics, data engineering, data mining, exploratory analysis, predictive analysis, and statistical analysis to transform data into narrative products for informed decision making.
* Designing and building data management systems, collaborating with data users to optimize architectures and systems.
* Selecting and configuring backend database technologies and optimizing scalable, efficient data pipelines to ingest, process, and transform structured and unstructured data infrastructure for intelligence needs.
* Implementing automated processes for integrating various datasets, conducting scalable data research, and developing scripts to handle data efficiently.
* Collaborating with collection managers and computer scientists to design new data processes and generate algorithms for automated collection strategies
* Participating in briefings, meetings, conferences, and working groups to provide advice and resolve issues as requested by the Government.
* Support multiple simultaneous projects and take open\-ended or high\-level guidance, independently and collaboratively make discoveries that are mission\-relevant, and package and deliver the findings to a non\-technical audience.
**Basic Qualifications**
* Bachelors degree and 6\-8 years of relevant experience in Statistics, Mathematics, Data Analytics, or a related analytical field
* Ability to get/maintain Public Trust clearance
* Strong understanding of data modeling, data warehousing, and database design principles
* Skilled in relational databases, SQL, and API\-based data querying
* Experience developing predictive algorithms, image classifiers, object detectors, and others
* Proficiency in data visualization and graphical applications (PowerBI, etc)
* Experience with major data science languages such as R and Python
* Ability to manage and merge disparate data sources using R, Python, or SQL
**Preferred Qualifications**
* Exceptional coordination and collaboration skills
* Track record of active learning and creative problem solving
* Familiarity using GIT, SVN, Jira, or other version control technologies
* Experience with Azure cloud data analytics tools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October 20,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63">
      <c r="A63" t="inlineStr">
        <is>
          <t>li-4374961326</t>
        </is>
      </c>
      <c r="B63" t="inlineStr">
        <is>
          <t>Analytics Engineer</t>
        </is>
      </c>
      <c r="C63" t="inlineStr">
        <is>
          <t>Jobs via Dice</t>
        </is>
      </c>
      <c r="D63" t="inlineStr">
        <is>
          <t>linkedin</t>
        </is>
      </c>
      <c r="E63">
        <f>HYPERLINK("https://www.linkedin.com/jobs/view/4374961326", "https://www.linkedin.com/jobs/view/4374961326")</f>
        <v/>
      </c>
      <c r="F63">
        <f>HYPERLINK("https://click.appcast.io/t/xWz_zDPjPO7jDUj0vm1SgnuESTZjDGpS9EsGN22ZyMc=&amp;urlHash=tIQY", "https://click.appcast.io/t/xWz_zDPjPO7jDUj0vm1SgnuESTZjDGpS9EsGN22ZyMc=&amp;urlHash=tIQY")</f>
        <v/>
      </c>
      <c r="G63" t="inlineStr">
        <is>
          <t>New York, NY</t>
        </is>
      </c>
      <c r="H63" t="inlineStr"/>
      <c r="I63" t="inlineStr">
        <is>
          <t>**THE POSITION** 
 Our roster has an opening with your name on it
 FanDuel is looking for an Analytics Engineer who will be responsible for designing, building, maintaining, and improving the data models, datasets and data visualizations which are and will be used by data scientists, analysts and stakeholders to power business performance impacting decisions. In this role you will primarily focus on supporting Personalization for Sportsbook Product so will need to build a deep understanding of our customers. You will bridge the gap from our data and the Data Engineering team, to the data scientists, analysts and business stakeholders aiming to leverage that data for insights and business decisions.
 This is a great opportunity for somebody who wants to work in an environment where curiosity is rewarded, and people are empowered to make decisions. The ideal candidate will have a passion for continual learning and developing innovative solutions to business problems.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Work with Data Scientists and Data Engineers to optimize data pipelines and feature engineering for reporting, analysis, classification and prediction models
* Manage data transformation jobs for relevant data, ensure completion on schedule, optimize code, troubleshoot any issues
* Optimize modeled metric pipelines, streamline execution times and prioritizations, reduce query execution times where possible, remove unnecessary or unused metrics
* Build a strong understanding of Sportsbook Product, our customers behaviors and preferences, and your stakeholders objectives, to support collaboration, a focus on delivering impactful output and ideation
* Through idea generation and exploratory analysis, develop new and innovative ways to turn behaviors into features for use in analysis, segmentation and predictive modeling
* Maintain business rule definitions, and code implementations
* Design and implement data quality checks and alerts to manage accuracy of underlying data, and ensure modeled metrics are fit for purpose
* Build strong knowledge in how to optimally use our data platforms, and assist in educating team members in optimal platform usage;
* Build and maintain strong working relationships with key stakeholders in relevant teams within the Data Engineering and Data Product departments;
* Build and maintain dashboards, optimize code, troubleshoot issues
* Identifying potential improvements in underlying ingested data, or new data needs, and working with Data Engineering to prioritize and deliver
**THE STATS**
 What we're looking for in our next teammate
* Minimum 3 years of experience in a similar role
* Minimum 2 years building, maintaining and optimizing complex data pipelines with real world applications
* Advanced SQL coding and experience of manipulating large datasets
* Proficient in at least one programming language (e.g. Python, R, C\# etc.)
* Strong problem solving ability and attention to detail are important
* Experience building data pipelines using Python and Databricks an advantage
* Experience working with data visualization tools like Tableau an advantage
* Undergraduate degree in a coding heavy or technical discipline
* Interest in Sports an advantage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**It is unlawful in Massachusetts to require or administer a lie detector test as a condition of employment or continued employment. An employer who violates this law shall be subject to criminal penalties and civil liability.**</t>
        </is>
      </c>
    </row>
    <row r="64">
      <c r="A64" t="inlineStr">
        <is>
          <t>li-4374961331</t>
        </is>
      </c>
      <c r="B64" t="inlineStr">
        <is>
          <t>Senior Manager Data Engineering / Data Science</t>
        </is>
      </c>
      <c r="C64" t="inlineStr">
        <is>
          <t>Jobs via Dice</t>
        </is>
      </c>
      <c r="D64" t="inlineStr">
        <is>
          <t>linkedin</t>
        </is>
      </c>
      <c r="E64">
        <f>HYPERLINK("https://www.linkedin.com/jobs/view/4374961331", "https://www.linkedin.com/jobs/view/4374961331")</f>
        <v/>
      </c>
      <c r="F64">
        <f>HYPERLINK("https://click.appcast.io/t/94xBPtYr5AUiQkYvv-dRYX-3fnp1vB_0XRZEfOzBJMg=&amp;urlHash=j3VJ", "https://click.appcast.io/t/94xBPtYr5AUiQkYvv-dRYX-3fnp1vB_0XRZEfOzBJMg=&amp;urlHash=j3VJ")</f>
        <v/>
      </c>
      <c r="G64" t="inlineStr">
        <is>
          <t>Raleigh, NC</t>
        </is>
      </c>
      <c r="H64" t="inlineStr"/>
      <c r="I64" t="inlineStr">
        <is>
          <t>**Work Schedule**
 Standard (Mon\-Fri)
**Environmental Conditions**
 Office
**Job Description**
 When you join us at Thermo Fisher Scientific, you'll be part of an inquisitive team that shares your passion for exploration and discovery. With revenues exceeding $40 billion and the industry's largest investment in R\&amp;D, we provide our people the resources and chances to create significant contributions to the world.
 If you are passionate about the intersection of finance, data solutions, data science, analytics, and data visualization, this is the role for you. These areas come together to tell a story and drive decision\-making within a world\-leading life science company.
 As a member of the Finance Digital Transformation group, the Data \&amp; Analytics Engineer will collaborate across various divisions and functions. They will build, develop, and maintain analytics and data solutions for customers with diverse technical backgrounds. Their work aims to generate data insights that improve efficiency, productivity, and revenue.
**Key Responsibilities:**
- Lead the architecture and implementation of data pipelines and Microsoft Fabric\-based data models to enable unified financial reporting and analytics.
- Build, review, and optimize ETL processes developed in Python, ensuring efficient data ingestion, transformation, and quality across diverse data sources (ERP, financial systems, operational platforms).
- Partner with Finance leadership to define business requirements, translate them into robust technical builds, and deliver actionable insights for decision\-making.
- Establish and enforce data engineering standards, including coding procedures, documentation, version control, and automated testing for ETL pipelines.
- Develop, test, and deploy scalable data models using Lakehouse architectures and Fabric Data Warehouses to support forecasting, planning, and profitability analysis.
- Provide technical leadership and mentorship to data engineers and analysts, encouraging skill growth in Fabric, Power BI, and modern Python data frameworks (Pandas, PySpark, SQLAlchemy).
- Collaborate multi\-functionally with Finance, IT, and Data Governance teams to ensure alignment with enterprise data architecture and security policies.
- Keep up\-to\-date with developments in Microsoft Fabric, Power BI, Python, and data orchestration tools, and suggest their strategic implementation.
- Requirements/Qualifications:
- Bachelor's degree or equivalent experience in a quantitative field, such as Statistics, Computer Science, Mathematics, Data Science or a related field; master's or equivalent experience preferred
- 4\+ years' experience in a data engineer or data science role with progressive responsibilities and scope
- Experience building models and analyzing large, complex data sets yielding opportunities for revenue and/or process improvement within an organization
- Technical proficiency in Python and SQL
- Proficiency in data engineering and reporting platforms such as Databricks, Power Bi, Tableau, SAS Analytics
- Knowledge of Agile/Scrum methodology is a plus
- Hands\-on experience with distributed computational framework, such as Spark
 Minimal travel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2026-02-22T04:36:48Z</dcterms:created>
  <dcterms:modified xsi:type="dcterms:W3CDTF">2026-02-22T04:36:48Z</dcterms:modified>
</cp:coreProperties>
</file>