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in-e72fffbf4da3a393</t>
        </is>
      </c>
      <c r="B2" t="inlineStr">
        <is>
          <t>Full-Stack Software Engineer - Cloud Capacity Management</t>
        </is>
      </c>
      <c r="C2" t="inlineStr">
        <is>
          <t>Apple</t>
        </is>
      </c>
      <c r="D2" t="inlineStr">
        <is>
          <t>indeed</t>
        </is>
      </c>
      <c r="E2" t="inlineStr"/>
      <c r="F2" t="inlineStr"/>
      <c r="G2" t="inlineStr">
        <is>
          <t>Seattle, WA, US</t>
        </is>
      </c>
      <c r="H2" s="1" t="n">
        <v>46073</v>
      </c>
      <c r="I2" t="inlineStr">
        <is>
          <t>Are you ready to make a significant impact in Apple Services’ infrastructure space?  
As a Full\-Stack Software Engineer focusing on capacity and quota management UI, you will play a crucial role in building world\-class user experiences for Apple's cloud resource management systems. The work you do will directly impact how thousands of engineers across Apple interact with cloud resources, enabling teams to quickly access capacity when launching new products and features while ensuring efficient resource allocation. You'll be working cross\-functionally with finance, product, platform teams, and HI designers to create intuitive interfaces that make complex capacity management simple and accessible. This role offers the unique opportunity to combine frontend excellence with backend systems knowledge, building the bridge between sophisticated infrastructure and delightful user experience.  
**Description**  
The Apple Services Engineering organization is seeking an expert, self\-motivated full\-stack engineer with a passion for building exceptional user interfaces and a solid understanding of backend systems for cloud resource management.  
As a Full\-Stack Software Engineer on the Capacity Management team, you will be a key contributor to the design, development, and maintenance of our capacity and quota management user interfaces. You will work closely with HI designers, product managers, finance partners, and platform engineering teams to drive projects. You will be responsible for delivering high\-quality, scalable, and maintainable code that transforms complex capacity management workflows into intuitive user experiences.","responsibilities":"Design, develop, and maintain features for our capacity management portal using React and TypeScript  
Collaborate with HI designers to translate designs into functional and visually appealing user interfaces for quota management, resource allocation, and capacity planning workflows  
Build and integrate with backend APIs for quota enforcement mechanisms and resource management systems  
Work closely with product managers and stakeholders to understand requirements, prioritize tasks, and develop timelines and roadmaps  
Take ownership from conception to deployment  
Conduct code reviews, identify areas for improvement, and implement best practices to ensure code quality and maintainability  
Write unit and integration tests to ensure code quality across the full stack  
Participate in troubleshooting and resolving issues in production environments  
Contribute to the development of internal frontend tooling and infrastructure  
Explore and prototype new technologies, including GenAI, to improve capacity management workflows and products  
The successful candidate should have a strong aptitude for learning new technologies and the ability to drive sophisticated and challenging projects.  
**Preferred Qualifications**  
Experience with capacity management, infrastructure, or cloud resource management systems  
Proficiency in database design and management (SQL and NoSQL)  
Familiarity with cloud computing platforms (e.g., AWS, Azure, Google Cloud)  
Experience with containerization and orchestration technologies (e.g., Docker, Kubernetes)  
Knowledge of networking and distributed systems concepts  
Experience with GenAI technologies and their integration into web applications is a strong plus  
Experience building data visualization and analytics dashboards  
Strong attention to detail and a commitment to delivering high\-quality, polished user experiences  
**Minimum Qualifications**  
Bachelor's or Master's degree in CS, EE or related field \- or equivalent experience  
3\+ years of professional software development experience  
Strong proficiency in React and TypeScript  
Experience building complex web applications with a focus on user experience  
Experience implementing APIs in user interfaces  
Solid understanding of backend development concepts and experience with languages such as Golang, Java, or Node.js  
Excellent communication, collaboration, and problem\-solving skills  
Ability to work independently and as part of a team  
Experience with version control systems (e.g., Git)  
Proven experience with full\-stack development, comfortable working across frontend and backend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
      <c r="A3" t="inlineStr">
        <is>
          <t>in-93b1d3825d87d53a</t>
        </is>
      </c>
      <c r="B3" t="inlineStr">
        <is>
          <t>Senior Software Engineer, Enterprise Technology Services</t>
        </is>
      </c>
      <c r="C3" t="inlineStr">
        <is>
          <t>Apple</t>
        </is>
      </c>
      <c r="D3" t="inlineStr">
        <is>
          <t>indeed</t>
        </is>
      </c>
      <c r="E3" t="inlineStr"/>
      <c r="F3" t="inlineStr"/>
      <c r="G3" t="inlineStr">
        <is>
          <t>Austin, TX, US</t>
        </is>
      </c>
      <c r="H3" s="1" t="n">
        <v>46073</v>
      </c>
      <c r="I3"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 strong Senior Automation technical lead with experience in tech transformation, operating model set up and experience in designing, developing, and overseeing the implementation of intelligent automation solutions that streamline business processes using Robotic Process Automation (RPA), artificial intelligence (AI).","responsibilities":"Build Solutions for a large scale global automation program across multiple stakeholders / business functions.  
Strategic Roadmap Development: Define and execute the long\-term global automation vision, aligning it with enterprise\-wide business objectives.  
Technology \&amp; Innovation: Evaluate emerging technologies, such as AI/ML, IIoT, and cloud computing, to drive continuous improvement in efficiency and reliability.  
Matrix Team Leadership: Manage cross\-functional global teams (engineering, IT, operations) and steer vendor performance to ensure projects are delivered on time, on budget, and safely.  
Stakeholder Engagement: Act as a technical thought leader, influencing C\-suite decision\-making through data\-driven insights and executive storytelling.  
The ideal candidate has a strong mix of education and practical experience, and loves diving in to interesting problems head first.  
In this position you will be expected to:  
Participate in every stage of feature development from design and brainstorming through feature implementation, including fixing that last critical bug under a tight release deadline.  
Work as part of a dynamic team collaborating closely with other engineers, engineering teams and product owners.  
Create technical specifications and design artifacts.  
Implement major features from scratch.  
Create unit tests for features.  
Perform code reviews.  
Contribute to design \&amp; overall product architecture.  
**Preferred Qualifications**  
Passion for the customer, user experience and actioning user feedback.  
Experience in RPA and AgenticAI.  
Passion to use GenAI to build innovative solutions.  
Excellent prioritization and scheduling skills.  
Ability to deal with ambiguity.  
Attention to detail and the ability to master new applications and technologies quickly.  
Ability to thrive in a collaborative working environment within your team and cross\-group.  
Strong analysis, problem solving, and troubleshooting skills.  
Focus on delivering with high quality code with unit and integration tests.  
Good understanding of relational and no\-SQL database technology.  
Hands\-on exposure to Agile methodologies.  
Passion for data quality, code elegance, clear documentation, cost saving and operational excellence and effective communication with cross\-functional teams.  
BS / MS in Computer Science, Software Engineering or equivalent.  
**Minimum Qualifications**  
6\+ years experience in application development with proven track record of developing highly reliable and scalable systems.  
Experience in building solutions using GenAI.  
Experience with designing and implementing highly available, distributed systems and web services.  
Good understanding of object oriented techniques, algorithms, Java design patterns and reusable component design.  
Proven record of completing projects on\-time and to specification.  
Strong analysis, problem solving, and troubleshooting skills  
Good verbal and written communications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in-288770261e7221a2</t>
        </is>
      </c>
      <c r="B4" t="inlineStr">
        <is>
          <t>Senior Software Engineer - Distributed Systems</t>
        </is>
      </c>
      <c r="C4" t="inlineStr">
        <is>
          <t>Apple</t>
        </is>
      </c>
      <c r="D4" t="inlineStr">
        <is>
          <t>indeed</t>
        </is>
      </c>
      <c r="E4" t="inlineStr"/>
      <c r="F4" t="inlineStr"/>
      <c r="G4" t="inlineStr">
        <is>
          <t>San Diego, CA, US</t>
        </is>
      </c>
      <c r="H4" s="1" t="n">
        <v>46073</v>
      </c>
      <c r="I4" t="inlineStr">
        <is>
          <t>Are you ready to embrace massive scale? Undaunted ingesting petabytes of raw data each day from more than a billion customer devices?  
Apple's Data Analytics team is looking for a motivated and driven distributed systems engineer to work on our device telemetry platform. We need a talented software developer to join our tight\-knit cross\-functional engineering team, building services and applications to parse, persist, and understand how Apple customers use their devices.  
**Description**  
We collect, analyze, and produce insights from diagnostic and usage data from Apple devices. Our data is used to improve products and services and inform the overall direction of Apple platforms.  
Our engineering responsibility spans device, data collection, compute, and query and visualization interfaces. As part of the Data Analytics team, you will similarly work cross\-functionally to design, build, and iterate on our stream processing and ingestion pipeline.  
Collaborating with data scientists and engineers across Apple, you will capture and refine requirements, validate design decisions, and implement. This role has high visibility and impact within the Apple Software Engineering organization.  
**Preferred Qualifications**  
Comfortable and adaptable in a dynamic/informal environment with shifting priorities  
Excellent verbal and written communication skills  
Self\-motivated and dedicated with creative and critical thinking capabilities  
Big data query engine production experience (Presto/Trino/Athena, etc.)  
**Minimum Qualifications**  
BS degree in Computer Science, equivalent field or equivalent work experience  
5\+ years SW development experience  
Have worked on large distributed systems, ideally on a public cloud platform like AWS  
Extensive experience with container\-based orchestration (Kubernetes, EC2, Mesos, etc.)  
Practical knowledge of queue/stream consumers like Flink or Kinesis  
Exposure to profiling and optimization of scale compute and data pipelines  
Unwavering commitment to CI/CD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
      <c r="A5" t="inlineStr">
        <is>
          <t>in-0c66e1cdee584161</t>
        </is>
      </c>
      <c r="B5" t="inlineStr">
        <is>
          <t>Senior Full Stack Engineer (Execution-Focused)</t>
        </is>
      </c>
      <c r="C5" t="inlineStr">
        <is>
          <t>First Vulcan, Inc</t>
        </is>
      </c>
      <c r="D5" t="inlineStr">
        <is>
          <t>indeed</t>
        </is>
      </c>
      <c r="E5" t="inlineStr"/>
      <c r="F5" t="inlineStr"/>
      <c r="G5" t="inlineStr">
        <is>
          <t>Remote, US</t>
        </is>
      </c>
      <c r="H5" s="1" t="n">
        <v>46074</v>
      </c>
      <c r="I5" t="inlineStr">
        <is>
          <t>Contract \| Remote (U.S. Preferred)
All applicants will need to verify their identity.
We are looking for a senior full stack engineer to help improve and ship features within an
existing production codebase.
This role is focused on stability, refinement, and disciplined execution — not greenfield
architecture or system redesign.
Current stack:
 Next.js (App Router)
 React
 Node.js / TypeScript
 PostgreSQL (Supabase)
 Vercel deployment
Responsibilities:
 Strengthen existing backend logic and permissions
 Improve performance and reliability
 Implement features from defined specifications
 Refactor and clean code incrementally
 Identify practical improvements without over\-engineering
Requirements:
 6–10\+ years production experience
 Demonstrated experience maintaining and improving existing systems
 Strong understanding of authentication, authorization, and data integrity
 Comfortable working within an established architecture
 Self\-directed and execution\-oriented
Not a fit if you are:
 Seeking a co\-founder or CTO role
 Looking to redesign the entire system from scratch
 Early in your career and seeking mentorship
 Identity and references are required and verified
We value pragmatism, accountability, and steady progress.
Please send:
 Resume
 GitHub (if available)
 Brief description of 2 recent production
Job Type: Contract
Pay: $20\.00 \- $50\.00 per hour
Work Location: Remote</t>
        </is>
      </c>
    </row>
    <row r="6">
      <c r="A6" t="inlineStr">
        <is>
          <t>in-3b9558c8afab74c9</t>
        </is>
      </c>
      <c r="B6" t="inlineStr">
        <is>
          <t>Senior Backend Engineer</t>
        </is>
      </c>
      <c r="C6" t="inlineStr">
        <is>
          <t>Topdeck</t>
        </is>
      </c>
      <c r="D6" t="inlineStr">
        <is>
          <t>indeed</t>
        </is>
      </c>
      <c r="E6" t="inlineStr"/>
      <c r="F6" t="inlineStr"/>
      <c r="G6" t="inlineStr">
        <is>
          <t>Remote, US</t>
        </is>
      </c>
      <c r="H6" s="1" t="n">
        <v>46074</v>
      </c>
      <c r="I6" t="inlineStr">
        <is>
          <t>We are seeking a Senior Backend Engineer to own and advance the backend services that power our core web application. This is a hands\-on role with end\-to\-end responsibility: building and maintaining Django/DRF APIs, operating async and realtime systems, and owning the production deployment workflow across our server environments.
You will be responsible for maintaining and improving our primary backend codebases, along with related subsidiary services, with a focus on reliability, performance, and maintainability.
**CORE TECH STACK COMPETENCIES:**
* **Django REST Framework** (strong production experience)
* **AWS** (RDS, EC2, S3, Route53, Elastic Load Balancing)
* **PostgreSQL** (running in production, RDS, ORM performance)
* **Redis/Celery** (caching, background tasks, worker ops)
* **Error Monitoring** (Sentry, Papertrail, etc..)
* **Containerized Development** (Docker, Docker Compose)
* **Ansible** (server setup, server deployment, secret management, etc...)
* **Git/GitHub** (workflows, PR reviews, collaborative development)
* **Code Quality/Testing** (pytest, coverage, linting, OpenCI)
* **Geospatial/spatial DB workflows** (PostGIS, python geospatial libs)
* **Timeseries Databases** (TimescaleDB, Prometheus, InfluxDB)
* **Nginx/uWSGI** (for django/DRF hosting)
* **Observability/Monitoring** (Cloudwatch, Grafana, node exporter)
* **Email and Storage Integrations** (SES via django\-anymail, boto3\)
* **Auth/security in APIs** (Oauth toolkit, authlib/oauthlib, CORS, SSO)
* **Media/CV Processing Pipelines** (OpenCV, Pillow, pdf2image, ffmpeg)
* **Third\-party service integrations** (Twilio, ONVIF, Backblaze B2, etc.…)
* **SAML/SSO/MFA** (experience in setting up these login flows)
**QUALIFICATIONS:**
* 5\+ years building and operating production backend systems (senior\-level ownership strongly preferred)
* Deep experience with Python \+ Django/DRF in production APIs
* Strong DB experience (Postgres; plus confidence around Timescale/PostGIS patterns is a major plus)
* Comfortable owning async/realtime systems: Channels/Daphne \+ Celery/Redis (queues, retries, concurrency)
* Comfortable operating releases and deployments (Ansible, systemd services, migrations, collectstatic, fixtures)
* Strong communication \+ documentation habits; able to write/maintain deployment/runbook\-level docs and keep infra repo workflows healthy
Job Types: Full\-time, Contract
Pay: $70\.00 \- $100\.00 per hour
Work Location: Remote</t>
        </is>
      </c>
    </row>
    <row r="7">
      <c r="A7" t="inlineStr">
        <is>
          <t>in-156c23c7526ff1a6</t>
        </is>
      </c>
      <c r="B7" t="inlineStr">
        <is>
          <t>Full Stack Programmer/Software Developer</t>
        </is>
      </c>
      <c r="C7" t="inlineStr">
        <is>
          <t>YALE CLEANERS</t>
        </is>
      </c>
      <c r="D7" t="inlineStr">
        <is>
          <t>indeed</t>
        </is>
      </c>
      <c r="E7" t="inlineStr"/>
      <c r="F7" t="inlineStr"/>
      <c r="G7" t="inlineStr">
        <is>
          <t>Tulsa, OK, US</t>
        </is>
      </c>
      <c r="H7" s="1" t="n">
        <v>46074</v>
      </c>
      <c r="I7" t="inlineStr">
        <is>
          <t>**About Us:** Yale Cleaners is a 4 generation family business that provides same day dry cleaning and laundry service in the Tulsa area. Our company is a leader in both our industry and community with a very innovative and collaborative culture.
**Job Summary:** We are seeking a Full Stack Programmer/Software Developer. This position will develop and maintain our internal POS software, our website and our database. The ideal candidate will be a self\-starter who is able to manage their time and prioritize projects by order of importance.
**Responsibilities:**
* Development and augmentation of current POS software as well as new programs and systems.
* Running code to measure the efficiency of the programs.
* Testing current programs and rewriting code to ensure they are free of errors.
* Online platform design and maintenance.
* Database upkeep and evolution.
* Multiple server support.
* Other duties and projects as assigned.
**Qualifications:**
* High School Diploma or Equivalent.
* Some college or technical school courses in one or more of our software languages.
* 3 years’ experience in JavaScript, Node.js. and database evolution/upkeep using MSSQL.
* Prefer knowledge of Build systems such as Grunt, Package management via NPM/Yarn and Source control using GIT.
* Knowledge of CLI tools such as build tools, package management and source control.
* Excellent problem solving skills and self\-direction.
* Excellent written and verbal communication skills.This is a Full Time position located at our corporate office. We offer a flexible schedule and hours may vary depending on projects and deadlines. The range of pay for this position is $65,000\.00 \- $85,000\.00 per year depending on knowledge and experience.
**What we Offer:**
* Competitive Pay
* 401K and 401K Matching
* Health, Dental, Vision and Life Insurance
* Great workplace culture
* PTO, Sick and Holiday Pay
* Tuition Reimbursement
* Professional Development Assistance
Job Type: Full\-time
Pay: $75,000\.00 \- $125,000\.00 per year
Benefits:
* 401(k)
* 401(k) matching
* Dental insurance
* Flexible schedule
* Health insurance
* Life insurance
* Paid time off
* Professional development assistance
* Referral program
* Tuition reimbursement
* Vision insurance
Schedule:
* 8 hour shift
* Monday to Friday
Experience:
* JavaScript: 3 years (Required)
Work Location: In person</t>
        </is>
      </c>
    </row>
    <row r="8">
      <c r="A8" t="inlineStr">
        <is>
          <t>in-8c1253a26224a1b0</t>
        </is>
      </c>
      <c r="B8" t="inlineStr">
        <is>
          <t>Senior Software Engineer</t>
        </is>
      </c>
      <c r="C8" t="inlineStr"/>
      <c r="D8" t="inlineStr">
        <is>
          <t>indeed</t>
        </is>
      </c>
      <c r="E8" t="inlineStr"/>
      <c r="F8" t="inlineStr"/>
      <c r="G8" t="inlineStr">
        <is>
          <t>Germantown, MD, US</t>
        </is>
      </c>
      <c r="H8" s="1" t="n">
        <v>46074</v>
      </c>
      <c r="I8" t="inlineStr">
        <is>
          <t>**\&lt;Overview\&gt;**  
We are seeking a dynamic and highly skilled Senior Software Engineer to join our innovative development team. In this role, you will lead complex software projects, architect scalable solutions, and drive the implementation of cutting\-edge technologies. Your expertise will be pivotal in designing robust systems that enhance our digital infrastructure and deliver exceptional user experiences. This position offers an exciting opportunity to influence product development, optimize existing platforms, and collaborate across multidisciplinary teams to push the boundaries of software engineering excellence.
**\&lt;Responsibilities\&gt;**
* Lead the design, development, and deployment of high\-performance applications using languages such as Java, C\+\+, C\#, Python, and JavaScript.
* Develop and maintain RESTful APIs and web services to ensure seamless integration across platforms.
* Architect scalable solutions leveraging cloud services like AWS and Azure, ensuring security and compliance standards are met.
* Collaborate within Agile teams to plan sprints, prioritize tasks, and deliver iterative improvements efficiently.
* Manage version control and code repositories using GitHub, SVN, and other tools to ensure code integrity and traceability.
* Optimize database interactions with MySQL, SQL Server, and other relational databases for fast data retrieval and storage.
* Implement security best practices including RBAC (Role\-Based Access Control) to safeguard sensitive information across applications.
* Contribute to front\-end development with frameworks such as React Express, enhancing user interfaces for web applications.
* Engage in continuous learning of emerging technologies like quantum engineering concepts to innovate future solutions.
**\&lt;Skills\&gt;**
* Extensive experience with IT infrastructure management in cloud environments such as AWS and Azure.
* Proficiency in Ruby on Rails for rapid web application development.
* Strong understanding of RESTful API design principles and implementation strategies.
* Expertise in front\-end development using JavaScript frameworks like React for engaging user experiences.
* Solid background in software development lifecycle methodologies including Agile practices.
* Familiarity with version control systems such as Git, GitHub, and SVN for collaborative coding efforts.
* Hands\-on experience with MySQL, SQL Server, or similar relational databases for data management tasks.
* Knowledge of application development across multiple programming languages including Java, C\+\+, C\#, Python, VBA, and C.
* Experience working with Linux operating systems for server management and deployment automation.
* Understanding of web security protocols including RBAC (Role\-Based Access Control) to enforce access policies effectively.
* Ability to develop RESTful APIs that facilitate communication between distributed systems.
* Knowledge of front\-end technologies such as React.js combined with back\-end frameworks like Express.js for full\-stack development. Join us to be part of a forward\-thinking team where your expertise drives impactful solutions! We foster an energetic environment that values innovation, collaboration, and continuous growth—empowering you to shape the future of technology through your skills as a Senior Software Engineer.
Job Type: Full\-time
Pay: $122,701\.95 \- $147,770\.09 per year
Benefits:
* Health insurance
Work Location: Hybrid remote in Germantown, MD 20874</t>
        </is>
      </c>
    </row>
    <row r="9">
      <c r="A9" t="inlineStr">
        <is>
          <t>in-73723d030f188139</t>
        </is>
      </c>
      <c r="B9" t="inlineStr">
        <is>
          <t>Fullstack Engineer (Frontend‑Leaning)</t>
        </is>
      </c>
      <c r="C9" t="inlineStr">
        <is>
          <t>Connect Staffing Professional</t>
        </is>
      </c>
      <c r="D9" t="inlineStr">
        <is>
          <t>indeed</t>
        </is>
      </c>
      <c r="E9" t="inlineStr"/>
      <c r="F9" t="inlineStr"/>
      <c r="G9" t="inlineStr">
        <is>
          <t>New York, NY, US</t>
        </is>
      </c>
      <c r="H9" s="1" t="n">
        <v>46073</v>
      </c>
      <c r="I9" t="inlineStr">
        <is>
          <t>**Fullstack Engineer (Frontend‑Leaning) – NYC Onsite**  
A fast‑growing, venture‑backed AI startup is hiring **Fullstack Engineers** to help build the next generation of intelligent tools for in‑house legal teams. This is a high‑ownership role for engineers who want to ship quickly, work across the stack, and grow alongside a senior engineering team solving complex, real‑world problems.  
We’re building modern, intuitive, customer‑facing applications that streamline legal workflows and eliminate repetitive tasks. If you thrive in fast‑moving environments, enjoy working closely with founders, and want to help shape a product from the ground up, this role is an excellent fit. **Role Overview**
As a Fullstack Engineer, you will contribute across the frontend and backend, with a strong emphasis on React. You’ll collaborate with experienced engineers, ship production features, and expand your scope rapidly as the team scales. **Key Responsibilities*** Build and maintain React components and customer‑facing UI features.
* Develop and support backend services using Node.js and TypeScript.
* Work within a cloud‑native environment (GCP preferred).
* Participate in agile workflows: write user stories, estimate tasks, and deliver high‑quality code.
* Ensure code quality through testing, code reviews, and monitoring.
* Troubleshoot production issues and contribute to operational excellence.
* Collaborate with senior engineers on architectural decisions and engineering best practices.
**Must‑Have Qualifications*** Bachelor’s degree in Computer Science or related technical field.
* 1–2\+ years of fullstack development experience (React \+ Node.js).
* Strong understanding of JavaScript/TypeScript fundamentals.
* Familiarity with GCP or another major cloud platform.
* Experience building customer‑facing applications (not just internal tools).
* High ownership mindset, strong problem‑solving skills, and adaptability in a fast‑paced startup environment.
* Interest in legal technology and solving complex workflow problems.
* Based in NYC or willing to relocate (relocation assistance available).
**Strongly Preferred*** Experience with SQL and Postgres.
* Strong GitHub presence, side projects, or open‑source contributions.
* Prior startup experience (internship, seed‑stage, or Series A–C).
* Experience working on complex, production‑level systems.
* Former founder or early team member experience.
**Not a Fit If*** You prefer slow‑moving environments or traditional enterprise engineering.
* You lack interest in legal tech or early‑stage startup work.
* You have exclusively worked at non‑tech companies (banks, healthcare, etc.).
* You are overly specialized in frontend only or DevOps only.
* You struggle with fast feedback cycles or high‑urgency execution.
**Compensation \&amp; Location*** **Salary:** $110,000–$150,000 (based on experience, interview performance, and location).
* **Equity:** Competitive early‑stage equity package.
* **Location:** New York City (onsite or hybrid).
* **Relocation:** Up to $10,000 for qualified candidates.
**Why This Role Stands Out*** Work directly with founders and senior engineers.
* Build real, customer‑facing features used by modern legal teams.
* Join a small, high‑impact engineering team (currently \~8 engineers).
* Grow quickly into broader responsibilities as the company scales.
* Contribute to a product with real customers and strong early traction.</t>
        </is>
      </c>
    </row>
    <row r="10">
      <c r="A10" t="inlineStr">
        <is>
          <t>in-6121063b86766e11</t>
        </is>
      </c>
      <c r="B10" t="inlineStr">
        <is>
          <t>Embedded Software Developer</t>
        </is>
      </c>
      <c r="C10" t="inlineStr">
        <is>
          <t>Apple</t>
        </is>
      </c>
      <c r="D10" t="inlineStr">
        <is>
          <t>indeed</t>
        </is>
      </c>
      <c r="E10" t="inlineStr"/>
      <c r="F10" t="inlineStr"/>
      <c r="G10" t="inlineStr">
        <is>
          <t>Cupertino, CA, US</t>
        </is>
      </c>
      <c r="H10" s="1" t="n">
        <v>46073</v>
      </c>
      <c r="I1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love crafting elegant solutions to highly sophisticated challenges?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we will enable our customers to do all the things they love with their devices!  
Joining Apple as an Embedded Software Engineer for SoC Factory Support, you will craft and implement embedded software for System on a Chip (SoC) bring up and test. You will write software for Apple silicon in a production boot loader environment. You will work closely with the Product Engineering teams to bring up new silicon on device and ensure the SoC quality when manufactured.  
**Description**  
* Design and implementation of firmware for SoC bring up, validation, and test.
* Identify, analyze and root\-cause SoC failures in the factory.
* Enhance and maintain the development and debug environments, tools and methodologies.
* Support of functional test environment for device characterization, failure analysis, and mass production.
* Generate post\-silicon directed diagnostic and stress test cases and debugging failure cases using multiple HW and low level SW platforms.
* Use of soft skills and data driven approach to effectively collaborate and participate in multi\-team discussions and decision\-making.
**Preferred Qualifications**  
Embedded software experience, including debugging and characterization  
Experience on SoC silicon bring up/power up  
Experience with problem solving and delivery of high volume and high quality SW  
Strong embedded C programmer is preferred.  
Scripting experience with one or more of Python, Perl  
Experience debugging boot loader is a plus.  
Experience using laboratory equipment (e.g., logic analyzer, digital oscilloscope) is a plus.  
Strong communication skills  
**Minimum Qualifications**  
BS with minimum of 0 years of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$113,506 and $190,900 annualized,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
      <c r="A11" t="inlineStr">
        <is>
          <t>in-da96a0bbc977ef71</t>
        </is>
      </c>
      <c r="B11" t="inlineStr">
        <is>
          <t>Visualization and Prototyping Software Engineer</t>
        </is>
      </c>
      <c r="C11" t="inlineStr">
        <is>
          <t>Apple</t>
        </is>
      </c>
      <c r="D11" t="inlineStr">
        <is>
          <t>indeed</t>
        </is>
      </c>
      <c r="E11" t="inlineStr"/>
      <c r="F11" t="inlineStr"/>
      <c r="G11" t="inlineStr">
        <is>
          <t>Boulder, CO, US</t>
        </is>
      </c>
      <c r="H11" s="1" t="n">
        <v>46073</v>
      </c>
      <c r="I11" t="inlineStr">
        <is>
          <t>Are you seeking a software engineering role where you can create apps and prototypes for computer vision projects? The Video Computer Vision organization \- responsible for many of the core algorithms in ARKit, VisionPro, FaceID, and Camera.app \- is working on the future of computer\-vision\-enabled Apple products. We are looking for a software engineer to join us to work on projects that impact hundreds of millions of users.  
**Description**  
We work on tools, apps, and infrastructure in the area of computer vision that require robust, efficient, well\-tested, and clean solutions. You will develop software that has a broad impact for many algorithm and app teams in the computer vision space.","responsibilities":"writing apps for technology demos  
developing visualization code in support of various teams  
communicating with and supporting cross\-functional partners  
participating in code reviews  
being a constant advocate within the team for high quality results.  
**Preferred Qualifications**  
MS degree or higher in Computer Science or equivalent.  
Skilled in API design, where ABI stability is often necessary.  
Experience with Objective\-C and UIKit.  
Willingness to work adaptively in an environment with rapidly changing technologies.  
Experience with computer vision, image processing, or machine learning systems.  
**Minimum Qualifications**  
Bachelor's degree or higher in Computer Science or equivalent experience.  
Experience writing applications with Swift and SwiftUI.  
Comfortable working with async/await paradigms and other data\-safety concepts in a multi\-threaded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$190,700 and $286,400,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
      <c r="A12" t="inlineStr">
        <is>
          <t>in-f65a398d4518c090</t>
        </is>
      </c>
      <c r="B12" t="inlineStr">
        <is>
          <t>Camera and Photos - Senior Cinematic Video Software Engineer</t>
        </is>
      </c>
      <c r="C12" t="inlineStr">
        <is>
          <t>Apple</t>
        </is>
      </c>
      <c r="D12" t="inlineStr">
        <is>
          <t>indeed</t>
        </is>
      </c>
      <c r="E12" t="inlineStr"/>
      <c r="F12" t="inlineStr"/>
      <c r="G12" t="inlineStr">
        <is>
          <t>Cupertino, CA, US</t>
        </is>
      </c>
      <c r="H12" s="1" t="n">
        <v>46073</v>
      </c>
      <c r="I12" t="inlineStr">
        <is>
          <t>iPhone is the most popular camera in the world, with billions of photos and videos captured annually. The tight integration of hardware and software has made it possible to create unparalleled computational video features like Cinematic mode, the technology that's putting professional filmmaking in everyone's pocket, from aspiring filmmakers to everyday users capturing precious moments.  
Join Cinematic Experiences, the team developing iPhone's groundbreaking Cinematic mode, and come shape the future of mobile cinematography! Transform how millions capture and create videos by advancing our real\-time computational videography pipeline. Your work will build upon the machine learning and rendering pipelines that powers real\-time automatic focus transitions and bokeh rendering, shipping on hundreds of millions of devices worldwide.  
**Description**  
We are looking for a senior video processing software engineer to join our diverse and creative team that’s uniquely positioned between Camera, Photos, and third\-party APIs, allowing us to shape both video capture and playback experiences. Our team is composed of seasoned camera systems, rendering, and computer vision engineers. We work on high\-visibility features that often make it into Apple keynotes and WWDC.  
The ideal candidate has a proven track record of productizing cutting\-edge video processing algorithms while having a strong optimization mindset and systems integration skills to bring those innovations to life on device.  
In this role, you will push the boundaries of what's possible on mobile platforms under tight compute and memory constraints by tackling complex problems including: natural bokeh rendering, edge preservation, and temporal consistency, real\-time depth map generation and refinement, intelligent subject tracking and focus prediction, ultra\-low latency pipeline optimizations.","responsibilities":"Drive the exploration and adoption of state\-of\-the\-art video processing research, transforming research prototypes into robust, power\-efficient, real\-time product implementations.  
Integrate video processing pipelines into the broader iOS ecosystem, managing complex interactions across CPU, GPU, and Apple Neural Engine resources under strict thermal, latency, and memory budgets.  
Partner with cross\-functional Hardware, Design, and Quality teams to define and deliver next\-generation video features.  
**Preferred Qualifications**  
10\+ years of industry experience.  
Experience with 3D GPU rendering  
Experience training or pipelining ML models on embedded systems.  
**Minimum Qualifications**  
5\+ years of relevant industry experience.  
Strong CPU programming skills in ObjC, C, or C\+\+.  
Experience with GPGPU APIs such as Metal, CUDA, or Vulkan.  
Solid foundation in Camera systems, Video Processing, Computer Vision, 3D Graphics, Machine Learning, or relevant domains.  
Experience developing concurrent code on embedded platforms under heavy performance constraints.  
Demonstrable interest in keeping up with state\-of\-the\-art research.  
Strong interpersonal and verbal communication skills.  
BS degree in Computer Science, Electrical Engineering, or related major.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
      <c r="A13" t="inlineStr">
        <is>
          <t>in-71148b4fe151bb76</t>
        </is>
      </c>
      <c r="B13" t="inlineStr">
        <is>
          <t>Software Engineer (Marcom Interactive Apps), Retail and Marcom Engineering</t>
        </is>
      </c>
      <c r="C13" t="inlineStr">
        <is>
          <t>Apple</t>
        </is>
      </c>
      <c r="D13" t="inlineStr">
        <is>
          <t>indeed</t>
        </is>
      </c>
      <c r="E13" t="inlineStr"/>
      <c r="F13" t="inlineStr"/>
      <c r="G13" t="inlineStr">
        <is>
          <t>Sunnyvale, CA, US</t>
        </is>
      </c>
      <c r="H13" s="1" t="n">
        <v>46073</v>
      </c>
      <c r="I13" t="inlineStr">
        <is>
          <t>Imagine what you could build here at Apple.  
Do you like building software for people who build software? Have you ever used a collaborative editing application and considered what it takes to make that feel instant and seamless?  
Our team builds a content authoring platform that creative teams use to collaborate in real\-time. We also build the framework that lets other Apple engineers extend our platform, creating new capabilities that their end users rely on.  
We're a small team with a broad surface area. A native macOS app, the cloud backend that powers it, and the framework that drives our plugin ecosystem.  
Are you drawn to the intersection of native macOS development, real\-time backend systems, developer experience, and end\-user product? Do you love working in multiple languages?  
If so, we'd like to talk.  
**Description**  
This is a hands\-on engineering role. You'll work on a native macOS app, the cloud backend that powers it, and a React framework for building plugins.  
The work is full\-stack in the truest sense. Native Swift and SwiftUI for the app. Cloud services on the back (Swift / Kotlin / Node). And a plugin framework built in React that let other Apple engineers extend what we build.  
Experience with multi\-user editing is valuable (real\-time collaboration), but curiosity and willingness to learn matter much more.  
The stack is broad and you'll get to move across all of it.","responsibilities":"Build and maintain a native macOS application using Swift and SwiftUI  
Implement and maintain backend services across multiple tech\-stacks (Swift / Kotlin / Node / Postgres / Websockets)  
Design and implement performant APIs in the App and on the backend  
Design and implement real\-time collaboration features  
Develop and extend the React framework that enables developers to build plugins for our platform  
Collaborate with teams looking to build new plugins  
**Preferred Qualifications**  
Experience with SwiftUI  
Familiarity with server\-side Swift (Vapor framework).  
Familiarity with Java or Kotlin and Spring Boot for backend services.  
Familiarity with WebSocket\-based communication.  
Strong experience with React, including hooks, context, and modern React patterns.  
Experience designing APIs that other engineers build on.  
Care for the craft of software development beyond just shipping features.  
Experience with operational transform, CRDTs, or real\-time synchronization systems  
**Minimum Qualifications**  
5\+ years of experience in software engineering  
Experience with native macOS or iOS development  
Experience with backend development  
Proficiency with at least two: Swift, TypeScript, Java, Kotlin, Ruby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
      <c r="A14" t="inlineStr">
        <is>
          <t>in-984c152d43f9279b</t>
        </is>
      </c>
      <c r="B14" t="inlineStr">
        <is>
          <t>Software Engineer / Principal Software Engineer – Simulation Tools</t>
        </is>
      </c>
      <c r="C14" t="inlineStr">
        <is>
          <t>Northrop Grumman</t>
        </is>
      </c>
      <c r="D14" t="inlineStr">
        <is>
          <t>indeed</t>
        </is>
      </c>
      <c r="E14" t="inlineStr"/>
      <c r="F14" t="inlineStr"/>
      <c r="G14" t="inlineStr">
        <is>
          <t>Melbourne, FL, US</t>
        </is>
      </c>
      <c r="H14" s="1" t="n">
        <v>46071</v>
      </c>
      <c r="I14" t="inlineStr">
        <is>
          <t>RELOCATION ASSISTANCE: Relocation assistance may be available
CLEARANCE REQUIRED FOR START: Yes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**Software** **Engineer – Simulation Tools (Level 2\)** OR **Principal** **Software** **Engineer – Simulation Tools (Level 3\)** to join our team of qualified, diverse individuals within our **Test \&amp; Evaluation** organization. This position is located in **Melbourne, FL.**
In this role, you will design, develop, and enhance advanced software tools that power our multi\-platform simulation environments. Your expertise will be essential in creating reliable, high\-performing solutions used to verify and validate mission and vehicle systems through multiple levels of test. If you're passionate about pushing the boundaries of technology and eager to contribute to impactful aerospace projects, we encourage you to apply and become a part of our innovative team.
**Key Responsibilities may include, but are not limited to:**
* Design and develop software for multi\-domain, multi\-platform system integration laboratories, including specialized updates using LabVIEW.
* Analyze customer requirements and generate technical solutions that meet schedule and cost constraints.
* Present innovative ideas to stakeholders and collaborate in group settings.
* Build high\-quality software that adheres to coding standards and technical design.
* Define, implement, and document system tests, and troubleshoot software and hardware issues.
**Basic Qualifications:**
*This requisition may be filled at a* **Software** **Engineer – Simulation Tools (Level 2\)** OR **Principal** **Software** **Engineer – Simulation Tools (Level 3\)** *level based on the qualifications below.*
**Software** **Engineer – Simulation Tools (Level 2\)**
* Must have a Bachelor’s Degree in a STEM (Science, Technology, Engineering, or Math) discipline and 2 years of related professional/military experience; OR a Master’s Degree in a STEM discipline and 0 years of related professional/military experience.
* Must have an active DoD Secret or higher clearance (with a background investigation completed within the last 6 years or currently enrolled into Continuous Evaluation).
* Must have the ability to obtain and maintain Special Access Program (SAP) clearance, **prior** to the commencement of employment.
* Experience in software development with C\+\+ and/or experience with other programming languages such as C\#, Python, LabVIEW, or other.
**Principal** **Software** **Engineer – Simulation Tools (Level 3\)**
* Must have a Bachelor’s Degree in a STEM (Science, Technology, Engineering, or Math) discipline and 5 years of related professional/military experience; OR a Master’s Degree in a STEM discipline and 3 years of related professional/military experience; OR a Ph.D. in a STEM discipline and 1 year of related professional/military experience.
* Must have an active DoD Secret or higher clearance (with a background investigation completed within the last 6 years or currently enrolled into Continuous Evaluation).
* Must have the ability to obtain and maintain Special Access Program (SAP) clearance, **prior** to the commencement of employment.
* Experience in software development with C\+\+ and/or experience with other programming languages such as C\#, Python, LabVIEW, or other.
**Preferred Qualifications:**
* Bachelor's or Master's degree in Computer Engineering, Computer Science, or Electrical Engineering with software focus
* Experience developing Software in C\+\+
* Strong troubleshooting skills across multi\-domain, multi\-platform systems.
* Active Top Secret Clearance and Program Access
* Proficiency with multiple of the programming languages (e.g., C\+\+, C\#, Python, LabVIEW)
* Experience with protocols (e.g., TCP/IP, UDP) and hardware interfaces (e.g., as 1553, A429, 1394\).
* Experience developing OS agnostic software; familiarity with Linux environments
* Experience with decomposition / comprehension of Interface Control Documents (ICDs) of varying complexity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5">
      <c r="A15" t="inlineStr">
        <is>
          <t>in-b5cc9da6961d0895</t>
        </is>
      </c>
      <c r="B15" t="inlineStr">
        <is>
          <t>Sr. Principal Software Engineer (AHT)</t>
        </is>
      </c>
      <c r="C15" t="inlineStr">
        <is>
          <t>Northrop Grumman</t>
        </is>
      </c>
      <c r="D15" t="inlineStr">
        <is>
          <t>indeed</t>
        </is>
      </c>
      <c r="E15" t="inlineStr"/>
      <c r="F15" t="inlineStr"/>
      <c r="G15" t="inlineStr">
        <is>
          <t>Albuquerque, NM, US</t>
        </is>
      </c>
      <c r="H15" s="1" t="n">
        <v>46071</v>
      </c>
      <c r="I15" t="inlineStr">
        <is>
          <t>RELOCATION ASSISTANCE: Relocation assistance may be available
CLEARANCE REQUIRED FOR START: No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in Albuquerque, NM, is seeking Full Stack Software Engineers to develop a cloud\-based learning management ecosystem, consisting of multiple application modules. The system supports critical US Government programs. Successful candidates will demonstrate a broad skill set balanced between interpersonal and technical capabilities achieving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They will implement solutions in a web\-based environment and integrate them into a microservice cloud\-based architecture. The candidates will work closely with other software developers accomplishing the following:
* Support team in completing necessary software on schedule
* Complete work independently and as a part of an Agile team
* Solve complex problems through innovative and creative solutions
* Collaborate with software designers and/or software engineers in the planning, design, development, and utilization of software systems
* Regularly demonstrate progress to customers
**Basic Qualifications:**
* Bachelor’s degree in Computer Science or related STEM degree from an accredited institution with 8 years’ experience OR a master’s degree with 6 years’ experience OR a high school diploma/equivalent with 12 years’ experience
* Experience with HTML, CSS, JavaScript, TypeScript
* Experience with Relational database.
* Experience with Angular framework
* Experience with microservices and API definitions
* Working knowledge of the Agile development processes
* Experience in leading the implementation and delivery of sophisticated engineering solutions in support of Government customers
* Ability to obtain a U.S. Government Secret or Top Secret security clearance
**Preferred Qualifications:**
* Experience with:
	+ Angular, TypeScript. NodeJS, Bootstrap
* Experience with Software Testing a big plus
* Strong interpersonal skills to communicate effectively with technical teams
* Ability to prioritize and adjust tasks to accomplish project results
* Ability to comprehend and analyze complex problems and develop solutions
* Experience with 3rd party library management (NPM, YARN)
* Experience working with Jira, Confluence and Jenkins
* Experience working in Agile software development environment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
      <c r="A16" t="inlineStr">
        <is>
          <t>in-d3dc6825fdbf6946</t>
        </is>
      </c>
      <c r="B16" t="inlineStr">
        <is>
          <t>Senior Software Engineer II, iOS</t>
        </is>
      </c>
      <c r="C16" t="inlineStr">
        <is>
          <t>Strava</t>
        </is>
      </c>
      <c r="D16" t="inlineStr">
        <is>
          <t>indeed</t>
        </is>
      </c>
      <c r="E16" t="inlineStr"/>
      <c r="F16" t="inlineStr"/>
      <c r="G16" t="inlineStr">
        <is>
          <t>San Francisco, CA, US</t>
        </is>
      </c>
      <c r="H16" s="1" t="n">
        <v>46073</v>
      </c>
      <c r="I16" t="inlineStr">
        <is>
          <t>**Location**
------------
Strava SF
**Employment Type**
-------------------
Full time
**Location Type**
-----------------
Hybrid
**Department**
--------------
DepartmentTechnologyEngineering
**Compensation**
----------------
* $198K – $235K • Offers Equity
This range reflects base compensation only and does not include equity or benefits. Your recruiter can share more details about the full compensation package during the hiring process.
At Strava, we know our employees are the most important ingredient to our success, and our compensation and total rewards programs reflect that. We take a market\-based approach to pay, and pay may vary depending on the department and your location. Salary ranges are categorized into one of three zones based on a cost of labor index for that geographic area. We will determine the candidate’s starting pay based on job\-related skills, experience, qualifications, work location, and market conditions. We may modify these ranges in the future.
For more information, please contact your talent partner.
**About Strava**
----------------
Strava is the app for active people. With over 180 million athletes in more than 185 countries, it’s more than tracking workouts—it’s where people make progress together, from new habits to new personal bests. No matter your sport or how you track it, Strava’s got you covered. Find your crew, crush your goals, and make every effort count. Start your journey with Strava today.
Our mission is simple: to motivate people to live their best active lives. We believe in the power of movement to connect and drive people forward.
**About This Role**
-------------------
We’re seeking two Senior iOS Engineers \- one for Achieve and another for the Subscriptions team. On each team you will collaborate daily with cross\-functional partners in product, design, analytics, and marketing as well as Strava's 20\+ iOS engineers through shared architecture reviews, pair programming sessions, code reviews, and our active iOS guild. Join the org behind the \#1 fitness app and the 2025 Apple Watch App of the Year and help us continue setting the bar for iOS excellence.
On **Subscriptions** you will help build and evolve Strava’s subscription and checkout experiences. Work on the iOS surfaces that power our free\-to\-paid journey, including paywalls, purchase flows, and StoreKit integrations, reaching millions of athletes around the world. Your contributions will be central to Strava’s growth and gives you meaningful ownership over highly visible product experiences.
Achieve’s charter is to help active people achieve their athletic goals. They own features like our Progress and Training experiences, the Activity Page, and Athlete Intelligence. As a member of the **Achieve** **team** you’ll help us build innovative sponsored experiences that delight millions of athletes while driving revenue in a space that is strategically critical for Strava’s continued growth and success. In this role you will have a unique opportunity to have a huge individual impact.
**We follow a flexible hybrid model that translates to more than half of your time on\-site in our San Francisco office — three days per week.**
**What You’ll Do:**
-------------------
* Develop new and creative products that appeal to Strava’s end\-users and partners
* Continuously enhance the product to drive consumer growth
* Partner deeply with product and design to shape features together through iteration and experimentation, shipping high\-quality work through continuous refinement
* Set the technical direction on iOS and help shape the team’s culture
* Mentor engineers across the organization—sharing not just technical knowledge but the behaviors, habits, and decision\-making frameworks that help engineers grow and succeed.
**What You’ll Bring to the Team:**
----------------------------------
* You have 5\+ years of professional software development experience or equivalent expertise in iOS engineering.
* You are well\-versed in breaking down complex product requirements into tangible specs and plans.
* You have a firm foundation of SwiftUI and UIKit development and can navigate occasional Objective\-C work.
* You care deeply about mobile architecture and scalability.
* You have demonstrated experience building sophisticated iOS components–from complex custom animations and gesture systems to novel interaction patterns that surprise and delight users.
* You excel at giving and receiving high\-quality feedback, have strong product intuition and design sense, and foster a culture of continuous improvement in the teams you're a part of.
* You are comfortable using data to make decisions, bring others along, and understand the impact of your work.
**Why Join Us?**
================
Movement brings us together. At Strava, we’re building the world’s largest community of active people, helping them stay motivated and achieve their goals.
Our global team is passionate about making movement fun, meaningful, and accessible to everyone. Whether you’re shaping the technology, growing our community, or driving innovation, your work at Strava makes an impact.
When you join Strava, you’re not just joining a company—you’re joining a movement. If you’re ready to bring your energy, ideas, and drive, let’s build something incredible together.
Strava builds software that makes the best part of our athletes’ days even better. Just as we’re deeply committed to unlocking their potential, we’re dedicated to providing a world\-class, inclusive workplace where our employees can grow and thrive, too. We’re backed by Sequoia Capital, TCV, Madrone Partners and Jackson Square Ventures, and we’re expanding in order to exceed the needs of our growing community of global athletes. Our culture reflects our community. We are continuously striving to hire and engage teammates from all backgrounds, experiences and perspectives because we know we are a stronger team together.
Strava is an equal opportunity employer. In keeping with the values of Strava, we make all employment decisions including hiring, evaluation, termination, promotional and training opportunities, without regard to race, religion, color, sex, age, national origin, ancestry, sexual orientation, physical handicap, mental disability, medical condition, disability, gender or identity or expression, pregnancy or pregnancy\-related condition, marital status, height and/or weight.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7">
      <c r="A17" t="inlineStr">
        <is>
          <t>in-24b50974331dc2e8</t>
        </is>
      </c>
      <c r="B17" t="inlineStr">
        <is>
          <t>Software Engineer-Developer (Development)</t>
        </is>
      </c>
      <c r="C17" t="inlineStr">
        <is>
          <t>Dhara Consulting Group</t>
        </is>
      </c>
      <c r="D17" t="inlineStr">
        <is>
          <t>indeed</t>
        </is>
      </c>
      <c r="E17" t="inlineStr"/>
      <c r="F17" t="inlineStr"/>
      <c r="G17" t="inlineStr">
        <is>
          <t>Daytona Beach, FL, US</t>
        </is>
      </c>
      <c r="H17" s="1" t="n">
        <v>46073</v>
      </c>
      <c r="I17" t="inlineStr">
        <is>
          <t>Posted today
Secret
$73,100 \- $98,900
Unspecified
IT \- Software
Daytona Beach, FL (On\-Site/Office)**Job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**Entry\-Level Software Engineers** to support our **Air Dominance Mission Systems Engineering** team located in **Daytona Beach, FL**. This position will focus on supporting the Boeing Defense, Space \&amp; Security (BDS) business organization.  
The candidate will assist software systems development on cloud infrastructures following modern DevSecOps and Agile execution processes Support all phases of the software development lifecycle including requirements and interface definition, design, development, and integration of Cloud Native Software for Collaborative Mission Planning including:  
* Common Operating Picture: Contributing to the creation and maintenance of a shared, up\-to\-date display of relevant information for all stakeholders.
* Data Fusion: Integrating and processing data from multiple sources to provide a comprehensive and coherent view of the operational environment.
* Integration of Open API Interfaces: Collaborating on the integration of open API interfaces to facilitate interoperability and data exchange.
* Mission Debrief: Assisting in the development of software solutions for post\-mission analysis and debriefing processes.
The selected candidate will be responsible for and has ownership of the Software Design, Code, and Test ensuring performance, interfaces, and functional and non\-functional requirements are met for the capabilities listed above.
**Position Responsibilities:**  
* Develop software design, coding and unit/integration testing of features/user stories
* Collaborate with product managers, designers, and other stakeholders to understand project requirements and translate them into technical specifications
* Develop scalable and resilient front and backend solutions using cloud technologies
* **Assist** in the design, development and maintenance of software pipelines and tools
* **Participate** in code reviews to ensure adherence to architectural principles and coding standards
* **Support** the Ground software verification/validation using the selected testing tools, laboratories, and simulators
**Basic Qualifications (Required Skills/ Experience):**  
* **Bachelor's Degree in an engineering discipline or 8\+ years equivalent related experience**
* Ability to acquire a U.S. Secret Security Clearance (Post\-Start)
* Proficiency in software development languages (e.g. Java, Python, JavaScript, and C\#)
* Experience with SDLC and Agile methodologies, with focus on Scrum and Kanban
**Preferred Qualifications (Desired Skills/Experience):**  
* Have or have held an active U.S. Security Clearance in the past 24 months
* Proficiency in backend programming languages (e.g. Python, C\+\+, Node.js, and C\#)
* Proficiency in frontend programming languages (e.g. JavaScript, TypeScript, Angular, React)
* Familiar with containerization technologies such as Docker and Kubernetes
* Experience utilizing commercial Cloud Providers such as AWS, Azure or Google Cloud Platform
* Knowledge of microservices architecture and related frameworks
* Experience working in an Agile Environment (e.g. Jira, Confluence)
* Familiarity with creating and maintaining a Common Operating Picture for operational environments
* Experience in integrating Open API interfaces for interoperability
* Ability to design and develop software solutions for mission debriefing and analysis
* Knowledge of Model Based Systems Engineering principles and tools (e.g. Ops analysis, subsystem/sensor models, Cameo, Rhapsody, etc.)
* Bachelor of Science degree from an accredited course of study in engineering, engineering technology (includes manufacturing engineering technology), chemistry, physics, mathematics, data science, or computer science.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$73,100 \- $98,900  
Applications for this position will be accepted until **Feb. 23,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t>
        </is>
      </c>
    </row>
    <row r="18">
      <c r="A18" t="inlineStr">
        <is>
          <t>in-2937f469ccdecfa8</t>
        </is>
      </c>
      <c r="B18" t="inlineStr">
        <is>
          <t>Software Engineer</t>
        </is>
      </c>
      <c r="C18" t="inlineStr">
        <is>
          <t>Amazon.com</t>
        </is>
      </c>
      <c r="D18" t="inlineStr">
        <is>
          <t>indeed</t>
        </is>
      </c>
      <c r="E18" t="inlineStr"/>
      <c r="F18" t="inlineStr"/>
      <c r="G18" t="inlineStr">
        <is>
          <t>San Francisco, CA, US</t>
        </is>
      </c>
      <c r="H18" s="1" t="n">
        <v>46008</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in-8f80a2c4b82b6685</t>
        </is>
      </c>
      <c r="B19" t="inlineStr">
        <is>
          <t>Software Engineer</t>
        </is>
      </c>
      <c r="C19" t="inlineStr">
        <is>
          <t>Amazon.com</t>
        </is>
      </c>
      <c r="D19" t="inlineStr">
        <is>
          <t>indeed</t>
        </is>
      </c>
      <c r="E19" t="inlineStr"/>
      <c r="F19" t="inlineStr"/>
      <c r="G19" t="inlineStr">
        <is>
          <t>Seattle, WA, US</t>
        </is>
      </c>
      <c r="H19" s="1" t="n">
        <v>46008</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in-cc1f5bdc64be89a1</t>
        </is>
      </c>
      <c r="B20" t="inlineStr">
        <is>
          <t>Software Engineer I</t>
        </is>
      </c>
      <c r="C20" t="inlineStr">
        <is>
          <t>Amazon.com</t>
        </is>
      </c>
      <c r="D20" t="inlineStr">
        <is>
          <t>indeed</t>
        </is>
      </c>
      <c r="E20" t="inlineStr"/>
      <c r="F20" t="inlineStr"/>
      <c r="G20" t="inlineStr">
        <is>
          <t>Irvine,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in-b74c6e75a0d906db</t>
        </is>
      </c>
      <c r="B21" t="inlineStr">
        <is>
          <t>Software Engineer I</t>
        </is>
      </c>
      <c r="C21" t="inlineStr">
        <is>
          <t>Amazon.com</t>
        </is>
      </c>
      <c r="D21" t="inlineStr">
        <is>
          <t>indeed</t>
        </is>
      </c>
      <c r="E21" t="inlineStr"/>
      <c r="F21" t="inlineStr"/>
      <c r="G21" t="inlineStr">
        <is>
          <t>Seattle, WA,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in-06bdc8f765840036</t>
        </is>
      </c>
      <c r="B22" t="inlineStr">
        <is>
          <t>Software Engineer I</t>
        </is>
      </c>
      <c r="C22" t="inlineStr">
        <is>
          <t>Amazon.com</t>
        </is>
      </c>
      <c r="D22" t="inlineStr">
        <is>
          <t>indeed</t>
        </is>
      </c>
      <c r="E22" t="inlineStr"/>
      <c r="F22" t="inlineStr"/>
      <c r="G22" t="inlineStr">
        <is>
          <t>San Francisco, CA,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in-b411ccbd96841103</t>
        </is>
      </c>
      <c r="B23" t="inlineStr">
        <is>
          <t>Software Engineer I</t>
        </is>
      </c>
      <c r="C23" t="inlineStr">
        <is>
          <t>Amazon.com</t>
        </is>
      </c>
      <c r="D23" t="inlineStr">
        <is>
          <t>indeed</t>
        </is>
      </c>
      <c r="E23" t="inlineStr"/>
      <c r="F23" t="inlineStr"/>
      <c r="G23" t="inlineStr">
        <is>
          <t>Irvine, CA, US</t>
        </is>
      </c>
      <c r="H23" s="1" t="n">
        <v>45946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in-62b12ba4c9e00bdb</t>
        </is>
      </c>
      <c r="B24" t="inlineStr">
        <is>
          <t>Software Engineer I</t>
        </is>
      </c>
      <c r="C24" t="inlineStr">
        <is>
          <t>Amazon.com</t>
        </is>
      </c>
      <c r="D24" t="inlineStr">
        <is>
          <t>indeed</t>
        </is>
      </c>
      <c r="E24" t="inlineStr"/>
      <c r="F24" t="inlineStr"/>
      <c r="G24" t="inlineStr">
        <is>
          <t>San Francisco, CA, US</t>
        </is>
      </c>
      <c r="H24" s="1" t="n">
        <v>45946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in-768b0cd0670a04ae</t>
        </is>
      </c>
      <c r="B25" t="inlineStr">
        <is>
          <t>Software Engineer II</t>
        </is>
      </c>
      <c r="C25" t="inlineStr">
        <is>
          <t>Amazon.com</t>
        </is>
      </c>
      <c r="D25" t="inlineStr">
        <is>
          <t>indeed</t>
        </is>
      </c>
      <c r="E25" t="inlineStr"/>
      <c r="F25" t="inlineStr"/>
      <c r="G25" t="inlineStr">
        <is>
          <t>San Francisco, CA, US</t>
        </is>
      </c>
      <c r="H25" s="1" t="n">
        <v>45938</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in-f5216d9f327dcec1</t>
        </is>
      </c>
      <c r="B26" t="inlineStr">
        <is>
          <t>Software Engineer II</t>
        </is>
      </c>
      <c r="C26" t="inlineStr">
        <is>
          <t>Amazon.com</t>
        </is>
      </c>
      <c r="D26" t="inlineStr">
        <is>
          <t>indeed</t>
        </is>
      </c>
      <c r="E26" t="inlineStr"/>
      <c r="F26" t="inlineStr"/>
      <c r="G26" t="inlineStr">
        <is>
          <t>Irvine, CA, US</t>
        </is>
      </c>
      <c r="H26" s="1" t="n">
        <v>45938</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in-29429ca0f81ef32c</t>
        </is>
      </c>
      <c r="B27" t="inlineStr">
        <is>
          <t>Software Engineer II</t>
        </is>
      </c>
      <c r="C27" t="inlineStr">
        <is>
          <t>Amazon.com</t>
        </is>
      </c>
      <c r="D27" t="inlineStr">
        <is>
          <t>indeed</t>
        </is>
      </c>
      <c r="E27" t="inlineStr"/>
      <c r="F27" t="inlineStr"/>
      <c r="G27" t="inlineStr">
        <is>
          <t>Culver City, CA, US</t>
        </is>
      </c>
      <c r="H27" s="1" t="n">
        <v>45938</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in-e91098f0380a427f</t>
        </is>
      </c>
      <c r="B28" t="inlineStr">
        <is>
          <t>Software Engineer II</t>
        </is>
      </c>
      <c r="C28" t="inlineStr">
        <is>
          <t>Amazon.com</t>
        </is>
      </c>
      <c r="D28" t="inlineStr">
        <is>
          <t>indeed</t>
        </is>
      </c>
      <c r="E28" t="inlineStr"/>
      <c r="F28" t="inlineStr"/>
      <c r="G28" t="inlineStr">
        <is>
          <t>San Francisco, CA, US</t>
        </is>
      </c>
      <c r="H28" s="1" t="n">
        <v>45938</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in-7d82a53dd7341c28</t>
        </is>
      </c>
      <c r="B29" t="inlineStr">
        <is>
          <t>Software Engineer II</t>
        </is>
      </c>
      <c r="C29" t="inlineStr">
        <is>
          <t>Amazon.com</t>
        </is>
      </c>
      <c r="D29" t="inlineStr">
        <is>
          <t>indeed</t>
        </is>
      </c>
      <c r="E29" t="inlineStr"/>
      <c r="F29" t="inlineStr"/>
      <c r="G29" t="inlineStr">
        <is>
          <t>Irvine, CA, US</t>
        </is>
      </c>
      <c r="H29" s="1" t="n">
        <v>45938</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in-9ab9a0a254b34fe0</t>
        </is>
      </c>
      <c r="B30" t="inlineStr">
        <is>
          <t>Software Engineer II</t>
        </is>
      </c>
      <c r="C30" t="inlineStr">
        <is>
          <t>Amazon.com</t>
        </is>
      </c>
      <c r="D30" t="inlineStr">
        <is>
          <t>indeed</t>
        </is>
      </c>
      <c r="E30" t="inlineStr"/>
      <c r="F30" t="inlineStr"/>
      <c r="G30" t="inlineStr">
        <is>
          <t>San Francisco, CA, US</t>
        </is>
      </c>
      <c r="H30" s="1" t="n">
        <v>45921</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in-ed75afede09787aa</t>
        </is>
      </c>
      <c r="B31" t="inlineStr">
        <is>
          <t>Software Engineer II</t>
        </is>
      </c>
      <c r="C31" t="inlineStr">
        <is>
          <t>Amazon.com</t>
        </is>
      </c>
      <c r="D31" t="inlineStr">
        <is>
          <t>indeed</t>
        </is>
      </c>
      <c r="E31" t="inlineStr"/>
      <c r="F31" t="inlineStr"/>
      <c r="G31" t="inlineStr">
        <is>
          <t>Irvine, CA, US</t>
        </is>
      </c>
      <c r="H31" s="1" t="n">
        <v>45921</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in-33f166bb91bf3424</t>
        </is>
      </c>
      <c r="B32" t="inlineStr">
        <is>
          <t>Software Engineer I- Ad Demand</t>
        </is>
      </c>
      <c r="C32" t="inlineStr">
        <is>
          <t>Amazon.com</t>
        </is>
      </c>
      <c r="D32" t="inlineStr">
        <is>
          <t>indeed</t>
        </is>
      </c>
      <c r="E32" t="inlineStr"/>
      <c r="F32" t="inlineStr"/>
      <c r="G32" t="inlineStr">
        <is>
          <t>San Francisco, CA, US</t>
        </is>
      </c>
      <c r="H32" s="1" t="n">
        <v>45908</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in-723eabd144ba1c16</t>
        </is>
      </c>
      <c r="B33" t="inlineStr">
        <is>
          <t>Software Engineer I- Ad Demand</t>
        </is>
      </c>
      <c r="C33" t="inlineStr">
        <is>
          <t>Amazon.com</t>
        </is>
      </c>
      <c r="D33" t="inlineStr">
        <is>
          <t>indeed</t>
        </is>
      </c>
      <c r="E33" t="inlineStr"/>
      <c r="F33" t="inlineStr"/>
      <c r="G33" t="inlineStr">
        <is>
          <t>New York, NY, US</t>
        </is>
      </c>
      <c r="H33" s="1" t="n">
        <v>45908</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in-db1920ca3bc41526</t>
        </is>
      </c>
      <c r="B34" t="inlineStr">
        <is>
          <t>Software Engineer I, Monetization ML</t>
        </is>
      </c>
      <c r="C34" t="inlineStr">
        <is>
          <t>Amazon.com</t>
        </is>
      </c>
      <c r="D34" t="inlineStr">
        <is>
          <t>indeed</t>
        </is>
      </c>
      <c r="E34" t="inlineStr"/>
      <c r="F34" t="inlineStr"/>
      <c r="G34" t="inlineStr">
        <is>
          <t>San Francisco, CA, US</t>
        </is>
      </c>
      <c r="H34" s="1" t="n">
        <v>46062</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35">
      <c r="A35" t="inlineStr">
        <is>
          <t>in-eb5917ac2978d79d</t>
        </is>
      </c>
      <c r="B35" t="inlineStr">
        <is>
          <t>Sr. Software Engineer, Manager</t>
        </is>
      </c>
      <c r="C35" t="inlineStr">
        <is>
          <t>Amazon.com</t>
        </is>
      </c>
      <c r="D35" t="inlineStr">
        <is>
          <t>indeed</t>
        </is>
      </c>
      <c r="E35" t="inlineStr"/>
      <c r="F35" t="inlineStr"/>
      <c r="G35" t="inlineStr">
        <is>
          <t>Culver City, CA, US</t>
        </is>
      </c>
      <c r="H35" s="1" t="n">
        <v>46006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6">
      <c r="A36" t="inlineStr">
        <is>
          <t>in-a0f2edfe4c8b3712</t>
        </is>
      </c>
      <c r="B36" t="inlineStr">
        <is>
          <t>Sr. Software Engineer, Manager</t>
        </is>
      </c>
      <c r="C36" t="inlineStr">
        <is>
          <t>Amazon.com</t>
        </is>
      </c>
      <c r="D36" t="inlineStr">
        <is>
          <t>indeed</t>
        </is>
      </c>
      <c r="E36" t="inlineStr"/>
      <c r="F36" t="inlineStr"/>
      <c r="G36" t="inlineStr">
        <is>
          <t>New York, NY, US</t>
        </is>
      </c>
      <c r="H36" s="1" t="n">
        <v>46006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7">
      <c r="A37" t="inlineStr">
        <is>
          <t>in-e4bd0e38f73730e9</t>
        </is>
      </c>
      <c r="B37" t="inlineStr">
        <is>
          <t>Sr. Software Engineer, Manager</t>
        </is>
      </c>
      <c r="C37" t="inlineStr">
        <is>
          <t>Amazon.com</t>
        </is>
      </c>
      <c r="D37" t="inlineStr">
        <is>
          <t>indeed</t>
        </is>
      </c>
      <c r="E37" t="inlineStr"/>
      <c r="F37" t="inlineStr"/>
      <c r="G37" t="inlineStr">
        <is>
          <t>Seattle, WA, US</t>
        </is>
      </c>
      <c r="H37" s="1" t="n">
        <v>46006</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8">
      <c r="A38" t="inlineStr">
        <is>
          <t>in-40373688140f8b3b</t>
        </is>
      </c>
      <c r="B38" t="inlineStr">
        <is>
          <t>Sr. Software Engineer, Manager</t>
        </is>
      </c>
      <c r="C38" t="inlineStr">
        <is>
          <t>Amazon.com</t>
        </is>
      </c>
      <c r="D38" t="inlineStr">
        <is>
          <t>indeed</t>
        </is>
      </c>
      <c r="E38" t="inlineStr"/>
      <c r="F38" t="inlineStr"/>
      <c r="G38" t="inlineStr">
        <is>
          <t>San Francisco, CA, US</t>
        </is>
      </c>
      <c r="H38" s="1" t="n">
        <v>46006</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9">
      <c r="A39" t="inlineStr">
        <is>
          <t>in-058231509a6d9bee</t>
        </is>
      </c>
      <c r="B39" t="inlineStr">
        <is>
          <t>Sr. Software Engineer, Manager</t>
        </is>
      </c>
      <c r="C39" t="inlineStr">
        <is>
          <t>Amazon.com</t>
        </is>
      </c>
      <c r="D39" t="inlineStr">
        <is>
          <t>indeed</t>
        </is>
      </c>
      <c r="E39" t="inlineStr"/>
      <c r="F39" t="inlineStr"/>
      <c r="G39" t="inlineStr">
        <is>
          <t>Irvine, CA, US</t>
        </is>
      </c>
      <c r="H39" s="1" t="n">
        <v>46006</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40">
      <c r="A40" t="inlineStr">
        <is>
          <t>in-2ee556831908554f</t>
        </is>
      </c>
      <c r="B40" t="inlineStr">
        <is>
          <t>Software Engineer, Monetization ML</t>
        </is>
      </c>
      <c r="C40" t="inlineStr">
        <is>
          <t>Amazon.com</t>
        </is>
      </c>
      <c r="D40" t="inlineStr">
        <is>
          <t>indeed</t>
        </is>
      </c>
      <c r="E40" t="inlineStr"/>
      <c r="F40" t="inlineStr"/>
      <c r="G40" t="inlineStr">
        <is>
          <t>Seattle, WA, US</t>
        </is>
      </c>
      <c r="H40" s="1" t="n">
        <v>45944</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41">
      <c r="A41" t="inlineStr">
        <is>
          <t>in-5740226c20f86f75</t>
        </is>
      </c>
      <c r="B41" t="inlineStr">
        <is>
          <t>Software Engineer, Monetization ML</t>
        </is>
      </c>
      <c r="C41" t="inlineStr">
        <is>
          <t>Amazon.com</t>
        </is>
      </c>
      <c r="D41" t="inlineStr">
        <is>
          <t>indeed</t>
        </is>
      </c>
      <c r="E41" t="inlineStr"/>
      <c r="F41" t="inlineStr"/>
      <c r="G41" t="inlineStr">
        <is>
          <t>New York, NY, US</t>
        </is>
      </c>
      <c r="H41" s="1" t="n">
        <v>45944</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42">
      <c r="A42" t="inlineStr">
        <is>
          <t>in-946b0ed1881e8107</t>
        </is>
      </c>
      <c r="B42" t="inlineStr">
        <is>
          <t>Embedded Software Engineer, Annapurna ML Software</t>
        </is>
      </c>
      <c r="C42" t="inlineStr">
        <is>
          <t>Amazon Web Services</t>
        </is>
      </c>
      <c r="D42" t="inlineStr">
        <is>
          <t>indeed</t>
        </is>
      </c>
      <c r="E42" t="inlineStr"/>
      <c r="F42" t="inlineStr"/>
      <c r="G42" t="inlineStr">
        <is>
          <t>Austin, TX, US</t>
        </is>
      </c>
      <c r="H42" s="1" t="n">
        <v>46050</v>
      </c>
      <c r="I4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43">
      <c r="A43" t="inlineStr">
        <is>
          <t>in-a2316aec365fcceb</t>
        </is>
      </c>
      <c r="B43" t="inlineStr">
        <is>
          <t>Embedded Software Engineer, Annapurna ML Software</t>
        </is>
      </c>
      <c r="C43" t="inlineStr">
        <is>
          <t>Amazon Web Services</t>
        </is>
      </c>
      <c r="D43" t="inlineStr">
        <is>
          <t>indeed</t>
        </is>
      </c>
      <c r="E43" t="inlineStr"/>
      <c r="F43" t="inlineStr"/>
      <c r="G43" t="inlineStr">
        <is>
          <t>Cupertino, CA, US</t>
        </is>
      </c>
      <c r="H43" s="1" t="n">
        <v>46050</v>
      </c>
      <c r="I4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44">
      <c r="A44" t="inlineStr">
        <is>
          <t>in-97285e40c1ab4958</t>
        </is>
      </c>
      <c r="B44" t="inlineStr">
        <is>
          <t>Sr. Software Engineer- AI/ML, AWS Neuron Distributed Training</t>
        </is>
      </c>
      <c r="C44" t="inlineStr">
        <is>
          <t>Amazon Web Services</t>
        </is>
      </c>
      <c r="D44" t="inlineStr">
        <is>
          <t>indeed</t>
        </is>
      </c>
      <c r="E44" t="inlineStr"/>
      <c r="F44" t="inlineStr"/>
      <c r="G44" t="inlineStr">
        <is>
          <t>Seattle, WA, US</t>
        </is>
      </c>
      <c r="H44" s="1" t="n">
        <v>45713</v>
      </c>
      <c r="I4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in-fa9e3e9002aa8526</t>
        </is>
      </c>
      <c r="B45" t="inlineStr">
        <is>
          <t>Sr. Software Engineer- AI/ML, AWS Neuron Distributed Training</t>
        </is>
      </c>
      <c r="C45" t="inlineStr">
        <is>
          <t>Amazon Web Services</t>
        </is>
      </c>
      <c r="D45" t="inlineStr">
        <is>
          <t>indeed</t>
        </is>
      </c>
      <c r="E45" t="inlineStr"/>
      <c r="F45" t="inlineStr"/>
      <c r="G45" t="inlineStr">
        <is>
          <t>Cupertino, CA, US</t>
        </is>
      </c>
      <c r="H45" s="1" t="n">
        <v>45713</v>
      </c>
      <c r="I4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in-1cc014887e307416</t>
        </is>
      </c>
      <c r="B46" t="inlineStr">
        <is>
          <t>Senior Software Engineer</t>
        </is>
      </c>
      <c r="C46" t="inlineStr">
        <is>
          <t>fairgreen</t>
        </is>
      </c>
      <c r="D46" t="inlineStr">
        <is>
          <t>indeed</t>
        </is>
      </c>
      <c r="E46" t="inlineStr"/>
      <c r="F46" t="inlineStr"/>
      <c r="G46" t="inlineStr">
        <is>
          <t>US</t>
        </is>
      </c>
      <c r="H46" s="1" t="n">
        <v>46074</v>
      </c>
      <c r="I46" t="inlineStr">
        <is>
          <t>* 5\+ years of experience building and shipping features that real users depend on — not just writing code, but owning outcomes.
* Deep comfort with TypeScript, React, and working across the stack — backend to frontend and everything in between.
* Strong SQL and database design instincts — you think in schemas, not just queries.
* Through mentorship, code reviews, and sound technical decision\-making — not because it's in your job description, but because it's how you work.
* A track record of taking unclear requirements and delivering complex features independently. You thrive in a startup environment where ownership runs deep and the boundaries of your role are whatever the team needs.
* Enough familiarity with CI/CD, testing frameworks, and developer tooling to improve how the team ships — not just what it ships.
* Experience with AWS, containerization, PostGIS or geospatial tech, ETL pipelines, or government/climate tech — but we'd rather have someone with the right instincts than the perfect resume.
Job Type: Full\-time
Pay: $105,602\.00 \- $154,883\.00 per year
Work Location: Remote</t>
        </is>
      </c>
    </row>
    <row r="47">
      <c r="A47" t="inlineStr">
        <is>
          <t>in-30045b8554e1346e</t>
        </is>
      </c>
      <c r="B47" t="inlineStr">
        <is>
          <t>SOFTWARE DEVELOPERS</t>
        </is>
      </c>
      <c r="C47" t="inlineStr">
        <is>
          <t>Stacklogy</t>
        </is>
      </c>
      <c r="D47" t="inlineStr">
        <is>
          <t>indeed</t>
        </is>
      </c>
      <c r="E47" t="inlineStr"/>
      <c r="F47" t="inlineStr"/>
      <c r="G47" t="inlineStr">
        <is>
          <t>Temple, TX, US</t>
        </is>
      </c>
      <c r="H47" s="1" t="n">
        <v>46073</v>
      </c>
      <c r="I47"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48">
      <c r="A48" t="inlineStr">
        <is>
          <t>in-d10d556980269131</t>
        </is>
      </c>
      <c r="B48" t="inlineStr">
        <is>
          <t>SOFTWARE ENGINEERS</t>
        </is>
      </c>
      <c r="C48" t="inlineStr">
        <is>
          <t>Stacklogy</t>
        </is>
      </c>
      <c r="D48" t="inlineStr">
        <is>
          <t>indeed</t>
        </is>
      </c>
      <c r="E48" t="inlineStr"/>
      <c r="F48" t="inlineStr"/>
      <c r="G48" t="inlineStr">
        <is>
          <t>Temple, TX, US</t>
        </is>
      </c>
      <c r="H48" s="1" t="n">
        <v>46073</v>
      </c>
      <c r="I48"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49">
      <c r="A49" t="inlineStr">
        <is>
          <t>in-cee995a368e6f967</t>
        </is>
      </c>
      <c r="B49" t="inlineStr">
        <is>
          <t>Senior Software Engineer</t>
        </is>
      </c>
      <c r="C49" t="inlineStr">
        <is>
          <t>Mercury Insurance Company</t>
        </is>
      </c>
      <c r="D49" t="inlineStr">
        <is>
          <t>indeed</t>
        </is>
      </c>
      <c r="E49" t="inlineStr"/>
      <c r="F49" t="inlineStr"/>
      <c r="G49" t="inlineStr">
        <is>
          <t>Remote, US</t>
        </is>
      </c>
      <c r="H49" s="1" t="n">
        <v>46073</v>
      </c>
      <c r="I49" t="inlineStr">
        <is>
          <t>Overview:
Join an amazing team that is consistently recognized for our achievements and culture, including our most recent Forbes award of being one of America's Best Midsize Employers for 2025!
 **Position Summary:**
As a Senior Software Engineer, you will play a crucial role in designing, developing, and maintaining complex software systems. This position involves leading agile teams or projects, mentoring junior engineers, and ensuring the delivery of high\-quality software solutions.
Geo\-Salary Information:
***An in\-person interview may be required during the hiring process***  
State specific pay scales for this role are as follows:
$94,458 to $179,048 (CA, NJ, NY, WA, HI, AK, MD, CT, RI, MA)
$85,871 to $162,771 (NV, OR, AZ, CO, WY, TX, ND, MN, MO, IL, WI, FL, GA, MI, OH, VA, PA, DE, VT, NH, ME)
$77,283 to $146,464 (UT, ID, MT, NM, SD, NE, KS, OK, IA, AR, LA, MS, AL, TN, KY, IN, SC, NC, WV)
The expected base salary for this position will vary depending on a number of factors, including relevant experience, skills and location.
Responsibilities:
**Essential Job Functions:**
* Write high\-quality code for complex scenarios with good test coverage.
* Review and translate product requirements into robust designs to ensure high\-quality distributed application systems that are modular, configurable, reusable, fast, effective, user\-friendly, secure, compliant, scalable, and maintainable.
* Lead design and code reviews of multiple applications to ensure best practices, adherence to Mercury standards, and high quality.
* Lead the sprint team to deliver new or improved features, addressing any impediments to delivering high\-quality solutions in the sprint backlog.
* Collaborate with other teams and stakeholders to ensure successful delivery of intended functionality.
* Mentor and provide technical guidance to other engineers on the team, fostering a culture of innovation and excellence within Mercury engineering.
Qualifications:
**Education:**
Minimum:
* Bachelor’s Degree in Computer Science, Information Systems or other related fields Or equivalent combination of education and experience
Preferred:
* Master’s Degree in Computer Science.
**Experience:**
Minimum:
* 5\+ years software programming experience with 2\+ years experience in Technologies used at Mercury
* 1\+ years of experience leading and mentoring engineering teams.
Preferred:
* 5 or more years with Java programming language.
* 5 or more years of the Spring Framework, including Spring Boot for building microservices and REST APIs.
* Proficiency in designing, implementing, and consuming RESTful APIs.
* Hands\-on experience with MongoDB (NoSQL database) for storing and retrieving data.
* Ability to effectively utilize AI tools such as Claude, ChatGPT with in IDE like IntelliJ , VS Code, etc.
**Skills:**
* Proficient in programming in one or more industry\-standard languages (e.g., Java, Python, Go, C\+\+, JavaScript).
* Experienced in leveraging various data structures, algorithms, and design patterns. Skilled in relational databases, NoSQL, and caching solutions.
* Experienced in APIs using modern protocols like REST and gRPC. Proficient in message queuing, data streaming, workflow, and integration frameworks (such as Apache Kafka, Apache NiFi, Amazon SQS, MS MQ, Apache Camel, etc.).
* Knowledgeable in microservices architecture.
* Experienced in containerization technologies like Docker and Kubernetes.
* Proficient in leveraging DevSecOps to improve engineering efficiency.
* Experienced in designing and implementing high\-quality distributed application systems that are modular, configurable, maximize reuse, and are fast, effective, user\-friendly, secure, compliant, scalable, and maintainable. Skilled in leveraging analytics data and experimentation to design and improve systems for speed, scalability, and effectiveness. Strong problem\-solving skills.
* Excellent communication abilities. Strong ability to collaborate and influence cross\-functional teams and stakeholders to address impediments and deliver desired results. Demonstrated leadership skills through mentoring and providing technical guidance to team members.
* Experienced in driving technical strategy and vision for a team.
* Preferred: Experience in cloud platforms such as AWS, Google Cloud, or Azure.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$94,458\.00 \- USD $179,048\.00 /Yr.</t>
        </is>
      </c>
    </row>
    <row r="50">
      <c r="A50" t="inlineStr">
        <is>
          <t>in-a4e60244c769d26b</t>
        </is>
      </c>
      <c r="B50" t="inlineStr">
        <is>
          <t>Software Developer</t>
        </is>
      </c>
      <c r="C50" t="inlineStr">
        <is>
          <t>Trillion Technology Solutions</t>
        </is>
      </c>
      <c r="D50" t="inlineStr">
        <is>
          <t>indeed</t>
        </is>
      </c>
      <c r="E50" t="inlineStr"/>
      <c r="F50" t="inlineStr"/>
      <c r="G50" t="inlineStr">
        <is>
          <t>Reston, VA, US</t>
        </is>
      </c>
      <c r="H50" s="1" t="n">
        <v>46073</v>
      </c>
      <c r="I50" t="inlineStr">
        <is>
          <t>**Position Description**
We are currently seeking a highly skilled Software Developer to join Trillion in support of a long term contract. This candidate will help to drive the development of the modernized system and with prioritization of future changes while providing the customer with realistic timeframes and expectations. This a hands\-on development role that may cover all levels of the system, but mainly focused on API development. A strong knowledge base and ability to work cooperatively internally and with other teams are necessary.
**Required Skills:**
* Bachelor's Degree in Computer Science or equivalent
* 5\+ years' experience in Java development
* Hands on experience with APIs, Spring Boot, Hibernate, MyBatis
* Knowledge and experience with both SOAP and Restful Web Service implementations
* Excellent verbal and written communication skills
**Preferred Skills:**
* Experience with Microservice Development
* Experience with React Development
* Experience with Kafka
* Familiarity with distributed caching like Redis
* Familiarly with Service Mesh (ISTIO), API Gateway (Kong), Keycloak
* Familiarity with Kubernetes and working within a cloud environment
* Familiarity with DoD STIG process
* Familiarity with Jira, Bitbucket, Jenkins
**Trillion is an equal opportunity employer. Applicants are considered for positions without regard to race, religion, gender, native origin, age, disability, or any other category protected by applicable federal, state, or local law.**</t>
        </is>
      </c>
    </row>
    <row r="51">
      <c r="A51" t="inlineStr">
        <is>
          <t>in-62da4fa165f6cde9</t>
        </is>
      </c>
      <c r="B51" t="inlineStr">
        <is>
          <t>Embedded Software Engineer (Associate, Experienced, or Senior) (</t>
        </is>
      </c>
      <c r="C51" t="inlineStr">
        <is>
          <t>Dhara Consulting Group</t>
        </is>
      </c>
      <c r="D51" t="inlineStr">
        <is>
          <t>indeed</t>
        </is>
      </c>
      <c r="E51" t="inlineStr"/>
      <c r="F51" t="inlineStr"/>
      <c r="G51" t="inlineStr">
        <is>
          <t>Mesa, AZ, US</t>
        </is>
      </c>
      <c r="H51" s="1" t="n">
        <v>46073</v>
      </c>
      <c r="I51" t="inlineStr">
        <is>
          <t>Posted today
Secret
$84,150 \- $129,950
Unspecified
IT \- Software
Mesa, AZ (On\-Site/Office)**Job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**Embedded** **S****oftware Engineers (Associate, Experienced or Senior) (** **Virtual)** to join the Software Engineering team, focused on developing embedded real\-time software for our avionics hardware solutions. At Boeing, we are at the forefront of aerospace innovation, shaping the future of flight and space exploration.  
We are seeking multiple talented embedded software engineers particularly who are passionate about one or more of the following areas:  
* **Low\-Level Development**: Creating kernel and user mode drivers for Linux and real\-time operating systems. Collaborating across engineering disciplines to define, develop, and debug hardware/software interfaces for avionics systems. Experience with board bring\-up, bootloaders, and on\-target debugging is a plus.
* **High\-Integrity Software Development**: Deriving and allocating requirements with traceability throughout the software lifecycle. Designing solutions that meet requirements and defining application interfaces. Developing and reviewing code that adheres to necessary safety and quality standards.
* **Integration and Test Automation**: Integrating software components on emulated and target hardware. Identifying vulnerabilities and ensuring software resilience. Developing and executing test plans, including automated tests for low\-level, safety\-critical software.
A successful candidate will be able to independently tackle challenging problems, communicate effectively, and take responsibility for the complete software lifecycle. All candidates are expected to possess working knowledge of modern software engineering tools and practices, such as Distributed Version Control Systems (DVCS), Continuous Integration (CI), Continuous Deployment (CD), and a bias towards automation. Boeing is committed to fostering a culture of safety, quality, and integrity. We value multi\-faceted perspectives and encourage all qualified candidates to apply. Join us in redefining what is possible and bringing world\-class innovation to market.  
Our teams are currently hiring for a broad range of experience levels including Associate, Experienced and Senior Software Engineers.  
**Position Responsibilities:**  
* Design, develop, test, debug, and maintain software integrated into embedded devices and systems, ensuring compliance with industry, customer, safety, and regulatory standards
* Review, analyze, and translate customer requirements into software product designs for embedded devices and systems
* Build and write code for embedded systems software tailored to specific specialized hardware
* Integrate embedded software with hardware components effectively
* Provide guidance on software and hardware integration best practices
* Implement current and emerging technologies, tools, frameworks, and regulatory changes relevant to software and hardware development
* Test and debug software for embedded devices and systems to ensure functionality and reliability
* Analyze, monitor, and enhance the efficiency and stability of embedded software systems
**Basic Qualifications (Required Skill/Experience):**  
* 1\+ years of professional software development experience
* 1\+ years of experience developing embedded software using C
**Preferred Qualifications (Desired Skills/Experience):**  
* Bachelor of Science degree from an accredited course of study in engineering, engineering technology (includes manufacturing engineering technology), chemistry, physics, mathematics, data science, or computer science
* Level 3: 3\+ years' related work experience or an equivalent combination of education and experience
* Level 4: 5\+ years' related work experience or an equivalent combination of education and experience
* Ability to effectively communicate and collaborate in a virtual work environment
* Ability to independently identify and solve problems encountered on the job using both creativity and established engineering principles
* Strong analytical skills, including the ability to isolate issues with logs and test results
* Experience with hardware debuggers (e.g., JTAG, logic analyzers, bus analyzers, etc.)
* Experience debugging, integrating, and testing software in emulated and hardware\-in\-the\-loop environments
* Experience identifying software vulnerabilities and implementing effective measures to protect the software
* Understanding of fundamental cyber security concepts, such as secure boot, encryption, and key management
* Experience developing and executing test plans, test cases, and requirement\-based tests for complex software systems
* Experience in scripting and automation using Python and Bash
* Knowledge and experience with developing software in relation to one or more of the following standards: DO\-178C, NASA\-STD\-5001, MIL\-STD\-498, MIL\-STD\-882, MIL\-HDBK\-516C.
**Travel:**  
Less than 10%  
**CodeVue Coding Challenge:**  
To be considered for this position you will be required to complete a technical assessment as part of the selection process. Failure to complete the assessment will remove you from consideration.
**Drug Free Workplace:**
Boeing is a Drug Free Workplace (DFW)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$84,150 \- $129,950  
Summary Pay Range for Experienced: $102,850 \- $159,850  
Summary Pay Range for Senior: $123,250 \- $192,050  
Applications for this position will be accepted until **Mar. 09,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t>
        </is>
      </c>
    </row>
    <row r="52">
      <c r="A52" t="inlineStr">
        <is>
          <t>in-9603180e9da9b009</t>
        </is>
      </c>
      <c r="B52" t="inlineStr">
        <is>
          <t>Software Engineers -DevSecOps (Associate and Experienced)</t>
        </is>
      </c>
      <c r="C52" t="inlineStr">
        <is>
          <t>Dhara Consulting Group</t>
        </is>
      </c>
      <c r="D52" t="inlineStr">
        <is>
          <t>indeed</t>
        </is>
      </c>
      <c r="E52" t="inlineStr"/>
      <c r="F52" t="inlineStr"/>
      <c r="G52" t="inlineStr">
        <is>
          <t>Berkeley, MO, US</t>
        </is>
      </c>
      <c r="H52" s="1" t="n">
        <v>46073</v>
      </c>
      <c r="I52" t="inlineStr">
        <is>
          <t>Posted today
Secret
$91,800 \- $124,200
Unspecified
IT \- Software
Berkeley, MO (On\-Site/Office)**Job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Engineers \-DevSecOps (Associate and Experienced)** to work in **Berkeley, Missouri**.  
We're seeking a highly talented, motivated, and creative individual to support the existing capabilities of **Air Proprietary 1** in the **Air Dominance** organization. Applicable and appropriate educational/certification credentials from an accredited institution and/or equivalent experience is required.  
**Position Responsibilities:**  
* Assist in the deployment and configuration of technologies and tools used in software development, including build servers, version control systems, CI/CD pipelines and automated testing frameworks
* Assist in managing and maintain Amazon Web Services (AWS) or Microsoft Azure cloud\-based and on premises infrastructures
* Create and maintain Infrastructure as Code (IaC), Ansible, and other scripts and automation to simplify infrastructure administration and software deployment
* Assists in setting up development and production environments, deployment of application devices
* Assists in developing best practices/methodologies for provisioning, platform scaling, configuration management, monitoring and troubleshooting
* Assists in providing information to delivery teams to establish and achieve service level indicators, service level objectives, service level agreements, key\-performance indicators, and error budgets
* Supports or Manages software development tool administration, maintenance, version upgrades, patch management, and integration between the tools (Jira, Gitlab, Artifactory, Confluence, SonarQube, etc)
* Provides information in creating and executing process improvement solutions
* Strives to continuously drive solutions to answer the question "How do we operationally field higher quality end\-to\-end system software more frequently?
* Contributes to the deployment and configuration of technologies and tools used in software development, including build servers, version control systems, CI/CD pipelines and automated testing frameworks
* Implements automation frameworks and tools to streamline development workflows, enhance deployment efficiency, and reduce manual intervention, ensuring consistent and reliable software delivery
* Develops and maintains metrics and dashboards to monitor system performance and operational efficiency, enabling data\-driven decision\-making and continuous improvement
* Actively manages and maintains Amazon Web Services (AWS) cloud\-based and on premises infrastructures
* Create and maintain Infrastructure as Code (IaC), Ansible, and other scripts and automation to simplify infrastructure administration and software deployment
* Establishes and maintains development and production environments, deployment of application devices
* Develops best practices/methodologies for provisioning, platform scaling, configuration management, monitoring and troubleshooting
* Provides information to delivery teams to establish and achieve service level indicators, service level objectives, service level agreements, key\-performance indicators, and error budgets
* Mentors and advises junior teammates and development teams on best practices in DevSecOps, providing technical guidance and fostering a culture of knowledge sharing and continuous learning
**This position requires the ability to obtain a U.S. Security Clearance for which the U.S. Government requires U.S. Citizenship.** **An interim and/or final U.S. Secret Clearance Post\-Start is required. This position requires ability to obtain program access, for which the U.S. Government requires U.S. Citizenship only.**  
**Basic Qualifications (Required Skills/ Experience):**  
* 1\-3 years of experience with C\+\+, C\#, Java, or Python
* 1\-3 years of experience with Agile Software Development
**Preferred Qualifications (Desired Skills/Experience):**  
* Bachelor, Master or Doctor of Science degree from an accredited course of study, in engineering, computer science, mathematics, physics or chemistry
* Experience with Amazon Web Services
* Experience with Infrastructure as Code
* Ability to obtain Security\+ certification
* Linux experience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$91,800\.00 \- $124,200\.00\.  
Summary pay range for Experienced: $112,200\.00 \- $151,800\.00\.  
Applications for this position will be accepted until **Mar. 06,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law.**GROUP ID:** 10117050</t>
        </is>
      </c>
    </row>
    <row r="53">
      <c r="A53" t="inlineStr">
        <is>
          <t>in-c3b32f6f53279a94</t>
        </is>
      </c>
      <c r="B53" t="inlineStr">
        <is>
          <t>Senior Software Engineer</t>
        </is>
      </c>
      <c r="C53" t="inlineStr">
        <is>
          <t>St. David's HealthCare</t>
        </is>
      </c>
      <c r="D53" t="inlineStr">
        <is>
          <t>indeed</t>
        </is>
      </c>
      <c r="E53" t="inlineStr"/>
      <c r="F53" t="inlineStr"/>
      <c r="G53" t="inlineStr">
        <is>
          <t>Austin, TX, US</t>
        </is>
      </c>
      <c r="H53" s="1" t="n">
        <v>46073</v>
      </c>
      <c r="I53" t="inlineStr">
        <is>
          <t>##### **Introduction**
Do you want to join an organization that invests in you as a Senior Software Engineer? At St. David’s HealthCare, you come first. HCA Healthcare has committed up to $300 million in programs to support our incredible team members over the course of three years.
##### **Benefits**
St. David’s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Senior Software Engineer like you to be a part of our team.
##### **Job Summary and Qualifications**
Summary
As a Senior Software Engineer, you’ll contribute to the full lifecycle of software development – from architectural design and prototyping to deployment and maintenance of innovative solutions. You’ll drive the development of scalable, data\-driven applications and products, including ETL pipelines, APIs, and user\-facing interfaces. This role requires cross\-functional collaboration, a strong understanding of modern software development best practices, and a cloud\-first mindset. The ideal candidate thrives in dynamic environments, enjoys solving complex problems, and is passionate about delivering impactful solutions in accelerated development cycles.
What you will Do:
* Design, develop, and maintain scalable, dependable, and maintainable end\-to\-end software solutions, including user interfaces, middle\-tier services, and data layers.
* Produce high\-quality, modular, and reusable code that adheres to modern software development best practices.
* Implement and maintain application monitoring, logging, and alerting to ensure system reliability, performance, and early detection of issues.
* Estimate and plan work effort required for software features, contributing to sprint planning and roadmap alignment.
* Collaborate across teams to identify, escalate, and resolve software development issues and risks.
* Adhere to and advocate for best practices in software architecture, automation, CI/CD pipelines, and cloud\-native development.
* Build, maintain, and enhance ETL pipelines to support the data needs of software applications and systems.
* Prepare and maintain technical documentation, including system designs, evaluation plans, test results, and user manuals.
* Lead or contribute to troubleshooting efforts for web applications, APIs, and data systems, including ETL\-related incidents.
* Provide after\-hours/on\-call support as needed.
* Perform other duties as assigned.
* Practice and adhere to the “Code of Conduct” philosophy and “Mission and Value Statement.”
###### **What qualifications you will need:**
* Bachelor's degree or combination of education and professional experience required
* Master's degree preferred
* 5\+ years of experience in a software development role required
* Rapid Application Development (RAD): Familiarity with iterative and incremental development approaches, including prototyping and rapid deployment cycles.
* Cloud Infrastructure: Experience with cloud development technologies (Google Cloud Platform preferred)
* Programming Languages: Strong proficiency in multiple primary programming languages (Python, Javascript, C\#)
* Query Languages: SQL experience (BigQuery \[googleSQL], MS SQL Server \[t\-SQL], PostGresDB \[pgSQL])
* Data Acquisition: Ability to connect to and retrieve data from APIs, cloud storage, SQL databases, and flat files.
* Data Transformation: Competency in writing robust parsing logic, applying schema transformations, and data normalization for downstream consumption.
* Data Sources \&amp; Formats: Familiarity with diverse data formats (CSV, JSON, HL7, FHIR) and sources (APIs, databases, flat files, real\-time streams).
* Architecture: Working knowledge of streaming and event driven architectures
* API Development: Strong understanding of best practices in the design and implementation of REST\-based APIs
* DevOps/ Version Control: Understanding of DevOps practices (Version Control \&amp; Agile Tools: Git, JIRA, Confluence, GitHub Actions, etc.)
* Support and Monitoring: Experience with monitoring and instrumentation practices
* Agile Tools: Scrum/Agile experience
* Essentials Skills: Excellent communication skills both written and verbal
* Context Switching: Skillfully navigating and reprioritizing tasks in response to shifting operational demands.
* Prototyping: Ability to build rapid proofs\-of\-concept and iterate quickly based on stakeholder feedback.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 Drive Execution and Financial Results: Ability to commit to the success and financial wellbeing of HCA by challenging others to excel and hold themselves and others accountable for achieving results.
"Good people beget good people."\- Dr. Thomas Frist, Sr.  
HCA Healthcare Co\-Founder
We are a family 270,000 dedicated professionals! Our Talent Acquisition team is reviewing applications for our Senior Software Engineer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54">
      <c r="A54" t="inlineStr">
        <is>
          <t>in-74bb196bc523fd39</t>
        </is>
      </c>
      <c r="B54" t="inlineStr">
        <is>
          <t>Software Engineer (Leadership)</t>
        </is>
      </c>
      <c r="C54" t="inlineStr">
        <is>
          <t>Meta</t>
        </is>
      </c>
      <c r="D54" t="inlineStr">
        <is>
          <t>indeed</t>
        </is>
      </c>
      <c r="E54" t="inlineStr"/>
      <c r="F54" t="inlineStr"/>
      <c r="G54" t="inlineStr">
        <is>
          <t>Seattle, WA, US</t>
        </is>
      </c>
      <c r="H54" s="1" t="n">
        <v>46071</v>
      </c>
      <c r="I54" t="inlineStr">
        <is>
          <t>Meta is seeking an AI Research Specialist to join our teams. The ideal candidate will have industry experience working on AI related topics. The position will involve taking these skills and applying them to solve for some of the most crucial and exciting problems that exist on the web. We are hiring in multiple locations.  
### **Software Engineer (Leadership) Responsibilities:**
* Drive the organization’s goal towards relevant machine learning techniques to build \&amp; optimize our intelligent systems that improve Meta’s products and experiences
* Effectively communicate complex features and systems in detail while advocating for higher product quality and engineering efficiency
* Assist in goal setting related to project impact, AI system design, and ML capabilities
* Develop custom/novel architectures, define use cases, and develop methodology \&amp; benchmarks to evaluate different approaches
* Apply in depth knowledge of how the machine learning system interacts with the other systems around it
* Understand industry and Meta wide technology trends in computing technology to help assess \&amp; develop new technologies within the ML Systems roadmap
* Drive the team's goals and technical direction to pursue opportunities that make your larger organization more efficient
* Partner \&amp; collaborate with organizational leaders to help improve the level of performance of the team \&amp; organization
### **Minimum Qualifications:**
* Bachelor's degree in Computer Science, Computer Engineering, relevant technical field, or equivalent practical experience
* Vast experience communicating and working across functions to drive solutions
* Experience in driving large cross\-functional/industry\-wide engineering efforts
* Proven track record of planning multi\-year roadmap in which shorter\-term projects ladder to the long term\-vision
* Experience leading projects with industry\-wide impact
* Specialized experience in one or more of the following machine learning/deep learning domains: ML systems: AI infrastructure, machine learning accelerators, high performance computing, machine learning compilers, GPU architecture, machine learning frameworks, on\-device optimization
* Experience developing AI algorithms or AI\-System infrastructure in C/C\+\+ or Python
### **Preferred Qualifications:**
* Experience with distributed systems or on\-device algorithm development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$271,000/year to $347,000/year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5">
      <c r="A55" t="inlineStr">
        <is>
          <t>in-67135d81246e5bf5</t>
        </is>
      </c>
      <c r="B55" t="inlineStr">
        <is>
          <t>Software Engineer - Source Control (Technical Leadership)</t>
        </is>
      </c>
      <c r="C55" t="inlineStr">
        <is>
          <t>Meta</t>
        </is>
      </c>
      <c r="D55" t="inlineStr">
        <is>
          <t>indeed</t>
        </is>
      </c>
      <c r="E55" t="inlineStr"/>
      <c r="F55" t="inlineStr"/>
      <c r="G55" t="inlineStr">
        <is>
          <t>Menlo Park, CA, US</t>
        </is>
      </c>
      <c r="H55" s="1" t="n">
        <v>46071</v>
      </c>
      <c r="I55" t="inlineStr">
        <is>
          <t>The Reality Labs teams at Meta are helping more people around the world come together and connect through Wearable and Virtual Reality hardware and software. Building these devices and experiences requires state\-of\-the\-art developer infrastructure, optimized for Wearable and Virtual Reality devices. The Reality Labs Developer Infrastructure team is looking for a leader to develop source control solutions across all Reality Labs software and devices.  
### **Software Engineer \- Source Control (Technical Leadership) Responsibilities:**
* Drive the team's goals and technical direction to pursue opportunities that make your larger organization more efficient
* Technically lead in a team environment across multiple scientific and engineering disciplines, making the architectural trade\-offs required to rapidly deliver software solutions
* Develop clean readable code, debug complex problems that span systems, prioritize effectively and get things done with a high level of efficiency
* Understand industry \&amp; company\-wide trends to help assess \&amp; develop new technologies
* Partner \&amp; collaborate with organization leaders to help improve the level of performance of the team \&amp; organization
* Use AI Agents to improve the productivity of the Source Control team
### **Minimum Qualifications:**
* Bachelor's degree in Computer Science, Computer Engineering, relevant technical field, or equivalent practical experience
* 12\+ years of programming experience in a relevant language OR 8\+ years experience with a PhD
* 8\+ years of relevant experience building large\-scale developer infrastructure or similar experience
* Experience leading projects with industry\-wide impact
* Extensive experience communicating and working across functions to drive solutions
* Proven track record of planning multi\-year roadmap in which shorter\-term projects ladder to the\-long term strategy
* Significant experience in mentoring/influencing engineers across organizations
* Significant experience building Developer Infrastructure solutions
### **Preferred Qualifications:**
* Expertise developing source control systems
* Experience with AOSP and Git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6">
      <c r="A56" t="inlineStr">
        <is>
          <t>in-c7022b854bbc04b4</t>
        </is>
      </c>
      <c r="B56" t="inlineStr">
        <is>
          <t>Software Engineer - Source Control (Technical Leadership)</t>
        </is>
      </c>
      <c r="C56" t="inlineStr">
        <is>
          <t>Meta</t>
        </is>
      </c>
      <c r="D56" t="inlineStr">
        <is>
          <t>indeed</t>
        </is>
      </c>
      <c r="E56" t="inlineStr"/>
      <c r="F56" t="inlineStr"/>
      <c r="G56" t="inlineStr">
        <is>
          <t>Burlingame, CA, US</t>
        </is>
      </c>
      <c r="H56" s="1" t="n">
        <v>46071</v>
      </c>
      <c r="I56" t="inlineStr">
        <is>
          <t>The Reality Labs teams at Meta are helping more people around the world come together and connect through Wearable and Virtual Reality hardware and software. Building these devices and experiences requires state\-of\-the\-art developer infrastructure, optimized for Wearable and Virtual Reality devices. The Reality Labs Developer Infrastructure team is looking for a leader to develop source control solutions across all Reality Labs software and devices.  
### **Software Engineer \- Source Control (Technical Leadership) Responsibilities:**
* Drive the team's goals and technical direction to pursue opportunities that make your larger organization more efficient
* Technically lead in a team environment across multiple scientific and engineering disciplines, making the architectural trade\-offs required to rapidly deliver software solutions
* Develop clean readable code, debug complex problems that span systems, prioritize effectively and get things done with a high level of efficiency
* Understand industry \&amp; company\-wide trends to help assess \&amp; develop new technologies
* Partner \&amp; collaborate with organization leaders to help improve the level of performance of the team \&amp; organization
* Use AI Agents to improve the productivity of the Source Control team
### **Minimum Qualifications:**
* Bachelor's degree in Computer Science, Computer Engineering, relevant technical field, or equivalent practical experience
* 12\+ years of programming experience in a relevant language OR 8\+ years experience with a PhD
* 8\+ years of relevant experience building large\-scale developer infrastructure or similar experience
* Experience leading projects with industry\-wide impact
* Extensive experience communicating and working across functions to drive solutions
* Proven track record of planning multi\-year roadmap in which shorter\-term projects ladder to the\-long term strategy
* Significant experience in mentoring/influencing engineers across organizations
* Significant experience building Developer Infrastructure solutions
### **Preferred Qualifications:**
* Expertise developing source control systems
* Experience with AOSP and Git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7">
      <c r="A57" t="inlineStr">
        <is>
          <t>in-bc215af66b4cec85</t>
        </is>
      </c>
      <c r="B57" t="inlineStr">
        <is>
          <t>Software Engineer - Source Control (Technical Leadership)</t>
        </is>
      </c>
      <c r="C57" t="inlineStr">
        <is>
          <t>Meta</t>
        </is>
      </c>
      <c r="D57" t="inlineStr">
        <is>
          <t>indeed</t>
        </is>
      </c>
      <c r="E57" t="inlineStr"/>
      <c r="F57" t="inlineStr"/>
      <c r="G57" t="inlineStr">
        <is>
          <t>Bellevue, WA, US</t>
        </is>
      </c>
      <c r="H57" s="1" t="n">
        <v>46071</v>
      </c>
      <c r="I57" t="inlineStr">
        <is>
          <t>The Reality Labs teams at Meta are helping more people around the world come together and connect through Wearable and Virtual Reality hardware and software. Building these devices and experiences requires state\-of\-the\-art developer infrastructure, optimized for Wearable and Virtual Reality devices. The Reality Labs Developer Infrastructure team is looking for a leader to develop source control solutions across all Reality Labs software and devices.  
### **Software Engineer \- Source Control (Technical Leadership) Responsibilities:**
* Drive the team's goals and technical direction to pursue opportunities that make your larger organization more efficient
* Technically lead in a team environment across multiple scientific and engineering disciplines, making the architectural trade\-offs required to rapidly deliver software solutions
* Develop clean readable code, debug complex problems that span systems, prioritize effectively and get things done with a high level of efficiency
* Understand industry \&amp; company\-wide trends to help assess \&amp; develop new technologies
* Partner \&amp; collaborate with organization leaders to help improve the level of performance of the team \&amp; organization
* Use AI Agents to improve the productivity of the Source Control team
### **Minimum Qualifications:**
* Bachelor's degree in Computer Science, Computer Engineering, relevant technical field, or equivalent practical experience
* 12\+ years of programming experience in a relevant language OR 8\+ years experience with a PhD
* 8\+ years of relevant experience building large\-scale developer infrastructure or similar experience
* Experience leading projects with industry\-wide impact
* Extensive experience communicating and working across functions to drive solutions
* Proven track record of planning multi\-year roadmap in which shorter\-term projects ladder to the\-long term strategy
* Significant experience in mentoring/influencing engineers across organizations
* Significant experience building Developer Infrastructure solutions
### **Preferred Qualifications:**
* Expertise developing source control systems
* Experience with AOSP and Git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in-ad115a74a3fe5971</t>
        </is>
      </c>
      <c r="B58" t="inlineStr">
        <is>
          <t>Software Engineer (Leadership)</t>
        </is>
      </c>
      <c r="C58" t="inlineStr">
        <is>
          <t>Meta</t>
        </is>
      </c>
      <c r="D58" t="inlineStr">
        <is>
          <t>indeed</t>
        </is>
      </c>
      <c r="E58" t="inlineStr"/>
      <c r="F58" t="inlineStr"/>
      <c r="G58" t="inlineStr">
        <is>
          <t>Menlo Park, CA, US</t>
        </is>
      </c>
      <c r="H58" s="1" t="n">
        <v>46071</v>
      </c>
      <c r="I58" t="inlineStr">
        <is>
          <t>Meta is seeking an AI Research Specialist to join our teams. The ideal candidate will have industry experience working on AI related topics. The position will involve taking these skills and applying them to solve for some of the most crucial and exciting problems that exist on the web. We are hiring in multiple locations.  
### **Software Engineer (Leadership) Responsibilities:**
* Drive the organization’s goal towards relevant machine learning techniques to build \&amp; optimize our intelligent systems that improve Meta’s products and experiences
* Effectively communicate complex features and systems in detail while advocating for higher product quality and engineering efficiency
* Assist in goal setting related to project impact, AI system design, and ML capabilities
* Develop custom/novel architectures, define use cases, and develop methodology \&amp; benchmarks to evaluate different approaches
* Apply in depth knowledge of how the machine learning system interacts with the other systems around it
* Understand industry and Meta wide technology trends in computing technology to help assess \&amp; develop new technologies within the ML Systems roadmap
* Drive the team's goals and technical direction to pursue opportunities that make your larger organization more efficient
* Partner \&amp; collaborate with organizational leaders to help improve the level of performance of the team \&amp; organization
### **Minimum Qualifications:**
* Bachelor's degree in Computer Science, Computer Engineering, relevant technical field, or equivalent practical experience
* Vast experience communicating and working across functions to drive solutions
* Experience in driving large cross\-functional/industry\-wide engineering efforts
* Proven track record of planning multi\-year roadmap in which shorter\-term projects ladder to the long term\-vision
* Experience leading projects with industry\-wide impact
* Specialized experience in one or more of the following machine learning/deep learning domains: ML systems: AI infrastructure, machine learning accelerators, high performance computing, machine learning compilers, GPU architecture, machine learning frameworks, on\-device optimization
* Experience developing AI algorithms or AI\-System infrastructure in C/C\+\+ or Python
### **Preferred Qualifications:**
* Experience with distributed systems or on\-device algorithm development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$271,000/year to $347,000/year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9">
      <c r="A59" t="inlineStr">
        <is>
          <t>in-f482eba18e9d498b</t>
        </is>
      </c>
      <c r="B59" t="inlineStr">
        <is>
          <t>Software Engineer II, Android</t>
        </is>
      </c>
      <c r="C59" t="inlineStr">
        <is>
          <t>Amazon.com</t>
        </is>
      </c>
      <c r="D59" t="inlineStr">
        <is>
          <t>indeed</t>
        </is>
      </c>
      <c r="E59" t="inlineStr"/>
      <c r="F59" t="inlineStr"/>
      <c r="G59" t="inlineStr">
        <is>
          <t>San Francisco, CA, US</t>
        </is>
      </c>
      <c r="H59" s="1" t="n">
        <v>46044</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60">
      <c r="A60" t="inlineStr">
        <is>
          <t>in-53cc36bb82940710</t>
        </is>
      </c>
      <c r="B60" t="inlineStr">
        <is>
          <t>Software Engineer II, Android</t>
        </is>
      </c>
      <c r="C60" t="inlineStr">
        <is>
          <t>Amazon.com</t>
        </is>
      </c>
      <c r="D60" t="inlineStr">
        <is>
          <t>indeed</t>
        </is>
      </c>
      <c r="E60" t="inlineStr"/>
      <c r="F60" t="inlineStr"/>
      <c r="G60" t="inlineStr">
        <is>
          <t>Seattle, WA, US</t>
        </is>
      </c>
      <c r="H60" s="1" t="n">
        <v>46044</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61">
      <c r="A61" t="inlineStr">
        <is>
          <t>in-b28a91ab69983f44</t>
        </is>
      </c>
      <c r="B61" t="inlineStr">
        <is>
          <t>Software Engineer II, Android</t>
        </is>
      </c>
      <c r="C61" t="inlineStr">
        <is>
          <t>Amazon.com</t>
        </is>
      </c>
      <c r="D61" t="inlineStr">
        <is>
          <t>indeed</t>
        </is>
      </c>
      <c r="E61" t="inlineStr"/>
      <c r="F61" t="inlineStr"/>
      <c r="G61" t="inlineStr">
        <is>
          <t>Irvine, CA, US</t>
        </is>
      </c>
      <c r="H61" s="1" t="n">
        <v>46044</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62">
      <c r="A62" t="inlineStr">
        <is>
          <t>in-10c8fe9d2dd713b2</t>
        </is>
      </c>
      <c r="B62" t="inlineStr">
        <is>
          <t>Software Engineer - Full Stack</t>
        </is>
      </c>
      <c r="C62" t="inlineStr">
        <is>
          <t>KBR</t>
        </is>
      </c>
      <c r="D62" t="inlineStr">
        <is>
          <t>indeed</t>
        </is>
      </c>
      <c r="E62" t="inlineStr"/>
      <c r="F62" t="inlineStr"/>
      <c r="G62" t="inlineStr">
        <is>
          <t>Sioux Falls, SD, US</t>
        </is>
      </c>
      <c r="H62" s="1" t="n">
        <v>46012</v>
      </c>
      <c r="I62" t="inlineStr">
        <is>
          <t>**Belong.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**Around here, we define the future.**  
At KBR, we are innovators, thinkers, creators, explorers, volunteers, and dreamers—united by one goal: to improve the world responsibly and safely by supporting the science that informs decision\-makers and protects our planet.
KBR’s **Science and Space Division** is seeking a **Software Engineer / Web Developer** to support our **Technical Support Services Contract (TSSC)** at the **United States Geological Survey (USGS) Earth Resources Observation and Science (EROS) Center** near Sioux Falls, SD. Learn more about EROS http://eros.usgs.gov/ and Sioux Falls http://www.siouxfalls.org.
This is a **mid\-level** role for a Software Engineer with a strong web development background. You’ll join a talented team building cutting\-edge, web\-based mapping tools that support critical science projects serving communities in areas such as wildland fire management, drought monitoring, and land cover mapping.
**Must be a U.S. Citizen**
**Responsibilities**
* Develop and maintain websites and mapping applications for visualizing and distributing geospatial data.
* Create Python scripts to produce geospatial data products.
* Work with technologies including PHP, Python, HTML, CSS, JavaScript, and XML.
* Collaborate with a skilled web development team supporting the USGS EROS Integrated Science Applications Branch.
**Required Education \&amp; Experience**
Candidates must meet the following requirements (please highlight these on your resume):
* Ability to obtain and maintain a national agency check and background investigation for facility access and user accounts.
* U.S. Citizenship.
* Bachelor’s degree in Software Engineering or Computer Science.
* 3–5 years of recent, relevant work experience.
* Strong interpersonal, organizational, and communication skills.
* Ability to work independently and in a team environment.
* Solid understanding of software engineering methodologies and processes.
* Experience with:
	+ Web design, administration, and database\-driven applications.
	+ PHP and MySQL.
	+ JavaScript, HTML/CSS, and React.
	+ Python programming.
	+ Databases (MySQL, PostgreSQL).
	+ Security concepts.
	+ Collaboration tools.
*Equivalent education and/or experience will be considered.*
**Preferred Qualifications**
* Familiarity with Laravel or similar frameworks.
* Experience with requirements and design analysis.
* Knowledge of testing and configuration management tools (e.g., Git).
* Experience with GIS systems and tools (commercial or open source).
* Understanding of Open Geospatial Consortium (OGC) specifications (WMS, WFS, WCS, WPS) and OGC APIs.
* Familiarity with spatial data, reference, and projection systems.
**Work Location**
This position is based at the USGS EROS Center and offers a **hybrid remote/on\-site schedule**.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63">
      <c r="A63" t="inlineStr">
        <is>
          <t>in-ccdec4b52b5343b0</t>
        </is>
      </c>
      <c r="B63" t="inlineStr">
        <is>
          <t>Sr Software Engineer, Amazon Ads Exchange</t>
        </is>
      </c>
      <c r="C63" t="inlineStr">
        <is>
          <t>Amazon.com</t>
        </is>
      </c>
      <c r="D63" t="inlineStr">
        <is>
          <t>indeed</t>
        </is>
      </c>
      <c r="E63" t="inlineStr"/>
      <c r="F63" t="inlineStr"/>
      <c r="G63" t="inlineStr">
        <is>
          <t>Palo Alto, CA, US</t>
        </is>
      </c>
      <c r="H63" s="1" t="n">
        <v>46002</v>
      </c>
      <c r="I6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in-9bd2063a578faf33</t>
        </is>
      </c>
      <c r="B64" t="inlineStr">
        <is>
          <t>Sr Software Engineer, Amazon Ads Exchange</t>
        </is>
      </c>
      <c r="C64" t="inlineStr">
        <is>
          <t>Amazon.com</t>
        </is>
      </c>
      <c r="D64" t="inlineStr">
        <is>
          <t>indeed</t>
        </is>
      </c>
      <c r="E64" t="inlineStr"/>
      <c r="F64" t="inlineStr"/>
      <c r="G64" t="inlineStr">
        <is>
          <t>San Francisco, CA, US</t>
        </is>
      </c>
      <c r="H64" s="1" t="n">
        <v>46002</v>
      </c>
      <c r="I6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in-b2a855bad677a4ff</t>
        </is>
      </c>
      <c r="B65" t="inlineStr">
        <is>
          <t>Sr Software Engineer, Amazon Ads Exchange</t>
        </is>
      </c>
      <c r="C65" t="inlineStr">
        <is>
          <t>Amazon.com</t>
        </is>
      </c>
      <c r="D65" t="inlineStr">
        <is>
          <t>indeed</t>
        </is>
      </c>
      <c r="E65" t="inlineStr"/>
      <c r="F65" t="inlineStr"/>
      <c r="G65" t="inlineStr">
        <is>
          <t>Arlington, VA, US</t>
        </is>
      </c>
      <c r="H65" s="1" t="n">
        <v>46002</v>
      </c>
      <c r="I6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in-1e0be8ab528856d8</t>
        </is>
      </c>
      <c r="B66" t="inlineStr">
        <is>
          <t>Software Engineer I</t>
        </is>
      </c>
      <c r="C66" t="inlineStr">
        <is>
          <t>Amazon.com</t>
        </is>
      </c>
      <c r="D66" t="inlineStr">
        <is>
          <t>indeed</t>
        </is>
      </c>
      <c r="E66" t="inlineStr"/>
      <c r="F66" t="inlineStr"/>
      <c r="G66" t="inlineStr">
        <is>
          <t>San Francisco, CA, US</t>
        </is>
      </c>
      <c r="H66" s="1" t="n">
        <v>46001</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in-302fca3295d61b46</t>
        </is>
      </c>
      <c r="B67" t="inlineStr">
        <is>
          <t>Software Engineer I</t>
        </is>
      </c>
      <c r="C67" t="inlineStr">
        <is>
          <t>Amazon.com</t>
        </is>
      </c>
      <c r="D67" t="inlineStr">
        <is>
          <t>indeed</t>
        </is>
      </c>
      <c r="E67" t="inlineStr"/>
      <c r="F67" t="inlineStr"/>
      <c r="G67" t="inlineStr">
        <is>
          <t>Seattle, WA, US</t>
        </is>
      </c>
      <c r="H67" s="1" t="n">
        <v>46001</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in-847f0e73339061ea</t>
        </is>
      </c>
      <c r="B68" t="inlineStr">
        <is>
          <t>Software Engineer II, Android</t>
        </is>
      </c>
      <c r="C68" t="inlineStr">
        <is>
          <t>Amazon.com</t>
        </is>
      </c>
      <c r="D68" t="inlineStr">
        <is>
          <t>indeed</t>
        </is>
      </c>
      <c r="E68" t="inlineStr"/>
      <c r="F68" t="inlineStr"/>
      <c r="G68" t="inlineStr">
        <is>
          <t>Irvine, CA, US</t>
        </is>
      </c>
      <c r="H68" s="1" t="n">
        <v>45995</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in-cf2816c0c835fdd2</t>
        </is>
      </c>
      <c r="B69" t="inlineStr">
        <is>
          <t>Software Engineer II, Android</t>
        </is>
      </c>
      <c r="C69" t="inlineStr">
        <is>
          <t>Amazon.com</t>
        </is>
      </c>
      <c r="D69" t="inlineStr">
        <is>
          <t>indeed</t>
        </is>
      </c>
      <c r="E69" t="inlineStr"/>
      <c r="F69" t="inlineStr"/>
      <c r="G69" t="inlineStr">
        <is>
          <t>San Francisco, CA, US</t>
        </is>
      </c>
      <c r="H69" s="1" t="n">
        <v>45995</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in-6c5b6f1d85ff7384</t>
        </is>
      </c>
      <c r="B70" t="inlineStr">
        <is>
          <t>Software Engineer II, Android</t>
        </is>
      </c>
      <c r="C70" t="inlineStr">
        <is>
          <t>Amazon.com</t>
        </is>
      </c>
      <c r="D70" t="inlineStr">
        <is>
          <t>indeed</t>
        </is>
      </c>
      <c r="E70" t="inlineStr"/>
      <c r="F70" t="inlineStr"/>
      <c r="G70" t="inlineStr">
        <is>
          <t>Seattle, WA, US</t>
        </is>
      </c>
      <c r="H70" s="1" t="n">
        <v>45995</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in-9b30c3ab3a8902b1</t>
        </is>
      </c>
      <c r="B71" t="inlineStr">
        <is>
          <t>Senior Embedded Software Engineer, Amazon Leo Digital RF Systems</t>
        </is>
      </c>
      <c r="C71" t="inlineStr">
        <is>
          <t>Amazon.com</t>
        </is>
      </c>
      <c r="D71" t="inlineStr">
        <is>
          <t>indeed</t>
        </is>
      </c>
      <c r="E71" t="inlineStr"/>
      <c r="F71" t="inlineStr"/>
      <c r="G71" t="inlineStr">
        <is>
          <t>San Diego, CA, US</t>
        </is>
      </c>
      <c r="H71" s="1" t="n">
        <v>45981</v>
      </c>
      <c r="I7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72">
      <c r="A72" t="inlineStr">
        <is>
          <t>in-5f078307493d19d3</t>
        </is>
      </c>
      <c r="B72" t="inlineStr">
        <is>
          <t>Senior Embedded Software Engineer, Amazon Leo Digital RF Systems</t>
        </is>
      </c>
      <c r="C72" t="inlineStr">
        <is>
          <t>Amazon.com</t>
        </is>
      </c>
      <c r="D72" t="inlineStr">
        <is>
          <t>indeed</t>
        </is>
      </c>
      <c r="E72" t="inlineStr"/>
      <c r="F72" t="inlineStr"/>
      <c r="G72" t="inlineStr">
        <is>
          <t>Redmond, WA, US</t>
        </is>
      </c>
      <c r="H72" s="1" t="n">
        <v>45981</v>
      </c>
      <c r="I7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73">
      <c r="A73" t="inlineStr">
        <is>
          <t>in-3b52bc0460c74ded</t>
        </is>
      </c>
      <c r="B73" t="inlineStr">
        <is>
          <t>Senior Software Engineer - Query Optimization, Aurora DSQL</t>
        </is>
      </c>
      <c r="C73" t="inlineStr">
        <is>
          <t>Amazon Web Services</t>
        </is>
      </c>
      <c r="D73" t="inlineStr">
        <is>
          <t>indeed</t>
        </is>
      </c>
      <c r="E73" t="inlineStr"/>
      <c r="F73" t="inlineStr"/>
      <c r="G73" t="inlineStr">
        <is>
          <t>East Palo Alto, CA, US</t>
        </is>
      </c>
      <c r="H73" s="1" t="n">
        <v>45931</v>
      </c>
      <c r="I7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74">
      <c r="A74" t="inlineStr">
        <is>
          <t>in-fd1b8435a5cfdb05</t>
        </is>
      </c>
      <c r="B74" t="inlineStr">
        <is>
          <t>Senior Software Engineer - Query Optimization, Aurora DSQL</t>
        </is>
      </c>
      <c r="C74" t="inlineStr">
        <is>
          <t>Amazon Web Services</t>
        </is>
      </c>
      <c r="D74" t="inlineStr">
        <is>
          <t>indeed</t>
        </is>
      </c>
      <c r="E74" t="inlineStr"/>
      <c r="F74" t="inlineStr"/>
      <c r="G74" t="inlineStr">
        <is>
          <t>Seattle, WA, US</t>
        </is>
      </c>
      <c r="H74" s="1" t="n">
        <v>45931</v>
      </c>
      <c r="I7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75">
      <c r="A75" t="inlineStr">
        <is>
          <t>in-a49142a06d6eb704</t>
        </is>
      </c>
      <c r="B75" t="inlineStr">
        <is>
          <t>Sr. Device Software Engineer, Amazon Leo Government</t>
        </is>
      </c>
      <c r="C75" t="inlineStr">
        <is>
          <t>Amazon.com</t>
        </is>
      </c>
      <c r="D75" t="inlineStr">
        <is>
          <t>indeed</t>
        </is>
      </c>
      <c r="E75" t="inlineStr"/>
      <c r="F75" t="inlineStr"/>
      <c r="G75" t="inlineStr">
        <is>
          <t>El Segundo, CA, US</t>
        </is>
      </c>
      <c r="H75" s="1" t="n">
        <v>45911</v>
      </c>
      <c r="I7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6">
      <c r="A76" t="inlineStr">
        <is>
          <t>in-c6638c78723ffc28</t>
        </is>
      </c>
      <c r="B76" t="inlineStr">
        <is>
          <t>Sr. Device Software Engineer, Amazon Leo Government</t>
        </is>
      </c>
      <c r="C76" t="inlineStr">
        <is>
          <t>Amazon.com</t>
        </is>
      </c>
      <c r="D76" t="inlineStr">
        <is>
          <t>indeed</t>
        </is>
      </c>
      <c r="E76" t="inlineStr"/>
      <c r="F76" t="inlineStr"/>
      <c r="G76" t="inlineStr">
        <is>
          <t>Arlington, VA, US</t>
        </is>
      </c>
      <c r="H76" s="1" t="n">
        <v>45911</v>
      </c>
      <c r="I7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7">
      <c r="A77" t="inlineStr">
        <is>
          <t>in-5c8fcdae44817d60</t>
        </is>
      </c>
      <c r="B77" t="inlineStr">
        <is>
          <t>Sr. Device Software Engineer, Amazon Leo Government</t>
        </is>
      </c>
      <c r="C77" t="inlineStr">
        <is>
          <t>Amazon.com</t>
        </is>
      </c>
      <c r="D77" t="inlineStr">
        <is>
          <t>indeed</t>
        </is>
      </c>
      <c r="E77" t="inlineStr"/>
      <c r="F77" t="inlineStr"/>
      <c r="G77" t="inlineStr">
        <is>
          <t>Northridge, CA, US</t>
        </is>
      </c>
      <c r="H77" s="1" t="n">
        <v>45911</v>
      </c>
      <c r="I7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8">
      <c r="A78" t="inlineStr">
        <is>
          <t>in-c468e94599f8c77e</t>
        </is>
      </c>
      <c r="B78" t="inlineStr">
        <is>
          <t>Sr. Device Software Engineer, Amazon Leo Government</t>
        </is>
      </c>
      <c r="C78" t="inlineStr">
        <is>
          <t>Amazon.com</t>
        </is>
      </c>
      <c r="D78" t="inlineStr">
        <is>
          <t>indeed</t>
        </is>
      </c>
      <c r="E78" t="inlineStr"/>
      <c r="F78" t="inlineStr"/>
      <c r="G78" t="inlineStr">
        <is>
          <t>Redmond, WA, US</t>
        </is>
      </c>
      <c r="H78" s="1" t="n">
        <v>45911</v>
      </c>
      <c r="I7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9">
      <c r="A79" t="inlineStr">
        <is>
          <t>in-cb018b6b24258e6a</t>
        </is>
      </c>
      <c r="B79" t="inlineStr">
        <is>
          <t>Device Software Engineer, Amazon Leo Government</t>
        </is>
      </c>
      <c r="C79" t="inlineStr">
        <is>
          <t>Amazon.com</t>
        </is>
      </c>
      <c r="D79" t="inlineStr">
        <is>
          <t>indeed</t>
        </is>
      </c>
      <c r="E79" t="inlineStr"/>
      <c r="F79" t="inlineStr"/>
      <c r="G79" t="inlineStr">
        <is>
          <t>Arlington, VA, US</t>
        </is>
      </c>
      <c r="H79" s="1" t="n">
        <v>45910</v>
      </c>
      <c r="I7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80">
      <c r="A80" t="inlineStr">
        <is>
          <t>in-3a65849f30c29a99</t>
        </is>
      </c>
      <c r="B80" t="inlineStr">
        <is>
          <t>Device Software Engineer, Amazon Leo Government</t>
        </is>
      </c>
      <c r="C80" t="inlineStr">
        <is>
          <t>Amazon.com</t>
        </is>
      </c>
      <c r="D80" t="inlineStr">
        <is>
          <t>indeed</t>
        </is>
      </c>
      <c r="E80" t="inlineStr"/>
      <c r="F80" t="inlineStr"/>
      <c r="G80" t="inlineStr">
        <is>
          <t>Redmond, WA, US</t>
        </is>
      </c>
      <c r="H80" s="1" t="n">
        <v>45910</v>
      </c>
      <c r="I8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81">
      <c r="A81" t="inlineStr">
        <is>
          <t>in-87bd3c2c559f43e9</t>
        </is>
      </c>
      <c r="B81" t="inlineStr">
        <is>
          <t>Device Software Engineer, Amazon Leo Government</t>
        </is>
      </c>
      <c r="C81" t="inlineStr">
        <is>
          <t>Amazon.com</t>
        </is>
      </c>
      <c r="D81" t="inlineStr">
        <is>
          <t>indeed</t>
        </is>
      </c>
      <c r="E81" t="inlineStr"/>
      <c r="F81" t="inlineStr"/>
      <c r="G81" t="inlineStr">
        <is>
          <t>Northridge, CA, US</t>
        </is>
      </c>
      <c r="H81" s="1" t="n">
        <v>45910</v>
      </c>
      <c r="I8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82">
      <c r="A82" t="inlineStr">
        <is>
          <t>in-46e8cb37dda94502</t>
        </is>
      </c>
      <c r="B82" t="inlineStr">
        <is>
          <t>Device Software Engineer, Amazon Leo Government</t>
        </is>
      </c>
      <c r="C82" t="inlineStr">
        <is>
          <t>Amazon.com</t>
        </is>
      </c>
      <c r="D82" t="inlineStr">
        <is>
          <t>indeed</t>
        </is>
      </c>
      <c r="E82" t="inlineStr"/>
      <c r="F82" t="inlineStr"/>
      <c r="G82" t="inlineStr">
        <is>
          <t>El Segundo, CA, US</t>
        </is>
      </c>
      <c r="H82" s="1" t="n">
        <v>45910</v>
      </c>
      <c r="I8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83">
      <c r="A83" t="inlineStr">
        <is>
          <t>in-165ec1d83d1b4d42</t>
        </is>
      </c>
      <c r="B83" t="inlineStr">
        <is>
          <t>Software Developer Engineer - iOS, Ring</t>
        </is>
      </c>
      <c r="C83" t="inlineStr">
        <is>
          <t>Amazon.com</t>
        </is>
      </c>
      <c r="D83" t="inlineStr">
        <is>
          <t>indeed</t>
        </is>
      </c>
      <c r="E83" t="inlineStr"/>
      <c r="F83" t="inlineStr"/>
      <c r="G83" t="inlineStr">
        <is>
          <t>Hawthorne, CA, US</t>
        </is>
      </c>
      <c r="H83" s="1" t="n">
        <v>45812</v>
      </c>
      <c r="I8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in-434cb01c61f41133</t>
        </is>
      </c>
      <c r="B84" t="inlineStr">
        <is>
          <t>Software Developer Engineer - iOS, Ring</t>
        </is>
      </c>
      <c r="C84" t="inlineStr">
        <is>
          <t>Amazon.com</t>
        </is>
      </c>
      <c r="D84" t="inlineStr">
        <is>
          <t>indeed</t>
        </is>
      </c>
      <c r="E84" t="inlineStr"/>
      <c r="F84" t="inlineStr"/>
      <c r="G84" t="inlineStr">
        <is>
          <t>Austin, TX, US</t>
        </is>
      </c>
      <c r="H84" s="1" t="n">
        <v>45812</v>
      </c>
      <c r="I8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in-80e46ad29537d77c</t>
        </is>
      </c>
      <c r="B85" t="inlineStr">
        <is>
          <t>Software Developer Engineer - iOS, Ring</t>
        </is>
      </c>
      <c r="C85" t="inlineStr">
        <is>
          <t>Amazon.com</t>
        </is>
      </c>
      <c r="D85" t="inlineStr">
        <is>
          <t>indeed</t>
        </is>
      </c>
      <c r="E85" t="inlineStr"/>
      <c r="F85" t="inlineStr"/>
      <c r="G85" t="inlineStr">
        <is>
          <t>Irvine, CA, US</t>
        </is>
      </c>
      <c r="H85" s="1" t="n">
        <v>45812</v>
      </c>
      <c r="I8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in-e1c04dd00b40a0d6</t>
        </is>
      </c>
      <c r="B86" t="inlineStr">
        <is>
          <t>Senior Software Engineer - Query Processing, Aurora DSQL</t>
        </is>
      </c>
      <c r="C86" t="inlineStr">
        <is>
          <t>Amazon Web Services</t>
        </is>
      </c>
      <c r="D86" t="inlineStr">
        <is>
          <t>indeed</t>
        </is>
      </c>
      <c r="E86" t="inlineStr"/>
      <c r="F86" t="inlineStr"/>
      <c r="G86" t="inlineStr">
        <is>
          <t>East Palo Alto, CA, US</t>
        </is>
      </c>
      <c r="H86" s="1" t="n">
        <v>45796</v>
      </c>
      <c r="I8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in-16215b100e4497b5</t>
        </is>
      </c>
      <c r="B87" t="inlineStr">
        <is>
          <t>Senior Software Engineer - Query Processing, Aurora DSQL</t>
        </is>
      </c>
      <c r="C87" t="inlineStr">
        <is>
          <t>Amazon Web Services</t>
        </is>
      </c>
      <c r="D87" t="inlineStr">
        <is>
          <t>indeed</t>
        </is>
      </c>
      <c r="E87" t="inlineStr"/>
      <c r="F87" t="inlineStr"/>
      <c r="G87" t="inlineStr">
        <is>
          <t>Seattle, WA, US</t>
        </is>
      </c>
      <c r="H87" s="1" t="n">
        <v>45796</v>
      </c>
      <c r="I8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in-b2334484c3690385</t>
        </is>
      </c>
      <c r="B88" t="inlineStr">
        <is>
          <t>Backend Engineer</t>
        </is>
      </c>
      <c r="C88" t="inlineStr">
        <is>
          <t>A L P</t>
        </is>
      </c>
      <c r="D88" t="inlineStr">
        <is>
          <t>indeed</t>
        </is>
      </c>
      <c r="E88" t="inlineStr"/>
      <c r="F88" t="inlineStr"/>
      <c r="G88" t="inlineStr">
        <is>
          <t>Remote, US</t>
        </is>
      </c>
      <c r="H88" s="1" t="n">
        <v>46074</v>
      </c>
      <c r="I88" t="inlineStr">
        <is>
          <t>**Job Overview**  
We are seeking a highly motivated and skilled Backend Engineer to join our dynamic development team. In this role, you will be responsible for designing, developing, and maintaining robust server\-side applications that power our innovative platforms. Your expertise will help ensure seamless integration, optimal performance, and scalable solutions across various services and microservices architectures. If you thrive in a fast\-paced environment and are passionate about building high\-quality backend systems, this opportunity is perfect for you!
**Duties**
* Develop and maintain backend services using technologies such as C\#, .NET, Java, Python, and Node.js to support web applications and APIs.
* Design and implement RESTful APIs and web services to facilitate communication between front\-end interfaces and backend systems.
* Collaborate with front\-end developers to integrate UI components built with React, Angular, or Vue.js, ensuring a smooth user experience.
* Optimize database design and queries using SQL Server, MySQL, PostgreSQL, or MongoDB to ensure data integrity and high performance.
* Build scalable microservices architectures utilizing AWS, Azure, or other cloud platforms while implementing CI/CD pipelines for continuous deployment.
* Conduct unit testing, debugging, and code reviews to uphold high\-quality standards throughout the SDLC (Software Development Life Cycle).
* Participate in Agile development processes, including sprint planning and daily stand\-ups, to deliver features efficiently.
* Write comprehensive UML diagrams and documentation to support system architecture and future enhancements.
**Skills**
* Proven experience with web development frameworks such as ASP.NET (including ASP.NET Core), WCF (Windows Communication Foundation), or similar technologies.
* Strong knowledge of front\-end development tools like React, Angular, TypeScript, JavaScript, HTML5, CSS3, Bootstrap, and AJAX for full\-stack collaboration.
* Expertise in database management with SQL Server (T\-SQL), MySQL, PostgreSQL, or NoSQL databases like MongoDB; familiarity with database design principles is essential.
* Proficiency in software development methodologies including Agile practices; experience with SDLC tools such as TFS (Team Foundation Server), GitHub, SVN (Subversion), or Git is required.
* Familiarity with RESTful API design principles as well as SOAP\-based web services for enterprise integrations.
* Knowledge of microservices architecture patterns using Docker containers and orchestration tools like Kubernetes is a plus.
* Experience with cloud platforms such as AWS or Azure for deploying scalable applications; understanding of cloud security best practices is advantageous.
* Skills in multithreading, debugging complex issues, unit testing frameworks (e.g., NUnit, JUnit), and scripting languages like Bash or Shell Scripting.
* Ability to work with UML diagrams for system modeling; familiarity with application development tools such as Visual Studio or Eclipse enhances productivity.
* Strong understanding of OOP (Object\-Oriented Programming) principles; experience with MVC frameworks like ASP.NET MVC or Ruby on Rails is beneficial. Join us if you're eager to develop innovative backend solutions that make a real impact! We value energetic problem\-solvers who are committed to continuous learning and excellence in software engineering.
Job Type: Full\-time
Pay: $109,842\.87 \- $132,283\.89 per year
Benefits:
* 401(k)
* Dental insurance
* Flexible schedule
* Health insurance
* Paid time off
* Tuition reimbursement
* Vision insurance
Work Location: Remote</t>
        </is>
      </c>
    </row>
    <row r="89">
      <c r="A89" t="inlineStr">
        <is>
          <t>in-acf2e2085c5fd9b7</t>
        </is>
      </c>
      <c r="B89" t="inlineStr">
        <is>
          <t>Software Developer</t>
        </is>
      </c>
      <c r="C89" t="inlineStr">
        <is>
          <t>nitan</t>
        </is>
      </c>
      <c r="D89" t="inlineStr">
        <is>
          <t>indeed</t>
        </is>
      </c>
      <c r="E89" t="inlineStr"/>
      <c r="F89" t="inlineStr"/>
      <c r="G89" t="inlineStr">
        <is>
          <t>Remote, US</t>
        </is>
      </c>
      <c r="H89" s="1" t="n">
        <v>46074</v>
      </c>
      <c r="I89" t="inlineStr">
        <is>
          <t>**Job Summary**  
We are seeking a dynamic and innovative Software Developer to join our vibrant tech team! In this role, you will be at the forefront of designing, developing, and maintaining cutting\-edge software solutions that drive our business forward. Your expertise will help shape the future of our digital platforms, ensuring seamless user experiences and robust system performance. This position offers an exciting opportunity to work with a diverse tech stack, including web development, cloud services, and API integrations, all within an energetic and collaborative environment. If you thrive on solving complex problems and turning ideas into impactful applications, this is the perfect role for you!
**Responsibilities**
* Collaborate with cross\-functional teams to gather requirements and translate them into scalable software solutions using languages such as Java, Python, C\+\+, or C\#.
* Develop and maintain web applications utilizing frameworks like Ruby on Rails, React Express, and front\-end technologies such as JavaScript and HTML/CSS.
* Design, implement, and optimize RESTful APIs to enable smooth data exchange across platforms.
* Manage code repositories using version control tools like GitHub, SVN, and Git to ensure efficient collaboration and code integrity.
* Build and deploy applications on cloud platforms such as AWS and Azure, leveraging services for scalability and security.
* Follow Agile methodologies to deliver iterative improvements while maintaining high\-quality standards in software development lifecycle processes.
* Conduct thorough testing and debugging across Linux and Windows environments to ensure reliable performance.
* Implement security best practices including RBAC (Role\-Based Access Control) to safeguard sensitive data.
* Engage in continuous learning of emerging technologies like quantum engineering concepts or new programming languages to enhance development capabilities.
**Requirements**
* Proven experience in software development with proficiency in multiple programming languages including Java, Python, C\#, C\+\+, or VBA.
* Strong understanding of IT infrastructure components such as servers, networks, databases (MySQL, SQL), and cloud services (AWS, Azure).
* Hands\-on experience with web development frameworks like Ruby on Rails and front\-end libraries such as React or JavaScript frameworks.
* Familiarity with REST APIs, RESTful architecture principles, and API integration techniques.
* Knowledge of version control systems including GitHub, SVN, or similar tools for collaborative coding.
* Ability to develop applications using .NET technologies and application development best practices.
* Experience working within Agile teams to deliver projects efficiently in a fast\-paced environment.
* Solid understanding of Linux operating systems along with scripting skills for automation tasks.
* Exposure to application security protocols including RBAC and other access control mechanisms.
* Bonus skills include experience with Java Enterprise Edition (Java EE), C\#, VBA scripting for automation tasks, quantum engineering fundamentals, or front\-end development expertise. Join us in shaping innovative software solutions that make a real difference! We’re committed to fostering a diverse environment where talented developers can thrive while working on impactful projects that challenge your skills every day. All positions are paid roles designed to support your career growth in a vibrant tech community!
Job Types: Part\-time, Temporary
Pay: $3,500\.00 \- $4,500\.00 per month
Expected hours: 15 – 20 per week
Work Location: Remote</t>
        </is>
      </c>
    </row>
    <row r="90">
      <c r="A90" t="inlineStr">
        <is>
          <t>in-978f799f705b0867</t>
        </is>
      </c>
      <c r="B90" t="inlineStr">
        <is>
          <t>Senior Software Engineer</t>
        </is>
      </c>
      <c r="C90" t="inlineStr">
        <is>
          <t>2HB Incorporated</t>
        </is>
      </c>
      <c r="D90" t="inlineStr">
        <is>
          <t>indeed</t>
        </is>
      </c>
      <c r="E90" t="inlineStr"/>
      <c r="F90" t="inlineStr"/>
      <c r="G90" t="inlineStr">
        <is>
          <t>Annapolis Junction, MD, US</t>
        </is>
      </c>
      <c r="H90" s="1" t="n">
        <v>46073</v>
      </c>
      <c r="I90" t="inlineStr">
        <is>
          <t>**This is a full\-time position, and requires a TS/SCI/Full Scope Polygraph Clearance.**  
**2HB Incorporated is seeking a Senior Software Engineer in order to support its government customer in Annapolis Junction, MD.**
**Qualifications:** Master’s degree in computer science or related discipline from an accredited college or university, plus five (5\) years of experience as a SWE, in programs and contracts of similar scope, type, and complexity.  
**OR**  
Bachelor’s degree in computer science or related discipline from an accredited college or university, plus seven (7\) years of experience as a SWE, in programs and contracts of similar scope, type, and complexity  
**OR**  
Nine (9\) years of experience as a SWE, in programs and contracts of similar scope, type, and  
complexity.  
**Position Description**  
The Software Engineer shall be responsible for developing, sustaining, and troubleshooting software suite of applications including DINO and possibly future capabilities as mission needs arise. Software development activities include implementation, testing, and integration with other COTS, GOTS, and FOSS products, packages, and libraries.  
**Position Required Skills**  
 Experience using the Linux CLI and Tools  
 Experience developing scripts using Bash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using Git Source Control System  
**Position Desired Skills**  
 Experience with SQL databases including PostgreSQL  
 Experience with the Atlassian Tool Suite including Jira and Confluence
**This is a full\-time position, and requires a TS/SCI/Full Scope Polygraph Clearance.**</t>
        </is>
      </c>
    </row>
    <row r="91">
      <c r="A91" t="inlineStr">
        <is>
          <t>in-78756673dec13601</t>
        </is>
      </c>
      <c r="B91" t="inlineStr">
        <is>
          <t>Sr. Software Engineer</t>
        </is>
      </c>
      <c r="C91" t="inlineStr">
        <is>
          <t>2HB Incorporated</t>
        </is>
      </c>
      <c r="D91" t="inlineStr">
        <is>
          <t>indeed</t>
        </is>
      </c>
      <c r="E91" t="inlineStr"/>
      <c r="F91" t="inlineStr"/>
      <c r="G91" t="inlineStr">
        <is>
          <t>Annapolis Junction, MD, US</t>
        </is>
      </c>
      <c r="H91" s="1" t="n">
        <v>46073</v>
      </c>
      <c r="I91" t="inlineStr">
        <is>
          <t>**This is a full\-time position, and requires a TS/SCI/Full Scope Polygraph Clearance.**
**2HB Incorporated is seeking a Sr.** **Software Engineer** **to support its government customer in Annapolis Junction, MD.**
A senior engineer who can design, implement, and improve distributed application orchestration logic, mentor peers, and contribute to the architectural direction of the system.
#### **Responsibilities**
* Design scalable workflows for deploying and managing Kubernetes\-native applications
* Lead the development of reusable Helm charts, GitOps templates, and deployment strategies
* Build system\-aware controllers or agents that automate app lifecycle tasks
* Contribute to platform\-wide architecture decisions (e.g., deployment strategy, multi\-cluster config, observability)
* Mentor junior engineers and review code for reliability, clarity, and best practices
* Collaborate with DevOps and platform teams to ensure secure and compliant deployments
#### **Core Skills**
* Deep experience with Go or Python in cloud\-native contexts
* Strong Kubernetes experience: CRDs, Helm, GitOps, multi\-tenant app deployments
* Experience with event\-driven or agent\-based systems (e.g., Kafka, controller patterns)
* Familiar with infrastructure automation (Terraform, cloud\-init, Ansible)
* Comfortable balancing automation and operator oversight in complex environments
 #### **Leadership Traits**
* Owns end\-to\-end delivery of system components
* Helps shape internal standards and shared tooling
* Guides team through design decisions and tradeoffs
* Thinks in systems, not just services
**This is a full\-time position, and requires a TS/SCI/Full Scope Polygraph Clearance.**</t>
        </is>
      </c>
    </row>
    <row r="92">
      <c r="A92" t="inlineStr">
        <is>
          <t>in-1c657c5f41909404</t>
        </is>
      </c>
      <c r="B92" t="inlineStr">
        <is>
          <t>Software Engineer</t>
        </is>
      </c>
      <c r="C92" t="inlineStr">
        <is>
          <t>2HB Incorporated</t>
        </is>
      </c>
      <c r="D92" t="inlineStr">
        <is>
          <t>indeed</t>
        </is>
      </c>
      <c r="E92" t="inlineStr"/>
      <c r="F92" t="inlineStr"/>
      <c r="G92" t="inlineStr">
        <is>
          <t>Annapolis Junction, MD, US</t>
        </is>
      </c>
      <c r="H92" s="1" t="n">
        <v>46073</v>
      </c>
      <c r="I92" t="inlineStr">
        <is>
          <t>**This is a full\-time position, and requires a TS/SCI/Full Scope Polygraph Clearance.**
**2HB Incorporated is seeking a** **Software Engineer** **to support its government customer in Annapolis Junction, MD.**
### **A reliable engineer capable of implementing containerized application workflows and infrastructure automation using modern DevOps and cloud\-native tooling.**
#### **Responsibilities**
* Contribute to the development of deployment pipelines and Helm charts
* Collaborate with backend, frontend, and infrastructure teams to integrate services
* Work with Kubernetes tooling (Helm, GitOps, etc.) to support scalable deployments
* Follow team standards and participate in code reviews, testing, and documentation
* Implement and test logic to handle common app deployment patterns, secrets, and config maps
* Support internal efforts to standardize and document reusable application deployment templates
#### **Core Skills**
* Comfortable coding in Go, Python, or TypeScript
* Familiar with GitOps workflows and CI/CD tools like ArgoCD or Fleet
* Experience with Kubernetes manifests, Helm, Docker
* Understands basic concepts of infrastructure\-as\-code and Linux system operations
* Can debug and troubleshoot in a containerized environment
#### **Mindset**
* Eager to learn from senior teammates
* Open to working across the full stack and infrastructure boundaries
* Values automation, documentation, and code reusability
**This is a full\-time position, and requires a TS/SCI/Full Scope Polygraph Clearance.**</t>
        </is>
      </c>
    </row>
    <row r="93">
      <c r="A93" t="inlineStr">
        <is>
          <t>in-a83eb4b6547a8082</t>
        </is>
      </c>
      <c r="B93" t="inlineStr">
        <is>
          <t>Software Developer</t>
        </is>
      </c>
      <c r="C93" t="inlineStr">
        <is>
          <t>2HB Incorporated</t>
        </is>
      </c>
      <c r="D93" t="inlineStr">
        <is>
          <t>indeed</t>
        </is>
      </c>
      <c r="E93" t="inlineStr"/>
      <c r="F93" t="inlineStr"/>
      <c r="G93" t="inlineStr">
        <is>
          <t>Chantilly, VA, US</t>
        </is>
      </c>
      <c r="H93" s="1" t="n">
        <v>46073</v>
      </c>
      <c r="I93" t="inlineStr">
        <is>
          <t>**This is a full\-time position, and requires a TS/SCI/Full Scope Polygraph Clearance.**
**2HB Incorporated is seeking a Software Developer****to support its government customer in Chantilly, VA.**
The Sponsor's data analytics and collection services provide intelligence products to inform operations, drive collection, solve Sponsor business problems, and support national security needs. The Sponsor specializes in development and maintenance of large\-scale innovative solutions to solve the Sponsor's leading challenges in data correlation, aggregation, and graphing. The contractor shall support the advancement of the Sponsor's solution with highly technical software development to meet complex and evolving mission needs.  
**Required:**
* Demonstrated experience with Java Development
* Demonstrated experience designing, developing, maintaining, and troubleshooting APIs
* Demonstrated experience with Python
* Demonstrated Big Data experience
**This is a full\-time position, and requires a TS/SCI/Full Scope Polygraph Clearance.**</t>
        </is>
      </c>
    </row>
    <row r="94">
      <c r="A94" t="inlineStr">
        <is>
          <t>in-eb6b5161c2049560</t>
        </is>
      </c>
      <c r="B94" t="inlineStr">
        <is>
          <t>Mid-level Software Engineer</t>
        </is>
      </c>
      <c r="C94" t="inlineStr">
        <is>
          <t>2HB Incorporated</t>
        </is>
      </c>
      <c r="D94" t="inlineStr">
        <is>
          <t>indeed</t>
        </is>
      </c>
      <c r="E94" t="inlineStr"/>
      <c r="F94" t="inlineStr"/>
      <c r="G94" t="inlineStr">
        <is>
          <t>Annapolis Junction, MD, US</t>
        </is>
      </c>
      <c r="H94" s="1" t="n">
        <v>46073</v>
      </c>
      <c r="I94" t="inlineStr">
        <is>
          <t>**This is a full\-time position, and requires a TS/SCI/Full Scope Polygraph Clearance.**  
**2HB Incorporated is seeking a Mid\-level Software Engineer in order to support its government customer in Annapolis Junction, MD.**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**Position Description**  
The Software Engineer shall be responsible for developing, sustaining, and troubleshooting software suite of applications including DINO and possibly future capabilities as mission needs arise. Software development activities include implementation, testing, and integration with other COTS, GOTS, and FOSS products, packages, and libraries**.**  
**Position Required Skills**  
**** Experience using the Linux CLI and Tools  
 Experience developing scripts using Bash  
 Recent Python (3\.x) software development experience  
 Experience with Messaging Frameworks including RabbitMQ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CI/CD principles, methodologies, and tools including GitLab CI  
 Experience with distributed logging and monitoring concepts and tools including ElasticStack and Prometheus/Grafana  
 Experience using Git Source Control System  
**Position Desired Skills**  
 Experience with SQL databases including PostgreSQL  
 Familiar with IaC principles, methodologies, and tools such as Ansible  
 Experience with Rust programming concepts, or a willingness and aptitude to learn Rust  
 Experience with the Atlassian Tool Suite including Jira and Confluence
**This is a full\-time** **position, and requires a TS/SCI/Full Scope Polygraph Clearance.**</t>
        </is>
      </c>
    </row>
    <row r="95">
      <c r="A95" t="inlineStr">
        <is>
          <t>in-25063b065bbda2b1</t>
        </is>
      </c>
      <c r="B95" t="inlineStr">
        <is>
          <t>Software Engineer, Order Management</t>
        </is>
      </c>
      <c r="C95" t="inlineStr">
        <is>
          <t>Crate and Barrel</t>
        </is>
      </c>
      <c r="D95" t="inlineStr">
        <is>
          <t>indeed</t>
        </is>
      </c>
      <c r="E95" t="inlineStr"/>
      <c r="F95" t="inlineStr"/>
      <c r="G95" t="inlineStr">
        <is>
          <t>Northbrook, IL, US</t>
        </is>
      </c>
      <c r="H95" s="1" t="n">
        <v>46072</v>
      </c>
      <c r="I95" t="inlineStr">
        <is>
          <t>The Software Engineer, Order Management will will build high\-quality, reliable, and maintainable code.You will have the opportunity to work on a number of ground\-up projects tracking the entire order life cycle for our customers.
* **This position is fully remote**
* **This role is an Individual Contributor**
**A day in the life as a Senior Software Engineer, Order Management…**
* Design and development of complex software features and systems, ensuring they meet functional and non\-functional requirements, within an iterative development process
* Adhere to and promote agile software development best practices, design patterns, and coding standards within the team
* Perform thorough code reviews, ensuring high standards of code quality, maintainability, and performance
* Identify and resolve complex technical issues and bugs, providing effective and scalable solutions
* Contribute to architectural discussions and decisions, influencing the technical direction of projects
* Drive the creation and maintenance of high\-quality documentation for developed features and solutions, promoting best practices for knowledge sharing and contributing to a well\-maintained codebase and knowledge base
* Drive personal and team growth by actively tracking industry trends and new technologies, and proactively engaging in learning activities to elevate technical expertise
* Assist in improving CI/CD pipelines and DevOps practices
**What you'll bring to the table…**
* Strong expertise in software design and architectural patterns
* Deep understanding of agile software development methodologies and the full software development lifecycle
* Excellent problem\-solving, analytical, and critical\-thinking skills
* Strong communication, collaboration, and leadership skills, with the ability to effectively interact with cross\-functional team members
* Proficiency in multiple programming languages and technologies relevant to our stack (.NET, C\#)
* Experience with designing and developing scalable, high\-performance, and reliable software solutions in an iterative way
* In\-depth knowledge of software testing strategies and automation
* Familiarity with cloud platforms (e.g., AWS, Azure, GCP) and microservices architecture
* Understanding of database design, performance tuning, and security best practices
**We'd love to hear from you if you have...**
* Bachelor's degree in Computer Science, Software Engineering, or a related field (or equivalent practical experience)
* 2\+ years of professional software development experience, with a demonstrated progression of responsibilities
* Proven experience in designing and delivering complex software systems, preferably in an agile environment
* Experience leading technical aspects of projects
* Strong proficiency in relevant programming languages and frameworks
\#li\-remote</t>
        </is>
      </c>
    </row>
    <row r="96">
      <c r="A96" t="inlineStr">
        <is>
          <t>in-b2334484c3690385</t>
        </is>
      </c>
      <c r="B96" t="inlineStr">
        <is>
          <t>Backend Engineer</t>
        </is>
      </c>
      <c r="C96" t="inlineStr">
        <is>
          <t>A L P</t>
        </is>
      </c>
      <c r="D96" t="inlineStr">
        <is>
          <t>indeed</t>
        </is>
      </c>
      <c r="E96">
        <f>HYPERLINK("https://www.indeed.com/viewjob?jk=b2334484c3690385", "https://www.indeed.com/viewjob?jk=b2334484c3690385")</f>
        <v/>
      </c>
      <c r="F96">
        <f>HYPERLINK("http://www.indeed.com/job/backend-engineer-b2334484c3690385", "http://www.indeed.com/job/backend-engineer-b2334484c3690385")</f>
        <v/>
      </c>
      <c r="G96" t="inlineStr">
        <is>
          <t>Remote, US</t>
        </is>
      </c>
      <c r="H96" s="2" t="n">
        <v>46074</v>
      </c>
      <c r="I96" t="inlineStr">
        <is>
          <t>**Job Overview**  
We are seeking a highly motivated and skilled Backend Engineer to join our dynamic development team. In this role, you will be responsible for designing, developing, and maintaining robust server\-side applications that power our innovative platforms. Your expertise will help ensure seamless integration, optimal performance, and scalable solutions across various services and microservices architectures. If you thrive in a fast\-paced environment and are passionate about building high\-quality backend systems, this opportunity is perfect for you!
**Duties**
* Develop and maintain backend services using technologies such as C\#, .NET, Java, Python, and Node.js to support web applications and APIs.
* Design and implement RESTful APIs and web services to facilitate communication between front\-end interfaces and backend systems.
* Collaborate with front\-end developers to integrate UI components built with React, Angular, or Vue.js, ensuring a smooth user experience.
* Optimize database design and queries using SQL Server, MySQL, PostgreSQL, or MongoDB to ensure data integrity and high performance.
* Build scalable microservices architectures utilizing AWS, Azure, or other cloud platforms while implementing CI/CD pipelines for continuous deployment.
* Conduct unit testing, debugging, and code reviews to uphold high\-quality standards throughout the SDLC (Software Development Life Cycle).
* Participate in Agile development processes, including sprint planning and daily stand\-ups, to deliver features efficiently.
* Write comprehensive UML diagrams and documentation to support system architecture and future enhancements.
**Skills**
* Proven experience with web development frameworks such as ASP.NET (including ASP.NET Core), WCF (Windows Communication Foundation), or similar technologies.
* Strong knowledge of front\-end development tools like React, Angular, TypeScript, JavaScript, HTML5, CSS3, Bootstrap, and AJAX for full\-stack collaboration.
* Expertise in database management with SQL Server (T\-SQL), MySQL, PostgreSQL, or NoSQL databases like MongoDB; familiarity with database design principles is essential.
* Proficiency in software development methodologies including Agile practices; experience with SDLC tools such as TFS (Team Foundation Server), GitHub, SVN (Subversion), or Git is required.
* Familiarity with RESTful API design principles as well as SOAP\-based web services for enterprise integrations.
* Knowledge of microservices architecture patterns using Docker containers and orchestration tools like Kubernetes is a plus.
* Experience with cloud platforms such as AWS or Azure for deploying scalable applications; understanding of cloud security best practices is advantageous.
* Skills in multithreading, debugging complex issues, unit testing frameworks (e.g., NUnit, JUnit), and scripting languages like Bash or Shell Scripting.
* Ability to work with UML diagrams for system modeling; familiarity with application development tools such as Visual Studio or Eclipse enhances productivity.
* Strong understanding of OOP (Object\-Oriented Programming) principles; experience with MVC frameworks like ASP.NET MVC or Ruby on Rails is beneficial. Join us if you're eager to develop innovative backend solutions that make a real impact! We value energetic problem\-solvers who are committed to continuous learning and excellence in software engineering.
Job Type: Full\-time
Pay: $109,842\.87 \- $132,283\.89 per year
Benefits:
* 401(k)
* Dental insurance
* Flexible schedule
* Health insurance
* Paid time off
* Tuition reimbursement
* Vision insurance
Work Location: Remote</t>
        </is>
      </c>
    </row>
    <row r="97">
      <c r="A97" t="inlineStr">
        <is>
          <t>in-acf2e2085c5fd9b7</t>
        </is>
      </c>
      <c r="B97" t="inlineStr">
        <is>
          <t>Software Developer</t>
        </is>
      </c>
      <c r="C97" t="inlineStr">
        <is>
          <t>nitan</t>
        </is>
      </c>
      <c r="D97" t="inlineStr">
        <is>
          <t>indeed</t>
        </is>
      </c>
      <c r="E97">
        <f>HYPERLINK("https://www.indeed.com/viewjob?jk=acf2e2085c5fd9b7", "https://www.indeed.com/viewjob?jk=acf2e2085c5fd9b7")</f>
        <v/>
      </c>
      <c r="F97">
        <f>HYPERLINK("http://www.indeed.com/job/software-developer-acf2e2085c5fd9b7", "http://www.indeed.com/job/software-developer-acf2e2085c5fd9b7")</f>
        <v/>
      </c>
      <c r="G97" t="inlineStr">
        <is>
          <t>Remote, US</t>
        </is>
      </c>
      <c r="H97" s="2" t="n">
        <v>46074</v>
      </c>
      <c r="I97" t="inlineStr">
        <is>
          <t>**Job Summary**  
We are seeking a dynamic and innovative Software Developer to join our vibrant tech team! In this role, you will be at the forefront of designing, developing, and maintaining cutting\-edge software solutions that drive our business forward. Your expertise will help shape the future of our digital platforms, ensuring seamless user experiences and robust system performance. This position offers an exciting opportunity to work with a diverse tech stack, including web development, cloud services, and API integrations, all within an energetic and collaborative environment. If you thrive on solving complex problems and turning ideas into impactful applications, this is the perfect role for you!
**Responsibilities**
* Collaborate with cross\-functional teams to gather requirements and translate them into scalable software solutions using languages such as Java, Python, C\+\+, or C\#.
* Develop and maintain web applications utilizing frameworks like Ruby on Rails, React Express, and front\-end technologies such as JavaScript and HTML/CSS.
* Design, implement, and optimize RESTful APIs to enable smooth data exchange across platforms.
* Manage code repositories using version control tools like GitHub, SVN, and Git to ensure efficient collaboration and code integrity.
* Build and deploy applications on cloud platforms such as AWS and Azure, leveraging services for scalability and security.
* Follow Agile methodologies to deliver iterative improvements while maintaining high\-quality standards in software development lifecycle processes.
* Conduct thorough testing and debugging across Linux and Windows environments to ensure reliable performance.
* Implement security best practices including RBAC (Role\-Based Access Control) to safeguard sensitive data.
* Engage in continuous learning of emerging technologies like quantum engineering concepts or new programming languages to enhance development capabilities.
**Requirements**
* Proven experience in software development with proficiency in multiple programming languages including Java, Python, C\#, C\+\+, or VBA.
* Strong understanding of IT infrastructure components such as servers, networks, databases (MySQL, SQL), and cloud services (AWS, Azure).
* Hands\-on experience with web development frameworks like Ruby on Rails and front\-end libraries such as React or JavaScript frameworks.
* Familiarity with REST APIs, RESTful architecture principles, and API integration techniques.
* Knowledge of version control systems including GitHub, SVN, or similar tools for collaborative coding.
* Ability to develop applications using .NET technologies and application development best practices.
* Experience working within Agile teams to deliver projects efficiently in a fast\-paced environment.
* Solid understanding of Linux operating systems along with scripting skills for automation tasks.
* Exposure to application security protocols including RBAC and other access control mechanisms.
* Bonus skills include experience with Java Enterprise Edition (Java EE), C\#, VBA scripting for automation tasks, quantum engineering fundamentals, or front\-end development expertise. Join us in shaping innovative software solutions that make a real difference! We’re committed to fostering a diverse environment where talented developers can thrive while working on impactful projects that challenge your skills every day. All positions are paid roles designed to support your career growth in a vibrant tech community!
Job Types: Part\-time, Temporary
Pay: $3,500\.00 \- $4,500\.00 per month
Expected hours: 15 – 20 per week
Work Location: Remote</t>
        </is>
      </c>
    </row>
    <row r="98">
      <c r="A98" t="inlineStr">
        <is>
          <t>in-978f799f705b0867</t>
        </is>
      </c>
      <c r="B98" t="inlineStr">
        <is>
          <t>Senior Software Engineer</t>
        </is>
      </c>
      <c r="C98" t="inlineStr">
        <is>
          <t>2HB Incorporated</t>
        </is>
      </c>
      <c r="D98" t="inlineStr">
        <is>
          <t>indeed</t>
        </is>
      </c>
      <c r="E98">
        <f>HYPERLINK("https://www.indeed.com/viewjob?jk=978f799f705b0867", "https://www.indeed.com/viewjob?jk=978f799f705b0867")</f>
        <v/>
      </c>
      <c r="F98">
        <f>HYPERLINK("https://2hb.catsone.com/careers/64727-General/jobs/16777412-Senior-Software-Engineer/?ref=Indeed", "https://2hb.catsone.com/careers/64727-General/jobs/16777412-Senior-Software-Engineer/?ref=Indeed")</f>
        <v/>
      </c>
      <c r="G98" t="inlineStr">
        <is>
          <t>Annapolis Junction, MD, US</t>
        </is>
      </c>
      <c r="H98" s="2" t="n">
        <v>46073</v>
      </c>
      <c r="I98" t="inlineStr">
        <is>
          <t>**This is a full\-time position, and requires a TS/SCI/Full Scope Polygraph Clearance.**  
**2HB Incorporated is seeking a Senior Software Engineer in order to support its government customer in Annapolis Junction, MD.**
**Qualifications:** Master’s degree in computer science or related discipline from an accredited college or university, plus five (5\) years of experience as a SWE, in programs and contracts of similar scope, type, and complexity.  
**OR**  
Bachelor’s degree in computer science or related discipline from an accredited college or university, plus seven (7\) years of experience as a SWE, in programs and contracts of similar scope, type, and complexity  
**OR**  
Nine (9\) years of experience as a SWE, in programs and contracts of similar scope, type, and  
complexity.  
**Position Description**  
The Software Engineer shall be responsible for developing, sustaining, and troubleshooting software suite of applications including DINO and possibly future capabilities as mission needs arise. Software development activities include implementation, testing, and integration with other COTS, GOTS, and FOSS products, packages, and libraries.  
**Position Required Skills**  
 Experience using the Linux CLI and Tools  
 Experience developing scripts using Bash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using Git Source Control System  
**Position Desired Skills**  
 Experience with SQL databases including PostgreSQL  
 Experience with the Atlassian Tool Suite including Jira and Confluence
**This is a full\-time position, and requires a TS/SCI/Full Scope Polygraph Clearance.**</t>
        </is>
      </c>
    </row>
    <row r="99">
      <c r="A99" t="inlineStr">
        <is>
          <t>in-78756673dec13601</t>
        </is>
      </c>
      <c r="B99" t="inlineStr">
        <is>
          <t>Sr. Software Engineer</t>
        </is>
      </c>
      <c r="C99" t="inlineStr">
        <is>
          <t>2HB Incorporated</t>
        </is>
      </c>
      <c r="D99" t="inlineStr">
        <is>
          <t>indeed</t>
        </is>
      </c>
      <c r="E99">
        <f>HYPERLINK("https://www.indeed.com/viewjob?jk=78756673dec13601", "https://www.indeed.com/viewjob?jk=78756673dec13601")</f>
        <v/>
      </c>
      <c r="F99">
        <f>HYPERLINK("https://2hb.catsone.com/careers/64727-General/jobs/16777406-Sr-Software-Engineer/?ref=Indeed", "https://2hb.catsone.com/careers/64727-General/jobs/16777406-Sr-Software-Engineer/?ref=Indeed")</f>
        <v/>
      </c>
      <c r="G99" t="inlineStr">
        <is>
          <t>Annapolis Junction, MD, US</t>
        </is>
      </c>
      <c r="H99" s="2" t="n">
        <v>46073</v>
      </c>
      <c r="I99" t="inlineStr">
        <is>
          <t>**This is a full\-time position, and requires a TS/SCI/Full Scope Polygraph Clearance.**
**2HB Incorporated is seeking a Sr.** **Software Engineer** **to support its government customer in Annapolis Junction, MD.**
A senior engineer who can design, implement, and improve distributed application orchestration logic, mentor peers, and contribute to the architectural direction of the system.
#### **Responsibilities**
* Design scalable workflows for deploying and managing Kubernetes\-native applications
* Lead the development of reusable Helm charts, GitOps templates, and deployment strategies
* Build system\-aware controllers or agents that automate app lifecycle tasks
* Contribute to platform\-wide architecture decisions (e.g., deployment strategy, multi\-cluster config, observability)
* Mentor junior engineers and review code for reliability, clarity, and best practices
* Collaborate with DevOps and platform teams to ensure secure and compliant deployments
#### **Core Skills**
* Deep experience with Go or Python in cloud\-native contexts
* Strong Kubernetes experience: CRDs, Helm, GitOps, multi\-tenant app deployments
* Experience with event\-driven or agent\-based systems (e.g., Kafka, controller patterns)
* Familiar with infrastructure automation (Terraform, cloud\-init, Ansible)
* Comfortable balancing automation and operator oversight in complex environments
 #### **Leadership Traits**
* Owns end\-to\-end delivery of system components
* Helps shape internal standards and shared tooling
* Guides team through design decisions and tradeoffs
* Thinks in systems, not just services
**This is a full\-time position, and requires a TS/SCI/Full Scope Polygraph Clearance.**</t>
        </is>
      </c>
    </row>
    <row r="100">
      <c r="A100" t="inlineStr">
        <is>
          <t>in-1c657c5f41909404</t>
        </is>
      </c>
      <c r="B100" t="inlineStr">
        <is>
          <t>Software Engineer</t>
        </is>
      </c>
      <c r="C100" t="inlineStr">
        <is>
          <t>2HB Incorporated</t>
        </is>
      </c>
      <c r="D100" t="inlineStr">
        <is>
          <t>indeed</t>
        </is>
      </c>
      <c r="E100">
        <f>HYPERLINK("https://www.indeed.com/viewjob?jk=1c657c5f41909404", "https://www.indeed.com/viewjob?jk=1c657c5f41909404")</f>
        <v/>
      </c>
      <c r="F100">
        <f>HYPERLINK("https://2hb.catsone.com/careers/64727-General/jobs/16777405-Software-Engineer/?ref=Indeed", "https://2hb.catsone.com/careers/64727-General/jobs/16777405-Software-Engineer/?ref=Indeed")</f>
        <v/>
      </c>
      <c r="G100" t="inlineStr">
        <is>
          <t>Annapolis Junction, MD, US</t>
        </is>
      </c>
      <c r="H100" s="2" t="n">
        <v>46073</v>
      </c>
      <c r="I100" t="inlineStr">
        <is>
          <t>**This is a full\-time position, and requires a TS/SCI/Full Scope Polygraph Clearance.**
**2HB Incorporated is seeking a** **Software Engineer** **to support its government customer in Annapolis Junction, MD.**
### **A reliable engineer capable of implementing containerized application workflows and infrastructure automation using modern DevOps and cloud\-native tooling.**
#### **Responsibilities**
* Contribute to the development of deployment pipelines and Helm charts
* Collaborate with backend, frontend, and infrastructure teams to integrate services
* Work with Kubernetes tooling (Helm, GitOps, etc.) to support scalable deployments
* Follow team standards and participate in code reviews, testing, and documentation
* Implement and test logic to handle common app deployment patterns, secrets, and config maps
* Support internal efforts to standardize and document reusable application deployment templates
#### **Core Skills**
* Comfortable coding in Go, Python, or TypeScript
* Familiar with GitOps workflows and CI/CD tools like ArgoCD or Fleet
* Experience with Kubernetes manifests, Helm, Docker
* Understands basic concepts of infrastructure\-as\-code and Linux system operations
* Can debug and troubleshoot in a containerized environment
#### **Mindset**
* Eager to learn from senior teammates
* Open to working across the full stack and infrastructure boundaries
* Values automation, documentation, and code reusability
**This is a full\-time position, and requires a TS/SCI/Full Scope Polygraph Clearance.**</t>
        </is>
      </c>
    </row>
    <row r="101">
      <c r="A101" t="inlineStr">
        <is>
          <t>in-a83eb4b6547a8082</t>
        </is>
      </c>
      <c r="B101" t="inlineStr">
        <is>
          <t>Software Developer</t>
        </is>
      </c>
      <c r="C101" t="inlineStr">
        <is>
          <t>2HB Incorporated</t>
        </is>
      </c>
      <c r="D101" t="inlineStr">
        <is>
          <t>indeed</t>
        </is>
      </c>
      <c r="E101">
        <f>HYPERLINK("https://www.indeed.com/viewjob?jk=a83eb4b6547a8082", "https://www.indeed.com/viewjob?jk=a83eb4b6547a8082")</f>
        <v/>
      </c>
      <c r="F101">
        <f>HYPERLINK("https://2hb.catsone.com/careers/64727-General/jobs/16777411-Software-Developer/?ref=Indeed", "https://2hb.catsone.com/careers/64727-General/jobs/16777411-Software-Developer/?ref=Indeed")</f>
        <v/>
      </c>
      <c r="G101" t="inlineStr">
        <is>
          <t>Chantilly, VA, US</t>
        </is>
      </c>
      <c r="H101" s="2" t="n">
        <v>46073</v>
      </c>
      <c r="I101" t="inlineStr">
        <is>
          <t>**This is a full\-time position, and requires a TS/SCI/Full Scope Polygraph Clearance.**
**2HB Incorporated is seeking a Software Developer****to support its government customer in Chantilly, VA.**
The Sponsor's data analytics and collection services provide intelligence products to inform operations, drive collection, solve Sponsor business problems, and support national security needs. The Sponsor specializes in development and maintenance of large\-scale innovative solutions to solve the Sponsor's leading challenges in data correlation, aggregation, and graphing. The contractor shall support the advancement of the Sponsor's solution with highly technical software development to meet complex and evolving mission needs.  
**Required:**
* Demonstrated experience with Java Development
* Demonstrated experience designing, developing, maintaining, and troubleshooting APIs
* Demonstrated experience with Python
* Demonstrated Big Data experience
**This is a full\-time position, and requires a TS/SCI/Full Scope Polygraph Clearance.**</t>
        </is>
      </c>
    </row>
    <row r="102">
      <c r="A102" t="inlineStr">
        <is>
          <t>in-eb6b5161c2049560</t>
        </is>
      </c>
      <c r="B102" t="inlineStr">
        <is>
          <t>Mid-level Software Engineer</t>
        </is>
      </c>
      <c r="C102" t="inlineStr">
        <is>
          <t>2HB Incorporated</t>
        </is>
      </c>
      <c r="D102" t="inlineStr">
        <is>
          <t>indeed</t>
        </is>
      </c>
      <c r="E102">
        <f>HYPERLINK("https://www.indeed.com/viewjob?jk=eb6b5161c2049560", "https://www.indeed.com/viewjob?jk=eb6b5161c2049560")</f>
        <v/>
      </c>
      <c r="F102">
        <f>HYPERLINK("https://2hb.catsone.com/careers/64727-General/jobs/16777414-Midlevel-Software-Engineer/?ref=Indeed", "https://2hb.catsone.com/careers/64727-General/jobs/16777414-Midlevel-Software-Engineer/?ref=Indeed")</f>
        <v/>
      </c>
      <c r="G102" t="inlineStr">
        <is>
          <t>Annapolis Junction, MD, US</t>
        </is>
      </c>
      <c r="H102" s="2" t="n">
        <v>46073</v>
      </c>
      <c r="I102" t="inlineStr">
        <is>
          <t>**This is a full\-time position, and requires a TS/SCI/Full Scope Polygraph Clearance.**  
**2HB Incorporated is seeking a Mid\-level Software Engineer in order to support its government customer in Annapolis Junction, MD.**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**Position Description**  
The Software Engineer shall be responsible for developing, sustaining, and troubleshooting software suite of applications including DINO and possibly future capabilities as mission needs arise. Software development activities include implementation, testing, and integration with other COTS, GOTS, and FOSS products, packages, and libraries**.**  
**Position Required Skills**  
**** Experience using the Linux CLI and Tools  
 Experience developing scripts using Bash  
 Recent Python (3\.x) software development experience  
 Experience with Messaging Frameworks including RabbitMQ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CI/CD principles, methodologies, and tools including GitLab CI  
 Experience with distributed logging and monitoring concepts and tools including ElasticStack and Prometheus/Grafana  
 Experience using Git Source Control System  
**Position Desired Skills**  
 Experience with SQL databases including PostgreSQL  
 Familiar with IaC principles, methodologies, and tools such as Ansible  
 Experience with Rust programming concepts, or a willingness and aptitude to learn Rust  
 Experience with the Atlassian Tool Suite including Jira and Confluence
**This is a full\-time** **position, and requires a TS/SCI/Full Scope Polygraph Clearance.**</t>
        </is>
      </c>
    </row>
    <row r="103">
      <c r="A103" t="inlineStr">
        <is>
          <t>in-30045b8554e1346e</t>
        </is>
      </c>
      <c r="B103" t="inlineStr">
        <is>
          <t>SOFTWARE DEVELOPERS</t>
        </is>
      </c>
      <c r="C103" t="inlineStr">
        <is>
          <t>Stacklogy</t>
        </is>
      </c>
      <c r="D103" t="inlineStr">
        <is>
          <t>indeed</t>
        </is>
      </c>
      <c r="E103">
        <f>HYPERLINK("https://www.indeed.com/viewjob?jk=30045b8554e1346e", "https://www.indeed.com/viewjob?jk=30045b8554e1346e")</f>
        <v/>
      </c>
      <c r="F103">
        <f>HYPERLINK("https://stacklogy.com/career/", "https://stacklogy.com/career/")</f>
        <v/>
      </c>
      <c r="G103" t="inlineStr">
        <is>
          <t>Temple, TX, US</t>
        </is>
      </c>
      <c r="H103" s="2" t="n">
        <v>46073</v>
      </c>
      <c r="I103"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104">
      <c r="A104" t="inlineStr">
        <is>
          <t>in-d10d556980269131</t>
        </is>
      </c>
      <c r="B104" t="inlineStr">
        <is>
          <t>SOFTWARE ENGINEERS</t>
        </is>
      </c>
      <c r="C104" t="inlineStr">
        <is>
          <t>Stacklogy</t>
        </is>
      </c>
      <c r="D104" t="inlineStr">
        <is>
          <t>indeed</t>
        </is>
      </c>
      <c r="E104">
        <f>HYPERLINK("https://www.indeed.com/viewjob?jk=d10d556980269131", "https://www.indeed.com/viewjob?jk=d10d556980269131")</f>
        <v/>
      </c>
      <c r="F104">
        <f>HYPERLINK("https://stacklogy.com/career/", "https://stacklogy.com/career/")</f>
        <v/>
      </c>
      <c r="G104" t="inlineStr">
        <is>
          <t>Temple, TX, US</t>
        </is>
      </c>
      <c r="H104" s="2" t="n">
        <v>46073</v>
      </c>
      <c r="I104"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105">
      <c r="A105" t="inlineStr">
        <is>
          <t>in-cee995a368e6f967</t>
        </is>
      </c>
      <c r="B105" t="inlineStr">
        <is>
          <t>Senior Software Engineer</t>
        </is>
      </c>
      <c r="C105" t="inlineStr">
        <is>
          <t>Mercury Insurance Company</t>
        </is>
      </c>
      <c r="D105" t="inlineStr">
        <is>
          <t>indeed</t>
        </is>
      </c>
      <c r="E105">
        <f>HYPERLINK("https://www.indeed.com/viewjob?jk=cee995a368e6f967", "https://www.indeed.com/viewjob?jk=cee995a368e6f967")</f>
        <v/>
      </c>
      <c r="F105">
        <f>HYPERLINK("https://careers-mercuryinsurance.icims.com/jobs/6182/job?utm_source=indeed_integration&amp;iis=Job%20Board&amp;iisn=Indeed&amp;indeed-apply-token=73a2d2b2a8d6d5c0a62696875eaebd669103652d3f0c2cd5445d3e66b1592b0f", "https://careers-mercuryinsurance.icims.com/jobs/6182/job?utm_source=indeed_integration&amp;iis=Job%20Board&amp;iisn=Indeed&amp;indeed-apply-token=73a2d2b2a8d6d5c0a62696875eaebd669103652d3f0c2cd5445d3e66b1592b0f")</f>
        <v/>
      </c>
      <c r="G105" t="inlineStr">
        <is>
          <t>Remote, US</t>
        </is>
      </c>
      <c r="H105" s="2" t="n">
        <v>46073</v>
      </c>
      <c r="I105" t="inlineStr">
        <is>
          <t>Overview:
Join an amazing team that is consistently recognized for our achievements and culture, including our most recent Forbes award of being one of America's Best Midsize Employers for 2025!
 **Position Summary:**
As a Senior Software Engineer, you will play a crucial role in designing, developing, and maintaining complex software systems. This position involves leading agile teams or projects, mentoring junior engineers, and ensuring the delivery of high\-quality software solutions.
Geo\-Salary Information:
***An in\-person interview may be required during the hiring process***  
State specific pay scales for this role are as follows:
$94,458 to $179,048 (CA, NJ, NY, WA, HI, AK, MD, CT, RI, MA)
$85,871 to $162,771 (NV, OR, AZ, CO, WY, TX, ND, MN, MO, IL, WI, FL, GA, MI, OH, VA, PA, DE, VT, NH, ME)
$77,283 to $146,464 (UT, ID, MT, NM, SD, NE, KS, OK, IA, AR, LA, MS, AL, TN, KY, IN, SC, NC, WV)
The expected base salary for this position will vary depending on a number of factors, including relevant experience, skills and location.
Responsibilities:
**Essential Job Functions:**
* Write high\-quality code for complex scenarios with good test coverage.
* Review and translate product requirements into robust designs to ensure high\-quality distributed application systems that are modular, configurable, reusable, fast, effective, user\-friendly, secure, compliant, scalable, and maintainable.
* Lead design and code reviews of multiple applications to ensure best practices, adherence to Mercury standards, and high quality.
* Lead the sprint team to deliver new or improved features, addressing any impediments to delivering high\-quality solutions in the sprint backlog.
* Collaborate with other teams and stakeholders to ensure successful delivery of intended functionality.
* Mentor and provide technical guidance to other engineers on the team, fostering a culture of innovation and excellence within Mercury engineering.
Qualifications:
**Education:**
Minimum:
* Bachelor’s Degree in Computer Science, Information Systems or other related fields Or equivalent combination of education and experience
Preferred:
* Master’s Degree in Computer Science.
**Experience:**
Minimum:
* 5\+ years software programming experience with 2\+ years experience in Technologies used at Mercury
* 1\+ years of experience leading and mentoring engineering teams.
Preferred:
* 5 or more years with Java programming language.
* 5 or more years of the Spring Framework, including Spring Boot for building microservices and REST APIs.
* Proficiency in designing, implementing, and consuming RESTful APIs.
* Hands\-on experience with MongoDB (NoSQL database) for storing and retrieving data.
* Ability to effectively utilize AI tools such as Claude, ChatGPT with in IDE like IntelliJ , VS Code, etc.
**Skills:**
* Proficient in programming in one or more industry\-standard languages (e.g., Java, Python, Go, C\+\+, JavaScript).
* Experienced in leveraging various data structures, algorithms, and design patterns. Skilled in relational databases, NoSQL, and caching solutions.
* Experienced in APIs using modern protocols like REST and gRPC. Proficient in message queuing, data streaming, workflow, and integration frameworks (such as Apache Kafka, Apache NiFi, Amazon SQS, MS MQ, Apache Camel, etc.).
* Knowledgeable in microservices architecture.
* Experienced in containerization technologies like Docker and Kubernetes.
* Proficient in leveraging DevSecOps to improve engineering efficiency.
* Experienced in designing and implementing high\-quality distributed application systems that are modular, configurable, maximize reuse, and are fast, effective, user\-friendly, secure, compliant, scalable, and maintainable. Skilled in leveraging analytics data and experimentation to design and improve systems for speed, scalability, and effectiveness. Strong problem\-solving skills.
* Excellent communication abilities. Strong ability to collaborate and influence cross\-functional teams and stakeholders to address impediments and deliver desired results. Demonstrated leadership skills through mentoring and providing technical guidance to team members.
* Experienced in driving technical strategy and vision for a team.
* Preferred: Experience in cloud platforms such as AWS, Google Cloud, or Azure.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$94,458\.00 \- USD $179,048\.00 /Yr.</t>
        </is>
      </c>
    </row>
    <row r="106">
      <c r="A106" t="inlineStr">
        <is>
          <t>in-a4e60244c769d26b</t>
        </is>
      </c>
      <c r="B106" t="inlineStr">
        <is>
          <t>Software Developer</t>
        </is>
      </c>
      <c r="C106" t="inlineStr">
        <is>
          <t>Trillion Technology Solutions</t>
        </is>
      </c>
      <c r="D106" t="inlineStr">
        <is>
          <t>indeed</t>
        </is>
      </c>
      <c r="E106">
        <f>HYPERLINK("https://www.indeed.com/viewjob?jk=a4e60244c769d26b", "https://www.indeed.com/viewjob?jk=a4e60244c769d26b")</f>
        <v/>
      </c>
      <c r="F106">
        <f>HYPERLINK("https://ttsiglobal.isolvedhire.com/jobs/1711131-326112.html", "https://ttsiglobal.isolvedhire.com/jobs/1711131-326112.html")</f>
        <v/>
      </c>
      <c r="G106" t="inlineStr">
        <is>
          <t>Reston, VA, US</t>
        </is>
      </c>
      <c r="H106" s="2" t="n">
        <v>46073</v>
      </c>
      <c r="I106" t="inlineStr">
        <is>
          <t>**Position Description**
We are currently seeking a highly skilled Software Developer to join Trillion in support of a long term contract. This candidate will help to drive the development of the modernized system and with prioritization of future changes while providing the customer with realistic timeframes and expectations. This a hands\-on development role that may cover all levels of the system, but mainly focused on API development. A strong knowledge base and ability to work cooperatively internally and with other teams are necessary.
**Required Skills:**
* Bachelor's Degree in Computer Science or equivalent
* 5\+ years' experience in Java development
* Hands on experience with APIs, Spring Boot, Hibernate, MyBatis
* Knowledge and experience with both SOAP and Restful Web Service implementations
* Excellent verbal and written communication skills
**Preferred Skills:**
* Experience with Microservice Development
* Experience with React Development
* Experience with Kafka
* Familiarity with distributed caching like Redis
* Familiarly with Service Mesh (ISTIO), API Gateway (Kong), Keycloak
* Familiarity with Kubernetes and working within a cloud environment
* Familiarity with DoD STIG process
* Familiarity with Jira, Bitbucket, Jenkins
**Trillion is an equal opportunity employer. Applicants are considered for positions without regard to race, religion, gender, native origin, age, disability, or any other category protected by applicable federal, state, or local law.**</t>
        </is>
      </c>
    </row>
    <row r="107">
      <c r="A107" t="inlineStr">
        <is>
          <t>in-25063b065bbda2b1</t>
        </is>
      </c>
      <c r="B107" t="inlineStr">
        <is>
          <t>Software Engineer, Order Management</t>
        </is>
      </c>
      <c r="C107" t="inlineStr">
        <is>
          <t>Crate and Barrel</t>
        </is>
      </c>
      <c r="D107" t="inlineStr">
        <is>
          <t>indeed</t>
        </is>
      </c>
      <c r="E107">
        <f>HYPERLINK("https://www.indeed.com/viewjob?jk=25063b065bbda2b1", "https://www.indeed.com/viewjob?jk=25063b065bbda2b1")</f>
        <v/>
      </c>
      <c r="F107">
        <f>HYPERLINK("https://jobs.crateandbarrel.com/job/-/-/351/91956430048?jobBoardId=1112", "https://jobs.crateandbarrel.com/job/-/-/351/91956430048?jobBoardId=1112")</f>
        <v/>
      </c>
      <c r="G107" t="inlineStr">
        <is>
          <t>Northbrook, IL, US</t>
        </is>
      </c>
      <c r="H107" s="2" t="n">
        <v>46072</v>
      </c>
      <c r="I107" t="inlineStr">
        <is>
          <t>The Software Engineer, Order Management will will build high\-quality, reliable, and maintainable code.You will have the opportunity to work on a number of ground\-up projects tracking the entire order life cycle for our customers.
* **This position is fully remote**
* **This role is an Individual Contributor**
**A day in the life as a Senior Software Engineer, Order Management…**
* Design and development of complex software features and systems, ensuring they meet functional and non\-functional requirements, within an iterative development process
* Adhere to and promote agile software development best practices, design patterns, and coding standards within the team
* Perform thorough code reviews, ensuring high standards of code quality, maintainability, and performance
* Identify and resolve complex technical issues and bugs, providing effective and scalable solutions
* Contribute to architectural discussions and decisions, influencing the technical direction of projects
* Drive the creation and maintenance of high\-quality documentation for developed features and solutions, promoting best practices for knowledge sharing and contributing to a well\-maintained codebase and knowledge base
* Drive personal and team growth by actively tracking industry trends and new technologies, and proactively engaging in learning activities to elevate technical expertise
* Assist in improving CI/CD pipelines and DevOps practices
**What you'll bring to the table…**
* Strong expertise in software design and architectural patterns
* Deep understanding of agile software development methodologies and the full software development lifecycle
* Excellent problem\-solving, analytical, and critical\-thinking skills
* Strong communication, collaboration, and leadership skills, with the ability to effectively interact with cross\-functional team members
* Proficiency in multiple programming languages and technologies relevant to our stack (.NET, C\#)
* Experience with designing and developing scalable, high\-performance, and reliable software solutions in an iterative way
* In\-depth knowledge of software testing strategies and automation
* Familiarity with cloud platforms (e.g., AWS, Azure, GCP) and microservices architecture
* Understanding of database design, performance tuning, and security best practices
**We'd love to hear from you if you have...**
* Bachelor's degree in Computer Science, Software Engineering, or a related field (or equivalent practical experience)
* 2\+ years of professional software development experience, with a demonstrated progression of responsibilities
* Proven experience in designing and delivering complex software systems, preferably in an agile environment
* Experience leading technical aspects of projects
* Strong proficiency in relevant programming languages and frameworks
\#li\-remote</t>
        </is>
      </c>
    </row>
    <row r="108">
      <c r="A108" t="inlineStr">
        <is>
          <t>in-74bb196bc523fd39</t>
        </is>
      </c>
      <c r="B108" t="inlineStr">
        <is>
          <t>Software Engineer (Leadership)</t>
        </is>
      </c>
      <c r="C108" t="inlineStr">
        <is>
          <t>Meta</t>
        </is>
      </c>
      <c r="D108" t="inlineStr">
        <is>
          <t>indeed</t>
        </is>
      </c>
      <c r="E108">
        <f>HYPERLINK("https://www.indeed.com/viewjob?jk=74bb196bc523fd39", "https://www.indeed.com/viewjob?jk=74bb196bc523fd39")</f>
        <v/>
      </c>
      <c r="F108">
        <f>HYPERLINK("https://jsv3.recruitics.com/redirect?rx_cid=3239&amp;rx_jobId=a1KDp00000CZMDiMAP_1001&amp;rx_url=https%3A%2F%2Fwww.metacareers.com%2Fjobs%2F2633592040331804%2F%3Frx_campaign%3Dindeed0%26rx_ch%3Dvp%26rx_group%3D187943%26rx_id%3D2fd774c4-0f52-11f1-bf6d-4d52c8b75b04%26rx_job%3Da1KDp00000CZMDiMAP_1001%26rx_medium%3Dcpc%26rx_r%3Dnone%26rx_source%3Dindeed%26rx_ts%3D20260222T001202Z%26rx_vp%3Dcpc%26utm_campaign%3DJob%252Bboard%26utm_medium%3Djobs%26utm_source%3Dindeedorganic", "https://jsv3.recruitics.com/redirect?rx_cid=3239&amp;rx_jobId=a1KDp00000CZMDiMAP_1001&amp;rx_url=https%3A%2F%2Fwww.metacareers.com%2Fjobs%2F2633592040331804%2F%3Frx_campaign%3Dindeed0%26rx_ch%3Dvp%26rx_group%3D187943%26rx_id%3D2fd774c4-0f52-11f1-bf6d-4d52c8b75b04%26rx_job%3Da1KDp00000CZMDiMAP_1001%26rx_medium%3Dcpc%26rx_r%3Dnone%26rx_source%3Dindeed%26rx_ts%3D20260222T001202Z%26rx_vp%3Dcpc%26utm_campaign%3DJob%252Bboard%26utm_medium%3Djobs%26utm_source%3Dindeedorganic")</f>
        <v/>
      </c>
      <c r="G108" t="inlineStr">
        <is>
          <t>Seattle, WA, US</t>
        </is>
      </c>
      <c r="H108" s="2" t="n">
        <v>46071</v>
      </c>
      <c r="I108" t="inlineStr">
        <is>
          <t>Meta is seeking an AI Research Specialist to join our teams. The ideal candidate will have industry experience working on AI related topics. The position will involve taking these skills and applying them to solve for some of the most crucial and exciting problems that exist on the web. We are hiring in multiple locations.  
### **Software Engineer (Leadership) Responsibilities:**
* Drive the organization’s goal towards relevant machine learning techniques to build \&amp; optimize our intelligent systems that improve Meta’s products and experiences
* Effectively communicate complex features and systems in detail while advocating for higher product quality and engineering efficiency
* Assist in goal setting related to project impact, AI system design, and ML capabilities
* Develop custom/novel architectures, define use cases, and develop methodology \&amp; benchmarks to evaluate different approaches
* Apply in depth knowledge of how the machine learning system interacts with the other systems around it
* Understand industry and Meta wide technology trends in computing technology to help assess \&amp; develop new technologies within the ML Systems roadmap
* Drive the team's goals and technical direction to pursue opportunities that make your larger organization more efficient
* Partner \&amp; collaborate with organizational leaders to help improve the level of performance of the team \&amp; organization
### **Minimum Qualifications:**
* Bachelor's degree in Computer Science, Computer Engineering, relevant technical field, or equivalent practical experience
* Vast experience communicating and working across functions to drive solutions
* Experience in driving large cross\-functional/industry\-wide engineering efforts
* Proven track record of planning multi\-year roadmap in which shorter\-term projects ladder to the long term\-vision
* Experience leading projects with industry\-wide impact
* Specialized experience in one or more of the following machine learning/deep learning domains: ML systems: AI infrastructure, machine learning accelerators, high performance computing, machine learning compilers, GPU architecture, machine learning frameworks, on\-device optimization
* Experience developing AI algorithms or AI\-System infrastructure in C/C\+\+ or Python
### **Preferred Qualifications:**
* Experience with distributed systems or on\-device algorithm development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$271,000/year to $347,000/year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9">
      <c r="A109" t="inlineStr">
        <is>
          <t>in-67135d81246e5bf5</t>
        </is>
      </c>
      <c r="B109" t="inlineStr">
        <is>
          <t>Software Engineer - Source Control (Technical Leadership)</t>
        </is>
      </c>
      <c r="C109" t="inlineStr">
        <is>
          <t>Meta</t>
        </is>
      </c>
      <c r="D109" t="inlineStr">
        <is>
          <t>indeed</t>
        </is>
      </c>
      <c r="E109">
        <f>HYPERLINK("https://www.indeed.com/viewjob?jk=67135d81246e5bf5", "https://www.indeed.com/viewjob?jk=67135d81246e5bf5")</f>
        <v/>
      </c>
      <c r="F109">
        <f>HYPERLINK("https://jsv3.recruitics.com/redirect?rx_cid=3239&amp;rx_jobId=a1KDp00000CZM7zMAH_1001&amp;rx_url=https%3A%2F%2Fwww.metacareers.com%2Fjobs%2F4532179937010074%2F%3Frx_campaign%3Dindeed0%26rx_ch%3Dvp%26rx_group%3D187943%26rx_id%3D33258e5a-0f52-11f1-bf6d-55d0f26b48b2%26rx_job%3Da1KDp00000CZM7zMAH_1001%26rx_medium%3Dcpc%26rx_r%3Dnone%26rx_source%3Dindeed%26rx_ts%3D20260222T001202Z%26rx_vp%3Dcpc%26utm_campaign%3DJob%252Bboard%26utm_medium%3Djobs%26utm_source%3Dindeedorganic", "https://jsv3.recruitics.com/redirect?rx_cid=3239&amp;rx_jobId=a1KDp00000CZM7zMAH_1001&amp;rx_url=https%3A%2F%2Fwww.metacareers.com%2Fjobs%2F4532179937010074%2F%3Frx_campaign%3Dindeed0%26rx_ch%3Dvp%26rx_group%3D187943%26rx_id%3D33258e5a-0f52-11f1-bf6d-55d0f26b48b2%26rx_job%3Da1KDp00000CZM7zMAH_1001%26rx_medium%3Dcpc%26rx_r%3Dnone%26rx_source%3Dindeed%26rx_ts%3D20260222T001202Z%26rx_vp%3Dcpc%26utm_campaign%3DJob%252Bboard%26utm_medium%3Djobs%26utm_source%3Dindeedorganic")</f>
        <v/>
      </c>
      <c r="G109" t="inlineStr">
        <is>
          <t>Menlo Park, CA, US</t>
        </is>
      </c>
      <c r="H109" s="2" t="n">
        <v>46071</v>
      </c>
      <c r="I109" t="inlineStr">
        <is>
          <t>The Reality Labs teams at Meta are helping more people around the world come together and connect through Wearable and Virtual Reality hardware and software. Building these devices and experiences requires state\-of\-the\-art developer infrastructure, optimized for Wearable and Virtual Reality devices. The Reality Labs Developer Infrastructure team is looking for a leader to develop source control solutions across all Reality Labs software and devices.  
### **Software Engineer \- Source Control (Technical Leadership) Responsibilities:**
* Drive the team's goals and technical direction to pursue opportunities that make your larger organization more efficient
* Technically lead in a team environment across multiple scientific and engineering disciplines, making the architectural trade\-offs required to rapidly deliver software solutions
* Develop clean readable code, debug complex problems that span systems, prioritize effectively and get things done with a high level of efficiency
* Understand industry \&amp; company\-wide trends to help assess \&amp; develop new technologies
* Partner \&amp; collaborate with organization leaders to help improve the level of performance of the team \&amp; organization
* Use AI Agents to improve the productivity of the Source Control team
### **Minimum Qualifications:**
* Bachelor's degree in Computer Science, Computer Engineering, relevant technical field, or equivalent practical experience
* 12\+ years of programming experience in a relevant language OR 8\+ years experience with a PhD
* 8\+ years of relevant experience building large\-scale developer infrastructure or similar experience
* Experience leading projects with industry\-wide impact
* Extensive experience communicating and working across functions to drive solutions
* Proven track record of planning multi\-year roadmap in which shorter\-term projects ladder to the\-long term strategy
* Significant experience in mentoring/influencing engineers across organizations
* Significant experience building Developer Infrastructure solutions
### **Preferred Qualifications:**
* Expertise developing source control systems
* Experience with AOSP and Git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0">
      <c r="A110" t="inlineStr">
        <is>
          <t>in-c7022b854bbc04b4</t>
        </is>
      </c>
      <c r="B110" t="inlineStr">
        <is>
          <t>Software Engineer - Source Control (Technical Leadership)</t>
        </is>
      </c>
      <c r="C110" t="inlineStr">
        <is>
          <t>Meta</t>
        </is>
      </c>
      <c r="D110" t="inlineStr">
        <is>
          <t>indeed</t>
        </is>
      </c>
      <c r="E110">
        <f>HYPERLINK("https://www.indeed.com/viewjob?jk=c7022b854bbc04b4", "https://www.indeed.com/viewjob?jk=c7022b854bbc04b4")</f>
        <v/>
      </c>
      <c r="F110">
        <f>HYPERLINK("https://jsv3.recruitics.com/redirect?rx_cid=3239&amp;rx_jobId=a1KDp00000CZM7zMAH_1002&amp;rx_url=https%3A%2F%2Fwww.metacareers.com%2Fjobs%2F4532179937010074%2F%3Frx_campaign%3Dindeed0%26rx_ch%3Dvp%26rx_group%3D187943%26rx_id%3D374f6130-0f52-11f1-bf6d-7943547c5388%26rx_job%3Da1KDp00000CZM7zMAH_1002%26rx_medium%3Dcpc%26rx_r%3Dnone%26rx_source%3Dindeed%26rx_ts%3D20260222T001202Z%26rx_vp%3Dcpc%26utm_campaign%3DJob%252Bboard%26utm_medium%3Djobs%26utm_source%3Dindeedorganic", "https://jsv3.recruitics.com/redirect?rx_cid=3239&amp;rx_jobId=a1KDp00000CZM7zMAH_1002&amp;rx_url=https%3A%2F%2Fwww.metacareers.com%2Fjobs%2F4532179937010074%2F%3Frx_campaign%3Dindeed0%26rx_ch%3Dvp%26rx_group%3D187943%26rx_id%3D374f6130-0f52-11f1-bf6d-7943547c5388%26rx_job%3Da1KDp00000CZM7zMAH_1002%26rx_medium%3Dcpc%26rx_r%3Dnone%26rx_source%3Dindeed%26rx_ts%3D20260222T001202Z%26rx_vp%3Dcpc%26utm_campaign%3DJob%252Bboard%26utm_medium%3Djobs%26utm_source%3Dindeedorganic")</f>
        <v/>
      </c>
      <c r="G110" t="inlineStr">
        <is>
          <t>Burlingame, CA, US</t>
        </is>
      </c>
      <c r="H110" s="2" t="n">
        <v>46071</v>
      </c>
      <c r="I110" t="inlineStr">
        <is>
          <t>The Reality Labs teams at Meta are helping more people around the world come together and connect through Wearable and Virtual Reality hardware and software. Building these devices and experiences requires state\-of\-the\-art developer infrastructure, optimized for Wearable and Virtual Reality devices. The Reality Labs Developer Infrastructure team is looking for a leader to develop source control solutions across all Reality Labs software and devices.  
### **Software Engineer \- Source Control (Technical Leadership) Responsibilities:**
* Drive the team's goals and technical direction to pursue opportunities that make your larger organization more efficient
* Technically lead in a team environment across multiple scientific and engineering disciplines, making the architectural trade\-offs required to rapidly deliver software solutions
* Develop clean readable code, debug complex problems that span systems, prioritize effectively and get things done with a high level of efficiency
* Understand industry \&amp; company\-wide trends to help assess \&amp; develop new technologies
* Partner \&amp; collaborate with organization leaders to help improve the level of performance of the team \&amp; organization
* Use AI Agents to improve the productivity of the Source Control team
### **Minimum Qualifications:**
* Bachelor's degree in Computer Science, Computer Engineering, relevant technical field, or equivalent practical experience
* 12\+ years of programming experience in a relevant language OR 8\+ years experience with a PhD
* 8\+ years of relevant experience building large\-scale developer infrastructure or similar experience
* Experience leading projects with industry\-wide impact
* Extensive experience communicating and working across functions to drive solutions
* Proven track record of planning multi\-year roadmap in which shorter\-term projects ladder to the\-long term strategy
* Significant experience in mentoring/influencing engineers across organizations
* Significant experience building Developer Infrastructure solutions
### **Preferred Qualifications:**
* Expertise developing source control systems
* Experience with AOSP and Git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1">
      <c r="A111" t="inlineStr">
        <is>
          <t>in-bc215af66b4cec85</t>
        </is>
      </c>
      <c r="B111" t="inlineStr">
        <is>
          <t>Software Engineer - Source Control (Technical Leadership)</t>
        </is>
      </c>
      <c r="C111" t="inlineStr">
        <is>
          <t>Meta</t>
        </is>
      </c>
      <c r="D111" t="inlineStr">
        <is>
          <t>indeed</t>
        </is>
      </c>
      <c r="E111">
        <f>HYPERLINK("https://www.indeed.com/viewjob?jk=bc215af66b4cec85", "https://www.indeed.com/viewjob?jk=bc215af66b4cec85")</f>
        <v/>
      </c>
      <c r="F111">
        <f>HYPERLINK("https://jsv3.recruitics.com/redirect?rx_cid=3239&amp;rx_jobId=a1KDp00000CZM7zMAH&amp;rx_url=https%3A%2F%2Fwww.metacareers.com%2Fjobs%2F4532179937010074%2F%3Frx_campaign%3Dindeed0%26rx_ch%3Dvp%26rx_group%3D187943%26rx_id%3D2f5d3b84-0f52-11f1-bf6d-5f06ea9c6a87%26rx_job%3Da1KDp00000CZM7zMAH%26rx_medium%3Dcpc%26rx_r%3Dnone%26rx_source%3Dindeed%26rx_ts%3D20260222T001202Z%26rx_vp%3Dcpc%26utm_campaign%3DJob%252Bboard%26utm_medium%3Djobs%26utm_source%3Dindeedorganic", "https://jsv3.recruitics.com/redirect?rx_cid=3239&amp;rx_jobId=a1KDp00000CZM7zMAH&amp;rx_url=https%3A%2F%2Fwww.metacareers.com%2Fjobs%2F4532179937010074%2F%3Frx_campaign%3Dindeed0%26rx_ch%3Dvp%26rx_group%3D187943%26rx_id%3D2f5d3b84-0f52-11f1-bf6d-5f06ea9c6a87%26rx_job%3Da1KDp00000CZM7zMAH%26rx_medium%3Dcpc%26rx_r%3Dnone%26rx_source%3Dindeed%26rx_ts%3D20260222T001202Z%26rx_vp%3Dcpc%26utm_campaign%3DJob%252Bboard%26utm_medium%3Djobs%26utm_source%3Dindeedorganic")</f>
        <v/>
      </c>
      <c r="G111" t="inlineStr">
        <is>
          <t>Bellevue, WA, US</t>
        </is>
      </c>
      <c r="H111" s="2" t="n">
        <v>46071</v>
      </c>
      <c r="I111" t="inlineStr">
        <is>
          <t>The Reality Labs teams at Meta are helping more people around the world come together and connect through Wearable and Virtual Reality hardware and software. Building these devices and experiences requires state\-of\-the\-art developer infrastructure, optimized for Wearable and Virtual Reality devices. The Reality Labs Developer Infrastructure team is looking for a leader to develop source control solutions across all Reality Labs software and devices.  
### **Software Engineer \- Source Control (Technical Leadership) Responsibilities:**
* Drive the team's goals and technical direction to pursue opportunities that make your larger organization more efficient
* Technically lead in a team environment across multiple scientific and engineering disciplines, making the architectural trade\-offs required to rapidly deliver software solutions
* Develop clean readable code, debug complex problems that span systems, prioritize effectively and get things done with a high level of efficiency
* Understand industry \&amp; company\-wide trends to help assess \&amp; develop new technologies
* Partner \&amp; collaborate with organization leaders to help improve the level of performance of the team \&amp; organization
* Use AI Agents to improve the productivity of the Source Control team
### **Minimum Qualifications:**
* Bachelor's degree in Computer Science, Computer Engineering, relevant technical field, or equivalent practical experience
* 12\+ years of programming experience in a relevant language OR 8\+ years experience with a PhD
* 8\+ years of relevant experience building large\-scale developer infrastructure or similar experience
* Experience leading projects with industry\-wide impact
* Extensive experience communicating and working across functions to drive solutions
* Proven track record of planning multi\-year roadmap in which shorter\-term projects ladder to the\-long term strategy
* Significant experience in mentoring/influencing engineers across organizations
* Significant experience building Developer Infrastructure solutions
### **Preferred Qualifications:**
* Expertise developing source control systems
* Experience with AOSP and Git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2">
      <c r="A112" t="inlineStr">
        <is>
          <t>in-ad115a74a3fe5971</t>
        </is>
      </c>
      <c r="B112" t="inlineStr">
        <is>
          <t>Software Engineer (Leadership)</t>
        </is>
      </c>
      <c r="C112" t="inlineStr">
        <is>
          <t>Meta</t>
        </is>
      </c>
      <c r="D112" t="inlineStr">
        <is>
          <t>indeed</t>
        </is>
      </c>
      <c r="E112">
        <f>HYPERLINK("https://www.indeed.com/viewjob?jk=ad115a74a3fe5971", "https://www.indeed.com/viewjob?jk=ad115a74a3fe5971")</f>
        <v/>
      </c>
      <c r="F112">
        <f>HYPERLINK("https://jsv3.recruitics.com/redirect?rx_cid=3239&amp;rx_jobId=a1KDp00000CZMDiMAP&amp;rx_url=https%3A%2F%2Fwww.metacareers.com%2Fjobs%2F2633592040331804%2F%3Frx_campaign%3Dindeed0%26rx_ch%3Dvp%26rx_group%3D187943%26rx_id%3D3627d146-0f52-11f1-bf6d-73fe49b3db62%26rx_job%3Da1KDp00000CZMDiMAP%26rx_medium%3Dcpc%26rx_r%3Dnone%26rx_source%3Dindeed%26rx_ts%3D20260222T001202Z%26rx_vp%3Dcpc%26utm_campaign%3DJob%252Bboard%26utm_medium%3Djobs%26utm_source%3Dindeedorganic", "https://jsv3.recruitics.com/redirect?rx_cid=3239&amp;rx_jobId=a1KDp00000CZMDiMAP&amp;rx_url=https%3A%2F%2Fwww.metacareers.com%2Fjobs%2F2633592040331804%2F%3Frx_campaign%3Dindeed0%26rx_ch%3Dvp%26rx_group%3D187943%26rx_id%3D3627d146-0f52-11f1-bf6d-73fe49b3db62%26rx_job%3Da1KDp00000CZMDiMAP%26rx_medium%3Dcpc%26rx_r%3Dnone%26rx_source%3Dindeed%26rx_ts%3D20260222T001202Z%26rx_vp%3Dcpc%26utm_campaign%3DJob%252Bboard%26utm_medium%3Djobs%26utm_source%3Dindeedorganic")</f>
        <v/>
      </c>
      <c r="G112" t="inlineStr">
        <is>
          <t>Menlo Park, CA, US</t>
        </is>
      </c>
      <c r="H112" s="2" t="n">
        <v>46071</v>
      </c>
      <c r="I112" t="inlineStr">
        <is>
          <t>Meta is seeking an AI Research Specialist to join our teams. The ideal candidate will have industry experience working on AI related topics. The position will involve taking these skills and applying them to solve for some of the most crucial and exciting problems that exist on the web. We are hiring in multiple locations.  
### **Software Engineer (Leadership) Responsibilities:**
* Drive the organization’s goal towards relevant machine learning techniques to build \&amp; optimize our intelligent systems that improve Meta’s products and experiences
* Effectively communicate complex features and systems in detail while advocating for higher product quality and engineering efficiency
* Assist in goal setting related to project impact, AI system design, and ML capabilities
* Develop custom/novel architectures, define use cases, and develop methodology \&amp; benchmarks to evaluate different approaches
* Apply in depth knowledge of how the machine learning system interacts with the other systems around it
* Understand industry and Meta wide technology trends in computing technology to help assess \&amp; develop new technologies within the ML Systems roadmap
* Drive the team's goals and technical direction to pursue opportunities that make your larger organization more efficient
* Partner \&amp; collaborate with organizational leaders to help improve the level of performance of the team \&amp; organization
### **Minimum Qualifications:**
* Bachelor's degree in Computer Science, Computer Engineering, relevant technical field, or equivalent practical experience
* Vast experience communicating and working across functions to drive solutions
* Experience in driving large cross\-functional/industry\-wide engineering efforts
* Proven track record of planning multi\-year roadmap in which shorter\-term projects ladder to the long term\-vision
* Experience leading projects with industry\-wide impact
* Specialized experience in one or more of the following machine learning/deep learning domains: ML systems: AI infrastructure, machine learning accelerators, high performance computing, machine learning compilers, GPU architecture, machine learning frameworks, on\-device optimization
* Experience developing AI algorithms or AI\-System infrastructure in C/C\+\+ or Python
### **Preferred Qualifications:**
* Experience with distributed systems or on\-device algorithm development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$271,000/year to $347,000/year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3">
      <c r="A113" t="inlineStr">
        <is>
          <t>in-10c8fe9d2dd713b2</t>
        </is>
      </c>
      <c r="B113" t="inlineStr">
        <is>
          <t>Software Engineer - Full Stack</t>
        </is>
      </c>
      <c r="C113" t="inlineStr">
        <is>
          <t>KBR</t>
        </is>
      </c>
      <c r="D113" t="inlineStr">
        <is>
          <t>indeed</t>
        </is>
      </c>
      <c r="E113">
        <f>HYPERLINK("https://www.indeed.com/viewjob?jk=10c8fe9d2dd713b2", "https://www.indeed.com/viewjob?jk=10c8fe9d2dd713b2")</f>
        <v/>
      </c>
      <c r="F113">
        <f>HYPERLINK("https://careers.kbr.com/us/en/job/R2116869", "https://careers.kbr.com/us/en/job/R2116869")</f>
        <v/>
      </c>
      <c r="G113" t="inlineStr">
        <is>
          <t>Sioux Falls, SD, US</t>
        </is>
      </c>
      <c r="H113" s="2" t="n">
        <v>46012</v>
      </c>
      <c r="I113" t="inlineStr">
        <is>
          <t>**Belong.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**Around here, we define the future.**  
At KBR, we are innovators, thinkers, creators, explorers, volunteers, and dreamers—united by one goal: to improve the world responsibly and safely by supporting the science that informs decision\-makers and protects our planet.
KBR’s **Science and Space Division** is seeking a **Software Engineer / Web Developer** to support our **Technical Support Services Contract (TSSC)** at the **United States Geological Survey (USGS) Earth Resources Observation and Science (EROS) Center** near Sioux Falls, SD. Learn more about EROS http://eros.usgs.gov/ and Sioux Falls http://www.siouxfalls.org.
This is a **mid\-level** role for a Software Engineer with a strong web development background. You’ll join a talented team building cutting\-edge, web\-based mapping tools that support critical science projects serving communities in areas such as wildland fire management, drought monitoring, and land cover mapping.
**Must be a U.S. Citizen**
**Responsibilities**
* Develop and maintain websites and mapping applications for visualizing and distributing geospatial data.
* Create Python scripts to produce geospatial data products.
* Work with technologies including PHP, Python, HTML, CSS, JavaScript, and XML.
* Collaborate with a skilled web development team supporting the USGS EROS Integrated Science Applications Branch.
**Required Education \&amp; Experience**
Candidates must meet the following requirements (please highlight these on your resume):
* Ability to obtain and maintain a national agency check and background investigation for facility access and user accounts.
* U.S. Citizenship.
* Bachelor’s degree in Software Engineering or Computer Science.
* 3–5 years of recent, relevant work experience.
* Strong interpersonal, organizational, and communication skills.
* Ability to work independently and in a team environment.
* Solid understanding of software engineering methodologies and processes.
* Experience with:
	+ Web design, administration, and database\-driven applications.
	+ PHP and MySQL.
	+ JavaScript, HTML/CSS, and React.
	+ Python programming.
	+ Databases (MySQL, PostgreSQL).
	+ Security concepts.
	+ Collaboration tools.
*Equivalent education and/or experience will be considered.*
**Preferred Qualifications**
* Familiarity with Laravel or similar frameworks.
* Experience with requirements and design analysis.
* Knowledge of testing and configuration management tools (e.g., Git).
* Experience with GIS systems and tools (commercial or open source).
* Understanding of Open Geospatial Consortium (OGC) specifications (WMS, WFS, WCS, WPS) and OGC APIs.
* Familiarity with spatial data, reference, and projection systems.
**Work Location**
This position is based at the USGS EROS Center and offers a **hybrid remote/on\-site schedule**.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li-4328250245</t>
        </is>
      </c>
      <c r="B2" t="inlineStr">
        <is>
          <t>Forward Deployed Software Engineer- Palantir Foundry- Senior Manager</t>
        </is>
      </c>
      <c r="C2" t="inlineStr">
        <is>
          <t>PwC</t>
        </is>
      </c>
      <c r="D2" t="inlineStr">
        <is>
          <t>linkedin</t>
        </is>
      </c>
      <c r="E2" t="inlineStr"/>
      <c r="F2" t="inlineStr"/>
      <c r="G2" t="inlineStr">
        <is>
          <t>Albany, NY</t>
        </is>
      </c>
      <c r="H2" t="inlineStr"/>
      <c r="I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
      <c r="A3" t="inlineStr">
        <is>
          <t>li-4328206170</t>
        </is>
      </c>
      <c r="B3" t="inlineStr">
        <is>
          <t>Forward Deployed Software Engineer- Palantir Foundry- Senior Manager</t>
        </is>
      </c>
      <c r="C3" t="inlineStr">
        <is>
          <t>PwC</t>
        </is>
      </c>
      <c r="D3" t="inlineStr">
        <is>
          <t>linkedin</t>
        </is>
      </c>
      <c r="E3" t="inlineStr"/>
      <c r="F3" t="inlineStr"/>
      <c r="G3" t="inlineStr">
        <is>
          <t>Charlotte, NC</t>
        </is>
      </c>
      <c r="H3" t="inlineStr"/>
      <c r="I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li-4328135150</t>
        </is>
      </c>
      <c r="B4" t="inlineStr">
        <is>
          <t>Forward Deployed Software Engineer- Palantir Foundry- Senior Manager</t>
        </is>
      </c>
      <c r="C4" t="inlineStr">
        <is>
          <t>PwC</t>
        </is>
      </c>
      <c r="D4" t="inlineStr">
        <is>
          <t>linkedin</t>
        </is>
      </c>
      <c r="E4" t="inlineStr"/>
      <c r="F4" t="inlineStr"/>
      <c r="G4" t="inlineStr">
        <is>
          <t>Houston, TX</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li-4328166800</t>
        </is>
      </c>
      <c r="B5" t="inlineStr">
        <is>
          <t>Forward Deployed Software Engineer- Palantir Foundry- Senior Manager</t>
        </is>
      </c>
      <c r="C5" t="inlineStr">
        <is>
          <t>PwC</t>
        </is>
      </c>
      <c r="D5" t="inlineStr">
        <is>
          <t>linkedin</t>
        </is>
      </c>
      <c r="E5" t="inlineStr"/>
      <c r="F5" t="inlineStr"/>
      <c r="G5" t="inlineStr">
        <is>
          <t>Fort Worth, TX</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li-4328118693</t>
        </is>
      </c>
      <c r="B6" t="inlineStr">
        <is>
          <t>Forward Deployed Software Engineer- Palantir Foundry- Senior Manager</t>
        </is>
      </c>
      <c r="C6" t="inlineStr">
        <is>
          <t>PwC</t>
        </is>
      </c>
      <c r="D6" t="inlineStr">
        <is>
          <t>linkedin</t>
        </is>
      </c>
      <c r="E6" t="inlineStr"/>
      <c r="F6" t="inlineStr"/>
      <c r="G6" t="inlineStr">
        <is>
          <t>Miami, FL</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li-4328109330</t>
        </is>
      </c>
      <c r="B7" t="inlineStr">
        <is>
          <t>Forward Deployed Software Engineer- Palantir Foundry- Senior Manager</t>
        </is>
      </c>
      <c r="C7" t="inlineStr">
        <is>
          <t>PwC</t>
        </is>
      </c>
      <c r="D7" t="inlineStr">
        <is>
          <t>linkedin</t>
        </is>
      </c>
      <c r="E7" t="inlineStr"/>
      <c r="F7" t="inlineStr"/>
      <c r="G7" t="inlineStr">
        <is>
          <t>Raleigh, NC</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li-4328180527</t>
        </is>
      </c>
      <c r="B8" t="inlineStr">
        <is>
          <t>Forward Deployed Software Engineer- Palantir Foundry- Senior Manager</t>
        </is>
      </c>
      <c r="C8" t="inlineStr">
        <is>
          <t>PwC</t>
        </is>
      </c>
      <c r="D8" t="inlineStr">
        <is>
          <t>linkedin</t>
        </is>
      </c>
      <c r="E8" t="inlineStr"/>
      <c r="F8" t="inlineStr"/>
      <c r="G8" t="inlineStr">
        <is>
          <t>Sacramento, CA</t>
        </is>
      </c>
      <c r="H8" t="inlineStr"/>
      <c r="I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li-4328220293</t>
        </is>
      </c>
      <c r="B9" t="inlineStr">
        <is>
          <t>Forward Deployed Software Engineer- Palantir Foundry- Senior Manager</t>
        </is>
      </c>
      <c r="C9" t="inlineStr">
        <is>
          <t>PwC</t>
        </is>
      </c>
      <c r="D9" t="inlineStr">
        <is>
          <t>linkedin</t>
        </is>
      </c>
      <c r="E9" t="inlineStr"/>
      <c r="F9" t="inlineStr"/>
      <c r="G9" t="inlineStr">
        <is>
          <t>Rosemont, IL</t>
        </is>
      </c>
      <c r="H9" t="inlineStr"/>
      <c r="I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
      <c r="A10" t="inlineStr">
        <is>
          <t>li-4328280143</t>
        </is>
      </c>
      <c r="B10" t="inlineStr">
        <is>
          <t>Forward Deployed Software Engineer- Palantir Foundry- Senior Manager</t>
        </is>
      </c>
      <c r="C10" t="inlineStr">
        <is>
          <t>PwC</t>
        </is>
      </c>
      <c r="D10" t="inlineStr">
        <is>
          <t>linkedin</t>
        </is>
      </c>
      <c r="E10" t="inlineStr"/>
      <c r="F10" t="inlineStr"/>
      <c r="G10" t="inlineStr">
        <is>
          <t>Portland, OR</t>
        </is>
      </c>
      <c r="H10" t="inlineStr"/>
      <c r="I1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
      <c r="A11" t="inlineStr">
        <is>
          <t>li-4328220294</t>
        </is>
      </c>
      <c r="B11" t="inlineStr">
        <is>
          <t>Forward Deployed Software Engineer- Palantir Foundry- Senior Manager</t>
        </is>
      </c>
      <c r="C11" t="inlineStr">
        <is>
          <t>PwC</t>
        </is>
      </c>
      <c r="D11" t="inlineStr">
        <is>
          <t>linkedin</t>
        </is>
      </c>
      <c r="E11" t="inlineStr"/>
      <c r="F11" t="inlineStr"/>
      <c r="G11" t="inlineStr">
        <is>
          <t>Irvine, CA</t>
        </is>
      </c>
      <c r="H11" t="inlineStr"/>
      <c r="I1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
      <c r="A12" t="inlineStr">
        <is>
          <t>li-4376307538</t>
        </is>
      </c>
      <c r="B12" t="inlineStr">
        <is>
          <t>Software Engineer II</t>
        </is>
      </c>
      <c r="C12" t="inlineStr">
        <is>
          <t>Uber</t>
        </is>
      </c>
      <c r="D12" t="inlineStr">
        <is>
          <t>linkedin</t>
        </is>
      </c>
      <c r="E12" t="inlineStr"/>
      <c r="F12" t="inlineStr"/>
      <c r="G12" t="inlineStr">
        <is>
          <t>Seattle, WA</t>
        </is>
      </c>
      <c r="H12" t="inlineStr"/>
      <c r="I12" t="inlineStr">
        <is>
          <t>**About The Role**
 Uber is looking for a strong backend and AI\-curious Software Engineer II to join the Data Security \&amp; Governance engineering team within the Privacy, Security \&amp; Risk org. This team builds distributed backend and AI\-powered systems that operate at Uber scale, enabling engineering teams to safely adopt and innovate with ML and GenAI technologies. In this role, you will work on foundational platforms that protect Uber's data and AI ecosystem. You'll collaborate with senior engineers to design and build reliable, scalable systems, while gaining hands\-on experience with production\-grade distributed systems and AI\-powered detection platforms.
**What The Candidate Will Need / Bonus Points**
 \-\-\-\- What the Candidate Will Do \-\-\-\-
 As a Software Engineer II at Uber, you'll be working on code that's closest to the business. You will build user\-facing products, handle and store thousands of transactions per second, and develop intelligent fraud prevention strategies that scale. You will work on design, development and maintenance of services, frameworks, and solutions to support user\-facing products, downstream services, or infrastructure tools and platforms used across Uber. You are passionate and pragmatic technologists who are able to design scalable systems while delivering efficient code. The privacy landscape is constantly evolving, and with the adoption of ML/AI backed by extensive heterogeneous data, security \&amp; privacy threats are inevitably broadened. With your deep and comprehensive expertise across major technology stacks, you will design, implement and scale industry\-leading privacy solutions for the entire company.
**Basic Qualifications**
* 4 years of professional industry experience and BS or MS in Computer Science or a related technical discipline, or equivalent practical experience.
* Proficiency in at least one of Go, Java, Python, or C\+\+.
* Solid understanding of algorithms, data structures, and software engineering fundamentals.
* Experience building or contributing to production backend or AI systems.
**Preferred Qualifications**
* Experience developing backend or distributed systems such as microservices, APIs, or data\-processing services.
* Familiarity with distributed systems concepts, including reliability, scalability, and performance trade\-offs.
* Exposure to ML or AI systems, including model inference, data pipelines, or ML\-enabled features.
* Interest or experience applying ML/AI techniques to security, privacy, or risk\-related problems (e.g., data classification, PII detection, policy enforcement).
* Experience with system monitoring, observability, and production operations.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
      <c r="A13" t="inlineStr">
        <is>
          <t>li-4367490035</t>
        </is>
      </c>
      <c r="B13" t="inlineStr">
        <is>
          <t>Software Engineer</t>
        </is>
      </c>
      <c r="C13" t="inlineStr">
        <is>
          <t>FanDuel</t>
        </is>
      </c>
      <c r="D13" t="inlineStr">
        <is>
          <t>linkedin</t>
        </is>
      </c>
      <c r="E13" t="inlineStr"/>
      <c r="F13" t="inlineStr"/>
      <c r="G13" t="inlineStr">
        <is>
          <t>New York, NY</t>
        </is>
      </c>
      <c r="H13" t="inlineStr"/>
      <c r="I13"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4">
      <c r="A14" t="inlineStr">
        <is>
          <t>li-4359762252</t>
        </is>
      </c>
      <c r="B14" t="inlineStr">
        <is>
          <t>Software Engineer, Lyft Business</t>
        </is>
      </c>
      <c r="C14" t="inlineStr">
        <is>
          <t>Lyft</t>
        </is>
      </c>
      <c r="D14" t="inlineStr">
        <is>
          <t>linkedin</t>
        </is>
      </c>
      <c r="E14" t="inlineStr"/>
      <c r="F14" t="inlineStr"/>
      <c r="G14" t="inlineStr">
        <is>
          <t>San Francisco County, CA</t>
        </is>
      </c>
      <c r="H14" t="inlineStr"/>
      <c r="I14" t="inlineStr">
        <is>
          <t>At Lyft, our purpose is to serve and connect. We aim to achieve this by cultivating a work environment where all team members belong and have the opportunity to thrive.
 Lyft is looking for an experienced Backend Engineer from a scope of disciplines. We are growing our team with people who want to build, improve and incorporate technologies that make the lives of our community more enriched. As an engineer at Lyft, you'll collaborate with teams like product, data science, analytics, and operations on code that empower us to iterate quickly, while focusing on delighting our passengers and drivers.
**About the Team:**
**The Business Travel \&amp; Lyft Pass teams** 
 enable organizations to provide customized ride benefits at scale \- whether that's employees expensing business trips and earning rewards, patients accessing healthcare\-compliant transportation, or transit riders connecting the first and last mile within geofenced service areas.
 As a backend engineer, you'll build systems that power complex benefit rules, location restrictions, and integrations with expense providers like Concur and Expensify. This is a high\-growth area for Lyft with meaningful impact potential.
**Responsibilities:**
* Write well\-crafted, well\-tested, readable, maintainable code
* Have the ability to explain the various trade offs made in decisions
* Participate in code reviews to ensure code quality and distribute knowledge
* Implement tasks with good quality code leading to positive execution
* Participate in resolving ongoing incidents
* Unblock, support, effectively communicate, and obtain buy\-in within your team to achieve results
**Experience:**
* Minimum 3 years of software engineering industry experience
* BSc/MSc in Computer Engineering, Computer Science, related field or relevant work experience
* Experience with Python, Go.
* Ability to work with a low\-ego, highly collaborative, and cross\-functional team.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Salary ranges are dependent on a variety of factors, including qualifications, experience and geographic location.
 **Range listed is not inclusive of potential equity offering, bonus or benefits.** 
 Your recruiter can share more information about the salary range and total compensation offerings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15">
      <c r="A15" t="inlineStr">
        <is>
          <t>li-4376325250</t>
        </is>
      </c>
      <c r="B15" t="inlineStr">
        <is>
          <t>Software Developer</t>
        </is>
      </c>
      <c r="C15" t="inlineStr">
        <is>
          <t>Shrive Technologies</t>
        </is>
      </c>
      <c r="D15" t="inlineStr">
        <is>
          <t>linkedin</t>
        </is>
      </c>
      <c r="E15" t="inlineStr"/>
      <c r="F15" t="inlineStr"/>
      <c r="G15" t="inlineStr">
        <is>
          <t>Texas, United States</t>
        </is>
      </c>
      <c r="H15" t="inlineStr"/>
      <c r="I15" t="inlineStr">
        <is>
          <t>Software Engineer must possess strong written and oral communication skills.
 Must Have Technology Skills
 Clear and demonstrable understanding of Object\-Oriented Programming and distributed system architecture.
* NET, C\#, ASP.NET.
 JavaScript, TypeScript.
 CSS3, HTML5, AngularJS, Angular, ReactJS, and other modern web development frameworks.
 Experience in web services, Web Api, RESTful services, microservices and API security best practices.
 Service\-Oriented Architecture and Enterprise Service Bus NServiceBus, MSMQ, RabbitMQ, Kafka.
 NHibernate, Dapper, Entity Framework or equivalent ORM experience.
 Experience developing windows services.
 Experience creating stored procedures, database views, triggers, indexes.
 Understand the concepts and best practices of DevOps and modern CI/CD.
 Strongly Desired Technology Skills
 Ability to leverage AI in day\-to\-day engineering practices.
* NET Framework 3\.5 \- 4\.8, .NET Core, and .NET 5
 SOLID principles, Enterprise Design Patterns, Event Driven Architecture, designing distributed systems and architecture.
 NUnit, Test Driven Development (TDD).
 IIS (or equivalent).
 SQL Server Integration Services (SSIS), Reporting Services (SRSS).
 Agile development experience using SCRUM desired.
 XML, XSLT, PowerShell.</t>
        </is>
      </c>
    </row>
    <row r="16">
      <c r="A16" t="inlineStr">
        <is>
          <t>li-4373767870</t>
        </is>
      </c>
      <c r="B16" t="inlineStr">
        <is>
          <t>Senior Software Engineer, Backend</t>
        </is>
      </c>
      <c r="C16" t="inlineStr">
        <is>
          <t>Robinhood</t>
        </is>
      </c>
      <c r="D16" t="inlineStr">
        <is>
          <t>linkedin</t>
        </is>
      </c>
      <c r="E16" t="inlineStr"/>
      <c r="F16" t="inlineStr"/>
      <c r="G16" t="inlineStr">
        <is>
          <t>Menlo Park, CA</t>
        </is>
      </c>
      <c r="H16" t="inlineStr"/>
      <c r="I1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Senior Software Engineer, Backend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Robinhood’s engineering organization spans Crypto, Brokerage, and Core Engineering, each responsible for systems that are foundational to how customers invest and manage their money! These teams build and operate platforms for trading, custody, ledgers, reporting, payments, and shared infrastructure, with a strong focus on correctness, reliability, and customer trust. Engineers partner closely with product, design, data, and infrastructure teams to deliver software that performs at scale.
 As a Senior Software Engineer, you will design and build large\-scale distributed systems that support real\-time trading, balances, and platform capabilities. You will lead technically complex projects, contribute to architectural decisions, and collaborate with frontend and data partners to deliver well\-structured APIs. Your work will directly influence system performance, operational safety, and long\-term maintainability across core Robinhood products.
 This role is based in our
 **Menlo Park, CA** 
 and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and evolve scalable backend systems, balancing performance, reliability, and long\-term maintainability.
* Design, implement, test, and release product\-facing features with strict correctness and availability requirements.
* Partner with frontend and data engineers to define and refine REST APIs that serve millions of customers.
* Lead large, technically complex projects from design through execution.
* Mentor junior engineers through code reviews, design discussions, and hands\-on technical guidance.
* Identify opportunities to improve system performance, developer productivity, and operational risk.
 What you bring
* 5\+ years of professional software development experience.
* 3\+ years of experience building low\-latency, large\-scale distributed systems in production environments.
* Experience designing and operating highly concurrent systems and well\-structured REST APIs.
* Demonstrated ownership of large projects with sustained impact on a system or team.
* Strong technical judgment and the ability to prioritize work aligned with business and reliability goals.
* Ability to break down complex problems and deliver practical, high\-quality solutions.
* Experience mentoring other engineers and contributing to technical direction on new initiatives.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$196,000—$230,000 USD
 Zone 2 (Denver, CO; Westlake, TX; Chicago, IL)
 $172,000—$202,000 USD
 Zone 3 (Lake Mary, FL; Clearwater, FL; Gainesville, FL)
 $153,000—$179,000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7">
      <c r="A17" t="inlineStr">
        <is>
          <t>li-4373763931</t>
        </is>
      </c>
      <c r="B17" t="inlineStr">
        <is>
          <t>Senior Software Engineer, Backend</t>
        </is>
      </c>
      <c r="C17" t="inlineStr">
        <is>
          <t>Robinhood</t>
        </is>
      </c>
      <c r="D17" t="inlineStr">
        <is>
          <t>linkedin</t>
        </is>
      </c>
      <c r="E17" t="inlineStr"/>
      <c r="F17" t="inlineStr"/>
      <c r="G17" t="inlineStr">
        <is>
          <t>New York, NY</t>
        </is>
      </c>
      <c r="H17" t="inlineStr"/>
      <c r="I1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Senior Software Engineer, Backend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Robinhood’s engineering organization spans Crypto, Brokerage, and Core Engineering, each responsible for systems that are foundational to how customers invest and manage their money! These teams build and operate platforms for trading, custody, ledgers, reporting, payments, and shared infrastructure, with a strong focus on correctness, reliability, and customer trust. Engineers partner closely with product, design, data, and infrastructure teams to deliver software that performs at scale.
 As a Senior Software Engineer, you will design and build large\-scale distributed systems that support real\-time trading, balances, and platform capabilities. You will lead technically complex projects, contribute to architectural decisions, and collaborate with frontend and data partners to deliver well\-structured APIs. Your work will directly influence system performance, operational safety, and long\-term maintainability across core Robinhood products.
 This role is based in our
 **Menlo Park, CA** 
 and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and evolve scalable backend systems, balancing performance, reliability, and long\-term maintainability.
* Design, implement, test, and release product\-facing features with strict correctness and availability requirements.
* Partner with frontend and data engineers to define and refine REST APIs that serve millions of customers.
* Lead large, technically complex projects from design through execution.
* Mentor junior engineers through code reviews, design discussions, and hands\-on technical guidance.
* Identify opportunities to improve system performance, developer productivity, and operational risk.
 What you bring
* 5\+ years of professional software development experience.
* 3\+ years of experience building low\-latency, large\-scale distributed systems in production environments.
* Experience designing and operating highly concurrent systems and well\-structured REST APIs.
* Demonstrated ownership of large projects with sustained impact on a system or team.
* Strong technical judgment and the ability to prioritize work aligned with business and reliability goals.
* Ability to break down complex problems and deliver practical, high\-quality solutions.
* Experience mentoring other engineers and contributing to technical direction on new initiatives.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$196,000—$230,000 USD
 Zone 2 (Denver, CO; Westlake, TX; Chicago, IL)
 $172,000—$202,000 USD
 Zone 3 (Lake Mary, FL; Clearwater, FL; Gainesville, FL)
 $153,000—$179,000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8">
      <c r="A18" t="inlineStr">
        <is>
          <t>li-4345445555</t>
        </is>
      </c>
      <c r="B18" t="inlineStr">
        <is>
          <t>Senior Software Engineer – Developer Programs, Senior Software Engineer – Developer Programs</t>
        </is>
      </c>
      <c r="C18" t="inlineStr">
        <is>
          <t>NVIDIA</t>
        </is>
      </c>
      <c r="D18" t="inlineStr">
        <is>
          <t>linkedin</t>
        </is>
      </c>
      <c r="E18" t="inlineStr"/>
      <c r="F18" t="inlineStr"/>
      <c r="G18" t="inlineStr">
        <is>
          <t>Santa Clara, CA</t>
        </is>
      </c>
      <c r="H18" t="inlineStr"/>
      <c r="I18" t="inlineStr">
        <is>
          <t>The NVIDIA Developer Program connects millions of developers, researchers, and data scientists worldwide with the SDKs, training materials, and resources they need to develop GPU\-accelerated applications that are changing the world. This dynamic and rapidly growing community of developers is applying their passion to develop a wide range of applications and services using the latest accelerated computing technologies. Key areas of application development include Deep Learning/AI, Autonomous Vehicles, Robotics, Design \&amp; Visualization, VR/AR, Ray Tracing, and advanced technologies changing the face of PC Gaming.
 We are now looking for an experienced full\-stack software engineer to join the NVIDIA Developer Platforms team. In this role, you will contribute across the full technology stack, including the development of user\-facing web applications, backend services, and APIs. Responsibilities also include supporting DevOps functions such as infrastructure, monitoring, and deployment strategy. You will help craft and maintain internal tools that enable teams to publish software and web content efficiently. Additionally, you will support data engineering efforts by designing, building, and maintaining reliable ETL pipelines.
**What You’ll Be Doing**
* Develop and maintain robust tools and services to improve both internal workflows and external customer experiences
* Design, build, and optimize web APIs and ETL pipelines that integrate with internal backend systems
* Lead deployment of product updates, patches, and performance improvements with a focus on reliability and scalability
* Transform software prototypes and proofs\-of\-concept into production\-ready, operational platforms
* Provide ongoing operational and technical support for NVIDIA Developer web platforms, ensuring high availability and performance
* Define and implement effective debugging, monitoring, and maintenance procedures to ensure system stability.
* Conduct thorough root cause analysis of system issues and recommend corrective actions to prevent recurrence
**What We Need To See**
* BS degree in Computer Science, or equivalent experience
* 7\+ years of experience developing and supporting production web platforms in software engineering or DevOps roles
* Strong skills in system design, architecture, and implementation
* Proficiency in scripting and programming languages including Ruby, Python, PHP, and JavaScript, with experience in frameworks such as Ruby on Rails, Node.js, and React
* Experience integrating with third\-party systems via REST APIs and implementing standard ETL processes
* Experience with relational databases like MySQL and PostgreSQL
* Proven track record in designing secure, resilient, and efficient deployment architectures tailored to diverse workloads, using IaaS, PaaS, and managed services
* Expertise in building, operating, and maintaining CI/CD pipelines with Jenkins, GitLab CI/CD, and similar platforms.
* Hands\-on production experience managing secure AWS environments, including services like S3, CloudFront, Lambda, CloudWatch, and ECS
* Practical experience with Terraform and a strong understanding of infrastructure\-as\-code and configuration management practices
**Ways To Stand Out From The Crowd**
* Hands\-on experience with cloud platforms such as Google Cloud Platform (GCP) and Microsoft Azure
* Experience building and managing dashboards for data visualization and reporting with Tableau or similar tools
* Familiarity with content management systems, including WordPress and Drupal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phenomenal people like you to help us accelerate the next wave of artificial intelligence.
 Your base salary will be determined based on your location, experience, and the pay of employees in similar positions. The base salary range is 168,000 USD \- 270,250 USD for Level 4, and 200,000 USD \- 322,000 USD for Level 5\.
 You will also be eligible for equity and benefits.
 Applications for this job will be accepted at least until February 1,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JR1999520</t>
        </is>
      </c>
    </row>
    <row r="19">
      <c r="A19" t="inlineStr">
        <is>
          <t>li-4376317177</t>
        </is>
      </c>
      <c r="B19" t="inlineStr">
        <is>
          <t>Software Engineer</t>
        </is>
      </c>
      <c r="C19" t="inlineStr">
        <is>
          <t>PermitFlow</t>
        </is>
      </c>
      <c r="D19" t="inlineStr">
        <is>
          <t>linkedin</t>
        </is>
      </c>
      <c r="E19" t="inlineStr"/>
      <c r="F19" t="inlineStr"/>
      <c r="G19" t="inlineStr">
        <is>
          <t>New York, NY</t>
        </is>
      </c>
      <c r="H19" t="inlineStr"/>
      <c r="I19" t="inlineStr">
        <is>
          <t>PermitFlow is redefining how America builds. We’re an applied AI company serving the nation’s builders, tackling one of the largest information challenges in the economy: understanding
 *what can be built, where, and how* 
 . Our AI agent workforce helps the fastest\-growing construction companies navigate everything from permitting and licensing to inspections and project closeouts – accelerating housing, clean\-energy, and infrastructure development across the country.
 Despite being a $1\.6T industry, construction still suffers from massive delays, wasted capital, and lost opportunity. PermitFlow has already delivered unprecedented speed, accuracy, and visibility to over $20B in development, helping contractors reduce compliance time, de\-risk projects, and scale with confidence.
 As the U.S. enters a new capex supercycle across data centers, factories, housing, and renewables, joining PermitFlow means building the AI infrastructure at the core of every construction project driving the next wave of reindustrialization.
 We’ve raised over $90M, most recently completing our Series B, from top\-tier investors including Accel, Kleiner Perkins, Initialized, Y Combinator, Felicis, and Altos Ventures, with backing from leaders at OpenAI, Google, Procore, ServiceTitan, Zillow, PlanGrid, and Uber.
**Our HQ is in New York City with a hybrid schedule (3 in\-office days per week). Preference for NYC\-based candidates or those open to relocation.**
 What You’ll Do
* Transform complex, manual permitting workflows into seamless, AI\-enabled software experiences.
* Design and implement backend and frontend services, APIs, and data pipelines to support AI\-driven workflows.
* Partner cross\-functionally with Operations, Customer Success, and Sales to deliver intelligent, user\-facing features.
* Work directly with users to shape product direction and rapidly ship features that drive impact.
* Own features end\-to\-end, from architecture and implementation to testing and production deployment.
* Help establish engineering best practices and contribute to a culture of technical excellence.
 What We’re Looking For
* Strong experience in fullstack development, ideally including time at a startup or fast\-moving team
* Comfortable owning features across frontend, backend, and data layers
* Experience with React, TypeScript, Node.js, and Postgres, or ability to learn quickly
* Track record of shipping production systems and making thoughtful trade\-offs for speed, reliability, and scalability
* Excitement for AI\-powered tools that solve real\-world construction challenges and a customer\-first mindset
 What We Offer
* Competitive salary and meaningful equity in a high\-growth company
* Comprehensive medical, dental, and vision coverage
* Flexible PTO and paid family leave
* Home office \&amp; equipment stipend
* Hybrid NYC office culture (3 days in\-office/week) with direct access to leadership
* In\-Office Lunch \&amp; Dinner Provided
*PermitFlow provides equal employment opportunities (EEO) to all employees and applicants for employment without regard to race, color, religion, sex, national origin, age, disability, genetics, sexual orientation, gender identity, gender expression, or family status, as protected by applicable law.*
*We are committed to a diverse and inclusive workforce and welcome people from all backgrounds, experiences, perspectives, and abilities. All employment decisions are based on merit, qualifications, and business needs.*</t>
        </is>
      </c>
    </row>
    <row r="20">
      <c r="A20" t="inlineStr">
        <is>
          <t>li-4375008514</t>
        </is>
      </c>
      <c r="B20" t="inlineStr">
        <is>
          <t>IoT Software Engineer</t>
        </is>
      </c>
      <c r="C20" t="inlineStr">
        <is>
          <t>Samtec Inc</t>
        </is>
      </c>
      <c r="D20" t="inlineStr">
        <is>
          <t>linkedin</t>
        </is>
      </c>
      <c r="E20" t="inlineStr"/>
      <c r="F20" t="inlineStr"/>
      <c r="G20" t="inlineStr">
        <is>
          <t>Colorado Springs, CO</t>
        </is>
      </c>
      <c r="H20" t="inlineStr"/>
      <c r="I20" t="inlineStr">
        <is>
          <t>**Description**
*Position at Samtec, Inc*
 Founded in 1976, Samtec is a privately held, $1B global manufacturer of a broad line of
 electronic interconnect solutions. What drives us at Samtec is the knowledge that our products
 enable engineers to create great things. When we innovate electronics capable of moving signals at
 faster speeds, smaller footprints, and higher densities, we know that we’re providing designers
 access to the technologies that they need to do the jobs that impact all our lives. Whether it’s
 advanced medical equipment with the ability to save lives, energy\-efficient products that make our
 living spaces more comfortable, communication products that bring us together, or any number of
 other innovations, we feel good about our part in making those things possible. With 40 locations
 in 20 countries, Samtec’s global presence enables its unmatched customer service.
 This position is required to be on site at our Colorado Springs office 3 days each week. At this time Samtec is only considering local applicants for this position. Salary is $115 \- $180K per year inclusive of applicable bonus(s) and commensurate with experience. Standard benefit offerings available are medical (HSA/PPO) dental, vision, group life, AD\&amp;D, short and long term disability, EAP, 401K plus other voluntary options, as well as paid time off.
**Summary / Objective**
 This position will report to the Product Manager for the team assigned. The team consists of a
 Product Manager, Product Owner, Solution Architect, UX Designer, Software Engineers and possibly a Quality Assurance Specialist.
* Maintains comprehensive knowledge of the assigned domain product portfolio and contributes to
 product features design, planning and development.
* Collaborates with the Solution Architect on implementation of technical designs developed using
 the architectural framework.
* Works with assigned development team developing features utilizing best development practices
 and methods; provides code review, code guidance, and other technical assistance to ensure that
 implementation conforms to approved architectural design and department standards.
* Support implementation of process enhancements and development standards defined by the
 Architecture Team.
* Collaborate with other teams on projects to improve the overall software architecture, products
 and development process.
* Works with Product Owners and the development team in estimating and planning initiatives, and
 other related software engineering practices.
 The responsibilities as defined are intended to serve as a general guideline for this position.
 Associates may be asked to perform additional tasks depending on strengths and capabilities.
**Required Experience**
* Minimum 3\-5 years of experience in similar roles or jobs.
* Bachelor’s degree in Computer Science or equivalent
* Persistent data stores (relational, document, key/value) e.g. MongoDB, Microsoft SQL Server,
 DynamoDB, and Elasticsearch
* Modern software development languages e.g. C\#, Typescript, Rust and Go
**Desired Experience**
* Web application frameworks such as Angular or React
* Proficient with Python 3 programming language.
* Patterns and strategies for scalable logging, exception handling, and exception reporting
* Asynchronous messaging patterns
* Developing public cloud\-ready applications
* Migration of on\-premise applications to the cloud
* API management strategies and techniques
* Experience working with SCADA systems e.g. Ignition, Wonderware, Siemens
* Industrial control systems integration experience with relevant protocols such as TCP, Modbus, MQTT, OPCUA.
* Data streaming patterns and solutions eg. Kinesis, Kafka
* Time series database solutions eg. Influx, AWS Timestream, Kdb
* Application monitoring patterns and solutions e.g. CloudWatch, Prometheus, and Grafana
 SAMTEC, Inc. is an Equal Opportunity Employer and committed to creating a diverse environment. All employment decisions at Samtec are based in business needs, job requirements and individual qualifications, without regard to race, color, religion or belief, national, social or ethnic origin, pregnancy or parental status, age, disability, sexual orientation, gender and/or gender identity/expression, marital status, past or present military service, family medical history or genetic information, or any other status protected by applicable laws. Privacy Policy: https://www.samtec.com/about/legal/\#privacyrightspage</t>
        </is>
      </c>
    </row>
    <row r="21">
      <c r="A21" t="inlineStr">
        <is>
          <t>li-4376319413</t>
        </is>
      </c>
      <c r="B21" t="inlineStr">
        <is>
          <t>Full Stack Software Engineer</t>
        </is>
      </c>
      <c r="C21" t="inlineStr">
        <is>
          <t>BALIN TECHNOLOGIES LLC</t>
        </is>
      </c>
      <c r="D21" t="inlineStr">
        <is>
          <t>linkedin</t>
        </is>
      </c>
      <c r="E21" t="inlineStr"/>
      <c r="F21" t="inlineStr"/>
      <c r="G21" t="inlineStr"/>
      <c r="H21" t="inlineStr"/>
      <c r="I21"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22">
      <c r="A22" t="inlineStr">
        <is>
          <t>li-4332245217</t>
        </is>
      </c>
      <c r="B22" t="inlineStr">
        <is>
          <t>Software Engineer</t>
        </is>
      </c>
      <c r="C22" t="inlineStr">
        <is>
          <t>IMO Health</t>
        </is>
      </c>
      <c r="D22" t="inlineStr">
        <is>
          <t>linkedin</t>
        </is>
      </c>
      <c r="E22" t="inlineStr"/>
      <c r="F22" t="inlineStr"/>
      <c r="G22" t="inlineStr"/>
      <c r="H22" t="inlineStr"/>
      <c r="I22" t="inlineStr">
        <is>
          <t>At IMO, a team of clinicians, software developers, and data scientists combine computer science and medical expertise to help patients and healthcare professionals' access high quality health information that improves patient outcomes. We’re seeking a
 **Software Engineer** 
 to build high availability applications that power the extraction, enrichment, and structuring of clinical data, delivering value across the healthcare ecosystem. You’ll collaborate with engineering, product, and architecture teams to deliver reliable, scalable solutions, write clean and testable code, and support CI/CD best practices. We value engineers who are proactive, passionate about their craft, and eager to solve complex challenges together. This role is part of a team dedicated to developing high\-availability products on the Content and Data Management Platform.
**What You’ll Do**
* Delivers quality code via unit and integration testing through a suite of automated tests.
* Performs basic source code management tasks at the direction of more senior software engineers.
* Works with the team who are responsible for coding, validating, debugging, reliability, performance analysis and the ongoing operational aspects of the product in an Agile environment.
* Troubleshoots and resolves low to moderate complexity software bugs or issues, with close direction from more senior software engineers, and finds the real root cause and provides an efficient fix.
* Follows development standards and effectively demonstrates technical solutions to other software engineers in code reviews.
* Coordinates with all cross functional teams to analyze issues.
* Develop and maintain user facing features using modern front\-end technologies.
* Assist in building and maintaining backend services, APIs and databases.
* Works cooperatively with team members to manage conflict constructively and fosters trust, commitment, accountability.
* Delivers quality product leveraging the values of transparency, inspection and adaptation in an agile way.
* Implements creative solutions to technical challenges and embraces out\-of\-the\-box thinking to apply knowledge and learning from various disciplines to create new or improve existing products.
* Be comfortable navigating AI technologies (Agents, Prompt Engineering, LLM’s) and identifying practical ways to apply them to enhance product functionality, user experience, or operational efficiency.
**What You’ll Need**
* A relevant technical BA/ BS Degree and one year of experience, or three years of relevant professional experience in web\-based software development, ideally full stack RESTful API.
* At least 1 year experience with at least one of the following general\-purpose programming languages, including but not limited to: JavaScript, Angular(16\+), Typescript, Python, C\#, .NET, GoLang.
* A willingness to ask for help and able to communicate what you need to do your best work.
* Any amount of experience working with cloud technologies (AWS preferred).
* Any amount of experience software construction and principles.
* 1\+ year exp development practices like test automation, CI/CD, source version control, etc.
* An academic degree in Computer Science or comparable discipline, or relevant experience in developing application.
 $80,000 \- $120,000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li-4367648680</t>
        </is>
      </c>
      <c r="B23" t="inlineStr">
        <is>
          <t>FullStack Engineer, Fleets Tooling</t>
        </is>
      </c>
      <c r="C23" t="inlineStr">
        <is>
          <t>Lyft</t>
        </is>
      </c>
      <c r="D23" t="inlineStr">
        <is>
          <t>linkedin</t>
        </is>
      </c>
      <c r="E23" t="inlineStr"/>
      <c r="F23" t="inlineStr"/>
      <c r="G23" t="inlineStr">
        <is>
          <t>San Francisco County, CA</t>
        </is>
      </c>
      <c r="H23" t="inlineStr"/>
      <c r="I23" t="inlineStr">
        <is>
          <t>At Lyft, our purpose is to serve and connect. We aim to achieve this by cultivating a work environment where all team members belong and have the opportunity to thrive.
 The Fleets Tooling team is building the infrastructure to make Lyft the easiest and most valuable platform for deploying vehicle fleets at scale.
 We're creating a unified platform that positions Lyft as the partner of choice for autonomous vehicle operators, fleet management companies, and taxi services—while enabling international expansion and unlocking new opportunities in shuttles, buses, and premium vehicles. Learn more about our fleet solutions at flexdrive.com.
**The Role**
 We're seeking an L4 Full Stack Engineer with strong frontend expertise to help build tools that empower our fleet partners and internal teams. You'll work on products that directly impact how thousands of vehicles connect to our platform, creating experiences that delight both drivers and passengers.
 This role emphasizes collaboration, ownership, and technical excellence. You'll partner with product managers, data scientists, QA and operations teams to ship high\-quality features that balance rapid iteration with long\-term scalability.
**Responsibilities:**
* Build and own features end\-to\-end — from product specs through deployment and maintenance, ensuring high quality at every stage
* Drive frontend architecture for modern web applications using React, TypeScript, and Next.js
* Collaborate cross\-functionally to integrate emerging technologies into our evolving infrastructure
* Shape the roadmap by contributing technical perspective on architecture decisions and business priorities
* Write maintainable code with comprehensive testing, clear documentation, and thoughtful design
* Mentor through code reviews that prioritize both quality and knowledge sharing
* Support your team through pairing, healthy technical debates, and a culture of mutual growth
* Interface with stakeholders to gather requirements, communicate progress, and respond to technical questions
**Experience:**
* 3\+ years of professional software engineering experience
* Strong proficiency building production\-grade frontend applications with React, Next.js, TypeScript, and modern frameworks
* Backend experience with Python and Flask
* Familiarity with AWS services (DynamoDB, SQS) and Kubernetes
* Experience designing, building, and consuming REST or GraphQL APIs
* Understanding of frontend fundamentals: JavaScript/TypeScript, HTML, CSS, accessibility standards (WCAG/a11y), performance optimization, and component\-driven architecture
* Proven ability to write comprehensive tests (unit, integration, end\-to\-end)
* Solid foundation in algorithms, data structures, and object\-oriented programming
* Working knowledge of SQL or NoSQL databases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4">
      <c r="A24" t="inlineStr">
        <is>
          <t>li-4376198369</t>
        </is>
      </c>
      <c r="B24" t="inlineStr">
        <is>
          <t>R&amp;D Software Engineer (federal &amp; commercial)</t>
        </is>
      </c>
      <c r="C24" t="inlineStr">
        <is>
          <t>Inca Digital</t>
        </is>
      </c>
      <c r="D24" t="inlineStr">
        <is>
          <t>linkedin</t>
        </is>
      </c>
      <c r="E24" t="inlineStr"/>
      <c r="F24" t="inlineStr"/>
      <c r="G24" t="inlineStr">
        <is>
          <t>Florida, United States</t>
        </is>
      </c>
      <c r="H24" t="inlineStr"/>
      <c r="I24" t="inlineStr">
        <is>
          <t>**Company Info** 
 Inca Digital (https꞉//inca.digital/) is a Digital Asset Data and Intelligence Company started in 2018\.
 Inca serves clients across national security, intelligence, leading crypto exchanges, large financial institutions, regulators, and law enforcement. Public examples of some of our work꞉
* Inca Digital awarded DARPA contract to map crypto contagion risk (https://www.axios.com/2023/04/11/inca\-digital\-darpa\-crypto)
* British Columbia hopes new software catches the next FTX (https://blockworks.co/news/british\-columbia\-next\-ftx)
* CFTC Selects Nakamoto Terminal as Winner of Agency’s First Science Prize Competition (https://www.cftc.gov/PressRoom/PressReleases/8311\-20\)
* Enhancing geotagging models (https://inca.digital/intelligence/enhancing\-geotagging\-models/)
* Inca in the News (https://inca.digital/news/)
 Inca operates as a fast paced, nimble, global, and remote technology company. We leverage an asynchronous‐first workflow, try to minimize time spent on meetings, and rely heavily on detailed documentation, atomic iterations, and pen‐debate. We don’t track hours, or care where you work from, as long as timelines are being met and work is being delivered!
 Work with and learn from some of the smartest people from all over the world, with diverse industry backgrounds such as intelligence, traditional finance, data engineering, IT security, math, biology and chemistry, and investigative journalism.
**Job Description** 
 Work on the Research and Development (R\&amp;D) Team to help design and develop new data products and tools.
* Report to the head of R\&amp;D for prioritization, product design, and subject matter training.
 The R\&amp;D Team consumes internal and external sources of data, processes it, stores it, analyzes it, and helps productize it (as APIs, dashboards, and alerts)
* In doing so, R\&amp;D interacts with Inca’s various other teams and touches products, investigations, research, and data which are directly used by Inca’s clients.
* R\&amp;D is a highly collaborative team of engineers. Suggest solutions, propose changes, and offer your unique perspective.
**Credentials/Skills** 
**Required Skills and Experience:** 
* Experience with source control tool sets (Git)
* Knowledge of CI/CD processes (GitHub Actions, AWSCode)
* Understanding of containerized environments (kubernetes/docker)
* Developing Batch ETL/ELT data pipelines
* Experience deploying and working with relational databases, and file storage
* Performing data acquisition from source databases and APIs
**Comfortable with these programing/querying Languages:** 
* Required꞉ Python, SQL
* Nice to have꞉ GraphQl, GoLang, Java, Solidity, Vyper, Bitcoin Script, CIPHER, SPL (Splunk’s Search Processing Language)
**Beneficial Experience:** 
* Experience interacting with data storage solutions꞉ Amazon S3, RDS, Postgresql, MongoDB, Neo4j
* Experience with Kafka and Airflow
* Building, testing, and training models
* Knowledge of cloud resource provisioning, configuration, and automation
* Familiarity with NLP techniques \&amp; LLMs
* Familiarity with blockchains \&amp; smart contracts
* Familiarity with financial and banking
**Nice to have:** 
* Prior experience in financial services particularly with trading venues
* Familiarity with global regulatory frameworks and those within the US or Canada. (SEC, CFTC, FINCEN, CSA, CSC, etc.)
**How to apply** 
 We are managing all applications through our internal portal. To be considered, please apply directly via the following link:  https://lnkd.in/dhPr8GKT</t>
        </is>
      </c>
    </row>
    <row r="25">
      <c r="A25" t="inlineStr">
        <is>
          <t>li-4294636176</t>
        </is>
      </c>
      <c r="B25" t="inlineStr">
        <is>
          <t>Senior Software Engineer - Backend</t>
        </is>
      </c>
      <c r="C25" t="inlineStr">
        <is>
          <t>Nextdoor</t>
        </is>
      </c>
      <c r="D25" t="inlineStr">
        <is>
          <t>linkedin</t>
        </is>
      </c>
      <c r="E25" t="inlineStr"/>
      <c r="F25" t="inlineStr"/>
      <c r="G25" t="inlineStr"/>
      <c r="H25" t="inlineStr"/>
      <c r="I25"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As a Senior or Staff Software Engineer at Nextdoor, you’ll join a focused team of developers, product managers, and designers who are passionate about using technology to cultivate a kinder world where everyone has a neighbor they can rely on. We are a small, high performing team of engineers that wear multiple hats and prioritize impact for our customers. We care about moving fast and delivering impact, without compromising on quality and reliability as guided by our Engineering Principles. You will have the opportunity to learn from your co\-workers and teach them. As a team, we will make each other better and build great software.
 At Nextdoor, we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We believe in empowering our teams to own all aspects of bringing Nextdoor to life. As such, you’ll get the opportunity to make key contributions across our engineering stack \- this includes developing and improving frameworks across our backend services, in addition to making direct contributions to your team’s product area.
 In addition to writing code, you’ll help define the features that we build, through collaboration internally with product managers, data scientists, and other engineering leaders. We believe engineers should have a stake over all aspects of the product \- from coming up with the next big ideas to build, through helping set expectations and plan roadmaps, all the way through understanding the impact of new features through rigorous data analysis. As your career at Nextdoor develops, you’ll also get the chance to grow your role towards what you’re most passionate about.
**Your Responsibilities Will Include**
* Backend development in a variety of languages/frameworks including:
+ Python/Django
+ Kotlin / JVM
+ Go
+ SQL
+ GraphQL
+ Redis
+ Postgres
+ Kafka
+ AWS
* Mentoring a team of talented engineers designing and building the next generation of Nextdoor
* Collaborating with product management, data science, and design to ensure we build the right things to maximize impact on neighbors
* Working with engineers in Toronto, New York, San Francisco and beyond
* Participate in in\-person Nextdoor events such as trainings, off\-sites, volunteer days, and team building exercises
* Build in\-person relationships with team members and contribute to Nextdoor’s company culture
**What You’ll Bring To The Team**
* 6\+ years of experience as a Software Engineer and a Bachelor's degree in Computer Science, or equivalent work experience
* High\-initiative leader who can drive technical vision to enable the rapid iteration of Nextdoor’s product
* Strong coding and debugging abilities across multiple systems and domains
* Experience designing, building and deploying flexible backend systems at scale
* Strong desire to learn about new technologies and systems
**Rewards**
 Compensation, benefits, perks, and recognition programs at Nextdoor come together to create one overall rewards package.
 The starting salary for this role is expected to range from $165,000 to $250,000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We cover 100% of your personal monthly premium for health, dental, and vision – and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26">
      <c r="A26" t="inlineStr">
        <is>
          <t>li-4374944122</t>
        </is>
      </c>
      <c r="B26" t="inlineStr">
        <is>
          <t>Senior Software Engineer</t>
        </is>
      </c>
      <c r="C26" t="inlineStr">
        <is>
          <t>Sky Limit Systems</t>
        </is>
      </c>
      <c r="D26" t="inlineStr">
        <is>
          <t>linkedin</t>
        </is>
      </c>
      <c r="E26" t="inlineStr"/>
      <c r="F26" t="inlineStr"/>
      <c r="G26" t="inlineStr"/>
      <c r="H26" t="inlineStr"/>
      <c r="I26" t="inlineStr">
        <is>
          <t>**Staff Software Engineer (Full\-Stack)** 
**Full\-Time \| Remote \| Salary, Exempt** 
**Exceptional Benefits \| Flexible PTO \| Flexible Schedule \| Equity** 
 We’re growing and looking for a
 **Staff Software Engineer** 
 to join a high\-performing team that is transforming the reporting industry. Our team is distributed across the country (and beyond) and passionate about redefining the boundaries of an outdated space.
 If you’re excited about contributing to an engineering culture grounded in continuous improvement across every aspect of product development — we’d love to connect.
**Who You Are** 
 You’re a self\-starter who thrives in a remote environment and manages your time effectively. You love solving complex problems and collaborating with others to build thoughtful, scalable solutions.
 You’re looking for a team that offers support, guidance, growth opportunities, and a culture that values both excellence and authenticity.
**What You’ll Do** 
**On a regular basis, you will:** 
* Lead hands\-on software development, applying your skills and experience to meaningful problems
* Architect, design, and implement scalable technical solutions
* Establish and maintain sound software architecture
* Build and refine engineering processes and best practices based on project learnings
* Mentor and coach non\-staff engineers
**You’ll Thrive If You:** 
* Love solving problems collaboratively
* Understand the tradeoffs between under\-engineering and over\-engineering, and work pragmatically
* Seek clarity and simplicity wherever possible
* Are organized and comfortable working through incomplete designs or evolving specs
* Are passionate about cultivating a product\-oriented engineering culture with continuous improvement at its core
* Enjoy helping grow developer communities and representing your team externally
* Approach challenges with humility and see mistakes as learning opportunities
* Remain composed when others take different approaches to solving the same problem
**Requirements** 
* Extensive experience with Git, multiple high\-level programming languages (both statically\-typed and dynamic), software patterns and best practices
* Strong relational database knowledge and expertise writing SQL
* Experience with various software architectures (n\-tier, monolithic, distributed, etc.)
* Experience with cloud infrastructure and cloud\-based CI/CD pipelines
* Familiarity with Node.js (TypeScript), React.js, and PostgreSQL
* Experience implementing unit and integration testing
* Demonstrated track record of delivering well\-engineered products across domains
* Experience with modern front\-end and back\-end frameworks
* Deep understanding of web application fundamentals — from UI to database queries
* 7\+ years of development experience
* Bachelor’s degree in Computer Science or equivalent experience
**Compensation \&amp; Benefits** 
* **Base Salary:** 
**$215,000–$275,000** 
 plus a discretionary annual bonus based on performance goals
* Low\-cost Health, Vision, and Dental plans
* Wellness and Mental Health benefits for employees and families
* Flexible Paid Time Off
* Equity options
* 401(k) access
* Home office setup support
* Monthly internet and phone stipend
**The Team** 
 The Engineering team is highly reliable and continuously innovating. Engineering works closely with Product and Design to execute new ideas and deliver thoughtful solutions.
 The culture is humble and improvement\-focused — recognizing that no person or system is perfect, and mistakes are opportunities to learn and grow.</t>
        </is>
      </c>
    </row>
    <row r="27">
      <c r="A27" t="inlineStr">
        <is>
          <t>li-4331596954</t>
        </is>
      </c>
      <c r="B27" t="inlineStr">
        <is>
          <t>Software Engineer</t>
        </is>
      </c>
      <c r="C27" t="inlineStr">
        <is>
          <t>IMO Health</t>
        </is>
      </c>
      <c r="D27" t="inlineStr">
        <is>
          <t>linkedin</t>
        </is>
      </c>
      <c r="E27" t="inlineStr"/>
      <c r="F27" t="inlineStr"/>
      <c r="G27" t="inlineStr">
        <is>
          <t>Rosemont, IL</t>
        </is>
      </c>
      <c r="H27" t="inlineStr"/>
      <c r="I27" t="inlineStr">
        <is>
          <t>At IMO, a team of clinicians, software developers, and data scientists combine computer science and medical expertise to help patients and healthcare professionals' access high quality health information that improves patient outcomes. We’re seeking a
 **Software Engineer** 
 to build high availability applications that power the extraction, enrichment, and structuring of clinical data, delivering value across the healthcare ecosystem. You’ll collaborate with engineering, product, and architecture teams to deliver reliable, scalable solutions, write clean and testable code, and support CI/CD best practices. We value engineers who are proactive, passionate about their craft, and eager to solve complex challenges together. This role is part of a team dedicated to developing high\-availability products on the Content and Data Management Platform.
**What You’ll Do**
* Delivers quality code via unit and integration testing through a suite of automated tests.
* Performs basic source code management tasks at the direction of more senior software engineers.
* Works with the team who are responsible for coding, validating, debugging, reliability, performance analysis and the ongoing operational aspects of the product in an Agile environment.
* Troubleshoots and resolves low to moderate complexity software bugs or issues, with close direction from more senior software engineers, and finds the real root cause and provides an efficient fix.
* Follows development standards and effectively demonstrates technical solutions to other software engineers in code reviews.
* Coordinates with all cross functional teams to analyze issues.
* Develop and maintain user facing features using modern front\-end technologies.
* Assist in building and maintaining backend services, APIs and databases.
* Works cooperatively with team members to manage conflict constructively and fosters trust, commitment, accountability.
* Delivers quality product leveraging the values of transparency, inspection and adaptation in an agile way.
* Implements creative solutions to technical challenges and embraces out\-of\-the\-box thinking to apply knowledge and learning from various disciplines to create new or improve existing products.
* Be comfortable navigating AI technologies (Agents, Prompt Engineering, LLM’s) and identifying practical ways to apply them to enhance product functionality, user experience, or operational efficiency.
**What You’ll Need**
* A relevant technical BA/ BS Degree and one year of experience, or three years of relevant professional experience in web\-based software development, ideally full stack RESTful API.
* At least 1 year experience with at least one of the following general\-purpose programming languages, including but not limited to: JavaScript, Angular(16\+), Typescript, Python, C\#, .NET, GoLang.
* A willingness to ask for help and able to communicate what you need to do your best work.
* Any amount of experience working with cloud technologies (AWS preferred).
* Any amount of experience software construction and principles.
* 1\+ year exp development practices like test automation, CI/CD, source version control, etc.
* An academic degree in Computer Science or comparable discipline, or relevant experience in developing application.
 $80,000 \- $120,000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
      <c r="A28" t="inlineStr">
        <is>
          <t>li-4359962534</t>
        </is>
      </c>
      <c r="B28" t="inlineStr">
        <is>
          <t>Software Engineer</t>
        </is>
      </c>
      <c r="C28" t="inlineStr">
        <is>
          <t>Microsoft</t>
        </is>
      </c>
      <c r="D28" t="inlineStr">
        <is>
          <t>linkedin</t>
        </is>
      </c>
      <c r="E28" t="inlineStr"/>
      <c r="F28" t="inlineStr"/>
      <c r="G28" t="inlineStr">
        <is>
          <t>Redmond, WA</t>
        </is>
      </c>
      <c r="H28" t="inlineStr"/>
      <c r="I28" t="inlineStr">
        <is>
          <t>**Overview**
 Microsoft’s Path team helps customers along their journey from the initial idea to the final realization of their goals – from Idea to Plan to Done.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And with Visio, we help customers model and conceptualize information pathways that flow through process diagrams, organizational charts, and more to visualize what is and what can be. Collectively, we're responsible for an incredible portfolio of products and services that help guide people and organizations along their journey to achieve more.
 As a
 **Software Engineer – II** 
 on the Path team, you won’t just be building software—you’ll be transforming how people work, plan, and collaborate every single day. You’ll be
 **modernizing work management with AI** 
 , pioneering next\-generation Large Language Models (LLMs) and advanced Agentic frameworks that supercharge productivity. From leveraging cutting\-edge AI agents to automate repetitive tasks, to creating intelligent assistants that streamline project workflows and proactively complete tasks, you’ll be at the heart of an exciting global effort—redefining how people everywhere get things done.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 to determine user requirements for a feature and consider a variety of feedback channels to incorporate insights into future designs or solution fixes.
* You will learn and contribute to processes for the architecture of a product/solution feature and learns to create proposals by testing design hypotheses and helping to refine code plans under the technical leadership of others as well as help produce code to test hypotheses for technical solutions and assists with technical validation efforts.
* With guidance, you will learn to create and implement code that is extensible and maintainable and apply diagnosability, reliability and maintainabilit, and understand when the code is ready to be shared and delivered for a product, service, or feature reusing code as applicable
* You will learn to review work items to gain knowledge of product features in partnership with appropriate stakeholders and assist and learn about breaking down work items into tasks and provides estimation as well as escalate any issues that would cause a delay.
* You will learn about and contribute to operations of live service as issues arise on a rotational, on\-call basis and identify solutions and mitigations to simple issues impacting performance or functionality of Live Site services and escalates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building AI / Agentic Applications using LLMs, Prompt Engineering, Evals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li-4328371042</t>
        </is>
      </c>
      <c r="B29" t="inlineStr">
        <is>
          <t>Software Engineer</t>
        </is>
      </c>
      <c r="C29" t="inlineStr">
        <is>
          <t>Docusign</t>
        </is>
      </c>
      <c r="D29" t="inlineStr">
        <is>
          <t>linkedin</t>
        </is>
      </c>
      <c r="E29" t="inlineStr"/>
      <c r="F29" t="inlineStr"/>
      <c r="G29" t="inlineStr">
        <is>
          <t>San Francisco, CA</t>
        </is>
      </c>
      <c r="H29" t="inlineStr"/>
      <c r="I29"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Software Engineer will execute on all aspects of the software development lifecycle including design, development, testing, deployment and maintenance of the Contract Lifecycle Management (CLM) application. You will primarily leverage the Microsoft technology stack however we also embrace open source technologies such as Redis, Cassandra and Elasticsearch. You enjoy fast\-paced entrepreneurial environments where you can solve difficult problems using current technologies and tools. You collaborate well with other team members when brainstorming, designing, and implementing new solutions. You will also help the team succeed by thinking about ways to improve processes, suggesting ways to make the team more effective, and mentoring and modeling engineering best practices.
 This position is an individual contributor reporting to Sr. Manager, Software Engineering.
****Responsibility****
* Develop high quality, maintainable code in C\# .Net or other object\-oriented languages
* Work in SQL, Cassandra, Backend Services, REST API, React
* Work as part of a passionate, agile development team to deliver engaging web user experiences
* Work with Project Management and other developers to understand design requirements and provide estimates for development
* Participate in an Agile environment using Scrum software development practices, automated unit testing, continuous integration, code reviews, version control systems, automated build processes
* Raise issues proactively that might impact delivery commitments
* Research new features and technologies
* Fix production issues and maintain the code as needed
* Participate in live site reviews and help implement new features and processes to improve site reliability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BS degree in CS or EE or equivalent work experience
* 5\+ years of product development experience building large\-scale applications
* Experience working in an agile development environment
* Experience with git, continuous integration and deployment tools
**Preferred**
* Professional experience with building and consuming RESTful web\-services
* Experience with full stack development, in one or more of OO programming languages like C\# or Java
* Experience working with message broker technology ie. RabbitMQ or Azure Service Bus
* Experience with cloud computing technologies ie. Azure.
* Experience working with remote teams
* Experience developing web applications with CSS, AJAX, JSON, HTML or MVC
* Excellent problem\-solving skills
* Ability to learn and curious about new technologies and tool sets
 Wage Transparency
 Pay for this position is based on a number of factors including geographic location and may vary depending on job\-related knowledge, skills, and experience.
 Based on applicable legislation, the below details pay ranges in the following locations:
 California: $140,000\.00 \- $225,075\.00 base salary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30">
      <c r="A30" t="inlineStr">
        <is>
          <t>li-4376309883</t>
        </is>
      </c>
      <c r="B30" t="inlineStr">
        <is>
          <t>Senior Software Engineer</t>
        </is>
      </c>
      <c r="C30" t="inlineStr">
        <is>
          <t>Skyward</t>
        </is>
      </c>
      <c r="D30" t="inlineStr">
        <is>
          <t>linkedin</t>
        </is>
      </c>
      <c r="E30" t="inlineStr"/>
      <c r="F30" t="inlineStr"/>
      <c r="G30" t="inlineStr">
        <is>
          <t>Rockville, MD</t>
        </is>
      </c>
      <c r="H30" t="inlineStr"/>
      <c r="I30" t="inlineStr">
        <is>
          <t>**We are Skyward.**
 That is, a love for people, for improvement, for human advancement through information technology. We are a people\-centered business with a desire to serve others. We are diverse and unified; creative and collaborative; a collection of complementary, not competing talents. And though on the surface we remain relaxed, beneath, a torrent of energy links us to our civic tech mission.
 We stand by our values, and we won’t compromise on any of them.
**Integrity:** 
 We’re conscientious, intentional, and empathetic. Our words and actions align. That’s our character. Please don’t ask us to play another part, we’re poor actors.
 **Compassionate:** 
 If we may borrow a quote from Theodore Roosevelt: “No one cares how much you know until they know how much you care.” Because our team is thoughtful and supportive, caring deeply for each other, our clients, and our work, this comes naturally.
 **Inquisitive:** 
 We remain students by failing openly and turning lessons into solutions.
 **Unconventional:** 
 For us, life isn’t what happens outside of work. Work happens inside of life and our culture erases the line often dividing the two.
 **Authentic:** 
 Made possible only because we embody the values listed above. We’re relaxed and fun yet intensely curious and driven. Team members are placed with thought, care, and precision to ensure that Trust, Truth, and Transparency continue to represent our brand.
 Because of that, we continue Onward, Upward, and Skyward.
 We Need a Senior Software Engineer.Do You Like Pushing The Boundaries Of Technology? Do You Love Staying On Top Of The World Of Artificial Intelligence Because Of How It Can Make Our Lives Easier? If You’re Someone Who’s Driven By Innovation And Who Loves Experimenting With Emerging Technologies, Then Please Apply. Come Join Us If You're Motivated To Learn From Others, To Learn From Mistakes, To Be Part Of a Future\-looking And Growth\-oriented Team. Let's Go Skyward Together.What You’ll Do
* Help us ship our first customer\-ready product in 90 days while establishing the technical foundation for scale.
* Be our Swiss Army knife who can architect solutions, write production code, deploy infrastructure, and translate complex domain expertise into elegant software.
* Partake in architecture and technical strategy: design system architecture for AI\-first automation platform integrating LLM APIs; make critical technical decisions on frameworks, patterns, and infrastructure; translate SME domain knowledge into scalable technical solutions; balance speed\-to\-market with technical sustainability.
* Hands\-on development: build full\-stack web applications; implement prompt engineering strategies and agentic workflows; write production\-quality code across the stack; develop reusable components and services for AI automation.
* DevOps and infrastructure: own AWS infrastructure strategy and implementation; build and maintain CI/CD pipelines for rapid iteration; implement IaC; handle release management and production operations; ensure security, reliability, and cost\-efficiency.
* Customer\-facing technical work: build compelling demos and POCs for sales enablement; participate in early customer technical discovery; iterate on feedback to refine product\-market fit; support early customer implementations.
* If all that wasn’t enough, we’ll also need you to do some domain translation, where you will work closely with SMEs to understand complex domain problems, bridge the gap between business requirements and technical implementation, and rapidly prototype solutions to validate product hypotheses.
 What we’d like you to have:
* Bachelor’s degree in computer science, engineering, mathematics, or related field.
* Minimum of 7 years of experience in software engineering, with progressive movement into senior roles.
* Experience taking products from concept to customers.
* Strong backend skills with solid frontend fundamentals (Svelte, Python, Typescript/Javascript).
* Deep knowledge of AWS services (Lambda, ECS/EKS, S3, RDS, etc), architecture patterns, and best practices.
* LLM/AI implementation experience, including working with LLM APIs in production, prompt engineering and optimization, and building agentic systems or AI workflows.
* Infrastructure experience with Terraform/CDK, GitHub.
* Database experience with PostgreSQL, Vector databases (Pinecone/Weaviate/similar).
* A knack for explaining technical concepts to non\-technical stakeholders. Your communication skills are second to none.
**What Would Blow Us Away**
* You have experience with RAG systems, vector databases, or embeddings.
* You have prior experience scaling AI products from prototype to production.
**Qualifications**
*Even if you don’t meet 100% of the qualifications, we encourage you to apply. At Skyward, we’re focused on hiring individuals with the right skills and passion to grow, not just checking off every box.* 
 And now the important part. What we offer you:
* Medical, dental, vision insurance (fully paid for employees)
* 15 days of paid leave
* 7 days of sick leave
* 2 days bereavement leave
* 11 paid Federal holidays
* Up to 40 hours for jury duty
* 401K with 4% employer contribution (and no vesting period)
* Up to 4 weeks of paid paternity and maternity leave
* Company provided laptop
* $5,000 per year for professional development
* $600 per year for technical supplies and equipment
* $2,000 referral bonus
* Life and disability insurance
* HSA and FSA
* Legal Shield and ID Shield Voluntary Benefits
* Opportunity to work in a collaborative, motivated team focused on modernizing government services with cutting\-edge technology and innovative solutions. Who says government work can't be exciting!
 $170,000 \- $180,000 a yearWe believe great work deserves great pay. That’s why we ensure our compensation is not only competitive but also fair and transparent, as required by Maryland law. Expect a salary that matches your skills, experience, and the value you bring to the table — because you’re worth it!At Skyward, we are committed to creating an environment where everyone, regardless of gender, race, ethnicity, sexual orientation, disability, or background, can thrive. We support flexible working hours and remote opportunities to help maintain a healthy work\-life balance for all employees, including caregivers and those with unique needs.
 **Offers of employment with Skyward are contingent upon acceptable results of a background investigation.** 
**Applicants must have the ability to obtain and maintain a Public Trust security clearance due to the nature of our work as a government contractor.**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
      <c r="A31" t="inlineStr">
        <is>
          <t>li-4374944456</t>
        </is>
      </c>
      <c r="B31" t="inlineStr">
        <is>
          <t>Backend Software Engineer, Content E-Commerce</t>
        </is>
      </c>
      <c r="C31" t="inlineStr">
        <is>
          <t>ByteDance</t>
        </is>
      </c>
      <c r="D31" t="inlineStr">
        <is>
          <t>linkedin</t>
        </is>
      </c>
      <c r="E31" t="inlineStr"/>
      <c r="F31" t="inlineStr"/>
      <c r="G31" t="inlineStr">
        <is>
          <t>San Jose, CA</t>
        </is>
      </c>
      <c r="H31" t="inlineStr"/>
      <c r="I31" t="inlineStr">
        <is>
          <t>**Responsibilities**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
 Content E\-commerce is a global team responsible for building up the content ecosystem for E\-commerce. We provide more highly qualified E\-commerce content to customers to help them find good products at affordable prices.  We attract more creators to land on the E\-commerce platform, create more E\-commerce related content and get benefits from their content. Also, we help merchants to find suitable creators to sell their products. Our mission is to build up an ecosystem which both customers and creators and merchants will benefit from.
 Responsibilities:
 \- Develop efficient, highly scalable and secured services to build/integrate E\-Commerce solutions for TikTok Shop in the US.
 \- Integrate TikTok Shop with partner APIs to leverage existing ecosystem and scale up the business to a broader audience, while guaranteeing end\-to\-end scalability and providing a cohesive experience to customers.
 \- Design, develop and test the global product for the creator affiliate and agency product.
 \- In charge of optimizing the experience of influencers and affiliate, you are responsible for the affiliate GMV and activities of influencers.
 \- Constantly work with Affiliate product team to optimize creator funnel and creator experiences.
 \- Complete ownership of product feature development, from initial requirement management to post\-live analysis, drive the best product efficiency and experience.
**Qualifications**
 Minimum Qualifications:
 \- Bachelors or higher degree in Computer Science or related technical discipline.
 \- 2 or more years of experience managing highly scalable backend services and systems using at least one of Java/Golang/Python/C\+\+. 
 \- Strong software programming capabilities, exhibits good code design and coding style.
 \- Deep understanding of data structure, algorithm design and analysis, networking, data security and highly scalable systems design.
 Preferred Qualification:
 \- In depth knowledge of common databases and messaging frameworks like MySQL/Redis/Kafka etc.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32">
      <c r="A32" t="inlineStr">
        <is>
          <t>li-4376314465</t>
        </is>
      </c>
      <c r="B32" t="inlineStr">
        <is>
          <t>Software Engineer II</t>
        </is>
      </c>
      <c r="C32" t="inlineStr">
        <is>
          <t>Microsoft</t>
        </is>
      </c>
      <c r="D32" t="inlineStr">
        <is>
          <t>linkedin</t>
        </is>
      </c>
      <c r="E32" t="inlineStr"/>
      <c r="F32" t="inlineStr"/>
      <c r="G32" t="inlineStr">
        <is>
          <t>Redmond, WA</t>
        </is>
      </c>
      <c r="H32" t="inlineStr"/>
      <c r="I32" t="inlineStr">
        <is>
          <t>**Overview**
 Microsoft is a company where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responsible for Microsoft Dynamics 365, Power Apps, Power Automate, Dataverse, AI Builder, Microsoft Industry Solutions, and more. Microsoft is considered one of the leaders in Software as a Service in the realm of business applications, and this organization is at the core of how business applications are designed and delivered.
 We are looking for a Software Engineer II to join our team! This is an exciting time to join our group and work on something highly strategic within Microsoft. Microsoft Dataverse is the platform to securely store an enormous amount of data in a cost\-efficient, scalable, and manageable way. This team builds a suite of microservices to get near real\-time insights over your data.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secure, scalable, and resilient cloud services and enterprise data platforms powering mission‑critical Dataverse Runtime workflows.
* Develop features and enhancements for Dataverse Runtime services with reliability, performance, compliance, and accessibility practices.
* Collaborate with other engineers and cross‑functional partners to influence technical direction and deliver end‑to‑end solutions across services and data pipelines.
* Build automation for deployment, monitoring, issue detection, and diagnosis to reduce operational overhead and improve live‑site success.
* Identify and resolve recurring issues or trends; drive resiliency improvements through observability, diagnostics, and recovery strategies.
* Participate in live‑site operations, including alert tuning, production fixes, and preventive engineering to protect customer experience.
* Engage in code reviews, share knowledge, and demonstrate best practices; continually learn and refine engineering processes to meet evolving enterprise needs.
* Contribute to transforming Microsoft Dataverse to enable agentic AI experiences—building runtime capabilities, data contracts, and service patterns that support autonomous workflows, guardrails, and safe orchestration.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of experience with Azure services, microservices architecture, and CI/CD pipelines.
* 1\+ year of experience with security, compliance, and accessibility standards.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agentic AI technologies and workflows, including building systems that enable autonomous decision\-making, orchestration, and safe execution of AI\-driven processes within enterprise environments.
* Proficiency in Python for automation, data processing, or integration with cloud services.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3">
      <c r="A33" t="inlineStr">
        <is>
          <t>li-4376170858</t>
        </is>
      </c>
      <c r="B33" t="inlineStr">
        <is>
          <t>Software Engineer (Python, SQL)</t>
        </is>
      </c>
      <c r="C33" t="inlineStr">
        <is>
          <t>Wiraa</t>
        </is>
      </c>
      <c r="D33" t="inlineStr">
        <is>
          <t>linkedin</t>
        </is>
      </c>
      <c r="E33" t="inlineStr"/>
      <c r="F33" t="inlineStr"/>
      <c r="G33" t="inlineStr"/>
      <c r="H33" t="inlineStr"/>
      <c r="I33" t="inlineStr">
        <is>
          <t>**About The Company**
 General Motors (GM) is a global leader in automotive manufacturing and innovation, committed to shaping the future of mobility. With a focus on zero crashes, zero emissions, and zero congestion, GM strives to develop cutting\-edge technologies that enhance safety, sustainability, and efficiency. The company fosters a culture of innovation, collaboration, and inclusion, aiming to create a safer and more equitable world through advanced automotive solutions. GM's dedication to research and development is exemplified through its investment in autonomous vehicle technology, electric mobility, and intelligent transportation systems. As a pioneer in the industry, GM continuously pushes the boundaries of innovation to deliver exceptional value to its customers and stakeholders.
**About The Role**
 Join our Simulation and Testing organization as a Lead Software Engineer for Autonomy Evaluation. In this strategic role, you will lead the design and implementation of simulation\-based validation efforts critical to autonomous vehicle development. Your expertise will drive the development of complex verification and validation strategies, facilitating rapid prototyping and consensus building among cross\-functional teams. You will mentor engineers, establish best practices, and develop innovative testing methodologies to ensure the safety and performance of autonomous systems within intricate simulated environments. This position offers an exciting opportunity to shape the future of simulation capabilities, ensuring robust validation methods meet the diverse testing needs of AI developers, systems engineers, and safety professionals. The role emphasizes collaboration, technical excellence, and leadership to accelerate autonomous vehicle deployment while maintaining the highest safety standards.
**Qualifications**
* Advanced degree in Mechanical Engineering, Aerospace Engineering, Physics, Computer Science, Data Science, or related fields.
* Minimum of 8 years of hands\-on experience in systems engineering, robotics, or data analysis.
* Proficiency in SQL, Python, and C\+\+ for analyzing large datasets.
* Strong analytical skills with the ability to interpret complex data and derive actionable insights.
* Exceptional communication skills, capable of articulating technical concepts to varied audiences.
* Experience in validating AI models, robotics, or autonomous vehicle systems is preferred.
* Familiarity with data engineering and ETL tools such as DBT and Airflow.
* Experience in developing data visualizations using tools like Looker or Jupyter notebooks.
* Proven track record in systems engineering for safety\-critical products.
* Experience with requirements management tools such as Jama, DNG, or DOORS is a plus.
**Responsibilities**
* Design and prototype comparative strategies to benchmark the performance of autonomous systems effectively.
* Create simulation evaluation methods that support informed decision\-making during continuous release cycles.
* Establish precise requirements and metrics to validate the safe and comfortable operation of autonomous vehicles.
* Analyze driving behaviors to enhance system performance and guide the development of the autonomy stack.
* Mentor team members and facilitate cross\-team collaboration to define simulation confidence metrics for new launches.
* Develop and implement verification and validation strategies within simulated environments.
* Lead efforts to improve simulation fidelity and robustness to meet safety and performance standards.
* Contribute to the development of best practices and standards for autonomous vehicle testing and validation.
* Collaborate with AI developers, systems engineers, and safety teams to ensure comprehensive validation coverage.
* Stay updated on emerging technologies and incorporate innovative testing methods into existing frameworks.
**Benefits**
* Competitive salary range from $165,000 to $253,200, commensurate with experience and qualifications.
* Bonus potential based on company performance, individual results, and job level.
* Comprehensive health and wellness benefits including medical, dental, and vision coverage.
* Health Savings Accounts (HSAs) and flexible spending options.
* Retirement plans and financial wellness programs.
* Opportunities for professional development and continuous learning.
* Flexible remote work options with reporting requirements for candidates near designated locations.
* Relocation assistance may be available to support candidates moving for the role.
* Inclusive and diverse work environment fostering innovation and collaboration.
 Equal Opportunity
 General Motors is committed to creating a workplace free of unlawful discrimination and fostering an inclusive environment where all employees feel valued and respected. We provide equal employment opportunities to all qualified applicants without regard to race, color, religion, sex, national origin, age, disability, sexual orientation, gender identity, or any other protected status as defined by federal, state, or local laws. GM is dedicated to accommodating individuals with disabilities and encourages applicants to request assistance during the application process. We believe that diverse perspectives and backgrounds drive innovation and are essential to our success. Join us in leading change to build a safer, more equitable, and technologically advanced world for everyone.</t>
        </is>
      </c>
    </row>
    <row r="34">
      <c r="A34" t="inlineStr">
        <is>
          <t>li-4376310739</t>
        </is>
      </c>
      <c r="B34" t="inlineStr">
        <is>
          <t>Software Developer</t>
        </is>
      </c>
      <c r="C34" t="inlineStr">
        <is>
          <t>Hirenza</t>
        </is>
      </c>
      <c r="D34" t="inlineStr">
        <is>
          <t>linkedin</t>
        </is>
      </c>
      <c r="E34" t="inlineStr"/>
      <c r="F34" t="inlineStr"/>
      <c r="G34" t="inlineStr"/>
      <c r="H34" t="inlineStr"/>
      <c r="I34" t="inlineStr">
        <is>
          <t>**About The Company**
 Jobot is a leading professional services firm recognized for its innovative approach to talent acquisition and workforce solutions. Committed to fostering an inclusive and dynamic work environment, Jobot leverages cutting\-edge technology and industry expertise to connect highly qualified candidates with top\-tier organizations across various sectors. With a focus on integrity, diversity, and excellence, Jobot strives to create meaningful employment opportunities that support both individual career growth and organizational success. The company’s reputation for delivering personalized staffing solutions and its dedication to client satisfaction make it a trusted partner in the recruitment industry.
**About The Role**
 We are seeking a highly skilled and detail\-oriented Permanent Tax Senior or Supervisor to join our esteemed team. This role offers an exciting opportunity for a tax professional to work within a fast\-paced environment, managing complex tax issues and delivering innovative solutions tailored to high net worth individuals or international clients. The successful candidate will collaborate closely with a team of experienced professionals, contributing significantly to our company's financial operations and client service excellence. This position is ideal for individuals passionate about tax regulations, with a strong analytical mindset and a desire to advance their career in a challenging yet rewarding setting.
**Qualifications**
 The ideal candidate should possess a bachelor’s degree in Accounting, Finance, or a related field, with a preference for candidates holding a Master’s degree or CPA certification. A minimum of five years of experience in a tax role, particularly serving high net worth individuals, is essential. Familiarity with Private Equity (PE) or State and Local Tax (SALT) issues is highly desirable. Proficiency in tax software and strong IT skills are required to efficiently handle complex data and reporting tasks. Candidates must demonstrate exceptional analytical skills, meticulous attention to detail, and excellent communication and interpersonal abilities. The role also demands the capacity to manage multiple priorities, work effectively under pressure, and adhere to tight deadlines, all while maintaining a high level of ethical standards and confidentiality.
**Responsibilities**
 As a Permanent Tax Senior or Supervisor, your key responsibilities will include:
* Preparing and reviewing complex tax returns for high net worth individuals, partnerships, corporations, and trusts, ensuring accuracy and compliance with current tax laws.
* Conducting research and developing strategies to minimize clients’ tax liabilities through effective planning and advisory services.
* Assisting with international tax planning and ensuring compliance with relevant regulations, including cross\-border transactions.
* Handling State and Local Tax (SALT) matters, including multi\-state tax return preparation and compliance.
* Providing guidance on the tax implications of various business investments and transactions to optimize client outcomes.
* Staying current with evolving tax laws and regulations, and ensuring all client and company activities are compliant.
* Collaborating with team members to enhance processes, improve service quality, and strengthen client relationships through proactive communication and strategic insights.
* Mentoring and training junior staff members, fostering a supportive environment that encourages professional development and knowledge sharing.
**Benefits**
 Our organization offers a comprehensive and competitive benefits package designed to support your professional and personal well\-being, including:
* Flexible hybrid work schedule to promote work\-life balance.
* Extremely competitive compensation package, including a discretionary annual bonus and potential sign\-on bonus ranging from $5,000 to $10,000\.
* Annual salary increases of 10\-15% to reward performance and loyalty.
* Full benefits coverage through Cigna, including health, dental, and vision insurance.
* Generous paid time off, starting with 7\+ weeks, plus 10 holidays, 2 floating holidays, and unlimited sick days.
* Opportunity for accelerated career growth within a top 100 firm.
* Work during busy season capped at a maximum of 55 hours per week, ensuring a healthy work\-life balance.
 Equal Opportunity
 Jobot is an Equal Opportunity Employer dedicated to fostering an inclusive and diverse workplace. We consider all qualified candidates for employment without regard to race, color, religion, sex, sexual orientation, gender identity, national origin, age (40 and over), disability, military status, genetic information, or any other protected characteristic under applicable federal, state, or local laws. We are committed to creating a respectful environment where everyone can thrive. Jobot also complies with all relevant laws regarding fair hiring practices and prohibits harassment or discrimination of any kind. We perform background checks as necessary, and we evaluate candidates with criminal histories in accordance with applicable laws, including fair chance initiatives.</t>
        </is>
      </c>
    </row>
    <row r="35">
      <c r="A35" t="inlineStr">
        <is>
          <t>li-4367685044</t>
        </is>
      </c>
      <c r="B35" t="inlineStr">
        <is>
          <t>Senior Full-Stack Software Engineer - VLSI Tools, Senior Full-Stack Software Engineer - VLSI Tools</t>
        </is>
      </c>
      <c r="C35" t="inlineStr">
        <is>
          <t>NVIDIA</t>
        </is>
      </c>
      <c r="D35" t="inlineStr">
        <is>
          <t>linkedin</t>
        </is>
      </c>
      <c r="E35" t="inlineStr"/>
      <c r="F35" t="inlineStr"/>
      <c r="G35" t="inlineStr">
        <is>
          <t>Santa Clara, CA</t>
        </is>
      </c>
      <c r="H35" t="inlineStr"/>
      <c r="I35" t="inlineStr">
        <is>
          <t>Widely considered to be one of the technology world’s most desirable employers, NVIDIA is an industry leader with groundbreaking developments in High\-Performance Computing, Artificial Intelligence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now looking for a highly motivated Full\-Stack Web Applications Engineers to join this dynamic and innovative Hardware Infrastructure team! Our team is building scalable web services for VLSI designs. This software development team is a multifaceted Agile software team with high production quality standards. We are looking for motivated engineers to build and maintain a new generation of services that enables greater chip design productivity.
**What You’ll Be Doing**
* Working on backend and frontend design and development of web applications targeting VLSI design and modeling.
* Collecting requirements and provide consultation to end users about their needs and use cases.
* Analyzing performance bottlenecks.
* Supporting and maintaining large scale data platform with high QoS.
* Building infrastructure and microservices for various big\-data scenarios.
**What We Need To See**
* 5\+ years of experience.
* Bachelors or Masters in Computer Science or related engineering or equivalent experience.
* Knowledge of VLSI design, modeling and verification.
* Experience with JavaScript and Node.js
* Knowledge of modern frontend frameworks like Vue.js, React.js, Svelte, or Ember.js
* Comprehensive grasp of web development core concepts and industry standards
* Experience with design and development of distributed microservices.
* In depth understanding of database concepts and object modeling.
* Detailed knowledge of object oriented design, data structures and algorithms
* Excellent interpersonal skills
**Ways To Stand Out From The Crowd**
* In depth familiarity with coding assistant tools (i.e.: Cursor, Claude Code, Co\-pilot)
* Background with SQL and at least one SQL database server.
* Experience of developing web services for chip design, modeling and verification.
* Experience with MongoDB or other noSQL datastores and knowledge of Python or Golang.
* Flexibility/adaptability for working in a dynamic diverse environment with different frameworks and requirements.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JR2012368</t>
        </is>
      </c>
    </row>
    <row r="36">
      <c r="A36" t="inlineStr">
        <is>
          <t>li-4374926962</t>
        </is>
      </c>
      <c r="B36" t="inlineStr">
        <is>
          <t>Full Stack Engineer</t>
        </is>
      </c>
      <c r="C36" t="inlineStr">
        <is>
          <t>FetchJobs.co</t>
        </is>
      </c>
      <c r="D36" t="inlineStr">
        <is>
          <t>linkedin</t>
        </is>
      </c>
      <c r="E36" t="inlineStr"/>
      <c r="F36" t="inlineStr"/>
      <c r="G36" t="inlineStr"/>
      <c r="H36" t="inlineStr"/>
      <c r="I36" t="inlineStr">
        <is>
          <t>**About The Company**
 Jobot is a leading employment solutions provider committed to connecting talented professionals with innovative organizations across various industries. Our mission is to streamline the hiring process by leveraging cutting\-edge technology and a dedicated team of staffing experts. We pride ourselves on fostering an inclusive and dynamic work environment that values diversity, professional growth, and employee well\-being. With a strong reputation for excellence, Jobot continuously strives to match qualified candidates with roles that align with their skills and career aspirations, ensuring mutual success for both candidates and clients.
**About The Role**
 We are seeking a highly skilled Software Engineer to join our innovative healthcare technology client on a hybrid work basis. In this role, you will be instrumental in developing and scaling data\-intensive applications that utilize artificial intelligence to improve healthcare compliance auditing. Your expertise will contribute to building robust backend systems using Python, TypeScript, PostgreSQL, and AWS infrastructure, ensuring high performance and reliability. The ideal candidate will have experience in designing scalable solutions, a solid understanding of machine learning and natural language processing, and the ability to own products from conception through deployment. This position offers an exciting opportunity to work at the forefront of healthcare technology, making a tangible impact on patient care and regulatory compliance.
**Qualifications**
 The ideal candidate will possess a strong background in software engineering with proven experience in building scalable data\-driven applications. Required qualifications include proficiency in Python, TypeScript, PostgreSQL, and AWS cloud services. Candidates should have a track record of developing complex systems, ideally within a startup environment, with ownership of products from start to finish. Excellent communication skills and the ability to mentor junior team members are essential. Familiarity with machine learning and natural language processing concepts is highly desirable. While not mandatory, experience within the healthcare or life sciences industry is a plus, indicating an understanding of industry\-specific compliance standards and workflows.
**Responsibilities**
 As a Software Engineer, your responsibilities will include designing, developing, and maintaining scalable data\-intensive applications that leverage AI and machine learning technologies. You will collaborate closely with cross\-functional teams to translate business requirements into technical solutions, ensuring high\-quality code and system stability. You will own the end\-to\-end lifecycle of products, from initial concept through deployment and ongoing optimization. Mentoring junior developers and fostering a collaborative team environment will be part of your duties. Additionally, you will be expected to stay current with emerging technologies and industry best practices to continuously enhance the platform’s capabilities. Your role will also involve working within AWS infrastructure, managing databases, and ensuring compliance with healthcare standards and data security protocols.
**Benefits**
 Joining our client offers a comprehensive benefits package designed to support your health, financial security, and professional development. Benefits include a 401(k) Retirement Savings Plan with company contributions, equity compensation, and comprehensive medical, dental, and vision coverage. Employees have access to Health Savings Accounts (HSA) and Flexible Spending Accounts (FSA) to manage healthcare expenses effectively. The company observes 11 paid holidays annually and offers unlimited paid time off to promote work\-life balance. Professional growth is encouraged through ongoing training and development programs. The hybrid work schedule typically involves four days onsite and one day remote, with flexibility for those located more than an hour away. This environment fosters collaboration while accommodating personal needs and preferences.
 Equal Opportunity
 Jobot is an Equal Opportunity Employer committed to creating an inclusive workplace that values diversity and equal opportunity. We consider all qualified candidates without regard to race, color, religion, sex, sexual orientation, gender identity, national origin, age, disability, military status, genetic information, or any other protected characteristic under applicable law. We prohibit harassment and discrimination of any kind and ensure a fair hiring process in compliance with federal, state, and local laws. We also perform background checks where required and consider qualified candidates with criminal histories in accordance with relevant regulations. By applying to this position, you agree to our privacy policies and understand that your information may be used for employment\-related communications.</t>
        </is>
      </c>
    </row>
    <row r="37">
      <c r="A37" t="inlineStr">
        <is>
          <t>li-4359669465</t>
        </is>
      </c>
      <c r="B37" t="inlineStr">
        <is>
          <t>Software Developer</t>
        </is>
      </c>
      <c r="C37" t="inlineStr">
        <is>
          <t>ICE</t>
        </is>
      </c>
      <c r="D37" t="inlineStr">
        <is>
          <t>linkedin</t>
        </is>
      </c>
      <c r="E37" t="inlineStr"/>
      <c r="F37" t="inlineStr"/>
      <c r="G37" t="inlineStr">
        <is>
          <t>Jacksonville, FL</t>
        </is>
      </c>
      <c r="H37" t="inlineStr"/>
      <c r="I37" t="inlineStr">
        <is>
          <t>**Overview**
**Job Purpose**
 We are seeking an experienced Software Developer to join our innovative development team. In this role, you will contribute to the design and development of our applications while taking ownership of specific components and features.
**Responsibilities**
* Design, develop, and maintain web applications using C\# and .NET for backend services and React for frontend development
* Implement new features and enhancements to existing functionality with moderate guidance
* Write clean, efficient, and maintainable code following best practices and team standards
* Create and maintain RESTful APIs and integrate them with React\-based frontends
* Collaborate with cross\-functional teams to understand requirements and deliver solutions
* Troubleshoot, debug, and resolve technical issues in both backend and frontend systems
* Participate in code reviews, providing and receiving constructive feedback
* Write and maintain unit tests to ensure code quality and functionality
* Contribute to database design and development using SQL
* Stay current with relevant technologies and frameworks
* Provide occasional guidance to junior developers
**Knowledge And Experience**
* Bachelor's degree in Computer Science, Software Engineering, or related field (or equivalent experience)
* 2\+ years of professional software development experience
* Strong knowledge of C\# and the .NET ecosystem (e.g., .NET Core, ASP.NET Core)
* Experience with React and its ecosystem (hooks, state management)
* Proficiency with modern JavaScript (ES6\+) and TypeScript
* Working knowledge of Entity Framework or similar ORM tools
* Experience with SQL and relational database concepts
* Understanding of web application security principles
* Experience with version control systems (Git)
* Familiarity with Agile development methodologies
* Strong problem\-solving skills and attention to detail
* Excellent communication and collaboration abilities
**Preferred Knowledge And Experience**
* Experience with CI/CD pipelines (e.g., Azure DevOps, GitHub Actions)
* Knowledge of containerization concepts (Docker)
* Experience with cloud platforms (Azure, AWS, or Google Cloud)
* Familiarity with microservices architecture
* Experience with automated testing frameworks
* Understanding of responsive design and accessibility standards
* Knowledge of performance optimization techniques
 Intercontinental Exchange, Inc. is an Equal Opportunity Employer. All qualified applicants will receive consideration for employment without regard to legally protected characteristics.</t>
        </is>
      </c>
    </row>
    <row r="38">
      <c r="A38" t="inlineStr">
        <is>
          <t>li-4367610300</t>
        </is>
      </c>
      <c r="B38" t="inlineStr">
        <is>
          <t>Software Engineer</t>
        </is>
      </c>
      <c r="C38" t="inlineStr">
        <is>
          <t>Microsoft</t>
        </is>
      </c>
      <c r="D38" t="inlineStr">
        <is>
          <t>linkedin</t>
        </is>
      </c>
      <c r="E38" t="inlineStr"/>
      <c r="F38" t="inlineStr"/>
      <c r="G38" t="inlineStr">
        <is>
          <t>Redmond, WA</t>
        </is>
      </c>
      <c r="H38" t="inlineStr"/>
      <c r="I38"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to join our team!
 This is an exciting time to join our group and work on something highly strategic to Microsoft. Microsoft Copilot Studios is the platform to securely store an enormous amount of data in a cost efficient, scalable and easily manageable way. This team builds a suite of microservices to get near real\-time insights over your data in Microsoft Copilot Studios.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**Required Qualifications:**
 Bachelor's Degree in Computer Science or related technical field AND 2\+ years technical engineering experience with coding in languages including, but not limited to, C, C\+\+, C\#, Java, JavaScript, or Python
 OR equivalent experience.
 2\+ years of industry experience in service development, successfully shipping services through multiple releases.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creating AI\-centric experiences, or familiarity with building AI orchestration systems
 Experience utilizing generative AI, conduct experiments, and evaluate AI effectiveness in product improvements.
 Experience building scalable applications and services with Azure or other scalable cloud platforms with robust performance, resiliency, telemetry, and security.
**\#BICJobs**
 \#
 **AgentFlowsJobs**
****Qualifications****
**Required Qualifications:**
 Bachelor's Degree in Computer Science or related technical field AND 2\+ years technical engineering experience with coding in languages including, but not limited to, C, C\+\+, C\#, Java, JavaScript, or Python
 OR equivalent experience.
 2\+ years of industry experience in service development, successfully shipping services through multiple releases.
****Preferred Qualifications:****
 Experience creating AI\-centric experiences, or familiarity with building AI orchestration systems
 Experience utilizing generative AI, conduct experiments, and evaluate AI effectiveness in product improvements.
 Experience building scalable applications and services with Azure or other scalable cloud platforms with robust performance, resiliency, telemetry, and security.
**\#BICJobs**
 \#
 **AgentFlowsJobs**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li-4355800783</t>
        </is>
      </c>
      <c r="B39" t="inlineStr">
        <is>
          <t>Full Stack C# Developer – Software Engineer</t>
        </is>
      </c>
      <c r="C39" t="inlineStr">
        <is>
          <t>Applied Materials</t>
        </is>
      </c>
      <c r="D39" t="inlineStr">
        <is>
          <t>linkedin</t>
        </is>
      </c>
      <c r="E39" t="inlineStr"/>
      <c r="F39" t="inlineStr"/>
      <c r="G39" t="inlineStr">
        <is>
          <t>Chandler, AZ</t>
        </is>
      </c>
      <c r="H39" t="inlineStr"/>
      <c r="I39"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$132,000\.00 \- $181,500\.00
 Location:
 Chandler,AZ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As a Software Engineer at Applied Materials, you’ll dive deep into ground\-breaking technologies—like machine learning and AI—to craft novel software solutions that solve our customers’ high\-value problems. Our Software Engineers are responsible for designing, prototyping, developing, and debugging software solutions for semiconductor equipment components and devices to ensure quality and functionality. You'll develop software documentation and test procedures, troubleshoot software problems, and communicate with internal customers to understand project requirements. As part of our team, you'll contribute your expertise in intricate systems, deciphering code, and anticipating software behaviors to ensure Applied remains the leader in the semiconductor and display sectors.
**What You’ll Do**
 As a Software Engineer at Applied Materials, you’ll dive deep into ground\-breaking technologies—like machine learning and AI—pushing the boundaries to craft novel software solutions that solve our customers’ high\-value problems. You’ll design, develop, and debug software programs for enhancements and new products—and work on challenging projects, contributing your expertise in intricate systems, deciphering code, and anticipating software behaviors to ensure Applied remains the leader in the semiconductor and display sectors.
**R** 
**ole Responsibilities:**
* Design, prototype and develop software solutions for semiconductor equipment components and devices with limited complexity.
* Develop software documentation and code for a variety of software projects, and design and implement bug fixes.
* Troubleshoot software problems and perform software tests on code and enhancements.
* Communicate with internal and external customers for an understanding of project requirements .
* Compile data for regularly scheduled or special reports, analysis and statements.
**Minimum Qualifications:**
* Bachelor’s degree in a related field, such as computer science, information management, software/system engineering, cyber security or mathematics.
* Familiarity with the basic theories and concepts of software engineering.
* Proficiency in .Net, C\#
* Experience in Python and any AI/ML Platform is a plus.
* Comfortable with Agile development and rapid prototyping
* Parallel programing/multi\-threading
* Windows Communication Framework (WCF)
* Windows Forms based UIs Object Oriented programming (OOP) and Object\-Oriented Design (OOD) Design Patterns
* Experience in semiconductor industry is a plus.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40">
      <c r="A40" t="inlineStr">
        <is>
          <t>li-4376309406</t>
        </is>
      </c>
      <c r="B40" t="inlineStr">
        <is>
          <t>Sr Software Engineer</t>
        </is>
      </c>
      <c r="C40" t="inlineStr">
        <is>
          <t>McKesson</t>
        </is>
      </c>
      <c r="D40" t="inlineStr">
        <is>
          <t>linkedin</t>
        </is>
      </c>
      <c r="E40" t="inlineStr"/>
      <c r="F40" t="inlineStr"/>
      <c r="G40" t="inlineStr">
        <is>
          <t>Columbus, OH</t>
        </is>
      </c>
      <c r="H40" t="inlineStr"/>
      <c r="I4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As a P4 Senior Software Engineer you will help redesign and rebuild our next\-generation platform on a modern cloud\-native technology stack. You will work closely with architects, staff engineers, product, and quality engineering to build secure, scalable, and resilient services. As a senior engineer, you will not only contribute hands\-on to the codebase but also provide technical leadership for your team, mentor other engineers, and help define the engineering practices that enable us to deliver high\-quality solutions at velocity.
 Our Tech Stack
**Primary Skills** 
 : C\# / .NET, TypeScript, React, Postgres, RESTful APIs / GraphQL
**Secondary Skills** 
 : Kafka, Git/version control, Terraform, CI/CD pipelines, Unit testing frameworks (xUnit, Jest)
**Nice to Have** 
 : Azure cloud platform, Redis, Microservices architecture, MFE Architecture
**AI \&amp; Tooling:** 
 Experience using AI\-assisted development, testing, and observability tools (e.g., code generation, test generation, static analysis, performance analysis) and a willingness to help the team adopt these tools effectively.
 What You'll Do
* Design, develop, and maintain complex web services, APIs, and background jobs for the platform using C\# and TypeScript.
* Lead the technical design for features and services, collaborating with architects and staff engineers to ensure solutions align with target architecture and non\-functional requirements.
* Own the quality, reliability, and operability of the services you and your team build, including unit tests, integration tests, performance considerations, and production support.
* Guide the team in building event\-driven and microservice\-based architectures using Kafka and other cloud services.
* Influence and improve engineering practices, coding standards, code review quality, and CI/CD pipelines across your team.
* Use AI\-assisted tools and automation to improve developer productivity, test coverage, and code quality, and help others on the team do the same.
* Partner with product managers and stakeholders to break down work into small, testable increments and help maintain a healthy, well\-groomed backlog.
* Mentor and coach P3 and early\-career engineers, providing feedback and support to help them grow.
 Minimum Qualifications: \-
 Typically 6\+ years of experience in back\-end or full\-stack software development, including ownership of complex features or services in production.
**About You**
**Technical skills:**
* Typically 6\+ years of experience in back\-end or full\-stack software development, including ownership of complex features or services in production.
* Strong hands\-on experience with C\#/.NET and JavaScript/TypeScript in production environments.
* Deep understanding of RESTful API design and practical experience with GraphQL\-based APIs.
* Strong experience with relational databases (PostgreSQL preferred), including schema design, query optimization, and performance troubleshooting.
* Hands\-on experience building or maintaining microservice or event\-driven architectures using messaging technologies such as Kafka.
* Proven experience designing and maintaining unit, integration, and component tests as part of CI/CD pipelines.
* Experience operating services in production, including monitoring, logging, alerting, and incident response.
* Comfortable working with Git, trunk\-based development or similar branching strategies, and modern CI/CD and DevOps practices.
**Nice to have:**
* Experience with React or other modern front\-end frameworks, and comfort working across the stack when needed.
* Experience with MuleSoft or other integration platforms.
* Experience designing and implementing GraphQL schemas and resolvers for complex domains.
* Hands\-on experience with Azure (preferred) or other cloud platforms, plus infrastructure\-as\-code tools such as Terraform or ARM/Bicep.
* Experience integrating security\-by\-design practices (authentication, authorization, secrets management, data protection) into application code and pipelines.
* Experience using AI tools to assist with design, development, testing, or production support, and a point of view on when and how to use them responsibly.
**Non\-technical skills:**
* Demonstrated leadership on an Agile team, including helping to define ways of working and facilitating technical discussions.
* Ability to navigate ambiguity, make tradeoffs, and drive work to completion across complex, multi\-phase projects.
* Strong communication skills with the ability to explain technical concepts to both technical and non\-technical audiences.
* Proactively share information, surface risks, and align stakeholders across engineering, product, QA, and operations.
* Mentors others through code reviews, pairing, and structured feedback, and contributes to a culture of learning and continuous improvement.
 Education \&amp; Experience
 Degree in Computer Science, Software Engineering, or related field, or equivalent experience.
 Typically requires 6\+ years of relevant software engineering experience, with evidence of technical leadership and ownership of production systems.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$126,000 \- $210,000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41">
      <c r="A41" t="inlineStr">
        <is>
          <t>li-4376326333</t>
        </is>
      </c>
      <c r="B41" t="inlineStr">
        <is>
          <t>Lead Software Engineer (.NET)</t>
        </is>
      </c>
      <c r="C41" t="inlineStr">
        <is>
          <t>SkyWater Search Partners</t>
        </is>
      </c>
      <c r="D41" t="inlineStr">
        <is>
          <t>linkedin</t>
        </is>
      </c>
      <c r="E41" t="inlineStr"/>
      <c r="F41" t="inlineStr"/>
      <c r="G41" t="inlineStr">
        <is>
          <t>Minneapolis, MN</t>
        </is>
      </c>
      <c r="H41" t="inlineStr"/>
      <c r="I41" t="inlineStr">
        <is>
          <t>* Job Tag:
* Posted: January 08,2026
* Salary: $135,000
 SkyWater has partnered with a well\-known company in the financial services industry. With international presence, and an established parent company, this Twin Cities\-based subsidiary is looking to add a Lead Software Engineer to their Agile team of 7\.
 This company is targeting an individual that is highly technical, and highly curious as the launch an effort to move away from a monolithic, legacy platform in favor of a modern Microservices environment using the likes of Azure Devops, React, and other modern tools.
 To be a fit for this position, we are targeting a Senior or Lead\-level engineer with C\#.NET skills and exposure to SQL databases as they will be writing APIs to help move the ship towards modernization.
 If you are local to the Twin Cities, coming from a Microsoft background, interested in modern tools, and want to continue to challenge yourself in a new environment – please apply today.
 Cannot offer sponsorship, and must be willing to work onsite in the NW Metro 3x/week (2 days remote).
**Desired Skills And Experience**
* 4 year technical degree
* 6\+ years of professional development experience
* Experience with C\#.NET, SQL
* An interest in React.js, Azure DevOps, Microservices
* Located in the Twin Cities, MN
* Cannot require sponsorship</t>
        </is>
      </c>
    </row>
    <row r="42">
      <c r="A42" t="inlineStr">
        <is>
          <t>li-4376190045</t>
        </is>
      </c>
      <c r="B42" t="inlineStr">
        <is>
          <t>Front End Software Engineer</t>
        </is>
      </c>
      <c r="C42" t="inlineStr">
        <is>
          <t>Wiraa</t>
        </is>
      </c>
      <c r="D42" t="inlineStr">
        <is>
          <t>linkedin</t>
        </is>
      </c>
      <c r="E42" t="inlineStr"/>
      <c r="F42" t="inlineStr"/>
      <c r="G42" t="inlineStr"/>
      <c r="H42" t="inlineStr"/>
      <c r="I42" t="inlineStr">
        <is>
          <t>**About The Company**
 At Bloomfield, we are revolutionizing the way crops are monitored and managed. Our AI\-powered imaging technology provides continuous, plant\-level health and performance insights from seed to harvest. Our mission is to empower farmers with the tools they need to increase crop productivity and quality while using fewer scarce resources, ultimately contributing to a more sustainable and food\-secure future.
 In 2024, Kubota Corporation, a global leader in agricultural machinery and solutions, through its North American subsidiary, Kubota North America Corporation, acquired Bloomfield. This acquisition unites Bloomfield's innovative technology with Kubota's extensive resources and commitment to provide comprehensive smart agriculture solutions to farmers worldwide. Our combined expertise and resources will drive innovation and deliver benefits to farmers, ensuring a more sustainable and prosperous agricultural industry.
**About The Role**
 As a Front End Engineer, you will be responsible for developing and implementing user interface components and enhancing the user experience of our web mobile applications. You will work closely with our AI and Backend teams to build and present state\-of\-the\-art plant insights for crops worldwide. In this role, you will be primarily focused on building and supporting React\-based applications such as our Bloomfield Dashboard \- where our customers see and interact with our data. You will collaborate closely with our design and back\-end teams to translate UI/UX design wireframes into functional and responsive web interfaces.
 This role offers hybrid or fully remote flexibility, though we have a Lawrenceville, PA office.
**Qualifications**
* 2 \- 4 years of experience in front\-end or other software engineering roles
* Bachelor's degree in Computer Science, a related field, or equivalent practical experience
* Proficiency in React and TypeScript, with a strong portfolio showcasing your work and projects
* Experience with other front\-end technologies like MUI and Progressive Web Apps
* Demonstrated experience in building responsive and visually appealing web applications
* Solid understanding of HTML5, CSS3, and JavaScript
* Familiarity with git and common git workflows
* Stay up\-to\-date with industry trends, best practices, and emerging technologies in front\-end development
**Responsibilities**
* Develop and maintain high\-quality, reusable, and scalable front\-end components for both the Bloomfield Dashboard and our internal component library using React, TypeScript, and other technologies like Material UI, Redux, and LaunchDarkly
* Collaborate with UI/UX designers to ensure the technical feasibility of designs
* Participate in code reviews to maintain code quality, share knowledge, and enforce best practices
* Work closely with back\-end developers to integrate front\-end components and help guide API design
* Translate UI/UX wireframes into functional, responsive, and user\-friendly web interfaces
* Stay informed of industry trends and incorporate best practices into development processes
* Assist in troubleshooting and resolving front\-end issues to ensure optimal application performance
**Benefits**
* Competitive salary and comprehensive benefits package
* Flexible work arrangements including hybrid and fully remote options
* Opportunities for professional growth and development
* Collaborative and innovative work environment
* Access to cutting\-edge technologies and projects in smart agriculture
* Health, dental, and vision insurance
* Paid time off and holidays
* Participation in company\-sponsored training and events
 Equal Opportunity
 Bloomfield is an equal opportunity employer. We celebrate diversity and are committed to creating an inclusive environment for all employees. We do not discriminate based on race, religion, color, national origin, gender, sexual orientation, age, disability, or any other protected status in accordance with applicable laws.</t>
        </is>
      </c>
    </row>
    <row r="43">
      <c r="A43" t="inlineStr">
        <is>
          <t>li-3937118461</t>
        </is>
      </c>
      <c r="B43" t="inlineStr">
        <is>
          <t>Software Engineer, Commodities Team - Global Banking &amp; Markets - Associate or Vice President - New York</t>
        </is>
      </c>
      <c r="C43" t="inlineStr">
        <is>
          <t>Goldman Sachs</t>
        </is>
      </c>
      <c r="D43" t="inlineStr">
        <is>
          <t>linkedin</t>
        </is>
      </c>
      <c r="E43" t="inlineStr"/>
      <c r="F43" t="inlineStr"/>
      <c r="G43" t="inlineStr">
        <is>
          <t>New York, NY</t>
        </is>
      </c>
      <c r="H43" t="inlineStr"/>
      <c r="I43" t="inlineStr">
        <is>
          <t>**Job Description**
 Software Engineer \- Global Banking \&amp; Markets \- Commodity Trading and Sales \- Associate or Vice President \- New York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**Role Summary**
 Goldman Sachs is seeking a dynamic, entrepreneurial developer to join the New York Commodities technology team and play a key role in leading a range of development projects. The Commodities business is extremely focused on digitization, so this role will provide many challenging and rewarding opportunities for the successful candidate. The candidate will partner with engineers, traders, and salespeople to work on brand new projects focused on automation of sales and trading quoting, trade booking workflows, and data platform to systematically process data and share actionable insights to enable trading decisions. The candidate will directly experience their impact as they see the automation of the Commodities trading franchise through their work.
 The ideal candidate will have experience and interest in leading execution of projects to build enterprise systems that are highly reliable and require low maintenance. The opportunity will appeal to motivated individuals who want to work directly with the trading desks as well as develop strong technical skills while learning about the trading business.
**Key Responsibilities**
* Liaise with traders, salespeople, and engineers to determine development requirements and lead project execution to deliver solutions to complex business problems.
* Gain experience in a variety of technologies, including Java, Python, Slang / SecDB (GS proprietary language), web technologies (JavaScript, Angular etc.), and real\-time cluster technologies like SPARK and NoSQL data stores like MongoDB.
* Fantastic opportunity to learn about the Commodities trading businesses, while developing engineering solutions to solve business problems.
**Basic Qualifications**
* Strong analytical and programming skills in any language.
* 4\+ years of experience with programming in any language.
* Ability to quickly learn new languages and technologies.
* Strong object\-oriented analysis and design skills.
* Excellent written and verbal communication skills including experience speaking to global engineering and business audience.
* Comfort with multi\-tasking, managing multiple stakeholders and working as a part of a global team.
* Ability to apply an entrepreneurial approach and passion to problem solving, product development and support.
**Preferred Qualifications**
* Knowledge of trading technologies in the front\-office of a trading organization.
* Background in finance.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44">
      <c r="A44" t="inlineStr">
        <is>
          <t>li-4374941553</t>
        </is>
      </c>
      <c r="B44" t="inlineStr">
        <is>
          <t>Software Developer</t>
        </is>
      </c>
      <c r="C44" t="inlineStr">
        <is>
          <t>hackajob</t>
        </is>
      </c>
      <c r="D44" t="inlineStr">
        <is>
          <t>linkedin</t>
        </is>
      </c>
      <c r="E44" t="inlineStr"/>
      <c r="F44" t="inlineStr"/>
      <c r="G44" t="inlineStr"/>
      <c r="H44" t="inlineStr"/>
      <c r="I44" t="inlineStr">
        <is>
          <t>***hackajob** 
 is collaborating with
 **Aquila Technology** 
 to connect them with exceptional tech professionals for this role.*
**Software Developer**
**Clearance Level:** 
 Must currently holds a Secret Clearance (OR a higher clearance) to be considered for this opportunity.
 **US Citizen only to apply due to the nature of this work.**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seeking a Software Developer will work with a team developing real time image processing, controls, and signal processing software for a number of optical sensor system testbeds.
**Must Have**
 Degree Level: Masters Degree
 Clearance Level: Currently holds a Secret Clearance (OR a higher clearance)
* 5 years \- Software/Algorithm Development
* 5 years \- Programming
* 5 years \- C/C\+\+
* 5 years \- GPU Programming
* 5 years \- Multithreaded programming
* 5 years \- Object Oriented Software Design and Development
* 5 years \- Software Design/Development
* 5 years \- Middleware, DDS, Publish/Subscribe, IDL
**Required**
* Software/Algorithm Development
* Object Oriented C\+\+
* GPU Programming
* Experience with publish/subscribe and multithreaded architectures
* Object Oriented Software Design and Development
* Software Design/Development
* Proven ability to quickly and effectively learn new technologies and programming languages, adapt to new environments and methodologies, and work outside one’s own comfort zone
* Strong teamwork experience and organizational, interpersonal, and communication skills
* MS in Computer Science, Computer Engineering, Mathematics, Physics or equivalent with object\-oriented software development experience.
* May be substituted with BS and 5\+ years of experience.
**Benefits And Perks**
 Aquila team members experience the opportunity to be part of a fast\-paced, customer\-focused, and technically innovative work environment. Aquila strives to deliver the best of the best in technical services to our customers. Candidates that possess a love for technical challenges, a desire to constantly learn, and the desire to establish themselves as critical players within a team will enjoy calling Aquila Technology home.
**Our Perks Include**
* PTO \- 15 days (vacation/sick) 10 paid holidays \- 6 standard (New Year’s, Memorial Day, Independence Day, Labor Day, Thanksgiving, and Christmas) \- 4 floating holidays prorated based on your day of hire
* 1\.5 paid days, or 12 hours, for approved volunteer work
* 1 week of paid maternity/paternity LOA after 1 year of Full\-time employment
* Tuition \&amp; Training Reimbursement \- 5K annually for pre\-approved, job\-related tuition, certification, or professional conferences
* 401K with Fidelity 100% immediate vesting; Plan eligibility begins 90 days following the date of hire. Aquila matches 50 cents on the dollar, up to 6%.
* Cell Phone \&amp; Internet Reimbursed up to $150 monthly to cover cell phone, data, and home internet expenses.
* Buy Your Own Device (BYOD) Allowance Reimbursed up to $1500 for the purchase of a qualified technology device. Eligible after 90 days of employment, and benefit renews every three years.
**Clearance Level:** 
 Candidates must have an active secret clearance to be considered for this role.
**Work Location:** 
 This position is Hybrid. The individual will be required to be onsite 50% of the time. Candidates are expected to be local at the time of the start of the assignment. Final schedule TBD by hiring manager.
**Interview Process:** 
 1st round interview will be a Zoom with the hiring manager. The 2nd round interview will be a Zoom with additional team members as needed.
**We are an Equal Opportunity Employer.**</t>
        </is>
      </c>
    </row>
    <row r="45">
      <c r="A45" t="inlineStr">
        <is>
          <t>li-4367290896</t>
        </is>
      </c>
      <c r="B45" t="inlineStr">
        <is>
          <t>Asset &amp; Wealth Management - Software Engineer - Associate - Dallas</t>
        </is>
      </c>
      <c r="C45" t="inlineStr">
        <is>
          <t>Goldman Sachs</t>
        </is>
      </c>
      <c r="D45" t="inlineStr">
        <is>
          <t>linkedin</t>
        </is>
      </c>
      <c r="E45" t="inlineStr"/>
      <c r="F45" t="inlineStr"/>
      <c r="G45" t="inlineStr">
        <is>
          <t>Dallas, TX</t>
        </is>
      </c>
      <c r="H45" t="inlineStr"/>
      <c r="I45"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**The Private Wealth Management** 
 (PWM) business provides end to end Investment Management services and advice across a full range of asset classes for High net worth individuals. PWM leverages a global technology platform offering, an integrated suite of tools and applications to service clients and family offices. This platform helps realize a client’s goals and objectives, develops and implements an integrated wealth management plan and delivers first\-class client and family office services. PWM Digital team of engineers develop integrated web \&amp; mobile based solutions and strategic middleware services that provide PWM Sales Teams and Clients with detailed information on their financial portfolio \&amp; analytics for held and held away assets, services to enable ala carte set of services for family offices, social collaboration platform, and access to GS services and insights. Our team of engineers build solutions to solve the most complex problems and have the opportunity to work at the forefront of technology innovation alongside industry leaders and make significant contributions to the field.
 We are looking for a Java Developer with strong knowledge and experience in developing highly scalable and resilient platforms that can deliver world class client experience.
 We expect that you maintain knowledge of industry best practices and new technologies and recommend innovations that enhance operations and/or provide a competitive advantage to the organization.
**How You Will Fulfill Your Potential**
 This role offers the opportunity to work in a competitive \&amp; nimble team of engineers building and supporting the family offices related platform on the firm's multiple award\-winning public website, goldman.com and Mobile App.
 Candidates will work directly with a variety of stakeholders, including the products organization/team, UX \&amp; visual design team and various engineering teams across the division to build and enhance the state of the art, industry leading \&amp; best in class platform, providing the PWM Family Office clients and advisors the capability to build tools related to onboarding, reporting, analytics, document sharing, electronic signatures, and billing. These collaborative tools are extremely key in enhancing the experience for clients so they can get the best possible service from our advisors. Advisors in turn given access to various wallet share opportunities since they will have visibility into the held away assets of these large family offices.
**Skills And Experience We Are Looking For**
* Strong knowledge and 4\+ years of hands\-on experience in Java/J2EE, REST based web services and building Service Oriented Architectures.
* Proficiency in designing, developing and testing cross\-platform software; willingness to learn and adopt new languages as necessary
* Experience developing, deploying and supporting software across the full Continuous Delivery life\-cycle
* Experience of version control, continuous integration, deployment and configuration management tools
* The ability to understand and effectively debug both new and existing software
* The ability to communicate effectively, both in writing and orally, as well as the interpersonal skills required to collaborate effectively with colleagues across diverse teams
**Preferred Qualifications**
* Should have 4\+ years of hands\-on experience in designing and developing REST based enterprise level web services in Java
* Should have complete understanding of version control strategies like GIT, continuous integration like Jenkins etc, deployment and configuration management tools.
* Should have experience in Test Driven Development with a strong focus on Contracts first implementation approach.
* Should have experience in debugging and fixing application issues including application performance improvements.
* Strong verbal and written communication skills.
* A strong desire to produce high quality software through cross functional collaboration, testing, code reviews, and other best practices.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accommodations for candidates with special needs or disabilities during our recruiting process. Learn more: https://www.goldmansachs.com/careers/footer/disability\-statement.html©
 The Goldman Sachs Group, Inc., 2023\. All rights reserved.
 Goldman Sachs is an equal employment/affirmative action employer Female/Minority/Disability/Veteran/Sexual Orientation/Gender Identity</t>
        </is>
      </c>
    </row>
    <row r="46">
      <c r="A46" t="inlineStr">
        <is>
          <t>li-4374941552</t>
        </is>
      </c>
      <c r="B46" t="inlineStr">
        <is>
          <t>Java Software Engineer</t>
        </is>
      </c>
      <c r="C46" t="inlineStr">
        <is>
          <t>hackajob</t>
        </is>
      </c>
      <c r="D46" t="inlineStr">
        <is>
          <t>linkedin</t>
        </is>
      </c>
      <c r="E46" t="inlineStr"/>
      <c r="F46" t="inlineStr"/>
      <c r="G46" t="inlineStr">
        <is>
          <t>New York, NY</t>
        </is>
      </c>
      <c r="H46" t="inlineStr"/>
      <c r="I46"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American Express is looking for a hands\-on Java Software Engineer in the Risk Decision Technologies (RDT) organization for the Data Engineering team. The RDT team is responsible for cross\-domain, configurable platforms to enable best\-in\-class risk management and American Express growth with strong governance. The Data Engineering team is embarking on a journey to build Next\-gen data platform to support critical Risk Business functions like payments authorization, new account fulfilment, credit collections and underwriting risk.
 Risk Data Management (RDM) platform is critical for Authorization Modernization Program (AMP) and powers the risk assessment engine with large volumes of data. The platform also includes cloud native applications to support low latency, scalable and modular architecture. This role of an Engineer will be an integral part of a team that designs and builds large\-scale, cloud\-native applications and drive us closer to the vision of a robust Risk data platform.
**As a Java Software Engineer, You Will**
* Function as a member of an agile team and helps drive consistent development and test practices with respect to tools, common components, and documentation.
* Have primary focus on writing quality code, perform unit testing, test automation, quality assurance \&amp; automation testing in ongoing sprints.
* Build new micro\-services that help manages our rapidly growing data hub.
* Improve efficiency, reliability, and scalability of our data pipelines.
* Work on cross\-functional initiatives and collaborate with Engineers across organizations.
* Build CICD pipelines for continuous integration and delivery.
* Build automation for application changes and deployment for faster time to market Develops deep understanding of tie\-ins with other systems and platforms within the supported domains.
* Perform ongoing refactoring of code, quality assurance and testing, applying best practice methodologies and processes.
* Identify opportunities to adopt innovative technologies \&amp; ideas in development / test area.
* Provide continuous support for ongoing application availability.
* Collaborate/influence within and across teams to create successes with an innovative mindset and challenge the status quo.
**Minimum Qualifications**
* Bachelor’s degree in computer science, Electronics, or other related field (or has equivalent work experience).
* 4\-5 years of experience in software development and quality assurance.
* 2\+ years of experience in building large scale distributed applications with object\-oriented design using backend Java related tech stack.
* Good knowledge of REST API development and database technologies.
* Solid understanding of data structures and common algorithms.
* Experience with Netty, gRPC, Junit and Oracle.
* Experience with automated release management using Maven, Git.
**Preferred Qualifications**
* Proficient in identifying and applying software design patterns.
* Looks proactively beyond the obvious for continuous improvement opportunities.
* Willingness to learn new technologies and exploit them to their optimal potential.
* Experience with Docker/Openshift based deployment.
 Salary Range: $103,750\.00 to $174,750\.00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47">
      <c r="A47" t="inlineStr">
        <is>
          <t>li-4357002516</t>
        </is>
      </c>
      <c r="B47" t="inlineStr">
        <is>
          <t>Senior Software Engineer</t>
        </is>
      </c>
      <c r="C47" t="inlineStr">
        <is>
          <t>Brady Corporation</t>
        </is>
      </c>
      <c r="D47" t="inlineStr">
        <is>
          <t>linkedin</t>
        </is>
      </c>
      <c r="E47" t="inlineStr"/>
      <c r="F47" t="inlineStr"/>
      <c r="G47" t="inlineStr">
        <is>
          <t>Plymouth, MN</t>
        </is>
      </c>
      <c r="H47" t="inlineStr"/>
      <c r="I47" t="inlineStr">
        <is>
          <t>**What We Need**
 Brady Corporation is seeking a Senior Software Engineer who will be responsible for designing and writing high\-quality code to support the development of Brady’s software products. The Senior Software Engineer will work in a small focused team, creating interconnected desktop apps to drive Brady’s line of software solutions. The engineer is expected to participate in the designing of solutions that meet customer needs, document the design, write clear concise code, comment code as appropriate, and create documentation outlining code functionality. All engineers are required to follow Brady’s development process which includes our agile process. Individuals will be responsible for managing the development of modules as part of a development team. This is an onsite role in our Plymouth, MN office.
**What You'll Be Doing**
* Leverage C\#, .NET, and Microsoft’s Visual Studio environment.
* Utilize object\-oriented coding techniques, follow coding standards, and follow standard development best practices.
* Manage the design and architecture of modules in the overall product.
* Work with Brady’s user experience team and product owner to define and develop features.
* Deliver quality code by getting peer feedback through code reviews and following best practices established by the team.
* Support other development and quality assurance team members with expertise in code and functionality.
* Direct internal and external resources in software development to deliver assigned modules.
* Provide time estimates for assigned deliverables.
* Communicate technical information and implications of implementations.
* Setup and use software code debuggers and profiling tools.
**What You Will Need To Be Successful**
* Bachelor's degree in computer science, computer engineering, electrical engineering, or related field or equivalent experience.
* Minimum of 5 years of software development experience.
* Proficient in C\# language programming.
* Proficient in .NET or .NET Core.
* Demonstrated knowledge of object\-oriented analysis and design.
* Demonstrated knowledge of architecture design concepts.
 Salary Range: $85,300 \- $146,100 / Year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48">
      <c r="A48" t="inlineStr">
        <is>
          <t>li-4374949107</t>
        </is>
      </c>
      <c r="B48" t="inlineStr">
        <is>
          <t>Software Engineer</t>
        </is>
      </c>
      <c r="C48" t="inlineStr">
        <is>
          <t>RemoteHunter</t>
        </is>
      </c>
      <c r="D48" t="inlineStr">
        <is>
          <t>linkedin</t>
        </is>
      </c>
      <c r="E48" t="inlineStr"/>
      <c r="F48" t="inlineStr"/>
      <c r="G48" t="inlineStr"/>
      <c r="H48" t="inlineStr"/>
      <c r="I48"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9">
      <c r="A49" t="inlineStr">
        <is>
          <t>li-4374943197</t>
        </is>
      </c>
      <c r="B49" t="inlineStr">
        <is>
          <t>Senior Software Engineer</t>
        </is>
      </c>
      <c r="C49" t="inlineStr">
        <is>
          <t>Carrier</t>
        </is>
      </c>
      <c r="D49" t="inlineStr">
        <is>
          <t>linkedin</t>
        </is>
      </c>
      <c r="E49" t="inlineStr"/>
      <c r="F49" t="inlineStr"/>
      <c r="G49" t="inlineStr">
        <is>
          <t>Beverly, MA</t>
        </is>
      </c>
      <c r="H49" t="inlineStr"/>
      <c r="I49" t="inlineStr">
        <is>
          <t>**About Carrier**
 Carrier,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the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Carrier on social media at @Carrier.
 Sensitech is a leader in the Cold Chain Logistics industry. As a Senior Software Engineer on our real\-time telematics IoT platform team, you will play a crucial role in designing, developing, and maintaining software solutions that ensure the integrity and efficiency of temperature\-sensitive supply chains. You will work closely with global cross\-functional teams to create innovative solutions that address the unique challenges of cold chain logistics, from real\-time monitoring to data analytics.
**About This Role**
 Sensitech is a leader in the Cold Chain Logistics industry. As a Senior Software Engineer on our real\-time telematics IoT platform team, you will play a crucial role in designing, developing, and maintaining software solutions that ensure the integrity and efficiency of temperature\-sensitive supply chains. You will work closely with global cross\-functional teams to create innovative solutions that address the unique challenges of cold chain logistics, from real\-time monitoring to data analytics.
**Key Responsibilities**
* Relentless, independent problem solver; self\-directed go\-to point person and assertive decision maker.
* Engineer with a “zero\-bugs” mindset; strong focus on fundamentals, performance tuning and scalability.
* Full\-Stack Cloud Developer, UI, Web, Design, Middleware, API’s and Database Development, Pipelines.
* Primary Duties: Development and Implementation of Features, Tools, API’s, Automation.
* Additional Duties: On Call Production Support rotation, Operations, Maintenance, Bug Fixes, Roadmap.
* Drive Continuous Improvement of code, design, architecture, automation, processes, documentation.
* Troubleshoot production issues related to performance, algorithms, IoT device traffic, and throughput.
* Partner with external departments to discover, understand, and clarify business requirements.
* Lead projects end\-to\-end: requirements gathering, implementation, deployment, and production support.
* Deadline\-focused, ensuring on\-time delivery with high quality and minimal defects.
* Comfortable in matrixed agile team environment as well as aggressive independent projects.
* Technology champion, assessing cutting edge tools to optimize technical / business solutions.
* Experience leading and consulting with global teams across multiple time zones.
* Ability to manage multiple simultaneous projects and shifting priorities.
* Leverage AI coding tools, AI agents, AI tools to boost engineering productivity.
* Mentor junior team members, champion knowledge sharing and best practices.
**Required Qualifications**
* Bachelors Degree
* 5\+ years of software development experience in C\# and .NET Core.
* 2\+ years of experience in Angular, React, Vue.JS, Swelte or other modern Javascript framework.
* 2\+ years of experience developing with relational database systems.
* 2\+ years of experience developing with cloud\-native architectures (Azure, AWS, GCP).
**Preferred Qualifications**
* Bachelor of Science degree in Computer Sciences, Engineering, Information Systems, or related discipline to computer science, preferred qualification.
* Experience working with project management tools such as Jira, Rally, Azure DevOps or TFS, Github, GitFlow.
* Excellent communication skills across non\-technical departments and functional areas.
* Experience working with microservices architectures.
* Experience working across globally distributed team environment.
* Experience building and supporting a SaaS software platform.
* Experience working with large database tables consisting of billions of rows
* Active interest in new technologies and emerging engineering practices.
**Additional Information**
 This is currently a hybrid position requiring employees to be in the office 2 days per week in Beverly, Massachusetts. Hybrid work arrangements may be subject to change.
**Benefits**
 Employees are eligible for benefits, including:
* Health Care benefits: Medical, Dental, Vision; wellness incentives
* Retirement benefits
* Time Off and Leave: Paid vacation days, up to 15 days; paid sick days, up to 5 days; paid personal leave, up to 5 days; paid holidays, up to 13 days; birth and adoption leave; parental leave; family and medical leave; bereavement leave; jury duty; military leave; purchased vacation
* Disability: Short\-term and long\-term disability
* Life Insurance and Accidental Death and Dismemberment
* Tax\-Advantaged Accounts: Health Savings Account; Healthcare Spending Account; Dependent Care Spending Account
* Tuition Assistance
**To learn more about our benefits offering, please click here:** 
 Work With Us \| Carrier Corporate The specific benefits available to any employee may vary depending on state and local laws and eligibility factors, such as date of hire and the applicability of collective bargaining agreements.
 This position is entitled to short\-term cash incentives, subject to plan requirements.
 Applications will be accepted for at least 3 days from Job Posting Date. Job Posting Date: February 20,2026
**Pay Range**
 $120,000\.00\-$168,000\.00
*****Carrier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Carrier provides affirmative action in employment for qualified Individuals with a Disability and Protected Veterans in compliance with Section 503 of the Rehabilitation Act and the Vietnam Era Veterans’ Readjustment Assistance Act.*****
**Job Applicant's Privacy Notice**
 Click on this link to read the Job Applicant's Privacy Notice</t>
        </is>
      </c>
    </row>
    <row r="50">
      <c r="A50" t="inlineStr">
        <is>
          <t>li-4376187213</t>
        </is>
      </c>
      <c r="B50" t="inlineStr">
        <is>
          <t>Software Engineer (Java, C++)</t>
        </is>
      </c>
      <c r="C50" t="inlineStr">
        <is>
          <t>Wiraa</t>
        </is>
      </c>
      <c r="D50" t="inlineStr">
        <is>
          <t>linkedin</t>
        </is>
      </c>
      <c r="E50" t="inlineStr"/>
      <c r="F50" t="inlineStr"/>
      <c r="G50" t="inlineStr"/>
      <c r="H50" t="inlineStr"/>
      <c r="I50" t="inlineStr">
        <is>
          <t>**About The Company**
 Docker is a pioneering technology company dedicated to simplifying application development and deployment. With a remote\-first approach, Docker spans the globe, uniting a diverse team of innovators committed to enhancing developer experiences. Serving over 20 million monthly users and facilitating 20 billion image pulls, Docker stands as the leading platform for building, sharing, and running applications. Trusted by startups and Fortune 100 companies alike, Docker continues to grow rapidly and is committed to shaping the future of containerization, security, and AI infrastructure.
**About The Role**
 We are seeking a highly skilled Principal Backend Engineer to join Docker's AI Tools \&amp; Security team. In this role, you will be instrumental in defining and leading the technical direction of our flagship product, the MCP Gateway, and related services. This product empowers developers to connect, observe, and secure AI agents throughout their lifecycle, from prototype to production. As a key member of our team, you will collaborate closely with Product, Design, and Security teams to deliver robust, scalable, and developer\-friendly frameworks and APIs. This position offers an opportunity to work at the forefront of AI security and infrastructure, influencing how developers harness AI safely and efficiently in real\-world environments.
**Qualifications**
* 12\+ years of backend engineering experience, including extensive work on production\-grade, distributed systems at scale.
* Proven technical leadership across multiple teams or domains, with the ability to drive architectural vision and influence product strategy.
* Exceptional understanding of product and platform development, with a focus on how technology impacts developer and business outcomes.
* Expertise in designing and evolving large\-scale, cloud\-native systems, with deep knowledge of distributed computing, service\-oriented architecture, and performance optimization.
* Demonstrated experience in building secure, resilient, and high\-throughput backend services, with familiarity in reliability engineering principles such as SLOs, observability, and incident response.
* Fluency in Go (preferred) or other modern systems languages like Rust, Java, or C\+\+, with experience leading technical design reviews and mentoring developers in language\-specific best practices.
* Strong foundation in software engineering fundamentals, including CI/CD, testing strategies, source control, and deployment automation in complex multi\-service environments.
* Proven track record of technical mentorship and cross\-functional collaboration, enabling teams to deliver high\-impact software efficiently.
* Deep experience with major cloud platforms (AWS, Azure, GCP) and infrastructure\-as\-code tooling.
* Ownership mentality with a bias for action, iterative delivery, and a focus on long\-term architectural health.
* Excellent communication skills, capable of articulating complex technical concepts to diverse audiences.
* Comfortable working autonomously within distributed, remote\-first teams, and influencing through collaboration rather than authority.
* Bachelor's degree in Computer Science, Engineering, or a related field, or equivalent practical experience.
 Bonus qualifications include experience with Kubernetes, Docker, microservices architecture, and familiarity with LLM APIs such as OpenAI or Anthropic, as well as the MCP specification.
**Responsibilities**
* Define the technical solution for new products, ensuring alignment with business goals and user needs.
* Collaborate with Product and Design teams to shape product features and roadmaps.
* Mentor and lead technical team members, fostering a culture of innovation and continuous improvement.
* Serve as the primary technical point of contact within the team, guiding architectural decisions and best practices.
* Design, develop, and maintain scalable, secure, and high\-performance backend services.
* Implement and oversee reliability engineering practices, including SLOs, observability, and incident management.
* Conduct technical reviews, code audits, and ensure adherence to quality standards.
* Stay current with industry trends and emerging technologies, integrating relevant innovations into the product.
* Participate in hiring processes to grow the engineering team.
* Engage with customers and stakeholders to gather feedback and incorporate it into product development.
**Benefits**
* Flexibility to work remotely with a culture that values work\-life balance.
* Designated quarterly Whaleness Days and an end\-of\-year Whaleness break to promote well\-being.
* Home office setup support to ensure a comfortable work environment.
* 16 weeks of paid parental leave.
* Technology stipend of $100 net/month to support your work tools.
* PTO plan encouraging time off for personal interests and relaxation.
* Training stipend for conferences, courses, and professional development.
* Equity participation, sharing in the company's growth and success.
* Company swag and other perks to foster team spirit.
* Comprehensive medical benefits, retirement plans, and holiday policies, varying by country.
 Equal Opportunity
 Docker is committed to fostering an inclusive and diverse workplace. We are an equal opportunity employer and do not discriminate based on race, color, religion, gender, gender identity or expression, sexual orientation, national origin, genetics, disability, age, or veteran status. We believe that diverse perspectives enrich our team and drive innovation. All qualified applicants will receive consideration for employment without regard to any protected characteristic.</t>
        </is>
      </c>
    </row>
    <row r="51">
      <c r="A51" t="inlineStr">
        <is>
          <t>li-4376312464</t>
        </is>
      </c>
      <c r="B51" t="inlineStr">
        <is>
          <t>Software Engineer</t>
        </is>
      </c>
      <c r="C51" t="inlineStr">
        <is>
          <t>TEKsystems</t>
        </is>
      </c>
      <c r="D51" t="inlineStr">
        <is>
          <t>linkedin</t>
        </is>
      </c>
      <c r="E51" t="inlineStr"/>
      <c r="F51" t="inlineStr"/>
      <c r="G51" t="inlineStr">
        <is>
          <t>Kansas City, MO</t>
        </is>
      </c>
      <c r="H51" t="inlineStr"/>
      <c r="I51" t="inlineStr">
        <is>
          <t>Description
 Our client is seeking a senior to advanced level software engineer with strong expertise in front\-end development. While this role does include full\-stack development, the initial project will be primarily focused on frontend delivery. In addition to application delivery, this role serves as a mentor for less experienced development staff, and close collaboration with our User Experience team.
 Key Activities
* Collaborates with UX and graphic designers to deliver visually appealing web solutions adhering to 508 compliance standards and standardized design systems.
* Partners with product owners and customers in the development of innovative solutions that achieve business goals.
* Reviews and analyzes business and technical requirements and implements technical solutions to meet those requirements.
* Works in multidisciplinary team with full\-stack developers.
* Apply the principles of software engineering to the design, implementation, configuration, and optimization of multiple web\-based applications.
* Creates unit and automation tests as part of Continuous Development.
* Cross browser testing new features.
* Conducts peer code reviews, provides recommendations, and works with peers to improve software coding practices.
* Fixes bugs, supports QA and UAT phases of releases.
* Keeps abreast of latest and emerging technologies.
* Fosters an agile mindset enabling high\-performing teams.
* Provides coaching, education and advocates for frontend development best practices.
* Experience with API infrastructure and development, and associated tools and best practices.
* Provides on\-call support, troubleshooting, root cause analysis, incident management, and service request management for supported products and environments.
 Skills
* Java
* AWS
* TypeScript
* CSS
* HTML
* Angular
* CI/CD
* Git
* Jenkins
* Python
 Preferred Qualifications
 Additional Skills \&amp; Qualifications
* Strong expertise in the creation and/or practical application of components in design systems (versus only having exposure to pattern libraries).
* Advanced experience with multiple programming languages (Java, Python, etc.).
* Advanced knowledge of some cloud\-based platforms like AWS, Azure, or Google Cloud, etc. and the ability to learn new platforms.
* Willingness to become proficient in any new programming language or tool quickly.
* Experience with centralized application observability and monitoring across disparate tools and services.
 Experience Level
 Expert Level
 Job Type \&amp; Location
 This is a Contract position based out of Kansas City, MO.
 Pay And Benefits
 The pay range for this position is $85\.00 \- $95\.00/hr.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Kansas City,MO. Application Deadline This position is anticipated to close on Mar 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2">
      <c r="A52" t="inlineStr">
        <is>
          <t>li-4374936753</t>
        </is>
      </c>
      <c r="B52" t="inlineStr">
        <is>
          <t>Senior Software Engineer, Backend</t>
        </is>
      </c>
      <c r="C52" t="inlineStr">
        <is>
          <t>RemoteHunter</t>
        </is>
      </c>
      <c r="D52" t="inlineStr">
        <is>
          <t>linkedin</t>
        </is>
      </c>
      <c r="E52" t="inlineStr"/>
      <c r="F52" t="inlineStr"/>
      <c r="G52" t="inlineStr"/>
      <c r="H52" t="inlineStr"/>
      <c r="I52"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3">
      <c r="A53" t="inlineStr">
        <is>
          <t>li-4376326010</t>
        </is>
      </c>
      <c r="B53" t="inlineStr">
        <is>
          <t>Senior Software Engineer</t>
        </is>
      </c>
      <c r="C53" t="inlineStr">
        <is>
          <t>Microsoft</t>
        </is>
      </c>
      <c r="D53" t="inlineStr">
        <is>
          <t>linkedin</t>
        </is>
      </c>
      <c r="E53" t="inlineStr"/>
      <c r="F53" t="inlineStr"/>
      <c r="G53" t="inlineStr"/>
      <c r="H53" t="inlineStr"/>
      <c r="I53" t="inlineStr">
        <is>
          <t>**Overview**
 The Azure Core New Tech team is seeking engineers who are eager to automate how new hardware is verified, provisioned, and delivered to datacenters for Azure, High\-Performance Computing, Office, and Edge Computing products within Microsoft. Our work is at the interface of software and hardware, with a focus on the managed code and architecture orchestrating the provisioning and validation of hardware but with frequent collaboration with hardware teams and direct debugging of servers and devices. We ensure the quality and security of hardware entering Microsoft datacenters. We are at the leading edge of new hardware platforms coming to the cloud. The team is focused on automating the management and onboarding of new technology to bring innovative technologies to market faster. In Azure Core New Tech team, your role as a Senior Software Engineer will be to understand requirements, create designs, and implement the features needed to adapt to new technologies. You will drive support for new hardware designs including debugging against real hardware, extend the scope of validations within our products, and extend multi\-threaded code for orchestration and provisioning. Your primary contributions will be high\-level managed code and processes. This opportunity will let you grow your skills in software and hardware by collaborating with various Azure teams, learning about the emerging technologies in the industry, and bring change to Azure. The team provides a flexible working environment that enables both hands\-on opportunities with hardware and hybrid work contributions. Hardware is accessible remotely.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Other
* Embody our culture and values
**Qualifications**
**Required Qualifications:**
* Bachelor's Degree in Computer Science, or related technical discipline AND 4\+ yearstechnical engineering experience with coding in languages including, but not limited to, C, C\+\+, C\#, Java \- OR equivalent experience.
* 2\+ year(s) experience where designed, proposed, and managed software features across teams: APIs, schema, etc.
* 1\+ year(s) experience with Validation of datacenter hardware, managing multiple types of hardware/firmware OR Networking concepts including specific network protocols and devices. OR Platform development: orchestrator/policy engines/test platforms/core libraries used across multiple teams.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OR Master's Degree in Computer Science or related technical field AND 6\+ years technical engineering experience with coding in languages including, but not limited to, C, C\+\+, C\#, Java \- OR equivalent experience.
* 1\+ year(s) experience working cross\-team and collaborating with others.
* 1\+ year(s) prioritizing tasks and working independently.
* 1\+ year(s) hands\-on design, coding, and problem\-solving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li-4350157878</t>
        </is>
      </c>
      <c r="B54" t="inlineStr">
        <is>
          <t>Software Engineer III</t>
        </is>
      </c>
      <c r="C54" t="inlineStr">
        <is>
          <t>Electronic Arts (EA)</t>
        </is>
      </c>
      <c r="D54" t="inlineStr">
        <is>
          <t>linkedin</t>
        </is>
      </c>
      <c r="E54" t="inlineStr"/>
      <c r="F54" t="inlineStr"/>
      <c r="G54" t="inlineStr">
        <is>
          <t>Orlando, FL</t>
        </is>
      </c>
      <c r="H54" t="inlineStr"/>
      <c r="I54"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III – DevOps \&amp; Perforce (Game Creation)
 Join one of EA’s most critical teams supporting development for AAA games like Battlefield, FC, and Madden. Reporting to an engineering manager, you’ll help manage hundreds of Linux\-based servers across 20\+ environments and support a custom\-built .NET application that powers Perforce infrastructure at scale.
 You’ll contribute across source control architecture, automation, CI/CD, hybrid infrastructure, user support, and log analysis. This role supports game teams directly, providing responsive service to developers, artists, and tools teams working on EA’s biggest franchises.
 What You’ll Do
* Administer and scale Perforce Helix Core (commit/edge servers, replication, streams)
* Troubleshoot syncs, changelists, stream access, queues, and replication delays
* Support users of all technical levels with source control issues (p4 sync, p4 unlock, etc.)
* Analyze Perforce logs and infrastructure telemetry to resolve system issues
* Tune and maintain Linux servers across VM, bare metal, and cloud environments
* Automate systems using Ansible or similar tools (Terraform optional)
* Contribute to CI/CD pipelines for both internal tooling and game teams
* Build dashboards and alerts with KQL, Grafana, or similar observability tools
* Extend and maintain the .NET\-based Perforce management application
**Requirements**
* 5\+ years of Linux (tuning, mounting, troubleshooting, scripting)
* 3\+ years of DevOps automation with tools like Ansible, Terraform, or similar
* 3\+ years with client\-server source control systems (e.g., Perforce, ClearCase); Perforce preferred
* Strong understanding of source control commands and workflows(p4 sync, changelists, streams, queues)
* Experience analyzing logs and resolving infrastructure\-level issues
* Familiarity with VM, bare metal, and cloud infrastructure in scaled environments
* 2\+ years of .NET full stack (C\#, ASP.NET, HTML/JavaScript)
* Experience with CI/CD pipeline systems
* Proficiency with monitoring tools such as KQL, Grafana, or equivalent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5">
      <c r="A55" t="inlineStr">
        <is>
          <t>li-4376319505</t>
        </is>
      </c>
      <c r="B55" t="inlineStr">
        <is>
          <t>Senior Software Engineer</t>
        </is>
      </c>
      <c r="C55" t="inlineStr">
        <is>
          <t>TransPerfect Connect</t>
        </is>
      </c>
      <c r="D55" t="inlineStr">
        <is>
          <t>linkedin</t>
        </is>
      </c>
      <c r="E55" t="inlineStr"/>
      <c r="F55" t="inlineStr"/>
      <c r="G55" t="inlineStr">
        <is>
          <t>Albany, New York Metropolitan Area</t>
        </is>
      </c>
      <c r="H55" t="inlineStr"/>
      <c r="I55"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Work experience in Software as a Service (SaaS), which focuses on financial management, human capital management (HCM), and enterprise resource planning (ERP)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56">
      <c r="A56" t="inlineStr">
        <is>
          <t>li-4374928999</t>
        </is>
      </c>
      <c r="B56" t="inlineStr">
        <is>
          <t>Software Engineer I, Fullstack, Risk Engineering (New Grad - 2025)</t>
        </is>
      </c>
      <c r="C56" t="inlineStr">
        <is>
          <t>RemoteHunter</t>
        </is>
      </c>
      <c r="D56" t="inlineStr">
        <is>
          <t>linkedin</t>
        </is>
      </c>
      <c r="E56" t="inlineStr"/>
      <c r="F56" t="inlineStr"/>
      <c r="G56" t="inlineStr"/>
      <c r="H56" t="inlineStr"/>
      <c r="I56"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li-4358218915</t>
        </is>
      </c>
      <c r="B57" t="inlineStr">
        <is>
          <t>Senior Software Engineer</t>
        </is>
      </c>
      <c r="C57" t="inlineStr">
        <is>
          <t>Cox Automotive Inc.</t>
        </is>
      </c>
      <c r="D57" t="inlineStr">
        <is>
          <t>linkedin</t>
        </is>
      </c>
      <c r="E57" t="inlineStr"/>
      <c r="F57" t="inlineStr"/>
      <c r="G57" t="inlineStr">
        <is>
          <t>Atlanta, GA</t>
        </is>
      </c>
      <c r="H57" t="inlineStr"/>
      <c r="I57" t="inlineStr">
        <is>
          <t>**Job Summary**
 As part of the Cox Automotive family, Central Dispatch is evolving the nation's largest self\-managed auto transportation platform. Our logistics solutions connect shippers with a nationwide network of carriers, enabling vehicles to move efficiently across the country.
 The Senior Software Engineer applies secure software engineering principles to the design, development, testing, maintenance, and evaluation of software and cloud infrastructure. This role independently delivers complex features, supports architectural decisions, and ensures systems are built for scalability, resilience, and long\-term maintainability. Senior Engineers also use AI\-assisted development tools to accelerate design, coding, testing, and troubleshooting across the SDLC, ensuring all AI\-generated output is reviewed and validated to meet engineering standards.
 This position emphasizes strong software craftsmanship, cross\-team collaboration, continuous improvement, and mentoring less experienced engineers. Senior Software Engineers help guide technical practices within the team and contribute meaningfully to the evolution of the Central Dispatch platform.
**Our Teams**
 Cox Automotive's Central Dispatch teams are based primarily in Atlanta, GA. We have cultivated a group of versatile, hardworking, and creative team members with diverse skill sets who can adapt to the rapid changes in the automotive and technology industries. We are committed to supporting our logistics businesses and building for the future with a best\-in\-class platform.
**Primary Duties And Key Responsibilities**
* Serve as a contributing engineer on teams responsible for delivering complex product features and system enhancements, incorporating AI\-assisted development tools into daily workflows to increase effectiveness and reduce manual effort.
* Break down functional and business requirements into clear, estimable technical tasks, using both traditional analysis and AI\-enabled exploration to evaluate complexity and potential implementation paths.
* Write high\-quality, maintainable code along with end\-to\-end automated tests for business\-critical components. Use AI responsibly to support test generation, documentation, and refactoring tasks while validating all output.
* Ensure quality, performance, observability, security, and adherence to specifications for assigned development tasks and adjacent systems. Use AI\-supported analysis tools to detect vulnerabilities, code\-quality issues, or performance bottlenecks.
* Work with fellow engineers to ensure design and implementation decisions align with architectural standards, system constraints, and long\-term platform strategy.
* Evaluate alternative technical approaches and provide input on patterns, frameworks, and secure coding practices, including leveraging AI to compare solution options or analyze tradeoffs.
* Troubleshoot complex issues using a combination of traditional debugging, log analysis, and AI\-assisted root\-cause exploration to accelerate diagnosis and remediation.
* Contribute to modernization efforts by refactoring legacy components, supporting migration plans, and using AI tools to analyze older code and propose updated patterns.
* Help define, promote, and support team coding standards, development patterns, and best practices, including proper use of AI in development workflows.
* Provide informal technical leadership and mentorship to Software Engineers I and II, including coaching them on responsible AI usage, prompt strategies, and validation techniques.
* Document processes, designs, and best practices and leverage AI tools when appropriate to improve clarity, consistency, and completeness.
* Communicate status, risks, and technical considerations clearly to teammates, managers, and product stakeholders.
* Contribute insights and improvements from prompt experimentation and AI\-augmented workflows to help refine team standards and engineering practices.
**Required Experience, Knowledge, And Skills**
* Applicants must currently be authorized to work in the United States for any employer without current or future sponsorship. No OPT, CPT, STEM/OPT or visa sponsorship now or in future.
* Bachelor's degree in a related discipline and 4 years of experience in a related field, or equivalent combinations such as a master's degree and 2 years of experience, a PhD and 1 year of experience, or 16 years of experience with no degree.
* Skilled in analytical thinking, requirements analysis, technical troubleshooting, software installation and support, and system or technology integration.
* Strong hands\-on development experience using modern programming languages, frameworks, and cloud\-based architectures.
* Proven ability to evaluate technical requirements, design maintainable solutions, and deliver high\-quality implementations that support system scalability and reliability.
* Skilled in building partnerships, driving innovation, focusing on execution, and striving for excellence in engineering.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58">
      <c r="A58" t="inlineStr">
        <is>
          <t>li-4367671882</t>
        </is>
      </c>
      <c r="B58" t="inlineStr">
        <is>
          <t>System Software Engineer - GPU and SOC, System Software Engineer - GPU and SOC</t>
        </is>
      </c>
      <c r="C58" t="inlineStr">
        <is>
          <t>NVIDIA</t>
        </is>
      </c>
      <c r="D58" t="inlineStr">
        <is>
          <t>linkedin</t>
        </is>
      </c>
      <c r="E58" t="inlineStr"/>
      <c r="F58" t="inlineStr"/>
      <c r="G58" t="inlineStr">
        <is>
          <t>Santa Clara, CA</t>
        </is>
      </c>
      <c r="H58" t="inlineStr"/>
      <c r="I58" t="inlineStr">
        <is>
          <t>NVIDIA is searching for highly motivated, creative engineers to join the Platform Software team. You will work with a team of hardworking software engineers working on all aspects of SOC and system, and technology verticals. As someone who is hardworking and passionate about their craft, you will design key aspects of our SOC drivers, BSP, sophisticated CI/CD system, as well as collaborating with key partners and OEM customers. You should demonstrate the ability to excel in an environment with fast pace and agility.
**What You'll Be Doing**
* Developing and triaging platform drivers which goes into SOCs
* Building sophisticated automation triage tools and issue packetizations for FW and OS drivers
* Supporting OS driver development, bring up and triaging of Platform and Multimedia drivers
* Supporting the OEM ecosystem and providing innovative solutions
* Assist Boot KPIs, Security and OS drivers
* Supporting many ecosystems related verticals
* You will follow the devices all the way through from pre\-silicon to bringup to production, in products across different business verticals.
* Be heavily involved in architecture definition and early modeling, simulation required to create our groundbreaking products
* Multiple opportunities to collaborate and communicate effectively with teams from all around the globe
**What We Need To See**
* BS or MS degree in Computer Engineering, Computer Science, or equivalent experience
* Strong understanding on ARM microarchitecture as well as understanding of ARM exception levels
* Background in solving problems that apply to large complex systems deployed at scale.
* Strong C/C\+\+ and Python programming skills as well as having shown initiative in pursuing independent coding projects
* Good understanding of ACPI as Device tree concepts
* Familiarity with computer system architecture, microprocessor, and microcontroller fundamentals (caches, buses, memory controllers, DMA, etc.)
* Strong Operating systems fundamentals with Kernel , Hypervisor experience on Windows systems as well as Linux systems
* Hands on experience on debuggers like GDB, WinDBG as well compilers like GCC, MSVC, LLVM etc
* Good understanding of SOC architecture spanning across Boot, Security and OS
* 8\+ years of meaningful software development experience
**Ways To Stand Out From The Crowd**
* Background and strength with sophisticated system\-level debugging is invaluable
* Experience working on system level reliability and resiliency features.
* Familiarity with system level security concepts
* Experience with embedded system SW concepts.
 NVIDIA is widely considered to be one of the technology world’s most desirable employers. NVIDIA is also an equal opportunity employer.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184,000 USD \- 287,500 USD.
 You will also be eligible for equity and benefits.
 Applications for this job will be accepted at least until February 2,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JR2012357</t>
        </is>
      </c>
    </row>
    <row r="59">
      <c r="A59" t="inlineStr">
        <is>
          <t>li-4342515595</t>
        </is>
      </c>
      <c r="B59" t="inlineStr">
        <is>
          <t>Principal Software Engineer</t>
        </is>
      </c>
      <c r="C59" t="inlineStr">
        <is>
          <t>Microsoft</t>
        </is>
      </c>
      <c r="D59" t="inlineStr">
        <is>
          <t>linkedin</t>
        </is>
      </c>
      <c r="E59" t="inlineStr"/>
      <c r="F59" t="inlineStr"/>
      <c r="G59" t="inlineStr">
        <is>
          <t>Redmond, WA</t>
        </is>
      </c>
      <c r="H59" t="inlineStr"/>
      <c r="I59" t="inlineStr">
        <is>
          <t>**Overview**
 Are you passionate about building the next generation of AI\-powered automation experiences? The Agent Flows team, is leading the way in delivering AI\-first Cloud Automation capabilities in Microsoft Copilot Studio and Power Platform. Our technology powers productivity and business process workflow automation for millions of customers, with billions of automations running every day across the globe. You’ll join a team that thrives on pushing the boundaries of what’s possible with AI, blending state\-of\-the\-art engineering with cutting\-edge applied science to redefine automation at scale.
 We are looking for a
 **Principal Software Engineer.**
 As a Principal Software Engineer providing technical leadership on our platform team, you will architect, build, and guide the delivery of innovative automation services that empower both makers and enterprises. You’ll lead initiatives spanning platform engineering and advanced AI development, applying your deep technical expertise to solve complex, large\-scale challenges and define the strategic direction of our agentic automation platforms. This role offers the opportunity to shape high\-impact products relied upon by millions, drive technical excellence across the team, and further develop your leadership in cloud\-scale engineering and applied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Drives identification of dependencies and the development of design documents for a product, application, service, or platform.
* Directs efforts for creation and conducting of experimentation to determine the effectiveness of changes, monitors developments for prototyping and testing products, interprets results, and decides on next steps or ship decision from results. Drives identification of the correct metrics for experimentation in determining improving customer value.
* Leads by example and mentors others to produce extensible and maintainable code used across products.
* Leverages subject\-matter expertise of cross\-product features with appropriate stakeholders (e.g., program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5\+ years of industry experience in cloud service development, successfully shipping services through multiple releases.
**Other Requirements**
 Ability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**Preferred Qualifications**
* 6\+ years of experience building scalable applications and services with Azure or other scalable cloud platforms with robust performance, resiliency, telemetry, and security.
* 3\+ years of professional expereince utilizing generative AI to accelerate software development, operations and assessing customer satisfaction.
* Bachelor's Degree in Computer Science or related technical field AND 10\+ years technical engineering experience with coding in languages including, but not limited to, C, C\+\+, C\#, Java, JavaScript, React or Python
+ OR master's degree in computer science or related technical field AND 8\+ years technical engineering experience with coding in languages including, but not limited to, C, C\+\+, C\#, Java, JavaScript, React or Python
+ OR equivalent experience.
 \#BICJobs \#MCSJobs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0">
      <c r="A60" t="inlineStr">
        <is>
          <t>li-4271150985</t>
        </is>
      </c>
      <c r="B60" t="inlineStr">
        <is>
          <t>Distinguished Software Engineer - NVLink Fusion Software, Distinguished Software Engineer - NVLink Fusion Software</t>
        </is>
      </c>
      <c r="C60" t="inlineStr">
        <is>
          <t>NVIDIA</t>
        </is>
      </c>
      <c r="D60" t="inlineStr">
        <is>
          <t>linkedin</t>
        </is>
      </c>
      <c r="E60" t="inlineStr"/>
      <c r="F60" t="inlineStr"/>
      <c r="G60" t="inlineStr">
        <is>
          <t>Redmond, WA</t>
        </is>
      </c>
      <c r="H60" t="inlineStr"/>
      <c r="I6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NVIDIA has a rapidly expanding ecosystem of data center platform \&amp; node designs. From single node HGX/DGX systems all the way up to large multi\-node NVLink domain rack architectures. These designs have become core to NVIDIA's rapidly growing enterprise and cloud provider businesses. Each bringing together the full power of NVIDIA GPUs, NVIDIA NVLink, NVIDIA InfiniBand networking, NVIDIA Grace CPUs, and a fully optimized NVIDIA AI and HPC software stack. NVIDIA NVLink Fusion will enable industry\-leading AI scale\-up and scale\-out performance with NVIDIA technology plus semi\-custom ASICs or CPUs. NVIDIA’s robust partner ecosystem enables hyperscalers to build an ASIC hybrid AI infrastructure with NVIDIA NVLink, rack\-scale architecture. We're searching for a highly motived, technical architect to champion work across NVIDIA's Software, Architecture, Networking and Systems engineering teams in defining the architecture for NVLink Fusion. Ensuring we have seamless integration of partner ASICs/CPUs into our rack\-scale architecture. Establishing the necessary abstraction layers, guidance/documentation and SW engagement models to make both NVIDIA \&amp; its partners successful.
**What You’ll Be Doing**
* Define NVLink Fusion architecture, leveraging industry leading NVIDIA scale\-up and scale out technologies as a foundation
* Establish appropriate software abstraction layers \&amp; reference software required for NVLink Fusion partners to extend NVIDIA's rack\-scale architecture.
* Work directly with major customers to understand their requirements and work to align their roadmap with NVIDIA’s roadmap.
* Work with business partners and vendors to shape their products to meet NVIDIA’s needs.
* Mentor architects and engineering teams to grow them into future leaders.
* Make key technical decisions even when faced with ambiguity, and mitigate execution risks by following left shift strategy to accelerate time to market.
**What We Need To See**
* BS or MS degree in Computer Engineering, Computer Science, or related degree or equivalent experience.
* 16\+ years in the area of System architecture and design
* Deep experience in designing architecture for scalable and performant server systems, particularly at the SW/HW interface.
* Previous experience working with complex system software for accelerators such as GPUs, DPUs, or FPGAs
* Expertise in out\-of\-band and in\-band management architectures.
* Knowledge of device management protocols such as MCTP, PLDM and RDE.
* Knowledge of system management protocols such as Redfish and IPMI.
* Demonstrable experience in implementing left shift strategy to de\-risk program execution. Excellent written and verbal communication skills.
**Ways To Stand Out From The Crowd**
* Knowledge of cloud and cluster level deployment and management systems.
* Participation and contributions in standards bodies such as OCP and DMTF.
* Familiarity with CXL, UCIE and other C2C technology architectures. Knowledge in storage and networking technologies.
 We are widely considered to be one of the technology world’s most desirable employers, and as a result have some of the most forward\-thinking and hardworking people in the world working for us. So if you're clever, creative, and driven, we'd love to have you join the team.
 Your base salary will be determined based on your location, experience, and the pay of employees in similar positions. The base salary range is 320,000 USD \- 488,750 USD.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JR2000295</t>
        </is>
      </c>
    </row>
    <row r="61">
      <c r="A61" t="inlineStr">
        <is>
          <t>li-4359732746</t>
        </is>
      </c>
      <c r="B61" t="inlineStr">
        <is>
          <t>Senior Software Engineer- Frontend</t>
        </is>
      </c>
      <c r="C61" t="inlineStr">
        <is>
          <t>Microsoft</t>
        </is>
      </c>
      <c r="D61" t="inlineStr">
        <is>
          <t>linkedin</t>
        </is>
      </c>
      <c r="E61" t="inlineStr"/>
      <c r="F61" t="inlineStr"/>
      <c r="G61" t="inlineStr">
        <is>
          <t>Redmond, WA</t>
        </is>
      </c>
      <c r="H61" t="inlineStr"/>
      <c r="I61" t="inlineStr">
        <is>
          <t>**Overview**
 Are you interested in joining one of the most innovative and impactful product groups at Microsoft? Look no further. You will be working on cutting\-edge solutions that support the next evolution in collaboration and productivity through Microsoft Teams.
 The Microsoft Teams Developer Platform provides exciting opportunities to build resilient, highly scalable web apps and services that support AI\-first scenarios for an ever\-growing user and developer base. This role offers an unparalleled opportunity to advance your skills in systems design, large\-scale web app and service architecture, public API development, and modern technologies like React, GraphQL, and LLMs.
**As a Member Of Our Team, You Will**
* Tackle complex problems and develop innovative solutions.
* Collaborate with a diverse, cross\-functional team of engineers and product managers, while also engaging directly with external developers to ensure their feedback shapes the evolution of our services.
* Contribute to one of the fastest\-growing products in Microsoft's history.
* You'll be working on the forefront of the latest advancements in AI, shaping the future of Copilot\-powered automations and leveraging the most advanced AI tools in the industry.
 Interested in how Microsoft Teams is revolutionizing workplace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multiple stakeholders across the company to determine user requirements, align dependencies, and build compelling user scenarios.
* Implements new features with high quality designs, strong execution, and robust deployment plans.
* Provides technical leadership for strategic initiatives and guiding the broader team.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4\+ years technical engineering experience with coding in languages including, but not limited to, C, C\+\+, C\#, Java, JavaScript, or Python
+ OR equivalent experience.
* 2\+ years of designing and building features of large\-scale web applications.
* Experience with modern web technologies like React, TypeScript, GraphQL, etc.
* In\-depth understanding of how web applications work including authentication, cookies, offline storage, and best development practices.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developing test plans, cases, conditions, and scenarios in support of application validation and platform infrastructure.
* Experience in driving improvements in performance, availability, and supportability.
* Proven customer obsession and experience in handling on\-call duties for large\-scale web apps and services.
* Proven analytical, problem\-solving, debugging and technical communication skills.
* Passion for designing clean, powerful, and easy\-to\-use APIs.Ability to navigate ambiguity and excel in a fast\-paced, dynamic environment.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2">
      <c r="A62" t="inlineStr">
        <is>
          <t>li-4374940366</t>
        </is>
      </c>
      <c r="B62" t="inlineStr">
        <is>
          <t>Software Engineer in Test</t>
        </is>
      </c>
      <c r="C62" t="inlineStr">
        <is>
          <t>RemoteHunter</t>
        </is>
      </c>
      <c r="D62" t="inlineStr">
        <is>
          <t>linkedin</t>
        </is>
      </c>
      <c r="E62" t="inlineStr"/>
      <c r="F62" t="inlineStr"/>
      <c r="G62" t="inlineStr"/>
      <c r="H62" t="inlineStr"/>
      <c r="I62" t="inlineStr">
        <is>
          <t>About the Opportunity:
 This role is for a Software Engineer in Test focused on ensuring the quality, reliability, and performance of a cloud\-hosted, agent\-based platform. The position blends test engineering fundamentals with modern AI\-driven approaches to validate complex, distributed systems through manual and automated testing. The role involves collaboration with engineering, product, and support teams and may include work on AI\-enabled features with a requirement for curiosity and willingness to learn about AI and LLM\-based systems.
 Responsibilities:
 • Participate in testing throughout the software development life cycle
 • Collaborate on refining product feature requirements
 • Research, document, and report on identified bugs
 • Troubleshoot customer\-facing issues, including possible follow\-up with customers
 • Build test environments for testing purposes
 • Use scripting languages such as TypeScript, Python, and PowerShell to support testing
 • Create and expand automated test suites in Playwright or Pester
 • Participate in code reviews
 • Maintain a strong working knowledge of relevant products
 • Work within an Agile team environment
 • Continuously improve testing culture and processes
 • Create and maintain testing documentation and test cases
 • Research and recommend tools and strategies to enhance testing
 • Update and improve integration of testing into CI/CD pipelines
 • Mentor junior team members on coding and fixing broken tests
 Requirements:
 • 3\+ years of experience in QA, SDET, or Test Automation roles
 • Strong experience with TypeScript and Playwright
 • Experience testing modern web applications including UI and API
 • Comfortable working in CI environments such as GitHub Actions
 • Ability to write clear, maintainable, and purposeful test code and test cases
 • Willingness to perform manual testing when automation is not suitable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using LLMs (OpenAI, Anthropic, etc.)
 • Ability to balance mocked UI/API tests with LLM red teaming evaluation using tools like Promptfoo
 • Familiarity with prompt engineering concepts
 • Awareness of AI security risks such as prompt injection, data leakage, and unsafe outputs
 • Curiosity about AI system failures and detection methods
 Benefits \&amp; Perks:
 • 4\-Day Work Week
 • Equity
 • Managers who support professional development
 • 100% premium coverage for medical, dental, and vision for employees and dependents
 • 100% premium coverage for Short Term Disability, Long Term Disability, Life, and AD\&amp;D insurance
 • Company match of the first 6% of employee deferrals
 • Flexible paid time off policy
 • Health Savings Account (HSA) and wellness incentives
 • Quarterly company values award, nominated by team members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li-4374039318</t>
        </is>
      </c>
      <c r="B63" t="inlineStr">
        <is>
          <t>Software Engineer</t>
        </is>
      </c>
      <c r="C63" t="inlineStr">
        <is>
          <t>Randstad Digital Americas</t>
        </is>
      </c>
      <c r="D63" t="inlineStr">
        <is>
          <t>linkedin</t>
        </is>
      </c>
      <c r="E63" t="inlineStr"/>
      <c r="F63" t="inlineStr"/>
      <c r="G63" t="inlineStr">
        <is>
          <t>Iselin, NJ</t>
        </is>
      </c>
      <c r="H63" t="inlineStr"/>
      <c r="I63"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Woodbridge Township, New Jersey
 job type: Contract
 salary: $71\.40 \- 76\.40 per hour
 work hours: 8am to 5pm
 education: Bachelors
**Responsibilities**
 The Lead Cyber Security Research Consultant will serve as the team's senior\-most subject matter expert on cybersecurity.
* Act as the primary technical consultant on all aspects of cybersecurity, including threat modeling, risk assessment, secure coding practices, and compliance.
* Conduct research on emerging threats and vulnerabilities, and translate this research into actionable requirements for the AI models and solutions.
* Define and own the data\-driven frameworks, like the Cyber Risk Rubric, that our AI models will use to triage and prioritize risks.
* Work closely with the Lead AI/ML Engineer to design experiments and validate the accuracy and effectiveness of the AI models from a security perspective.
* Mentor the entire team on cybersecurity concepts and best practices, raising the overall security acumen of the group.
* Serve as the bridge between the AI development team and the broader cybersecurity organization, ensuring alignment and collaboration.
**Qualifications**
 Required Qualifications: 5\+ years of Software Engineering experience, or equivalent demonstrated through one or a combination of the following: work or consulting experience, training, military experience, education.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64">
      <c r="A64" t="inlineStr">
        <is>
          <t>li-4367680390</t>
        </is>
      </c>
      <c r="B64" t="inlineStr">
        <is>
          <t>Software Developer Sr. (2026-0078)</t>
        </is>
      </c>
      <c r="C64" t="inlineStr">
        <is>
          <t>Valley Medical Center</t>
        </is>
      </c>
      <c r="D64" t="inlineStr">
        <is>
          <t>linkedin</t>
        </is>
      </c>
      <c r="E64" t="inlineStr"/>
      <c r="F64" t="inlineStr"/>
      <c r="G64" t="inlineStr">
        <is>
          <t>Renton, WA</t>
        </is>
      </c>
      <c r="H64" t="inlineStr"/>
      <c r="I64" t="inlineStr">
        <is>
          <t>Job Title: Software Developer Sr.
 Req: 2026\-0078
 Location:
 Department: Information Technology
**Shift:**
 Type: Full Time
 FTE: 1
**Hours:**
 City State: Renton, WA
 Category Professional
 Salary Range: Min $116,909 \- Max $175,364/annually DOE
****Job Description:****
 JOB DESCRIPTION
 The position description is a guide to the critical duties and essential functions of the job, not an all\-inclusive list of responsibilities, qualifications, physical demands, and work environment conditions. Position descriptions are reviewed and revised to meet the changing needs of the organization.
 TITLE: Software Developer Sr.
 JOB OVERVIEW: The Software Developer role will define, develop, test, analyze, and maintain software applications in support of the achievement of business requirements. This includes writing, coding, testing, and analyzing software programs and applications. The Software Developer Sr will demonstrate mastery in analysis and troubleshooting, healthcare computing environments and be a self\-directed learner with excellent communication skills.
 DEPARTMENT: Information Technology
 WORK HOURS: As required to fulfill responsibilities
 RESPORTS TO: Supervisor, Business \&amp; Support Applications
**Prerequisites:**
 Master's Degree, OR bachelor's degree and four (4\) years related industry experience, OR Associates degree and six (6\) years related industry experience, OR ten (10\) years related experience.
 Applied IT Job Experience: Six to Nine Years (6\-9 years)
 Experience in an application/system support role in a multiple system environment.
**Lead Experience Required.**
 Demonstrated Small Project lead experience required.
 Experience in Leading Complex Small Projects
 Documented experience with programming languages. Including but not limited to Graphical Workflow Technologies (MSSQL SSIS, Power Automate), Programming Technologies (SOAP, REST APIs), Other technologies (SQL, Excel), Languages (SQL, C\#, Python).
 Documented ability to work with computer systems.
 Documented record of excellent leadership, communications, and organization skills.
 Must be current in required application certifications.
 Demonstrated continued professional development.
 Demonstrates an understanding of enterprise integration concepts.
**Qualifications:**
 Demonstrated ability to set priorities, produce accurate work, and meet deadlines.
 Ability to function in a setting with a wide variety of duties and numerous interruptions.
 Demonstrated competence in analysis and troubleshooting.
 Demonstrated understanding of healthcare computing environments.
 Demonstrated ability to be self\-directed, learn quickly with strong attention to detail.
 Proven record of excellent communication and organizational skills.
 Microsoft Office plus Microsoft Visio proficiency is required.
**Unique Physical/Mental Demands, Environment And Working Conditions:**
 Requires the ability to move PC's and printers weighing up to 40 lbs.
 Requires planning, organizing, and working on multiple tasks at one time.
 Tolerates ambiguity in instructions and work situations.
**Performance Responsibilities:**
 Generic Job Functions: See Generic Job Description for Administrative Partner.
**Essential Responsibilities And Competencies**
 General I.T. Job Functions:
 Provides direct supervisor or lead with a weekly summary of activities.
 Documents change control and system problems according to departmental procedures.
 Advises direct supervisor or lead of potential problems, requirements for expanded services and status of current systems on an ongoing basis.
 Promptly notifies direct supervisor or lead of problems, unexpected tasks and missed targets.
 Responds to all requests according to departmental standards.
 Performs end\-user functions for assigned products to a high level of competency.
 Ensures that reports, data, and devices are appropriately secured.
 Maintains the security of the Data Center(s) systems and information, per VMC and departmental Information Privacy Policies.
 Provides after\-hours support as required.
 Ability to successfully log into enterprise network and all supported applications.
 Ability to organize, schedule, manage (chair) meetings and publish meeting minutes.
 Ability to successfully contact vendor for support.
 Ability to complete annual VMC educational requirements.
**Software Developer:**
 Performs other related duties as required.
 Developer and Programming Skills
 Understanding of coding methods and best practices. Including but not limited to Graphical Workflow Technologies (MSSQL SSIS, Power Automate), Programming Technologies (SOAP, REST APIs), Other technologies (SQL, Excel), Languages (SQL, C\#, Python).
 Provide custom reporting using database and report writing tools
 Liaise with network administrators, systems analysts, and software engineers to assist in resolving problems with software products or company software systems.
 Write programming scripts to enhance functionality and/or performance of company applications as necessary.
 Design, run and monitor software performance tests on new and existing programs for the purposes of correcting errors, isolating areas for improvement, and general debugging.
 Conduct research on emerging application development software products, languages, and standards in support of procurement and development efforts.
 Complete the definition, development, and documentation of software's business requirements, objectives, deliverables, and specifications on a project\-by\-project basis in collaboration with internal users and departments.
 Project Management Skills
 Exceptional organization and planning skills. Experience in multiple methods of estimating time and task assignments.
 Demonstrated ability to use effective judgment in prioritization and time allocation.
 Diligent, results\-oriented work habits.
 Ability to set priorities, produce accurate work, and meet deadlines; ability to function in a setting with a wide variety of duties and numerous interruptions.
 A demonstrated ability to communicate clearly and to understand and solve the problems and information needs of others.
 Develop project plans, estimations, specifications, flowcharts, and presentations.
 Seeks innovative ways to remove obstacles.
 Responsible for overall ongoing stakeholder satisfaction.
 Coordinates activities with other internal and vendor assigned resources.
 Documentation Skills
 Writes scope statements, defining size and planning parameters of projects or multiple groups of tasks
 Prepares detailed work plans and target dates for all projects.
 Documents change control and system problems according to departmental procedures
 Provides complete documentation of all tasks and projects; develops and maintains specifications according to departmental standards
 Uses standard flowcharting tools and techniques to create and maintain business process and functional flow charts. Can read and edit technical flow charts
 Knowledge of the life cycle of a change and being able to shepherd a request from requirements gathering to designing and building to maintaining the architecture behind the change
**Issue Resolution:**
 Identifies and resolves complex issues. This includes identifying appropriate parties and potential solutions.
**Leadership Skills:**
 Ability to engage teams in collaboration and discussion and guide toward acceptable solutions
**Process Improvement:**
 Demonstrates self\-initiated process improvement; actively pursues expansion of knowledge in applications and functions supported by VMC IT and develops new efficient solutions. Anticipates client's needs and seeks feedback to ensure client's needs are met
**Project Skills:**
 Manages and/ or leads planning and completion of projects on time and as designed.
 Ability to manage short\-term and long\-term risk of architectural decisions
 Technical Aptitude
 High technical aptitude; adopts new technology and application functionality quickly.
 Expert hands\-on knowledge in current system functionality including integration points across all applications and continuing knowledge of future system capabilities
 Ability to see the big picture and how many simultaneous projects interact with each other as well as current and future system states
 Immense curiosity in all areas\-beyond Epic applications, clinical workflows, and the entirety of the medical field\-and a willingness to explore.
**Test Planning:**
 Builds complete testing plans to validate system parameters and functionality performs as specified unassisted.
**Training:**
 Ability to communicate design and functionality principles as well as risks with all audience levels.
**Mentorship:**
 Helps others learn how to structure and solve problems and collaborate with others within the organization
 Ability to mentor groups, both large and small, on technical and non\-technical skills
**Team Building/Working With Others:**
 Frequently performs critical leadership roles on the team. Promotes team spirit and commitment to common objectives. Involves the team in decision making.
**Performs Other Related Duties As Required.**
 Created: 5/23
 Revised: 5/23, 6/23
 Grade: NC\-13
 FLSA: E
 Cost Center: 8553
**Qualifications:**
**Job Qualifications:**
 Demonstrated ability to set priorities, produce accurate work, and meet deadlines.
 Ability to function in a setting with a wide variety of duties and numerous interruptions.
 Demonstrated competence in analysis and troubleshooting.
 Demonstrated understanding of healthcare computing environments.
 Demonstrated ability to be self\-directed, learn quickly with strong attention to detail.
 Proven record of excellent communication and organizational skills.
 Microsoft Office plus Microsoft Visio proficiency is required.</t>
        </is>
      </c>
    </row>
    <row r="65">
      <c r="A65" t="inlineStr">
        <is>
          <t>li-4367682691</t>
        </is>
      </c>
      <c r="B65" t="inlineStr">
        <is>
          <t>System Software Engineer - GPU and SOC, System Software Engineer - GPU and SOC</t>
        </is>
      </c>
      <c r="C65" t="inlineStr">
        <is>
          <t>NVIDIA</t>
        </is>
      </c>
      <c r="D65" t="inlineStr">
        <is>
          <t>linkedin</t>
        </is>
      </c>
      <c r="E65" t="inlineStr"/>
      <c r="F65" t="inlineStr"/>
      <c r="G65" t="inlineStr">
        <is>
          <t>Redmond, WA</t>
        </is>
      </c>
      <c r="H65" t="inlineStr"/>
      <c r="I65" t="inlineStr">
        <is>
          <t>NVIDIA is searching for highly motivated, creative engineers to join the Platform Software team. You will work with a team of hardworking software engineers working on all aspects of SOC and system, and technology verticals. As someone who is hardworking and passionate about their craft, you will design key aspects of our SOC drivers, BSP, sophisticated CI/CD system, as well as collaborating with key partners and OEM customers. You should demonstrate the ability to excel in an environment with fast pace and agility.
**What You'll Be Doing**
* Developing and triaging platform drivers which goes into SOCs
* Building sophisticated automation triage tools and issue packetizations for FW and OS drivers
* Supporting OS driver development, bring up and triaging of Platform and Multimedia drivers
* Supporting the OEM ecosystem and providing innovative solutions
* Assist Boot KPIs, Security and OS drivers
* Supporting many ecosystems related verticals
* You will follow the devices all the way through from pre\-silicon to bringup to production, in products across different business verticals.
* Be heavily involved in architecture definition and early modeling, simulation required to create our groundbreaking products
* Multiple opportunities to collaborate and communicate effectively with teams from all around the globe
**What We Need To See**
* BS or MS degree in Computer Engineering, Computer Science, or equivalent experience
* Strong understanding on ARM microarchitecture as well as understanding of ARM exception levels
* Background in solving problems that apply to large complex systems deployed at scale.
* Strong C/C\+\+ and Python programming skills as well as having shown initiative in pursuing independent coding projects
* Good understanding of ACPI as Device tree concepts
* Familiarity with computer system architecture, microprocessor, and microcontroller fundamentals (caches, buses, memory controllers, DMA, etc.)
* Strong Operating systems fundamentals with Kernel , Hypervisor experience on Windows systems as well as Linux systems
* Hands on experience on debuggers like GDB, WinDBG as well compilers like GCC, MSVC, LLVM etc
* Good understanding of SOC architecture spanning across Boot, Security and OS
* 8\+ years of meaningful software development experience
**Ways To Stand Out From The Crowd**
* Background and strength with sophisticated system\-level debugging is invaluable
* Experience working on system level reliability and resiliency features.
* Familiarity with system level security concepts
* Experience with embedded system SW concepts.
 NVIDIA is widely considered to be one of the technology world’s most desirable employers. NVIDIA is also an equal opportunity employer.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184,000 USD \- 287,500 USD.
 You will also be eligible for equity and benefits.
 Applications for this job will be accepted at least until February 2,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JR2012357</t>
        </is>
      </c>
    </row>
    <row r="66">
      <c r="A66" t="inlineStr">
        <is>
          <t>li-4376320256</t>
        </is>
      </c>
      <c r="B66" t="inlineStr">
        <is>
          <t>Mid -Level Software Engineer, HSV, AL (Contingent upon Award)</t>
        </is>
      </c>
      <c r="C66" t="inlineStr">
        <is>
          <t>Davidson Technologies</t>
        </is>
      </c>
      <c r="D66" t="inlineStr">
        <is>
          <t>linkedin</t>
        </is>
      </c>
      <c r="E66" t="inlineStr"/>
      <c r="F66" t="inlineStr"/>
      <c r="G66" t="inlineStr">
        <is>
          <t>Huntsville, AL</t>
        </is>
      </c>
      <c r="H66" t="inlineStr"/>
      <c r="I66" t="inlineStr">
        <is>
          <t>What sets Davidson apart?
* 100% paid medical benefits \- Prioritizing your health and well\-being.
* Competitive 401(k) with company match \- Investing in your future.
* Tuition reimbursement \- Supporting your professional growth.
**Davidson's commitment to employee well\-being has earned us recognition as a
 *Colorado Springs Gazette Best Workplace for 5 consecutive years!***
**We have also in recent years been nominated for
 *The Best Place to Work* 
 ,
 *The Best Workplace for Millennials* 
 and voted
 *The Best Place for Working Parents!***
 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mid\-level Software Engineer in Huntsville, Alabama to help build and deploy a suite of ML\-enabled applications for VLF transmission sites. You will work closely with a Senior Data Scientist and RF engineers to take ML models and analytical outputs and translate them into reliable, real\-time, operational code suitable for high\-availability systems. The environment includes cloud and edge deployments, strict uptime requirements, and integration with external data sources.
**Job Responsibilities:** 
* Implement and maintain production code that operationalizes ML models and decision logic
* Translate Python\-based or research\-grade models into C\+\+, C, or other system\-level languages
* Integrate ML\-driven control logic into real\-time transmission and monitoring systems
* Build and maintain data ingestion pipelines, including NOAA API integrations
* Support deployment of software across cloud and edge environments
* Ensure software meets performance, reliability, and observability requirements
* Collaborate closely with Data Scientists to validate model assumptions and runtime behavior
* Implement logging, metrics, and health monitoring for ML\-enabled services
* Participate in design reviews and contribute to system architecture decisions
* Debug and resolve issues in live or near\-live environments
**Job Requirements**
* Bachelor's degree in computer science, Software Engineering, or a related field
* 3\-6 years of professional software engineering experience
* Strong proficiency in C\+\+ (or similar systems\-level language)
* Experience developing production, real\-time, or high\-availability systems
* Working knowledge of the ML development lifecycle and how it intersects with traditional software engineering
* Must be a U.S. citizen
**Preferred Qualifications**
* Background in systems programming, embedded systems, or infrastructure software
* Exposure to RF systems, signal processing, or physical\-domain systems (not required)
* Exposure to predictive maintenance (e.g., CBM\+)
* Experience supporting mission\-critical or regulated systems
**Clearance**
* Currently holds an Active Secret Clearance or is able to obtain a Secret Clearance
***Job Posted by ApplicantPro***</t>
        </is>
      </c>
    </row>
    <row r="67">
      <c r="A67" t="inlineStr">
        <is>
          <t>li-4359716901</t>
        </is>
      </c>
      <c r="B67" t="inlineStr">
        <is>
          <t>Senior Software Engineer - CIAM and Fraud (Remote)</t>
        </is>
      </c>
      <c r="C67" t="inlineStr">
        <is>
          <t>First Citizens Bank</t>
        </is>
      </c>
      <c r="D67" t="inlineStr">
        <is>
          <t>linkedin</t>
        </is>
      </c>
      <c r="E67" t="inlineStr"/>
      <c r="F67" t="inlineStr"/>
      <c r="G67" t="inlineStr">
        <is>
          <t>Texas, United States</t>
        </is>
      </c>
      <c r="H67" t="inlineStr"/>
      <c r="I67"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OAuth 2\.0, OpenID Connect, SAML
* Experience of Cloud platforms (AWS, Azure, GCP)
* Experience of Okta CIAM preferred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68">
      <c r="A68" t="inlineStr">
        <is>
          <t>li-4374919886</t>
        </is>
      </c>
      <c r="B68" t="inlineStr">
        <is>
          <t>Software Engineer (Windows / Mac / Linux) | $100/hr Remote</t>
        </is>
      </c>
      <c r="C68" t="inlineStr">
        <is>
          <t>Jobs via Dice</t>
        </is>
      </c>
      <c r="D68" t="inlineStr">
        <is>
          <t>linkedin</t>
        </is>
      </c>
      <c r="E68" t="inlineStr"/>
      <c r="F68" t="inlineStr"/>
      <c r="G68" t="inlineStr"/>
      <c r="H68" t="inlineStr"/>
      <c r="I68" t="inlineStr">
        <is>
          <t>**Position:** 
 Software Expert (Operating System)
**Type:** 
 Hourly contract
**Compensation:** 
 Upto $100/hour
**Location:** 
 Remote
**Commitment:** 
 Flexible hours
**Role Responsibilities**
 Record screen sessions demonstrating operating system workflows with clear verbal narration.
 Annotate screenshots by drawing precise bounding boxes around relevant UI elements.
 Follow staging instructions to set up specific interface states prior to recording.
 Use provided tools to capture workflows accurately and consistently.
 Ensure all submissions meet strict quality and usability guidelines.
**Requirements**
 Strong familiarity with operating systems such as Windows, macOS, or Linux.
 Fluent English communication skills.
 High attention to detail and ability to follow structured instructions.
 Comfortable working independently and meeting deadlines.
 Reliable access to a physical Mac system.
**Application Process (Takes 20 Min)**
 Upload resume
 Short assessment
 Submit form</t>
        </is>
      </c>
    </row>
    <row r="69">
      <c r="A69" t="inlineStr">
        <is>
          <t>li-4374932946</t>
        </is>
      </c>
      <c r="B69" t="inlineStr">
        <is>
          <t>Senior Backend Engineer, GraphQL</t>
        </is>
      </c>
      <c r="C69" t="inlineStr">
        <is>
          <t>RemoteHunter</t>
        </is>
      </c>
      <c r="D69" t="inlineStr">
        <is>
          <t>linkedin</t>
        </is>
      </c>
      <c r="E69" t="inlineStr"/>
      <c r="F69" t="inlineStr"/>
      <c r="G69" t="inlineStr"/>
      <c r="H69" t="inlineStr"/>
      <c r="I69" t="inlineStr">
        <is>
          <t>About the Opportunity:
 This team operates a unified data access layer and platform connecting almost all of the organization’s online data. Approximately 70% of the organization’s online traffic and products flow through this infrastructure service. Positioned centrally between user\-facing products and backend infrastructure, the platform provides a global schema and query system through a GraphQL interface. The team focuses on delivering a seamless and efficient developer experience by simplifying APIs, improving performance, and promoting team autonomy. The platform is treated as a product and follows strong principles of platform engineering.
 Responsibilities:
 • Collaborate with tenant product teams to guide the tooling roadmap and address metrics and scaling challenges within observability infrastructure
 • Define project requirements to improve reliability and performance through framework changes and tenant\-focused observability
 • Develop deep technical expertise in the platform framework and understand product teams’ use cases and requests
 • Support the platform’s developer customer base, ensuring daily production deployments
 • Maintain focus during designated daily work blocks
 Requirements:
 • Over 6 years of experience in relevant roles, preferably on teams managing developer platforms
 • Experience collaborating across product and infrastructure engineering teams
 • Proven ability to operate critical online backend services
 • Comfortable delivering high\-visibility, complex projects
 • Preferred expertise in GraphQL, Kotlin, and AI\-enabled development workflows
 Benefits \&amp; Perks:
 • US Remote Eligible with occasional on\-site work or offsite attendance, subject to manager agreement
 • Disability\-inclusive application and interview process with reasonable accommodations available
 Compensation:
 • Base pay range $191,000 to $225,000 USD
 • Eligible for bonus, equity, benefits, and Employee Travel Credits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0">
      <c r="A70" t="inlineStr">
        <is>
          <t>li-4367293810</t>
        </is>
      </c>
      <c r="B70" t="inlineStr">
        <is>
          <t>Asset &amp; Wealth Management-Software Engineering- Margin-Analyst-Dallas</t>
        </is>
      </c>
      <c r="C70" t="inlineStr">
        <is>
          <t>Goldman Sachs</t>
        </is>
      </c>
      <c r="D70" t="inlineStr">
        <is>
          <t>linkedin</t>
        </is>
      </c>
      <c r="E70" t="inlineStr"/>
      <c r="F70" t="inlineStr"/>
      <c r="G70" t="inlineStr">
        <is>
          <t>Dallas, TX</t>
        </is>
      </c>
      <c r="H70" t="inlineStr"/>
      <c r="I70" t="inlineStr">
        <is>
          <t>****JOB DESCRIPTION****
**Software Engineer \- Margin\- Analyst**
**Job Description**
**Your Impact**
* Work with a global team of highly motivated software engineers building integrated architectures for secure, scalable services serving a diverse set of use cases in the wealth management space.
* Partner with colleagues from across technology and risk to ensure an outstanding Margin platform for wealth management is delivered.
* Help to provide frictionless integration with the firm’s runtime, deployment and SDLC technologies.
* Quality coding \&amp; integration, testing, release, and demise of software products supporting Margin functions.
* Engage in quality assurance and production troubleshooting.
****Basic Qualifications****
* A strong grounding in software engineering concepts and implementation of architecture design patterns.
* A good understanding of multiple aspects of software development in microservices architecture and Java based back end development experience.
* Sound SDLC and practices and tooling experience \- version control, CI/CD and configuration management tools.
* Ability to understand and effectively debug both new and existing software.
* Experience with metrics and monitoring tooling, including the ability to use metrics to rationally derive system health and availability information.
* Experience in supporting software based on sound SRE principles.
****Preferred Qualifications****
* Experience using and/or supporting Java based frameworks \&amp; SQL / NOSQL data stores.
* Experience with deploying software to containerized environments \- Kubernetes/Docker.
* Scripting skills using Python, Shell or bash is a plus.
* Experience with Terraform or similar infrastructure\-as\-code platforms is a plus.
* Experience building services using public cloud providers specifically AWS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row>
    <row r="71">
      <c r="A71" t="inlineStr">
        <is>
          <t>li-4374958143</t>
        </is>
      </c>
      <c r="B71" t="inlineStr">
        <is>
          <t>Lead Software Engineer (C++ AND Golang) On-site, Chicago, IL or Reston, VA</t>
        </is>
      </c>
      <c r="C71" t="inlineStr">
        <is>
          <t>hackajob</t>
        </is>
      </c>
      <c r="D71" t="inlineStr">
        <is>
          <t>linkedin</t>
        </is>
      </c>
      <c r="E71" t="inlineStr"/>
      <c r="F71" t="inlineStr"/>
      <c r="G71" t="inlineStr">
        <is>
          <t>Chicago, IL</t>
        </is>
      </c>
      <c r="H71" t="inlineStr"/>
      <c r="I71"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As a pivotal member of the Core Engineering team, the Lead Software Engineer will be responsible for building, improving, and maintaining a high\-performance, highly available, distributed online video Ad Server system. This role involves working closely with Product Managers (PMs) to build features for business needs and collaborating on technical specifications to determine operational feasibility. The successful candidate will oversee the complete lifecycle of software development, including designing, prototyping, implementation, testing, maintenance, and technical support.
**Job Description**
**Core Responsibilities**
* Collaborates with project stakeholders to identify product and technical requirements. Conducts analysis to determine integration needs.
* Designs new software and web applications, supports applications under development and customizes current applications. Develops software update processes for existing applications. Assists in the roll\-out of software releases.
* Trains junior Software Development Engineers on internally developed software applications.
* Oversees the researching, writing and editing of documentation and technical requirements, including software designs, evaluation plans, test results, technical manuals and formal recommendations and reports.
* Keeps current with technological developments within the industry. Monitors and evaluates competitive applications and products. Reviews literature, patents and current practices relevant to the solution of assigned projects.
* Assists with technical leadership throughout the design process and assists in guidance with regards to practices, procedures and techniques. Serves as a guide mentor for Software Development Engineers.
* Assists in tracking and evaluating performance metrics. Ensures team delivers software on time, to specification and within budget.
* Works with Quality Assurance team to determine if applications fit specification and technical requirements. Tests and evaluates systems, subsystems and components.
* Acts as a technical contact and liaison for outside vendors and/or customers.
* Presents and defends architectural, design and technical choices to internal and external audiences.
* Consistent exercise of independent judgment and discretion in matters of significance.
* Regular, consistent and punctual attendance. Must be able to work nights and weekends, variable schedule(s) and overtime as necessary.
**Responsibilities**
 Other duties and responsibilities as assigned.
* Responsible for your owned features' complete software development lifecycle, including designing, prototyping, implementation, testing, maintenance, and technical support.
* Produce technical specifications and determine operational feasibility.
* Write well\-designed, testable, efficient code.
* Develop software verification plans and quality assurance procedures.
* Document and maintain software functionality.
* Tailor and deploy engineering tools, processes, and metrics.
* Support overall business.
* Technically solve issues.
* Partner with global engineering, product, and operations teams to further incorporate collective innovations
**Requirements**
* Bachelor's Degree or above.
* 5 years relevant work experience
* Experience with C/C\+\+, DB design, and network programming.
* Experience with large system software design and development.
* Experience with distributed systems and mission\-critical systems is a plus.
* Advertising industry experience is a plus.
* Demonstrated expertise in problem\-solving and technical innovation.
* Strong passion for learning/practicing new techniques
* Knowledgeable about SDLC, Agile, and Software Engineering Methodology.
* Team working skills, Good communication skills, Willingness to work under pressure.
* Have the ability and persistence in technical support.
* Knowledgeable about SDLC, Agile and Software Engineering Methodology.
* Ability to work closely with global teams and accept additional working time besides normal working hours to meet or co\-work with global teams.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Leadership; Technical Requirements; Design
**Salary**
 Primary Location Pay Range: $149,610\.68 \- $224,416\.02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**Education**
 Bachelor's Degree
 While possessing the stated degree is preferred, Comcast also may consider applicants who hold some combination of coursework and experience, or who have extensive related professional experience.
**Relevant Work Experience**
 10 Years \+</t>
        </is>
      </c>
    </row>
    <row r="72">
      <c r="A72" t="inlineStr">
        <is>
          <t>li-4359697472</t>
        </is>
      </c>
      <c r="B72" t="inlineStr">
        <is>
          <t>Staff/Lead Software Engineer</t>
        </is>
      </c>
      <c r="C72" t="inlineStr">
        <is>
          <t>CME Group</t>
        </is>
      </c>
      <c r="D72" t="inlineStr">
        <is>
          <t>linkedin</t>
        </is>
      </c>
      <c r="E72" t="inlineStr"/>
      <c r="F72" t="inlineStr"/>
      <c r="G72" t="inlineStr">
        <is>
          <t>Chicago, IL</t>
        </is>
      </c>
      <c r="H72" t="inlineStr"/>
      <c r="I72" t="inlineStr">
        <is>
          <t>**Description**
 This role independently engineers secure, scalable and reliable technology solutions, with minimal mentoring, to advance CME Group in the global marketplace and serve risk management needs of customers around the world.
**Principal Accountabilities
 8\+ years of Core Java development experience.**
* Focuses on Architecture and Solution efficiencies.
* Balances performance, capacity and reliability with core system functionality.
* Identifies potential opportunities for code optimization.
* Provides input for code reviews and helps with environment build deployments, release notes and build notices;
* Reviews code to proactively identify and mitigate potential issues and defects and helps to identify sources of defects as well as troubleshoots various forms of code.
* Writes optimized application modules and unit tests with minimal guidance.
* Uses design tools to frequently share and communicate design ideas on larger systems.
* Utilizes knowledge of modern multi\-processor architecture to tune the applications and systems for high throughput and low latency.
* Uses patterns frequently, contributing to best practice and process enhancements
* Defines key metrics driving code optimization and leads discussion of code reviews.
* Manages environment build deployments, release notes and build notices.
* Leads projects and influences across Division stakeholders
**Skills \&amp; Software Requirements**
* A Senior Engineer with in\-depth core Java development experience.
* Ability to evaluate the characteristics of algorithms and data structures for the given constraint
* Proficiency in Multi\-threading , concurrent data structures, shared memory, synchronization, JNI, NIO, Hashmap etc.
* Understands queue theory and various designs and implementations to enhance system performance.
* Experience working with networking protocols (UDP, TCP)
* Experience with Cloud Technology preferred
* Familiarity with redundancy and fault tolerance techniques
* Familiar with JVM internals and garbage collection tuning
* Familiar with BDD test tools preferred
* Past experience working in Financial domain or Derivative Exchange preferred
 Hybrid environment\- 2 days in the office
 CME Group is committed to offering a competitive total rewards package for our employees that recognizes their contributions to the business and reflects our long\-term investment in their future. The pay range for this role is $122,300\-$203,900\.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t>
        </is>
      </c>
    </row>
    <row r="73">
      <c r="A73" t="inlineStr">
        <is>
          <t>li-4359628346</t>
        </is>
      </c>
      <c r="B73" t="inlineStr">
        <is>
          <t>Principal Software Engineer - CIAM and Fraud (Remote)</t>
        </is>
      </c>
      <c r="C73" t="inlineStr">
        <is>
          <t>First Citizens Bank</t>
        </is>
      </c>
      <c r="D73" t="inlineStr">
        <is>
          <t>linkedin</t>
        </is>
      </c>
      <c r="E73" t="inlineStr"/>
      <c r="F73" t="inlineStr"/>
      <c r="G73" t="inlineStr">
        <is>
          <t>Florida, United States</t>
        </is>
      </c>
      <c r="H73" t="inlineStr"/>
      <c r="I73"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The CIAM \&amp; Fraud Principal Software Engineer is the
 **senior\-most hands\-on engineering authority** 
 for customer identity and fraud technology built on the
 **Okta platform** 
 . The role ensures that digital banking journeys are
 **secure, resilient, and fraud\-aware** 
 , while maintaining a
 **low\-friction customer experience** 
 .
 Operating across multiple squads, the role sets
 **technical direction, standards, and quality expectations** 
 , and provides deep expertise during complex design decisions, platform changes, and production incidents.
**Responsibilities**
**Key Responsibilities**
* Own engineering integrity and technical decision\-making for CIAM and Fraud platforms.
* Ensure Okta\-based identity solutions balance customer experience, fraud prevention, security, and scalability.
* Influence platform roadmaps and priorities through deep domain expertise.
* Act as a critical control point for high\-risk changes impacting customers and regulatory outcomes.
* Serve as the engineering authority for Customer facing Okta Customer Identity Cloud implementations.
* Define and maintain CIAM and Fraud specific engineering standards, patterns, and reference implementations.
* Lead complex engineering initiatives including:
+ OAuth2 / OIDC authentication and token lifecycle management
+ Okta Identity Engine adaptive and risk\-based authentication
+ MFA step\-up for high\-risk transactions
+ Integration of fraud and behavioral risk signals
* Lead resolution of severe production incidents and security vulnerabilities.
* Partner with Architecture, Security, Fraud, and Delivery leadership to ensure alignment.
 Technology \&amp; Domain Focus
* Okta Customer Identity Cloud (Identity Engine, Universal Directory, MFA).
* Digital onboarding, login, recovery, and transaction security.
* Fraud signal integration and risk\-based decisioning.
* API security, zero\-trust patterns, and cloud\-native architectures.
* DevSecOps, observability, and operational resilience.
 Leadership \&amp; Influence
* Provides technical leadership across squads without direct line management.
* Coaches and mentors Senior and Staff engineers.
* Sets expectations for engineering quality, resilience, and ownership.
* Acts as a trusted advisor to Directors, Architects, and Security leaders.
**Qualifications**
 Bachelor's Degree and 10 years of experience in Software application development and maintenance OR High School Diploma or GED and 14 years of experience in Software application development and maintenance
**Preferred Qualifications**
* Principal or Staff\-level engineering experience.
* Deep hands\-on expertise with Okta CIAM.
* Strong experience in banking or regulated financial services.
* Proven delivery of secure, customer\-facing platforms at scale.
* Minimum 5\-8 years experience with at least one major programming language (e.g. Java, Python, Go, etc.,).
* Strong understanding of fraud prevention, risk\-based authentication, and secure digital journeys.
* Experience working within agile, product\-aligned delivery models.
* Familiarity with regulatory, audit, and operational risk expectations.
* Strong CIAM and fraud\-aware identity design expertise.
* Deep understanding of Okta architecture and configuration concepts.
* OAuth 2\.0, OpenID Connect, SAML.
* Fraud signal integration and risk\-based decisioning.
* Strong understanding of REST APIs, event\-driven architectures.
* Experience of Cloud platforms (AWS, Azure, GCP).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74">
      <c r="A74" t="inlineStr">
        <is>
          <t>li-4360670665</t>
        </is>
      </c>
      <c r="B74" t="inlineStr">
        <is>
          <t>Senior Software Engineer -CTJ-Top Secret</t>
        </is>
      </c>
      <c r="C74" t="inlineStr">
        <is>
          <t>Microsoft</t>
        </is>
      </c>
      <c r="D74" t="inlineStr">
        <is>
          <t>linkedin</t>
        </is>
      </c>
      <c r="E74" t="inlineStr"/>
      <c r="F74" t="inlineStr"/>
      <c r="G74" t="inlineStr">
        <is>
          <t>Redmond, WA</t>
        </is>
      </c>
      <c r="H74" t="inlineStr"/>
      <c r="I74" t="inlineStr">
        <is>
          <t>**Overview**
 Come build secure, cutting\-edge cloud services that empower government and sovereign customers to achieve more. The International Sovereign Cloud Security Fundamentals team drives Microsoft’s mission to deliver trusted cloud platforms by developing core security and compliance capabilities for Azure’s sovereign clouds. You will be part of a passionate engineering team that builds foundational security tools and services, ensuring that Microsoft’s cloud offerings meet the strict requirements of government and highly regulated industries. In this cleared role, you will apply your expertise in software development and cloud security to protect critical data and infrastructure. You will be working in a highly gelled team environment where we celebrate each other's successes and support each other's growth. Your contributions will directly impact the security and reliability of our cloud environments, helping Microsoft succeed in a dynamic business landscape. This opportunity will allow you to deepen your skills in cloud engineering and cybersecurity, contribute to large\-scale systems that have global impact, and work closely with cross\-functional teams to shape the secure future of Microsoft’s cloud.
 Microsoft’s mission is to empower every person and every organization on the planet to achieve more. As employees, we come together with a growth mindset, innovate to empower others, and collaborate to achieve our shared goals. We build on a foundation of respect, integrity, and accountability to foster a culture of inclusivity where everyone can thrive at work and beyond.
**Responsibilities**
* Our Senior Software Engineer will design and develop secure cloud services: Lead the end\-to\-end design, coding, and deployment of highly secure, scalable software solutions for Azure sovereign cloud environments, applying best practices in secure coding and cloud architecture.
* Implement security fundamentals: Build and integrate core security features (such as authentication, encryption, monitoring, and compliance automation) into cloud platforms, ensuring our services meet government security standards and regulatory requirements for classified or sensitive workloads.
* Drive engineering excellence: Champion modern engineering practices – including Test\-Driven Development, DevSecOps, code reviews, and live\-site monitoring – to improve code quality, reliability, and compliance. You will proactively identify optimizations and implement improvements that enhance the performance and security of our systems.
* Collaborate across teams: Work closely with program managers, security engineers, and partner teams to translate high\-level security requirements into concrete engineering plans. Influence architectural decisions and cross\-team design reviews, making sure that security and privacy considerations are built into every stage of the software development lifecycle.
* Mentor and guide engineers: Serve as a technical leader and mentor for junior developers on the team. Share your expertise in cloud security and software development, guiding others in best practices for building secure, compliant services. Help foster an inclusive, high\-performing team environment focused on continuous improvement and growth.
* Ensure compliance and readiness: Work with compliance and government security stakeholders to ensure our solutions adhere to required certifications and policies (e.g. FedRAMP, DoD SRG). Participate in security reviews, audits, and incident response drills, and drive timely remediation of any findings to uphold the highest standards of cloud trust.
* Advocate for and operationalize AI‑assisted tooling throughout the Secure Software Development Lifecycle to proactively detect vulnerabilities, enforce security controls, and accelerate secure engineering practices."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7\+ years’ experience building distributed Cloud applications.
* Ability to design, develop and ship scalable, reliable, high\-quality distributed software solutions.
* Ability to partner with PMs and business partners to understand business requirements and translate them into technical designs while driving innovation.
* Proficient in Test Driven Development using C\#/C\+\+/Java or other object\-oriented programing language.
* Ability to work in a culture of continuous improvement, adaptation, reflection, and growth.
* Passion for working with BIG DATA; prior experience working with BIG DATA, ML technologies a plus.
* Candidates living in or are willing to relocate to Redmond, WA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5">
      <c r="A75" t="inlineStr">
        <is>
          <t>li-4373771203</t>
        </is>
      </c>
      <c r="B75" t="inlineStr">
        <is>
          <t>Staff Software Engineer, Testing Infrastructure</t>
        </is>
      </c>
      <c r="C75" t="inlineStr">
        <is>
          <t>Mattermost</t>
        </is>
      </c>
      <c r="D75" t="inlineStr">
        <is>
          <t>linkedin</t>
        </is>
      </c>
      <c r="E75" t="inlineStr"/>
      <c r="F75" t="inlineStr"/>
      <c r="G75" t="inlineStr"/>
      <c r="H75" t="inlineStr"/>
      <c r="I75" t="inlineStr">
        <is>
          <t>At Mattermost, we build the \#1 collaborative workflow solution for defense, intelligence, security, and critical infrastructure organizations. Trusted by governments, financial institutions, and technology companies, our platform enables secure, efficient operations for the world’s most critical teams.
 We’re dedicated to empowering organizations to operate with confidence, reducing risks, and accelerating productivity. Guided by our core values of Customer Obsession, Earn Trust, Self Awareness, Ownership and High Impact, we collaborate closely with our customers to deliver solutions that meet complex needs and drive success.
 To learn more, visit www.mattermost.com
 Mattermost is seeking a visionary
 **Staff Software Design Engineer (SDE) in Testing Infrastructure** 
 to
 **lead a company\-wide transformation of test automation and quality engineering** 
 . In this highly visible role, you will serve as the
 **technical lead for software testing and quality** 
 , partnering directly with Mattermost’s founders, CEO, and engineering leadership to define and execute the next evolution of our testing strategy and infrastructure.
 As a Staff SDE in Testing Infrastructure, you will
 **define the technical vision and architecture for test infrastructure, frameworks, and processes** 
 , enabling every engineer to deliver high\-quality, reliable software with speed and confidence. Your work will
 **shape how the entire organization approaches testing and quality** 
 —establishing standards, designing scalable systems, and fostering a culture where quality is owned by all.
 You will collaborate with engineering leadership to ensure testing systems are
 **deeply integrated, observable, and intelligent** 
 , including
 **designing AI\-driven systems** 
 that accelerate test coverage, manage test reliability autonomously, and progressively automate how tests are generated and maintained. The goal: a single successful pass of the full automated test suite provides fast feedback and a high\-confidence signal of product stability so that every commit meets the bar for release. Your impact will extend beyond infrastructure—this is a
 **strategic, cross\-functional leadership role** 
 that ensures our products meet the highest standards of reliability and security demanded by mission\-critical industries such as defense, intelligence, and critical infrastructure.
**Responsibilities Include**
* Lead a company\-wide transformation of test automation and quality engineering strategy, working directly with Mattermost’s founders and engineering leadership.
* Define and own the vision and roadmap for Mattermost’s testing and quality engineering infrastructure — from establishing strong observability and meaningful test signals, through making quality the path of least resistance, to an AI\-first future where machines generate, maintain, and verify tests.
* Architect scalable, intelligent testing frameworks and infrastructure spanning server, web, mobile, and desktop — progressively shifting testing from manual authorship toward machine\-driven generation, maintenance, and analysis.
* Lead the integration of AI/LLM technologies into testing strategy—from test generation and autonomous flakiness management to coverage gap detection, and beyond as the technology evolves
* Partner with engineering leadership to align testing strategies with product and platform roadmaps.
* Establish and enforce testing standards, quality metrics, and quality gates across the SDLC — automated in CI/CD so quality is the path of least resistance.
* Build visibility and trust in quality signals through unified observability — dashboards, metrics, and alerting that provide actionable insight into product reliability and drive accountability.
* Design systems, tooling, and processes that empower developers to easily create, run, and maintain high\-quality automated tests.
* Influence and mentor engineers to adopt shift\-left testing, testability\-focused design, and quality\-first development practices.
* Drive continuous improvement by researching, evaluating, and championing emerging testing methodologies and technologies.
**Requirements**
* BS in Computer Science, Software Engineering, or related field with 8\+ years of experience in software testing, quality engineering, or test infrastructure development.
* Proven track record of defining and executing quality engineering strategy or leading test infrastructure initiatives for complex, full\-stack systems.
* Strong programming background in TypeScript, React, React Native, Go, and PostgreSQL.
* Deep understanding of CI/CD pipelines, distributed systems, and cloud\-based test environments.
* Experience designing or architecting testing frameworks and developer tools that scale across large engineering organizations.
* Strong expertise in end\-to\-end testing frameworks (e.g., Playwright, Cypress, Detox) and best practices in automation architecture.
* Experience with API testing, performance testing, and security testing methodologies.
* Knowledge of containerization technologies (Docker, Kubernetes) and their application to automated testing.
* Strong conviction that AI will fundamentally transform software testing, and the drive to lead that transformation — staying current with emerging AI capabilities and proactively identifying where they can accelerate quality.
* Excellent communication skills with the ability to translate complex testing strategy for audiences from individual engineers to executive leadership.
* Experience mentoring engineers and leading quality\-focused technical initiatives across multiple teams.
**Preferences**
* Experience applying AI/ML technologies to software testing — test generation and intelligent test analysis
* Contributions to open\-source projects
* Knowledge of accessibility testing and inclusive design principles
* Has worked fully remotely with global teams
* Expertise in defense, intelligence, or security\-focused workflows and the reliability standards these environments demand
*Mattermost takes a market\-based approach to pay and pay may vary depending on your location. The successful candidate’s starting pay will be determined based on job\-related skills, experience, qualifications, work location, and market conditions. These ranges may be modified in the future.*
 Posting Range
 $144,000 \- $200,000 USD
 Mattermost is an EEO Employer, we are a remote\-first, open\-source company.
 We are continually working to expand our hiring in more countries and regions, ensuring compliance with local laws and regulations, which takes time.
 Mattermost values your unique perspective—we welcome all applicants. We encourage individuals from all backgrounds to apply and are committed to assessing candidates based on their skills and qualifications. We do not tolerate discrimination against staff or applicants based on race, religion, national origin, age, disability, pregnancy status, veteran status, or other personal characteristics.
 If you require accommodations during the interview process, please let us know—we’re happy to assist.</t>
        </is>
      </c>
    </row>
    <row r="76">
      <c r="A76" t="inlineStr">
        <is>
          <t>li-4328230276</t>
        </is>
      </c>
      <c r="B76" t="inlineStr">
        <is>
          <t>Forward Deployed Software Engineer- Palantir Foundry- Senior Manager</t>
        </is>
      </c>
      <c r="C76" t="inlineStr">
        <is>
          <t>PwC</t>
        </is>
      </c>
      <c r="D76" t="inlineStr">
        <is>
          <t>linkedin</t>
        </is>
      </c>
      <c r="E76" t="inlineStr"/>
      <c r="F76" t="inlineStr"/>
      <c r="G76" t="inlineStr">
        <is>
          <t>San Diego, CA</t>
        </is>
      </c>
      <c r="H76" t="inlineStr"/>
      <c r="I7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li-4328151648</t>
        </is>
      </c>
      <c r="B77" t="inlineStr">
        <is>
          <t>Forward Deployed Software Engineer- Palantir Foundry- Senior Manager</t>
        </is>
      </c>
      <c r="C77" t="inlineStr">
        <is>
          <t>PwC</t>
        </is>
      </c>
      <c r="D77" t="inlineStr">
        <is>
          <t>linkedin</t>
        </is>
      </c>
      <c r="E77" t="inlineStr"/>
      <c r="F77" t="inlineStr"/>
      <c r="G77" t="inlineStr">
        <is>
          <t>Washington, DC</t>
        </is>
      </c>
      <c r="H77" t="inlineStr"/>
      <c r="I7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8">
      <c r="A78" t="inlineStr">
        <is>
          <t>li-4328220297</t>
        </is>
      </c>
      <c r="B78" t="inlineStr">
        <is>
          <t>Forward Deployed Software Engineer- Palantir Foundry- Senior Manager</t>
        </is>
      </c>
      <c r="C78" t="inlineStr">
        <is>
          <t>PwC</t>
        </is>
      </c>
      <c r="D78" t="inlineStr">
        <is>
          <t>linkedin</t>
        </is>
      </c>
      <c r="E78" t="inlineStr"/>
      <c r="F78" t="inlineStr"/>
      <c r="G78" t="inlineStr">
        <is>
          <t>Nashville, TN</t>
        </is>
      </c>
      <c r="H78" t="inlineStr"/>
      <c r="I7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9">
      <c r="A79" t="inlineStr">
        <is>
          <t>li-4374934759</t>
        </is>
      </c>
      <c r="B79" t="inlineStr">
        <is>
          <t>Senior Software Engineer</t>
        </is>
      </c>
      <c r="C79" t="inlineStr">
        <is>
          <t>John Deere</t>
        </is>
      </c>
      <c r="D79" t="inlineStr">
        <is>
          <t>linkedin</t>
        </is>
      </c>
      <c r="E79" t="inlineStr"/>
      <c r="F79" t="inlineStr"/>
      <c r="G79" t="inlineStr">
        <is>
          <t>Iowa, United States</t>
        </is>
      </c>
      <c r="H79" t="inlineStr"/>
      <c r="I79"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Urbandale
**Function:** 
 Technology (CA)
**Title:** 
 Senior Software Engineer \- 118045*
***Onsite/Remote:** 
 Onsite Position*
**Your Responsibilities**
 As a
 **Senior Software Engineer** 
 with the
 **Intelligent Solutions Group** 
 in
 **Urbandale** 
 ,
 **Iowa** 
 ,
 **or Chicago, IL** 
 you will serve as the technical lead for a team of dedicated developers, managing the design, development, testing, and integration of highly complex applications within the License Sales and Management ecommerce platform. Our team thrives in a collaborative and transparent setting, utilizing Agile methodologies to deliver solutions efficiently and independently. Additionally, you will:
* Influence overall product development strategy and roadmap.
* Collaborate with other teams to help drive alignment and understanding of requirements and dependencies.
* Interface regularly with our customers to ensure you are producing technical solutions that meet their needs.
* Provide technical expertise to define and refine features in preparation for the team.
* Pair frequently and provide technical guidance and coaching with junior members of the team.
* Establish a culture of software crafting best practices in your team, including Test Automation, and CI/CD.
* Work with individuals on your team to create and enforce coding standards, workflow, or tool standards.
* Collaborate with Staff Developers and other teams on new technologies and technical thought leadership.
* Engage in Agile software development activities, including sprint planning, daily standups, demos, retrospectives, and hackathons.
 VISA Sponsorship is NOT available for this position
**What Skills You Need**
 At this level, you should have professional experience as an outstanding individual developer applying solid development practices. Here's what that looks like:
* Experience in application development leveraging Agile delivery methodologies.
* Experience in roles that required strong analytical and problem\-solving skills.
* Experience in roles that required strong interpersonal communication and collaboration skills.
* Experience with building UI and REST APIs using Java, JavaScript, React.js, or Node.js.
* Experience with TDD, Refactoring, Pair Programming, and CI/CD.
* Experience with DevOps tools and technologies to GitHub Actions and Datadog.
**What Makes You Standout**
* Experience with Amazon Web Services (AWS) services.
* Experience working with cross functional teams.
**Education**
* Bachelor's degree in Engineering, Science or Technology related discipline.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$109,284\.00 \- $163,920\.00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80">
      <c r="A80" t="inlineStr">
        <is>
          <t>li-4374954260</t>
        </is>
      </c>
      <c r="B80" t="inlineStr">
        <is>
          <t>Embedded Software Engineer</t>
        </is>
      </c>
      <c r="C80" t="inlineStr">
        <is>
          <t>Cindavi</t>
        </is>
      </c>
      <c r="D80" t="inlineStr">
        <is>
          <t>linkedin</t>
        </is>
      </c>
      <c r="E80" t="inlineStr"/>
      <c r="F80" t="inlineStr"/>
      <c r="G80" t="inlineStr"/>
      <c r="H80" t="inlineStr"/>
      <c r="I80" t="inlineStr">
        <is>
          <t>Ready to build the embedded Linux systems that power the future of connected medical devices?
 Please note this position is located
 **onsite about 45 minutes north of Dayton, OH.**
**Job Summary** 
 We are looking for a senior\-level Embedded Linux Engineer to be a key architect of our next\-generation IoT and connectivity platform. In this role, you won’t just be writing code: you’ll be shaping the technical direction of complex medical device systems, driving innovation, and mentoring a talented team of engineers.
 This is a unique opportunity to take ownership of critical firmware systems, work at both the low\-level and application layers, and see your work directly impact the reliability and performance of products that make a difference in healthcare. If you are a technical leader who thrives on solving complex problems in a collaborative environment, we want to talk to you.
**Job Responsibilities:** 
* Architect and develop the core of our embedded connectivity platform, making key decisions on everything from the RTOS to the application framework.
* Lead and mentor a team of firmware engineers, guiding them through the intricacies of low\-level Embedded Linux development, including BSP, U\-boot, and kernel drivers.
* Drive the design of complex, interconnected systems and collaborate with cross\-functional teams (including IT and cybersecurity) to deliver robust, secure, and high\-quality products.
* Optimize firmware for performance, power efficiency, and memory usage, ensuring our systems are resilient and reliable in critical applications.
* Champion innovation in our development processes and methodologies, establishing best practices and quality standards for the entire team.
**Qualifications** 
* Bachelor’s degree in Computer Science, Electrical Engineering, or Computer Engineering
* A deep expertise in Embedded Linux, with proven experience in both low\-level driver development and application\-level frameworks.
* 4\-6\+ years of relevant experience and a Bachelor’s degree in Computer Science, Electrical Engineering, or a related field.
* Proficiency in C and C\+\+ for embedded systems, with experience in scripting languages like Python for automation and testing.
* A strong command of network protocols (e.g., WPA2 Enterprise, TLS, MQTT, Wi\-Fi) and communication buses (e.g., CAN, HTTP).
* A passion for mentorship and a track record of elevating the skills of junior engineers.</t>
        </is>
      </c>
    </row>
    <row r="81">
      <c r="A81" t="inlineStr">
        <is>
          <t>li-4376196901</t>
        </is>
      </c>
      <c r="B81" t="inlineStr">
        <is>
          <t>Frontend Software Engineer (Js)</t>
        </is>
      </c>
      <c r="C81" t="inlineStr">
        <is>
          <t>Wiraa</t>
        </is>
      </c>
      <c r="D81" t="inlineStr">
        <is>
          <t>linkedin</t>
        </is>
      </c>
      <c r="E81" t="inlineStr"/>
      <c r="F81" t="inlineStr"/>
      <c r="G81" t="inlineStr"/>
      <c r="H81" t="inlineStr"/>
      <c r="I81" t="inlineStr">
        <is>
          <t>**About The Company**
 Dynamic is at the forefront of redefining digital finance by integrating wallets seamlessly into applications across various sectors. Founded with a vision that every app and website should incorporate a wallet, Dynamic has rapidly evolved over the past three years to make this a reality. Wallets are no longer confined to crypto applications; they are now integral to fintech, payroll, and global remittance platforms, enabling faster, more affordable, and accessible transactions worldwide. Supporting leading crypto platforms such as Ondo Finance, Story, and Magic Eden, Dynamic is establishing itself as a key player in the emerging infrastructure that powers the future of digital money. Backed by prominent investors like a16z crypto and Founders Fund, the company is scaling quickly and shaping the future of cross\-chain and cross\-ecosystem financial interactions.
**About The Role**
 The Staff Frontend Software Engineer at Dynamic will be instrumental in designing and developing developer\-facing SDKs and user\-facing applications that facilitate seamless wallet integrations. This role involves close collaboration with product managers, designers, and backend engineers to build high\-performance, reliable, and intuitive frontend architectures and tools. The ideal candidate will possess extensive experience in building complex frontend systems, with a focus on React and TypeScript, and will take ownership of end\-to\-end frontend solutions. Their work will directly influence how wallets are integrated into fintech and Web3 applications, impacting millions of users globally. They will also contribute to shaping the company's long\-term technical vision and product roadmap, ensuring that the platform remains scalable, performant, and developer\-friendly.
**Qualifications**
* 7 to 10\+ years of frontend engineering experience, including production\-grade React applications and JavaScript SDKs
* Proven track record of architecting and scaling complex frontend systems with an emphasis on performance, reliability, and maintainability
* Expertise in React, TypeScript, and modern frontend tooling and design patterns
* Experience working directly with developer tools or SDKs and supporting engineering teams through documentation and tooling
* Strong product sense with the ability to navigate ambiguity and deliver features end\-to\-end in collaboration with product and design teams
* Experience contributing to full\-stack systems, APIs, or infrastructure, with comfort across the stack when needed
* Excellent communication skills, ability to thrive in async, remote\-first environments, and work effectively within small, fast\-paced teams
* Passion for Web3, identity technologies, and building foundational developer tools
**Nice To Haves**
* 2 to 3 years of experience working in the Web3 space for notable companies
* Proximity or willingness to work near NYC, SF, Chicago, or Floripa (Brazil)
* Interest in fintech and infrastructure used by millions of users
**Responsibilities**
* Lead the design and implementation of scalable frontend architecture and SDKs using React and TypeScript
* Optimize complex JavaScript applications for performance, reliability, and bundle size
* Contribute to backend systems, including APIs (Node.js), infrastructure (CDK), and data management as needed
* Engage directly with customers and developers to support the integration and usage of Dynamic’s SDKs in production environments
* Shape the long\-term vision and roadmap for Dynamic’s frontend and SDK platforms, ensuring alignment with company goals
* Develop comprehensive documentation and tooling to support developer adoption and success
* Collaborate with cross\-functional teams to deliver high\-quality features and enhancements
**Benefits**
* Competitive salary within the range of $180,000–$220,000, commensurate with experience and location
* Equity options to participate in the company's growth and success
* Comprehensive benefits package, including health, dental, and vision insurance
* Flexible remote work environment and support for work\-life balance
* Opportunities for professional growth and development in a pioneering technology company
* Participation in shaping the future of digital wallets and fintech infrastructure
 Equal Opportunity
 Dynamic is committed to creating a diverse and inclusive workplace. We are an equal opportunity employer and do not discriminate based on race, color, religion, gender, gender identity or expression, sexual orientation, national origin, genetics, disability, age, or veteran status. We believe in fostering an environment where everyone can thrive and contribute to our shared success.</t>
        </is>
      </c>
    </row>
    <row r="82">
      <c r="A82" t="inlineStr">
        <is>
          <t>li-4376304815</t>
        </is>
      </c>
      <c r="B82" t="inlineStr">
        <is>
          <t>Lead Full Stack Engineer</t>
        </is>
      </c>
      <c r="C82" t="inlineStr">
        <is>
          <t>Gaia AI</t>
        </is>
      </c>
      <c r="D82" t="inlineStr">
        <is>
          <t>linkedin</t>
        </is>
      </c>
      <c r="E82" t="inlineStr"/>
      <c r="F82" t="inlineStr"/>
      <c r="G82" t="inlineStr">
        <is>
          <t>Boston, MA</t>
        </is>
      </c>
      <c r="H82" t="inlineStr"/>
      <c r="I82" t="inlineStr">
        <is>
          <t>**Job Description** 
 We are currently building our platform team and hiring for a full\-time, in\-person in Boston with 4 days in office, 1 day remote, full\-stack engineer with the ambition to help get things done. You will own core pieces of the platform that modernizes how the world measures and manages forests. This is a great opportunity for someone who wants to apply their skills towards fighting climate change, wants to experience the high\-pace, high\-ownership setting of an early startup, and can start onboarding in the next few weeks. You will work with LiDAR, geospatial data, different types of AI, and real customers (TIMOs/REITs, USFS, DoD).
 Climate change is one of the most meaningful challenges of our generation, and every possible solution put forward by the United Nations IPCC requires scaled carbon sequestration. Forests are critical for this reason, but they need to be managed for a growing set of values including sustainable wood production, carbon, biodiversity, and wildfire risk mitigation. We are an MIT climatetech startup applying autonomous vehicle technology to solve this problem, utilizing cutting edge sensors and perception AI to build the modern tooling needed to manage forests with great accuracy and confidence.
**Job brief** 
 We are looking for a full\-stack software engineer who excels at designing and implementing complex software systems. Responsibilities can range from implementing data pipelines between our robotics algorithms and our platform, to working on our ipad app, to implementing the latest features foresters have asked for in our web app. This is an amazing opportunity to join a well\-positioned, ambitious technology startup making a large impact fighting climate change.
 To be successful in this role, you should have an open mind and be familiar with a wide variety of software technologies. If you like being a polyglot in the tech world, we would love to talk with you!
**Responsibilities (may include)** 
 Collaborate with stakeholders to define the scope and scale of software projects
 Design, implement, and integrate web and mobile applications, API endpoints, and databases
 Deploy containerized software to AWS
 Develop and maintain internal software tools
 Identify/fix performance and efficiency bottlenecks
 Write clear technical documentation
**Requirements** 
 2\+ years proven experience with Typescript and React (you should be able to point to shipped work). If you have fewer than two years of full\-time employment in Typescript/React, please justify how you have equivalent experience.
 Ability to learn new tools and frameworks quickly
 Ideally have experience with Next.js / Python / Rust for backend
 Team spirit; strong communication and collaboration skills
 Good time\-management skills</t>
        </is>
      </c>
    </row>
    <row r="83">
      <c r="A83" t="inlineStr">
        <is>
          <t>li-4345180587</t>
        </is>
      </c>
      <c r="B83" t="inlineStr">
        <is>
          <t>Senior Software Engineer</t>
        </is>
      </c>
      <c r="C83" t="inlineStr">
        <is>
          <t>Microsoft</t>
        </is>
      </c>
      <c r="D83" t="inlineStr">
        <is>
          <t>linkedin</t>
        </is>
      </c>
      <c r="E83" t="inlineStr"/>
      <c r="F83" t="inlineStr"/>
      <c r="G83" t="inlineStr">
        <is>
          <t>Redmond, WA</t>
        </is>
      </c>
      <c r="H83" t="inlineStr"/>
      <c r="I83" t="inlineStr">
        <is>
          <t>**Overview**
 Are you interested in being part of a team with multi\-billion revenue annually and fast growth every year? Do you want to get insights on how advertising can become the most successful business model in the Internet industry? Or, are you just excited about solving hard technical problems on one of the largest services in Microsoft in a fast\-paced environment? If you feel positive about these questions, join the team to learn and grow!
 Online Advertising is one of the fastest growing businesses on the Internet today, and Microsoft Ads is considered one of the most important players in the world of Advertising business. Microsoft Ads covers all aspects of the online advertising and innovates rapidly to grow its share of this market by providing the advertising industry with a highly scalable platform that competes head to head with Google Advertising platform. This team is responsible for building controls and features to be used by online advertisers across different interfaces like UI and API to create and manage their display, video and native ad campaigns on Microsoft Audience Network (MSAN). This team has very solid focus on customer satisfaction. We are on an ambitious journey to grow the MSAN business to be multi billion dollar business. As a Software Engineer in the team, you will develop world class experiences for our demand management platform as well as enable new Ads Product to advertisers and work with our partners to complete ad delivery. Come be part of the team that is at the cutting edge of online services and in a race to be the global leader in online advertising.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closely with PMs, UX designers and partner teams to design and develop features from concept to release and live operations.
* Collaborate with teammates in various roles to plan and execute on key deliverables and learn quickly from your peers, projects, and interactions with customers.
* Work in a culture of continuous improvement, adaptation, reflection, and growth that is supported by data driven analysis and insights
* Provide on call support and monitor the health of services in production as part of DevOps culture.
* Be open and willing to learn new technology and to take challenges.
* Help team to forge a sound engineering culture with growth mindset.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Solid CS fundamentals, strong inclination for architecting at scale.
* Excellent technical design, problem solving and debugging skills.
* Proficient in data driven decision making, ability to build metrics to analyze business impact.
* Experience with ReactJS and modern front end development environment.
* Experience with data analysis and building metrics to measure business impact.
* Great team member and communicator.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4">
      <c r="A84" t="inlineStr">
        <is>
          <t>li-4376183423</t>
        </is>
      </c>
      <c r="B84" t="inlineStr">
        <is>
          <t>Frontend Engineer (React.js, Vue.js)</t>
        </is>
      </c>
      <c r="C84" t="inlineStr">
        <is>
          <t>Wiraa</t>
        </is>
      </c>
      <c r="D84" t="inlineStr">
        <is>
          <t>linkedin</t>
        </is>
      </c>
      <c r="E84" t="inlineStr"/>
      <c r="F84" t="inlineStr"/>
      <c r="G84" t="inlineStr"/>
      <c r="H84" t="inlineStr"/>
      <c r="I84" t="inlineStr">
        <is>
          <t>**About The Company**
 Campaign Nucleus is a pioneering technology firm dedicated to developing advanced marketing and political campaign automation software. Our platform integrates data analytics, customer segmentation, and comprehensive marketing tools to enable political campaigns and organizations to operate more efficiently and effectively. With a focus on innovation, we strive to empower campaigns to reach their audiences, mobilize supporters, and achieve impactful results in a highly competitive and evolving political landscape. Our team combines expertise in political marketing, data science, digital strategies, and software development, bringing together a diverse group of professionals committed to creating solutions that make a difference. With US hubs in Fort Lauderdale, Charlotte, and Fort Worth, and a fully remote team, we foster a collaborative environment that values innovation, integrity, and impact.
**About The Role**
 We are seeking a talented UI/UX Developer to join our dynamic development team. This full\-time, remote position offers an exciting opportunity to contribute to the design and development of our cutting\-edge software platform. As a UI/UX Developer, you will focus on front\-end development using Vue.js, translating wireframes and mockups into reliable, reusable, and visually compelling components. Your role will involve collaborating with designers, product managers, and back\-end developers to create seamless user experiences that meet the strategic needs of our clients. The ideal candidate will have a passion for design, a strong understanding of front\-end architecture, and the ability to implement innovative solutions that enhance user engagement and functionality. This position requires excellent communication skills and the ability to collaborate effectively via Slack and Zoom, ensuring alignment across remote teams.
**Qualifications**
* 2\-5 years of professional experience as a software developer, with a focus on front\-end development
* Deep understanding of Vue 3, including Router and Pinia fundamentals and core concepts
* Proficiency in implementing Vue components from existing designs
* Experience translating wireframes and mockups into reliable, reusable code
* Strong knowledge of HTML, CSS, and JavaScript
* Experience with Tailwind CSS and Vite build tools
* Familiarity with cloud platforms such as Amazon AWS, S3, and Terraform
* Experience with CI/CD pipelines using Github Actions and Docker
* Ability to perform code reviews and mentor team members on architectural best practices
* Excellent communication and collaboration skills in a remote environment
**Even Better If You Have**
* Experience with Figma and Storybooks
* Proficiency in Typescript
* Experience with front\-end unit and feature testing
* Knowledge of other JavaScript frameworks such as React
**Responsibilities**
* Design, develop, and maintain front\-end components using Vue.js, ensuring high performance and responsiveness
* Collaborate with UI/UX designers to translate wireframes and mockups into functional user interfaces
* Implement new features and enhancements based on product requirements and user feedback
* Conduct code reviews and ensure adherence to architectural standards and best practices
* Participate in sprint planning, stand\-ups, and collaborative team meetings
* Assist in troubleshooting and resolving front\-end issues to ensure optimal user experience
* Contribute to the continuous improvement of development processes and tools
* Stay current with emerging front\-end technologies and industry trends to bring innovative ideas to the team
**Benefits**
* Competitive salary package
* Health, dental, and vision insurance coverage
* 401(k) retirement plan with company match
* Parental leave policies
* Flexible working arrangements to support work\-life balance
* Opportunity to work on impactful projects that influence political campaigns and organizations
* Collaborative and innovative remote work environment
 Equal Opportunity
 Campaign Nucleus is an equal opportunity employer. We celebrate diversity and are committed to creating an inclusive environment for all employees. We do not discriminate based on race, ethnicity, gender, sexual orientation, age, disability, religion, or any other protected characteristic. We believe that a diverse team fosters creativity, innovation, and better decision\-making, and we welcome applicants from all backgrounds to apply.</t>
        </is>
      </c>
    </row>
    <row r="85">
      <c r="A85" t="inlineStr">
        <is>
          <t>li-4359972578</t>
        </is>
      </c>
      <c r="B85" t="inlineStr">
        <is>
          <t>Software Engineer II, AI Data Platform (CoreAI)</t>
        </is>
      </c>
      <c r="C85" t="inlineStr">
        <is>
          <t>Microsoft</t>
        </is>
      </c>
      <c r="D85" t="inlineStr">
        <is>
          <t>linkedin</t>
        </is>
      </c>
      <c r="E85" t="inlineStr"/>
      <c r="F85" t="inlineStr"/>
      <c r="G85" t="inlineStr">
        <is>
          <t>Redmond, WA</t>
        </is>
      </c>
      <c r="H85" t="inlineStr"/>
      <c r="I85" t="inlineStr">
        <is>
          <t>**Overview**
 The GenAI Infrastructure and Solutions team is building large\-scale GenAI training infrastructure, LLM\-based solutions and tools. We provide the infrastructure for teams in CoreAI and other Microsoft Groups to fine\-tune LLMs and serve agentic workload for their own scenarios.
 As a Software Engineer II, you will work on the infrastructure and tools to support large scale model fine\-tuning, evaluation, and inference.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team member of our team, you will participate in developing innovative solutions across AI Platform. Responsibilities include the following.
* Collaborate with senior engineers and researchers to build and optimize training infrastructure and tools for LLMs, SLMs, multimodal, and code\-specific models.
* Design, build and improve the services with high scalability and reliability.
* Contribute to the deployment and monitoring of services in production environments.
* Participate in the efforts to deliver and improve engineering systems and practices to ensure service quality in complex cloud environments.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software development experience in C\#, C\+\+, Python, or similar languages.
* 1\+ year of experience with containerization tools (e.g., Docker, Kubernetes).
* Familiarity with production ML systems and concepts like model serving, caching, batching, and monitoring.
* 2\+ years designing, developing, and shipping high quality software.
* 1\+ years of experience with distributed systems and cloud\-based infrastructure.
* 1\+ year of experience with DevOps practices (CI/CD, automated testing, deployment, etc.).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6">
      <c r="A86" t="inlineStr">
        <is>
          <t>li-4376314223</t>
        </is>
      </c>
      <c r="B86" t="inlineStr">
        <is>
          <t>Front End Software Engineer (React &amp; Next.js)</t>
        </is>
      </c>
      <c r="C86" t="inlineStr">
        <is>
          <t>Wiraa</t>
        </is>
      </c>
      <c r="D86" t="inlineStr">
        <is>
          <t>linkedin</t>
        </is>
      </c>
      <c r="E86" t="inlineStr"/>
      <c r="F86" t="inlineStr"/>
      <c r="G86" t="inlineStr"/>
      <c r="H86" t="inlineStr"/>
      <c r="I86" t="inlineStr">
        <is>
          <t>**About The Company**
 Tomo is a pioneering digital mortgage company committed to transforming the homebuying experience by eliminating the greed and complexity traditionally associated with lending. Our mission is to help homebuyers save thousands of dollars by providing transparent, affordable, and efficient mortgage solutions. Leveraging cutting\-edge AI technology, we streamline the lending process, making it faster, less frustrating, and more accessible. Backed by top\-tier venture investors such as Ribbit, Citi Ventures, NFX, and Progressive Insurance, Tomo is positioned to become one of the most valuable fintech startups of our generation. Our innovative approach not only benefits consumers but also sets new standards in the mortgage industry, fostering trust and transparency across the board.
**About The Role**
 We are seeking a talented and motivated Frontend Engineer to join our remote team, supporting our demand generation and efficiency initiatives. In this role, you will be instrumental in building and maintaining seamless customer experiences using modern web technologies. Your work will directly impact how homebuyers discover, understand, and complete their mortgage journey, making it more transparent and user\-friendly. Collaborating closely with product managers, designers, and backend engineers, you will help us deliver innovative solutions that demystify the mortgage process and empower consumers. This position offers an exciting opportunity to work in a fast\-paced startup environment, leveraging your skills in frontend development, AI integration, and cloud infrastructure to shape the future of digital lending.
**Qualifications**
* 2\+ years of experience delivering meaningful software projects to production
* Proficiency with React and/or Next.js
* Experience building high\-quality customer experiences on large consumer\-facing websites
* Strong understanding of modern software engineering practices, including automated testing, continuous deployment, and monitoring
* Familiarity with frontend technologies such as Typescript, Tailwind, Storybook, and Vitest
* Experience with API design and integration across multiple services
* Knowledge of AWS infrastructure, Kubernetes, and modern DevOps tools
* Interest in leveraging AI tools, especially Large Language Models (LLMs), within software development
* Ability to work independently, make sound decisions, and thrive in a remote, distributed team environment
* Continuous learner with a passion for staying current on emerging trends and technologies
 Additional desirable qualifications include expertise in SEO, site performance optimization, familiarity with fintech or real estate technology systems, and experience with cloud\-based deployment environments.
**Responsibilities**
* Design, develop, and maintain customer\-facing web applications using Typescript, React, and Next.js
* Create and style interfaces with Tailwind CSS, ensuring accessibility and brand consistency
* Implement and test UI components using Storybook and Vitest to ensure high quality and reliability
* Collaborate with backend teams to design and integrate APIs that support seamless user experiences
* Contribute to the deployment, monitoring, and support of systems in production, participating in on\-call rotations
* Follow best practices in coding, including code reviews, iterative development, and automated testing
* Work closely with product managers and designers to translate requirements into technical solutions
* Promote accessibility standards and contribute to branding and design language consistency
* Leverage AWS infrastructure, Kubernetes, and DevOps tools to ensure system reliability and performance
* Continuously learn and experiment with new technologies, especially in backend engineering and AI integration
**Benefits**
* Equity ownership through stock options, aligning team success with company growth
* Comprehensive medical, dental, and vision plans for employees and dependents, with some plans fully covered
* Generous paid time off and work\-life balance policies
* Paid parental leave to support new parents
* 401(k) retirement savings plan with company matching
* Flexible remote work environment with opportunities to work from company offices near Seattle, WA, Detroit, MI, or New York, NY
* Opportunities for professional growth and development in a fast\-growing fintech startup
 Equal Opportunity
 Tomo is an equal opportunity employer committed to fostering an inclusive environment for all employees. We celebrate diversity and are dedicated to creating a workplace where everyone feels valued, respected, and empowered to contribute their best. We do not discriminate based on race, ethnicity, gender, sexual orientation, age, disability, or any other protected characteristic. All qualified applicants will receive consideration for employment without regard to these factors.</t>
        </is>
      </c>
    </row>
    <row r="87">
      <c r="A87" t="inlineStr">
        <is>
          <t>li-4373634577</t>
        </is>
      </c>
      <c r="B87" t="inlineStr">
        <is>
          <t>Software Engineer</t>
        </is>
      </c>
      <c r="C87" t="inlineStr">
        <is>
          <t>Randstad Digital Americas</t>
        </is>
      </c>
      <c r="D87" t="inlineStr">
        <is>
          <t>linkedin</t>
        </is>
      </c>
      <c r="E87" t="inlineStr"/>
      <c r="F87" t="inlineStr"/>
      <c r="G87" t="inlineStr">
        <is>
          <t>Charlotte, NC</t>
        </is>
      </c>
      <c r="H87" t="inlineStr"/>
      <c r="I87"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Charlotte, North Carolina
 job type: Contract
 salary: $48\.59 \- 53\.59 per hour
 work hours: 8am to 5pm
 education: Bachelors
**Responsibilities**
 you may: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**Qualifications**
 Required Qualifications: 4\+ years of Software Engineering experience, or equivalent demonstrated through one or a combination of the following: work or consulting experience, training, military experience, education.
**Additional Skills**
 DevOPS \- GithubActions \+ Harness
 GenAI, AgenticAI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8">
      <c r="A88" t="inlineStr">
        <is>
          <t>li-4366339298</t>
        </is>
      </c>
      <c r="B88" t="inlineStr">
        <is>
          <t>Senior Software Engineer - CTJ - Poly</t>
        </is>
      </c>
      <c r="C88" t="inlineStr">
        <is>
          <t>Microsoft</t>
        </is>
      </c>
      <c r="D88" t="inlineStr">
        <is>
          <t>linkedin</t>
        </is>
      </c>
      <c r="E88" t="inlineStr"/>
      <c r="F88" t="inlineStr"/>
      <c r="G88" t="inlineStr">
        <is>
          <t>Redmond, WA</t>
        </is>
      </c>
      <c r="H88" t="inlineStr"/>
      <c r="I88" t="inlineStr">
        <is>
          <t>**Overview**
 Microsoft has an exciting opportunity for a
 **Senior Software Engineer** 
 in the Cloud\+Artificial intelligence (AI) Silver Team. This team will be responsible for deploying and operating services within an Air\-Gapped environment.
 In this role, as a Senior Software Engineer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
*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 issues to appropriate owners.
* Drives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 Drives efforts to collect, classify, and analyze data on a range of metrics (e.g., health of the system, where bugs might be occurring). Drives the refinement of products through data analytics and makes informed decisions in engineering products through data integration.
*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 Defines and develops standardized, repeatable, scalable solutions to guarantee quality.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Experience working on large\-scale distributed services with on\-call responsibilities.
* Ability to build and influence broadly towards common goals and priorities.
* Ownership for end\-to\-end project lifecycle with solid project management.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9">
      <c r="A89" t="inlineStr">
        <is>
          <t>li-4367916579</t>
        </is>
      </c>
      <c r="B89" t="inlineStr">
        <is>
          <t>Senior Software Engineer</t>
        </is>
      </c>
      <c r="C89" t="inlineStr">
        <is>
          <t>Microsoft</t>
        </is>
      </c>
      <c r="D89" t="inlineStr">
        <is>
          <t>linkedin</t>
        </is>
      </c>
      <c r="E89" t="inlineStr"/>
      <c r="F89" t="inlineStr"/>
      <c r="G89" t="inlineStr">
        <is>
          <t>Redmond, WA</t>
        </is>
      </c>
      <c r="H89" t="inlineStr"/>
      <c r="I89" t="inlineStr">
        <is>
          <t>**Overview**
 In an era of unprecedented speed of AI advances, new techniques are needed to build software that leverage the latest AI capabilities. The AI Systems team develops solutions that help traditional computer systems work with new AI capabilities. The team works with product and service teams to apply these solutions across Experiences \&amp; Devices (E\&amp;D). We tackle some of the most critical AI challenges helping Microsoft’s products and services become smarter, more secure, efficient, and delightful.
 As a
 **Senior Software Engineer** 
 in the AI Systems team, you will be formulating design patterns and algorithms to solve novel problems in the AI transformation, creating prototypes to demonstrate new scenarios, architecting solutions to integrate with existing products and services, and help deliver new AI enabled experiences in product and services across E\&amp;D. You will work with teams spanning Windows, Office, SharePoint, OneDrive, Exchange, Teams, Edge, and more. This role offers opportunities to collaborate with technical leaders across Microsoft, directly influencing AI decisions that shape the future of our products. You will sharpen your AI expertise as we refine, improve, and scale Microsoft’s innovations.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Innovating and testing new approaches or novel theoretical/practical designs leveraging AI capabilities
* Working with code base across all partner teams to build prototypes demonstrating new experiences using our innovation
* Work with partner teams to align scenarios and technical direction with business goals
* Participate/lead v\-teams to develop and execute engineering plans
* Write extensible, maintainable, well\-tested, secure, and performant code
* Use debugging tools to validate assumptions and improve quality.
* Analyze and resolve performance bottlenecks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Bachelor's Degree in Computer Science or related technical field AND 6\+ years technical engineering experience with coding in languages including, but not limited to, C, C\+\+, C\#, Java, JavaScript, or Python
* OR equivalent experience.
* Proven ability to independently drive changes with cross\-team dependencies and ambiguous business requirements.
* Excellent communication and documentation skills.
* Demonstrated understanding of agent\-based systems, distributed computing, or autonomous software design.
* Familiarity with AI/ML concepts and integration into agent workflows.
* Experience in training/fine\-tuning AI models
* Experience contributing to and maintaining open\-source projects
* Experience with cloud\-native development and deployment (Azure, AWS, GCP).
* An intellectual curiosity and passion about learning new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0">
      <c r="A90" t="inlineStr">
        <is>
          <t>li-4376313481</t>
        </is>
      </c>
      <c r="B90" t="inlineStr">
        <is>
          <t>Software Developer</t>
        </is>
      </c>
      <c r="C90" t="inlineStr">
        <is>
          <t>TEKsystems</t>
        </is>
      </c>
      <c r="D90" t="inlineStr">
        <is>
          <t>linkedin</t>
        </is>
      </c>
      <c r="E90" t="inlineStr"/>
      <c r="F90" t="inlineStr"/>
      <c r="G90" t="inlineStr">
        <is>
          <t>Fort George G. Meade, MD</t>
        </is>
      </c>
      <c r="H90" t="inlineStr"/>
      <c r="I90" t="inlineStr">
        <is>
          <t>Description
 Kibana Software Developer\- This role is responsible for making sure the Front End (Kibana) is communicating to the Back End.
 Clearance Level: Secret Clearance/ Interim Secret Eligibility
 Top Skills
* UNIX command line platform
* Kafka Integration
* CI/CD build/deployment pipelines using Jenkins, Artifactory, Kubernetes, Docker, Ansible and Bitbucket.
* Elasticsearch/Logstash
* Kibana
 Primary Responsibilities
* Design, develop, document, test and deploy software written in Python, JavaScript, Java and SQL.
* Create Kibana visualizations and dashboards, including using machine learning capabilities and React.
* Develop Kafka system integrations between Elasticsearch/Logstash and other systems.
* Develop AI/ML Pilot solutions
* Develop Predictive Analytics solutions
* Develop robotic process automation (RPA) bots.
* Deploy, configure, test, troubleshoot, and maintain updates/upgrades of Kafka and Elastic clusters and environments.
* Develop automated tests using Ansible, Selenium, JMeter, Junit and/or other applicable tools.
* Develop automated CI/CD build/deployment pipelines using Jenkins, Artifactory, Kubernetes, Docker, Ansible and Bitbucket.
* Collaborate with an Agile team, attend daily scrums and demonstrate working software while collaborating with a geographically distributed (remote) team.
* Troubleshoot and resolve installation, infrastructure and system issues.
* Independently report, monitor, and mitigate technical risks.
* Communicate and collaborate with other team members to ensure successful completion of project objectives.
 Job Type \&amp; Location
 This is a Contract position based out of Fort Meade, MD.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Fort Meade,MD. Application Deadline This position is anticipated to close on Mar 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91">
      <c r="A91" t="inlineStr">
        <is>
          <t>li-4376304609</t>
        </is>
      </c>
      <c r="B91" t="inlineStr">
        <is>
          <t>Principal Software Engineer - Electrophysiology</t>
        </is>
      </c>
      <c r="C91" t="inlineStr">
        <is>
          <t>Boston Scientific</t>
        </is>
      </c>
      <c r="D91" t="inlineStr">
        <is>
          <t>linkedin</t>
        </is>
      </c>
      <c r="E91" t="inlineStr"/>
      <c r="F91" t="inlineStr"/>
      <c r="G91" t="inlineStr">
        <is>
          <t>Cambridge, MA</t>
        </is>
      </c>
      <c r="H91" t="inlineStr"/>
      <c r="I91"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We are looking for a Principal Software Engineer with a strong computer science background to join our exciting and fast\-paced development team. Besides graphics and algorithms, you would be involved in all parts of the code base.
 The Opal Mapping system centers around a real\-time virtual world of the human heart. As a physician probes the heart with a catheter, the system generates an accurate anatomical model of the chamber. High\-performance rendering and algorithmic techniques are vital to creating a stunning view and providing the physician with instant feedback.
 Our tools include MATLAB, C\+\+, Qt, OpenGL, GLSL, OpenCL, and Linux.
**Key Responsibilities**
* Architect, design, develop and release innovative high performance medical device software.
* Working closely with our concepts team to integrate new algorithms developed in Matlab into our code base in C\+\+.
* Provide technical leadership to the team in software architecture and best in class software development methodologies and practices.
* Solve difficult problems and always strive to make things better and achieve engineering excellence.
* Partner with other teams including marketing, systems engineering, QA, hardware and regulatory to understand requirements and bring the best solutions forward.
**Requirements**
* A strong CS background, preferably BS/MS in Computer Science or equivalent experience.
* At least 8 years of software engineering experience, having delivered successful mission critical products.
* Broad and deep technology experience including networking and cyber\-security.
* Expertise in C\+\+ (C\+\+11 or newer)
* Experience interpreting MATLAB code.
* Experience with Qt (Qt Widgets or Qt Quick/QML)
* Expertise in Linux, networking and cyber\-security.
* Strong experience in systems development.
* Strong in solving complex problems and demonstrated ability to adapt, proactive and a positive influence to the rest of the team.
* Excellent communication skills with the ability to adapt to the target audience.
* Expertise in developing software using Scrum methodology.
* In all actions, demonstrates a primary commitment to patient safety and product quality by maintaining compliance to the Quality Policy and all other documented quality processes and procedures.
**Preferred Qualifications**
* Strong experience with architecting, designing and implementing medical device software.
* Experience writing SW for embedded systems that interface with sensors.
* Strong experience with development of network protocols (TCP/IP, HTTP, OpenSSL) and cybersecurity.
**Working Conditions**
* Hybrid Work Mode
* Travel 0\-10%
**About Our Product, Opal Mapping System**
 http://www.bostonscientific.com/en\-US/medical\-specialties/electrophysiology/cardiac\-mapping\-system.html
**Requisition ID: 625219**
**Minimum Salary: $ 106800**
**Maximum Salary: $ 202900**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92">
      <c r="A92" t="inlineStr">
        <is>
          <t>li-4271149975</t>
        </is>
      </c>
      <c r="B92" t="inlineStr">
        <is>
          <t>Distinguished Software Engineer - NVLink Fusion Software, Distinguished Software Engineer - NVLink Fusion Software</t>
        </is>
      </c>
      <c r="C92" t="inlineStr">
        <is>
          <t>NVIDIA</t>
        </is>
      </c>
      <c r="D92" t="inlineStr">
        <is>
          <t>linkedin</t>
        </is>
      </c>
      <c r="E92" t="inlineStr"/>
      <c r="F92" t="inlineStr"/>
      <c r="G92" t="inlineStr">
        <is>
          <t>Boulder, CO</t>
        </is>
      </c>
      <c r="H92" t="inlineStr"/>
      <c r="I9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NVIDIA has a rapidly expanding ecosystem of data center platform \&amp; node designs. From single node HGX/DGX systems all the way up to large multi\-node NVLink domain rack architectures. These designs have become core to NVIDIA's rapidly growing enterprise and cloud provider businesses. Each bringing together the full power of NVIDIA GPUs, NVIDIA NVLink, NVIDIA InfiniBand networking, NVIDIA Grace CPUs, and a fully optimized NVIDIA AI and HPC software stack. NVIDIA NVLink Fusion will enable industry\-leading AI scale\-up and scale\-out performance with NVIDIA technology plus semi\-custom ASICs or CPUs. NVIDIA’s robust partner ecosystem enables hyperscalers to build an ASIC hybrid AI infrastructure with NVIDIA NVLink, rack\-scale architecture. We're searching for a highly motived, technical architect to champion work across NVIDIA's Software, Architecture, Networking and Systems engineering teams in defining the architecture for NVLink Fusion. Ensuring we have seamless integration of partner ASICs/CPUs into our rack\-scale architecture. Establishing the necessary abstraction layers, guidance/documentation and SW engagement models to make both NVIDIA \&amp; its partners successful.
**What You’ll Be Doing**
* Define NVLink Fusion architecture, leveraging industry leading NVIDIA scale\-up and scale out technologies as a foundation
* Establish appropriate software abstraction layers \&amp; reference software required for NVLink Fusion partners to extend NVIDIA's rack\-scale architecture.
* Work directly with major customers to understand their requirements and work to align their roadmap with NVIDIA’s roadmap.
* Work with business partners and vendors to shape their products to meet NVIDIA’s needs.
* Mentor architects and engineering teams to grow them into future leaders.
* Make key technical decisions even when faced with ambiguity, and mitigate execution risks by following left shift strategy to accelerate time to market.
**What We Need To See**
* BS or MS degree in Computer Engineering, Computer Science, or related degree or equivalent experience.
* 16\+ years in the area of System architecture and design
* Deep experience in designing architecture for scalable and performant server systems, particularly at the SW/HW interface.
* Previous experience working with complex system software for accelerators such as GPUs, DPUs, or FPGAs
* Expertise in out\-of\-band and in\-band management architectures.
* Knowledge of device management protocols such as MCTP, PLDM and RDE.
* Knowledge of system management protocols such as Redfish and IPMI.
* Demonstrable experience in implementing left shift strategy to de\-risk program execution. Excellent written and verbal communication skills.
**Ways To Stand Out From The Crowd**
* Knowledge of cloud and cluster level deployment and management systems.
* Participation and contributions in standards bodies such as OCP and DMTF.
* Familiarity with CXL, UCIE and other C2C technology architectures. Knowledge in storage and networking technologies.
 We are widely considered to be one of the technology world’s most desirable employers, and as a result have some of the most forward\-thinking and hardworking people in the world working for us. So if you're clever, creative, and driven, we'd love to have you join the team.
 Your base salary will be determined based on your location, experience, and the pay of employees in similar positions. The base salary range is 320,000 USD \- 488,750 USD.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JR2000295</t>
        </is>
      </c>
    </row>
    <row r="93">
      <c r="A93" t="inlineStr">
        <is>
          <t>li-4359488357</t>
        </is>
      </c>
      <c r="B93" t="inlineStr">
        <is>
          <t>Senior Software Engineer - CIAM and Fraud (Remote)</t>
        </is>
      </c>
      <c r="C93" t="inlineStr">
        <is>
          <t>First Citizens Bank</t>
        </is>
      </c>
      <c r="D93" t="inlineStr">
        <is>
          <t>linkedin</t>
        </is>
      </c>
      <c r="E93" t="inlineStr"/>
      <c r="F93" t="inlineStr"/>
      <c r="G93" t="inlineStr">
        <is>
          <t>Raleigh, NC</t>
        </is>
      </c>
      <c r="H93" t="inlineStr"/>
      <c r="I93"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OAuth 2\.0, OpenID Connect, SAML
* Experience of Cloud platforms (AWS, Azure, GCP)
* Experience of Okta CIAM preferred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94">
      <c r="A94" t="inlineStr">
        <is>
          <t>li-4373755964</t>
        </is>
      </c>
      <c r="B94" t="inlineStr">
        <is>
          <t>Senior Software Engineer</t>
        </is>
      </c>
      <c r="C94" t="inlineStr">
        <is>
          <t>myGwork - LGBTQ+ Business Community</t>
        </is>
      </c>
      <c r="D94" t="inlineStr">
        <is>
          <t>linkedin</t>
        </is>
      </c>
      <c r="E94" t="inlineStr"/>
      <c r="F94" t="inlineStr"/>
      <c r="G94" t="inlineStr">
        <is>
          <t>Alpharetta, GA</t>
        </is>
      </c>
      <c r="H94" t="inlineStr"/>
      <c r="I94" t="inlineStr">
        <is>
          <t>**This job is with Fiserv, an inclusive employer and a member of myGwork – the largest global platform for the LGBTQ\+ business community. Please do not contact the recruiter directly.**
**Calling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Software Engineer
**About Your Role**
 At Fiserv, we are dedicated to transforming financial services technology to benefit our clients. As an Application Development \- Advisor I, you will join a vibrant team focused on creating innovative solutions that streamline financial transactions and ensure security. This role will involve designing, developing, and maintaining applications that meet the dynamic needs of our clients.
**What You'll Do**
* Lead the design, development, and implementation of software applications to support Fiserv's business initiatives.
* Work closely with cross\-functional teams to gather requirements and translate them into technical specifications.
* Perform coding, testing, and debugging of applications to ensure optimal performance and reliability.
* Mentor junior developers and provide technical guidance to ensure best practices.
**Experience You'll Need To Have**
* 10\+ years of software development engineering experience.
* 10\+ years of experience in an IBM Mainframe environment \- specifically with COBOL, JCL, VSAM, and working with IBM Mainframe ZOS toolsets.
* 10\+ years of experience in Job Scheduling (CA7\); IDCAMS, SyncSort; File\-Master; File Transmission (FTP/NDM); Endevor.
* 10\+ years of experience in Application Production Support, with the ability to provide 24x7 support for up to a week at a time.
* Bachelor's degree in computer science, Information Technology, Information Systems, or a related field (or foreign equivalent degree) or equivalent work experience.
**Experience That Would Be Great To Have**
* Experience in technical design writing and documentation
* Knowledge of Visa Base II format, MC IPM format, Amex and Discover format will be added advantage.
* Understanding of credit card authorization and settlement clearing format
**Important Information About This Role**
* This role is on\-site Monday through Friday. Fiserv considers in\-person collaboration to be an essential part of this role as in\-person office experiences help you with your overall onboarding experience and leads to stronger productivity.
* This is a full\-time, direct\-hire position, and no contract options for unsolicited agency submissions will be considered.
*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This role is not eligible to be performed in Colorado, California, District of Columbia, Hawaii, Illinois,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
 ]]\&gt;</t>
        </is>
      </c>
    </row>
    <row r="95">
      <c r="A95" t="inlineStr">
        <is>
          <t>li-4359624653</t>
        </is>
      </c>
      <c r="B95" t="inlineStr">
        <is>
          <t>Senior Software Engineer - CTJ - Poly</t>
        </is>
      </c>
      <c r="C95" t="inlineStr">
        <is>
          <t>Microsoft</t>
        </is>
      </c>
      <c r="D95" t="inlineStr">
        <is>
          <t>linkedin</t>
        </is>
      </c>
      <c r="E95" t="inlineStr"/>
      <c r="F95" t="inlineStr"/>
      <c r="G95" t="inlineStr">
        <is>
          <t>Reston, VA</t>
        </is>
      </c>
      <c r="H95" t="inlineStr"/>
      <c r="I95" t="inlineStr">
        <is>
          <t>**Overview**
 The Identity Silver team is looking for a strongly motivated and experienced candidate to assist in our resiliency and security efforts across a number of services to include in our Authorization, Credentials Management, and Security ecosystem.
 As a
 **Senior Software Engineer** 
 in Identity, working on our Authorization and Identity Security service set in multiple government clouds, you will be responsible for livesite, buildout, security, resiliency, and other efforts across a small number of services. This opportunity will allow you to develop skillsets in cloud native development, support the mission of our important US government customers, and develop strong resiliency and security first engineering skillsets. This position is hybrid and offers some flexibility based on current Microsoft RTO (Return to Office) and hybrid\-work guidelines.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commercial teams to identify active parity and security infrastructure gaps across multiple sovereign clouds.
* Address dependency gaps and come up with alternative means to ensure sovereign buildouts proceed at scale and pace.
* Mentor others in best security and resiliency practices across a variety of infrastructure.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li-4359448258</t>
        </is>
      </c>
      <c r="B96" t="inlineStr">
        <is>
          <t>Senior Software Engineer - CIAM and Fraud (Remote)</t>
        </is>
      </c>
      <c r="C96" t="inlineStr">
        <is>
          <t>First Citizens Bank</t>
        </is>
      </c>
      <c r="D96" t="inlineStr">
        <is>
          <t>linkedin</t>
        </is>
      </c>
      <c r="E96" t="inlineStr"/>
      <c r="F96" t="inlineStr"/>
      <c r="G96" t="inlineStr">
        <is>
          <t>Arizona, United States</t>
        </is>
      </c>
      <c r="H96" t="inlineStr"/>
      <c r="I96"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OAuth 2\.0, OpenID Connect, SAML
* Experience of Cloud platforms (AWS, Azure, GCP)
* Experience of Okta CIAM preferred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97">
      <c r="A97" t="inlineStr">
        <is>
          <t>li-4216498320</t>
        </is>
      </c>
      <c r="B97" t="inlineStr">
        <is>
          <t>Lead Product Software Engineer | DevOps</t>
        </is>
      </c>
      <c r="C97" t="inlineStr">
        <is>
          <t>Wolters Kluwer</t>
        </is>
      </c>
      <c r="D97" t="inlineStr">
        <is>
          <t>linkedin</t>
        </is>
      </c>
      <c r="E97" t="inlineStr"/>
      <c r="F97" t="inlineStr"/>
      <c r="G97" t="inlineStr">
        <is>
          <t>St Cloud, MN</t>
        </is>
      </c>
      <c r="H97" t="inlineStr"/>
      <c r="I97" t="inlineStr">
        <is>
          <t>***NOTE: This is a hybrid position requiring 8 days per month at an approved Wolters Kluwer location.***
 As a
 **Lead DevOps Engineer** 
 , you will play a pivotal role in architecting and implementing scalable, resilient infrastructure and CI/CD pipelines that support the full software development lifecycle. You will collaborate closely with Wolters Kluwer Product Teams to integrate DevOps best practices into agile development workflows, driving continuous integration, automated testing, and rapid deployment. Your work will directly impact system reliability, performance, and maintainability, ensuring our applications meet high standards of software quality and operational excellence. Partnering with application development teams, you will help bridge the gap between development and operations, enabling seamless delivery of microservices, containerized applications, and cloud\-native solutions. You will also mentor a team of DevOps engineers, fostering a culture of engineering rigor, code\-as\-infrastructure, and continuous learning through peer reviews, technical workshops, and hands\-on guidance
**Responsibilities:**
* Engineer and automate scalable, secure Cloud Infrastructure in Azure and AWS using Infrastructure as Code (IaC) tools such as Terraform, Ansible, and Jenkins, applying software development best practices like modularization, version control, and testing.
* Lead the engineering adoption of IaC across Service Operations and Delivery, mentoring teams on reusable code patterns, configuration management, and DevOps pipelines.
* Design and implement modern compute architectures, including containerized and serverless solutions (AKS, EKS, Docker, Azure Functions), with a focus on scalability, maintainability, and performance.
* Develop and maintain CI/CD pipelines as software products, ensuring robust testing, artifact management, and deployment orchestration across multiple environments.
* Architect and support Cloud Native solutions, aligning with software engineering principles such as abstraction, decoupling, and observability.
* Build observability into systems using telemetry, logging, and tracing to support proactive issue detection and root cause analysis.
* Ensure infrastructure and automation solutions align with enterprise DevOps and Security engineering standards, contributing to architectural governance and compliance.
* Mentor DevOps engineers with a focus on software craftsmanship, clean code, and continuous improvement.
* Prototype and evaluate emerging technologies, applying engineering rigor to assess feasibility, performance, and integration potential.
* Apply Site Reliability Engineering (SRE) principles such as error budgets, SLIs/SLOs, capacity planning, and incident response to improve system reliability and reduce operational toil.
* Contribute to architectural design and engineering standards for infrastructure and platform services.
* Deploy and maintain critical applications, ensuring high availability, fault tolerance, and performance tuning.
* Modernize legacy systems through re\-architecture, refactoring, and cloud\-native transformation strategies.
* Identify and address engineering inefficiencies, proposing automation and architectural improvements.
* Lead post\-incident reviews, contributing to blameless root cause analysis and systemic fixes.
* Promote knowledge sharing of automation and DevOps engineering practices across teams and departments.
* Participate in on\-call rotations, applying engineering discipline to improve alert quality, reduce noise, and automate remediation
**Qualifications:**
* Bachelor's Engineering and a Master's degree in Computer Science or a related field
* Minimum 8 years of software related experience required, with a mixture of Site Reliability, DevOps, or Release Engineering experience with Software Engineering experience in backend services, middleware or data systems
* Strong background in software development, with experience in languages such as Python, .NET or Java.
* Possess recent experience with Cloud infrastructure (Azure and AWS)
* Proficient in Shell Scripting Languages (PowerShell \&amp; Bash).
* Understanding of the core Azure/AWS services (PaaS, IaaS, SaaS).
* Proficiency with automation and source configuration management tools such as Git
* Experience with infrastructure as code tools such as Terraform or CloudFormation.
* Experience with continuous integration and deployment tools such as Azure DevOps, Jenkins or Travis CI.
* Able to clearly explain technical projects to diverse staff to gain their support.
* Strong attention to detail with excellent problem\-solving skills.
* Experience and deep commitment to the transformation to a DevOps culture focusing on continuous integration – full lifecycle of building, automated and performance testing, and automating deployment.
* Experience building platforms for Observability and defining standard operating procedures
* Experience with diagnostic tools and script automation of Windows and Linux
**Preferred Experience:**
* Experience maintaining and deploying highly available, fault\-tolerant cloud\-native systems at scale using Infrastructure as Code automation and CI/CD pipelines
 Benefits:
 A comprehensive benefits package that begins your first day of employment.
 **Additional Information:** 
 Wolters Kluwer offers great benefits and programs to help meet your needs and balance your work and personal life, including
 **Medical, Dental, \&amp; Vision Plans, 401(k), FSA/HSA, Commuter Benefits, Tuition Assistance Plan, Vacation and Sick Time, and Paid Parental Leave** 
 . Full details of our benefits are available \- https://www.mywolterskluwerbenefits.com/index.html
 Diversity Matters
 Wolters Kluwer strives for an inclusive company culture in which we attract, develop, and retain diverse talent to achieve our strategy. As a global company, having a diverse workforce is of the utmost importance. We've been recognized by employees as a European Diversity Leader in the Financial Times, as one of Forbes America’s Best Employers for Diversity in 2022, 2021 and 2020 and as one of Forbes America’s Best Employers for Women in 2021, 2020, 2019 and 2018\. In 2020, we placed third in the Female Board Index, and were recognized by the European Women on Boards Gender Diversity Index. Wolters Kluwer and all of our subsidiaries, divisions and customer/departments is an Equal Opportunity / Affirmative Action employer.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$116,400\.00 \- $204,100\.00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98">
      <c r="A98" t="inlineStr">
        <is>
          <t>li-4328069977</t>
        </is>
      </c>
      <c r="B98" t="inlineStr">
        <is>
          <t>Forward Deployed Software Engineer- Palantir Foundry- Senior Manager</t>
        </is>
      </c>
      <c r="C98" t="inlineStr">
        <is>
          <t>PwC</t>
        </is>
      </c>
      <c r="D98" t="inlineStr">
        <is>
          <t>linkedin</t>
        </is>
      </c>
      <c r="E98" t="inlineStr"/>
      <c r="F98" t="inlineStr"/>
      <c r="G98" t="inlineStr">
        <is>
          <t>Indianapolis, IN</t>
        </is>
      </c>
      <c r="H98" t="inlineStr"/>
      <c r="I9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9">
      <c r="A99" t="inlineStr">
        <is>
          <t>li-4328118698</t>
        </is>
      </c>
      <c r="B99" t="inlineStr">
        <is>
          <t>Forward Deployed Software Engineer- Palantir Foundry- Senior Manager</t>
        </is>
      </c>
      <c r="C99" t="inlineStr">
        <is>
          <t>PwC</t>
        </is>
      </c>
      <c r="D99" t="inlineStr">
        <is>
          <t>linkedin</t>
        </is>
      </c>
      <c r="E99" t="inlineStr"/>
      <c r="F99" t="inlineStr"/>
      <c r="G99" t="inlineStr">
        <is>
          <t>Montpelier, VT</t>
        </is>
      </c>
      <c r="H99" t="inlineStr"/>
      <c r="I9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0">
      <c r="A100" t="inlineStr">
        <is>
          <t>li-4328157428</t>
        </is>
      </c>
      <c r="B100" t="inlineStr">
        <is>
          <t>Forward Deployed Software Engineer- Palantir Foundry- Senior Manager</t>
        </is>
      </c>
      <c r="C100" t="inlineStr">
        <is>
          <t>PwC</t>
        </is>
      </c>
      <c r="D100" t="inlineStr">
        <is>
          <t>linkedin</t>
        </is>
      </c>
      <c r="E100" t="inlineStr"/>
      <c r="F100" t="inlineStr"/>
      <c r="G100" t="inlineStr">
        <is>
          <t>Tulsa, OK</t>
        </is>
      </c>
      <c r="H100" t="inlineStr"/>
      <c r="I10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1">
      <c r="A101" t="inlineStr">
        <is>
          <t>li-4328320036</t>
        </is>
      </c>
      <c r="B101" t="inlineStr">
        <is>
          <t>Forward Deployed Software Engineer- Palantir Foundry- Senior Manager</t>
        </is>
      </c>
      <c r="C101" t="inlineStr">
        <is>
          <t>PwC</t>
        </is>
      </c>
      <c r="D101" t="inlineStr">
        <is>
          <t>linkedin</t>
        </is>
      </c>
      <c r="E101" t="inlineStr"/>
      <c r="F101" t="inlineStr"/>
      <c r="G101" t="inlineStr">
        <is>
          <t>Salt Lake City, UT</t>
        </is>
      </c>
      <c r="H101" t="inlineStr"/>
      <c r="I10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2">
      <c r="A102" t="inlineStr">
        <is>
          <t>li-4328200373</t>
        </is>
      </c>
      <c r="B102" t="inlineStr">
        <is>
          <t>Forward Deployed Software Engineer- Palantir Foundry- Senior Manager</t>
        </is>
      </c>
      <c r="C102" t="inlineStr">
        <is>
          <t>PwC</t>
        </is>
      </c>
      <c r="D102" t="inlineStr">
        <is>
          <t>linkedin</t>
        </is>
      </c>
      <c r="E102" t="inlineStr"/>
      <c r="F102" t="inlineStr"/>
      <c r="G102" t="inlineStr">
        <is>
          <t>Cincinnati, OH</t>
        </is>
      </c>
      <c r="H102" t="inlineStr"/>
      <c r="I10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3">
      <c r="A103" t="inlineStr">
        <is>
          <t>li-4328200380</t>
        </is>
      </c>
      <c r="B103" t="inlineStr">
        <is>
          <t>Forward Deployed Software Engineer- Palantir Foundry- Senior Manager</t>
        </is>
      </c>
      <c r="C103" t="inlineStr">
        <is>
          <t>PwC</t>
        </is>
      </c>
      <c r="D103" t="inlineStr">
        <is>
          <t>linkedin</t>
        </is>
      </c>
      <c r="E103" t="inlineStr"/>
      <c r="F103" t="inlineStr"/>
      <c r="G103" t="inlineStr">
        <is>
          <t>New Orleans, LA</t>
        </is>
      </c>
      <c r="H103" t="inlineStr"/>
      <c r="I10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4">
      <c r="A104" t="inlineStr">
        <is>
          <t>li-4328149787</t>
        </is>
      </c>
      <c r="B104" t="inlineStr">
        <is>
          <t>Forward Deployed Software Engineer- Palantir Foundry- Senior Manager</t>
        </is>
      </c>
      <c r="C104" t="inlineStr">
        <is>
          <t>PwC</t>
        </is>
      </c>
      <c r="D104" t="inlineStr">
        <is>
          <t>linkedin</t>
        </is>
      </c>
      <c r="E104" t="inlineStr"/>
      <c r="F104" t="inlineStr"/>
      <c r="G104" t="inlineStr">
        <is>
          <t>Cleveland, OH</t>
        </is>
      </c>
      <c r="H104" t="inlineStr"/>
      <c r="I10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5">
      <c r="A105" t="inlineStr">
        <is>
          <t>li-4328280142</t>
        </is>
      </c>
      <c r="B105" t="inlineStr">
        <is>
          <t>Forward Deployed Software Engineer- Palantir Foundry- Senior Manager</t>
        </is>
      </c>
      <c r="C105" t="inlineStr">
        <is>
          <t>PwC</t>
        </is>
      </c>
      <c r="D105" t="inlineStr">
        <is>
          <t>linkedin</t>
        </is>
      </c>
      <c r="E105" t="inlineStr"/>
      <c r="F105" t="inlineStr"/>
      <c r="G105" t="inlineStr">
        <is>
          <t>Pittsburgh, PA</t>
        </is>
      </c>
      <c r="H105" t="inlineStr"/>
      <c r="I10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6">
      <c r="A106" t="inlineStr">
        <is>
          <t>li-4328256211</t>
        </is>
      </c>
      <c r="B106" t="inlineStr">
        <is>
          <t>Forward Deployed Software Engineer- Palantir Foundry- Senior Manager</t>
        </is>
      </c>
      <c r="C106" t="inlineStr">
        <is>
          <t>PwC</t>
        </is>
      </c>
      <c r="D106" t="inlineStr">
        <is>
          <t>linkedin</t>
        </is>
      </c>
      <c r="E106" t="inlineStr"/>
      <c r="F106" t="inlineStr"/>
      <c r="G106" t="inlineStr">
        <is>
          <t>Des Moines, IA</t>
        </is>
      </c>
      <c r="H106" t="inlineStr"/>
      <c r="I10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7">
      <c r="A107" t="inlineStr">
        <is>
          <t>li-4328180532</t>
        </is>
      </c>
      <c r="B107" t="inlineStr">
        <is>
          <t>Forward Deployed Software Engineer- Palantir Foundry- Senior Manager</t>
        </is>
      </c>
      <c r="C107" t="inlineStr">
        <is>
          <t>PwC</t>
        </is>
      </c>
      <c r="D107" t="inlineStr">
        <is>
          <t>linkedin</t>
        </is>
      </c>
      <c r="E107" t="inlineStr"/>
      <c r="F107" t="inlineStr"/>
      <c r="G107" t="inlineStr">
        <is>
          <t>Oklahoma City, OK</t>
        </is>
      </c>
      <c r="H107" t="inlineStr"/>
      <c r="I10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Senior Manager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8">
      <c r="A108" t="inlineStr">
        <is>
          <t>li-4376333541</t>
        </is>
      </c>
      <c r="B108" t="inlineStr">
        <is>
          <t>Software Developer/Data Engineer - Entry Level</t>
        </is>
      </c>
      <c r="C108" t="inlineStr">
        <is>
          <t>Lensa</t>
        </is>
      </c>
      <c r="D108" t="inlineStr">
        <is>
          <t>linkedin</t>
        </is>
      </c>
      <c r="E108" t="inlineStr"/>
      <c r="F108" t="inlineStr"/>
      <c r="G108" t="inlineStr">
        <is>
          <t>Nashville, TN</t>
        </is>
      </c>
      <c r="H108" t="inlineStr"/>
      <c r="I10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09">
      <c r="A109" t="inlineStr">
        <is>
          <t>li-4373779150</t>
        </is>
      </c>
      <c r="B109" t="inlineStr">
        <is>
          <t>R - Programming Software Engineer</t>
        </is>
      </c>
      <c r="C109" t="inlineStr">
        <is>
          <t>ChatGPT Jobs</t>
        </is>
      </c>
      <c r="D109" t="inlineStr">
        <is>
          <t>linkedin</t>
        </is>
      </c>
      <c r="E109" t="inlineStr"/>
      <c r="F109" t="inlineStr"/>
      <c r="G109" t="inlineStr">
        <is>
          <t>United, WV</t>
        </is>
      </c>
      <c r="H109" t="inlineStr"/>
      <c r="I109" t="inlineStr">
        <is>
          <t>**Job Description**
 R \- Programming Software Engineer
**Company:** 
 YO IT CONSULTING
**Location:** 
 Charleston, WV
* Remote
**Type:** 
 Contractor
**Salary:** 
 $106K \- $127\.20K/yr (Estimated pay)
**Posted:** 
 2 hours ago
**Job Description**
* Role: Remote, hourly paid R Engineer
* Responsibilities:
+ Review AI\-generated responses and generate high\-quality R and data\-analysis\-focused content.
+ Evaluate the reasoning quality and step\-by\-step problem\-solving behind each solution.
+ Assess solutions for accuracy, clarity, and adherence to the prompt.
+ Identify errors in statistical methodology or data\-wrangling workflows.
+ Fact\-check analytical results.
+ Write expert\-level explanations and model solutions that demonstrate correct use of R.
+ Rate and compare multiple AI responses based on correctness and reasoning quality.
 Your Profile
* 2\+ years of hands\-on experience using R for data analysis, statistics, or data science work.
* Strong proficiency in R programming, including data wrangling, functional programming patterns, and writing reusable functions or packages.
* Solid grounding in applied statistics, including regression, inference, and model validation, with practical experience implementing these methods in R.
* Experience building end\-to\-end analyses in R that include data cleaning, exploratory analysis, modeling, and visualization.
* Familiarity with common R ecosystems such as tidyverse, data.table, and ggplot2\.
* Professional experience in a data\-focused role such as data scientist, statistician, quantitative analyst, or similar.
* Minimum Bachelor's degree in Statistics, Mathematics, Computer Science, or a closely related quantitative field.
* Significant experience using large language models (LLMs) to assist with coding, analysis design, and code review in R.
* Excellent English writing skills.
* Previous experience with AI data training or model evaluation is strongly preferred, and Minimum C1 English proficiency is required.
 Key Responsibilities
* Develop AI Training Content
* Optimize AI Performance
* Ensure Model Integrity</t>
        </is>
      </c>
    </row>
    <row r="110">
      <c r="A110" t="inlineStr">
        <is>
          <t>li-4373781160</t>
        </is>
      </c>
      <c r="B110" t="inlineStr">
        <is>
          <t>Software Engineer</t>
        </is>
      </c>
      <c r="C110" t="inlineStr">
        <is>
          <t>ChatGPT Jobs</t>
        </is>
      </c>
      <c r="D110" t="inlineStr">
        <is>
          <t>linkedin</t>
        </is>
      </c>
      <c r="E110" t="inlineStr"/>
      <c r="F110" t="inlineStr"/>
      <c r="G110" t="inlineStr">
        <is>
          <t>Newark, NJ</t>
        </is>
      </c>
      <c r="H110" t="inlineStr"/>
      <c r="I110" t="inlineStr">
        <is>
          <t>**Job Description**
 Machine Learning Engineer / AI Engineer
**Location:** 
 Newark, NJ, Onsite, Full Time
**Compensation:** 
 $120,000 – $180,000\+ (DOE)
**About the Role:** 
 Seeking a Machine Learning Engineer to design, build, and deploy intelligent systems for AI\-driven products.
 Key Responsibilities
* Design, train, and optimize machine learning models.
* Deploy models into scalable production environments.
* Build pipelines for data ingestion, preprocessing, and evaluation.
* Monitor model performance and iterate based on real\-world usage.
* Work with structured and unstructured data sets.
* Implement best practices for feature engineering and model selection.
* Build robust APIs and services around ML models.
* Partner with product and engineering teams to define requirements.
* Translate business objectives into ML strategies.
**Required Experience**
* 3\+ years of machine learning engineering experience.
* Proficiency in Python and ML frameworks (TensorFlow, PyTorch, Scikit\-learn).
* Experience deploying ML models into production environments.
* Understanding of statistics, probability, and optimization techniques.
* Experience with cloud platforms (AWS, GCP, or Azure).
* Experience building data pipelines and working with large datasets.
**Preferred Experience**
* Experience with NLP, LLMs, or generative AI.
* Experience fine\-tuning or integrating large language models.
* Background in AI product development within SaaS environments.
* Experience with MLOps and CI/CD pipelines.
* Experience working in fast\-paced startup environments.
**Email Resume:** 
 Joel@maiplacement.com
**Apply Online:** 
 Apply Here</t>
        </is>
      </c>
    </row>
    <row r="111">
      <c r="A111" t="inlineStr">
        <is>
          <t>li-4374975001</t>
        </is>
      </c>
      <c r="B111" t="inlineStr">
        <is>
          <t>New Grad Software Engineer</t>
        </is>
      </c>
      <c r="C111" t="inlineStr">
        <is>
          <t>Confido</t>
        </is>
      </c>
      <c r="D111" t="inlineStr">
        <is>
          <t>linkedin</t>
        </is>
      </c>
      <c r="E111" t="inlineStr"/>
      <c r="F111" t="inlineStr"/>
      <c r="G111" t="inlineStr">
        <is>
          <t>New York, NY</t>
        </is>
      </c>
      <c r="H111" t="inlineStr"/>
      <c r="I111" t="inlineStr">
        <is>
          <t>Confido is building an AI\-native operating system for brands that sell into brick\-and\-mortar retail. We’re building intuitive and powerful software paired with AI agents that help brands automate the 1000s of hours of tedious manual work that goes into scaling a brand in retail. Brands like Baskin Robbins and Olipop use our first products in accounting and planning to account for and plan for $Bs of retail revenue.
 We have millions of ARR, best\-in\-class growth, and best in class efficiency. We’ve recently raised a $15M Series A to build on the existing momentum.
 The Role
 Location: New York, NY (relocation assistance available)
 Compensation: $150,000 \+ Benefits \+ Meaningful Equity (.05% \- .1%).
 As a full\-stack engineer at Confido, you will spearhead the development of new features and systems from the ground up. This role offers the unique opportunity to shape the product landscape and make a tangible impact on our technology and our customers.
 You may be working on
* AI (computer vision \+ NLP) powered data processing of financial documents
* Scaling data collection capabilities across different sources
* Financial analytics and forecasting
* Interfacing directly with customers to understand their needs and craft intuitive UXs
* Create intuitive user interfaces that simplify complex data into actionable insights
* And more…
**Requirements**
* Strong technical background with at least 1 summer of engineering internship experience (Backend or ML /AI experience highly preferred)
* Scrappiness and interest in learning the ins and outs of the CPG industry
**Preferred Qualifications**
* Excellent communication skills with the ability to talk directly with customers and manage feature development
* Strong desire to work at an early\-stage startup and touch all parts of the product
* CS or equivalent degree</t>
        </is>
      </c>
    </row>
    <row r="112">
      <c r="A112" t="inlineStr">
        <is>
          <t>li-4376347203</t>
        </is>
      </c>
      <c r="B112" t="inlineStr">
        <is>
          <t>Software Engineer, Backend</t>
        </is>
      </c>
      <c r="C112" t="inlineStr">
        <is>
          <t>WisdomAI</t>
        </is>
      </c>
      <c r="D112" t="inlineStr">
        <is>
          <t>linkedin</t>
        </is>
      </c>
      <c r="E112" t="inlineStr"/>
      <c r="F112" t="inlineStr"/>
      <c r="G112" t="inlineStr">
        <is>
          <t>San Mateo, CA</t>
        </is>
      </c>
      <c r="H112" t="inlineStr"/>
      <c r="I112" t="inlineStr">
        <is>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Fortune100 companies as paying customers and still are early enough that you will get to define a lot of the product/engineering roadmap.
**Role**
 We are looking for a backend/infrastructure engineer to join our founding team. We are working on building ML and data pipelines, which can be efficient, secure and highly scalable by design.
**Job Responsibilities**
* Build large scale data pipelines to handle latency critical analytical workloads.
* Work with modern cloud infrastructure to build cost efficient and scalable systems.
* Work closely with customers and founders to define the product and engineering roadmap.
* Shape up the engineering culture and tech stack for the company.
**Qualifications**
* Experience working on large scale data pipelines.
* Bachelor's or Master's degree in Computer Science or related field.
* Experience working in startup/fast paced teams is highly desirable.</t>
        </is>
      </c>
    </row>
    <row r="113">
      <c r="A113" t="inlineStr">
        <is>
          <t>li-4376334818</t>
        </is>
      </c>
      <c r="B113" t="inlineStr">
        <is>
          <t>Software Engineer, Platforms</t>
        </is>
      </c>
      <c r="C113" t="inlineStr">
        <is>
          <t>WisdomAI</t>
        </is>
      </c>
      <c r="D113" t="inlineStr">
        <is>
          <t>linkedin</t>
        </is>
      </c>
      <c r="E113" t="inlineStr"/>
      <c r="F113" t="inlineStr"/>
      <c r="G113" t="inlineStr">
        <is>
          <t>San Mateo, CA</t>
        </is>
      </c>
      <c r="H113" t="inlineStr"/>
      <c r="I113" t="inlineStr">
        <is>
          <t>**About Wisdom**
 Simplicity drives clarity, but data has never been simple. At Wisdom, we're on a mission to radically simplify the way businesses interact with their data, democratizing insights so they can focus on making the best decisions while moving fast.
 We are guided by a set of values that define our culture and our product:
* Default to Action. Speed is our greatest advantage, and we value progress
* Customer\-Obsessed. Our main goal is to provide maximum customer value.
* One Team. We communicate openly, challenge ideas respectfully
**Role**
 We are looking for a backend/infrastructure engineer to join our founding team. We are working on building ML and data pipelines, which can be efficient, secure and highly scalable by design. As a platforms engineer you will be working on the deployments, observability and other aspects for scaling the production environment with customers.
**What You'll Do**
 Wisdom is at an inflection point, with strong product market fit and the traction of Fortune 100 customers. We are looking for an early\-stage engineer to build out the deployment, observability, and scaling of our growing production environments. You will work closely with experienced members of the team and customers to build systems to surpass the bottleneck of onboarding customers of any shape and size.
**Job Responsibilities**
* Owning the observability and deployments of Wisdom stack.
* Working with other software engineers and sales engineers to build the right processes and tooling for production change management.
* Work with modern cloud infrastructure to build cost efficient and scalable systems.
* Work closely with customers and founders to define the product and engineering roadmap.
* Shape up the engineering culture and tech stack for the company.
**Qualifications**
* Experience building highly available and scalable cloud infrastructure.
* Experience with Kubernetes/Terraform/Python.
* Bachelor's or Master's degree in Computer Science or related field.
* Experience working in startup/fast paced teams is highly desirable.</t>
        </is>
      </c>
    </row>
    <row r="114">
      <c r="A114" t="inlineStr">
        <is>
          <t>li-4376351110</t>
        </is>
      </c>
      <c r="B114" t="inlineStr">
        <is>
          <t>Software Engineer II</t>
        </is>
      </c>
      <c r="C114" t="inlineStr">
        <is>
          <t>Todyl</t>
        </is>
      </c>
      <c r="D114" t="inlineStr">
        <is>
          <t>linkedin</t>
        </is>
      </c>
      <c r="E114" t="inlineStr"/>
      <c r="F114" t="inlineStr"/>
      <c r="G114" t="inlineStr">
        <is>
          <t>Denver, CO</t>
        </is>
      </c>
      <c r="H114" t="inlineStr"/>
      <c r="I114" t="inlineStr">
        <is>
          <t>**Software Engineer II – 3rd Party Integration**
**About Us**
 At Todyl, we are on a mission to protect small and medium\-sized businesses from ever\-changing cyber threats. The Todyl platform fully integrates threat, risk, and compliance management to provide exceptional and affordable unified cybersecurity solutions to MSPs (Managed Service Providers) and their end customers.
 At the end of the day, we’re here to keep our partners and customers safe and help them manage the risks and comply with regulations. Protecting others requires a team that works together with trust and cares deeply about carrying out our mission.
**About The Role**
 We are looking for a talented, collaborative individual who is deeply knowledgeable in software engineering and enjoys working across the backend stack of the application. This will be an opportunity to design, build, and maintain scalable integrations with third\-party platforms and services. In this role, you will be responsible for developing reliable APIs, enabling secure data exchange, and ensuring seamless connectivity between our internal systems and external partner solutions. This role will focus on building robust service\-to\-service integrations, designing scalable APIs, managing external system dependencies, and ensuring secure, resilient data flows between internal applications and partner ecosystems.
 This role reports to the Sr. Manager of Engineering. Todyl has an in\-office team, and this role is for our Denver office.
**Key Responsibilities**
* Own the software development process from concept to deployment with some guidance from senior engineers.
* Design, develop, and maintain backend services and APIs to enable secure and scalable integrations with third\-party platforms and partner systems.
* Implement secure authentication and authorization mechanisms (e.g., OAuth, token\-based authentication, API keys) for external system communication.
* Develop reusable integration frameworks, connectors, and services to accelerate onboarding of new partners.
* Monitor, troubleshoot, and resolve integration issues such as API failures, latency, and data inconsistencies. Should be able to add alerts/monitoring to review the health of the integrations.
* Collaborate with product, platform, and partner engineering teams to define integration requirements and technical contracts.
* Write and maintain unit and integration tests to ensure service reliability and performance.
* Participate in code reviews and contribute to improving engineering standards and best practices.
* Maintain documentation for APIs, integration workflows, and operational procedures.
* Support deployment and production operations related to integration services as needed.
* Participate in bug fixes and incident response processes/ on call to support customers.
**Qualifications**
**Values Fit**
* Extreme ownership, particularly when things go wrong or aren’t completed on time.
* Intrinsic drive for growth; self\-motivated, always learning, and focused on raising the bar for self and team.
* Strong bias for action with impact; make tough decisions quickly, measure results, and iterate with clarity to move the mission forward.
* Comfort with ambiguity and change, embrace change and uncertainty as part of startup life.
* Humility, purpose over ego to acknowledge mistakes, learn from others, and embrace feedback while putting the mission first.
**Who You Are**
* 3\+ years of experience in backend software development.
* Experience building and consuming RESTful APIs and working with external service integrations.
* Proficiency in modern programming languages (Go, Java, Python, or similar) and strong software engineering fundamentals.
* Working knowledge of message queues (Kafka) or event\-driven integration patterns is a plus.
* Experience with cloud platforms (AWS, Azure, or GCP) and containerized deployments is preferred.
* Familiarity with relational and NoSQL databases.
* Understanding of API lifecycle management, versioning, and integration best practices.
* Familiarity with CI/CD pipelines and modern DevOps practices.
* Startup experience or comfort operating in fast\-paced, evolving environments is a plus.
* You are collaborative and communicate effectively with cross\-functional teams.
* You enjoy solving integration challenges and working with external systems and APIs.
* You have strong problem\-solving skills and attention to detail.
* You are eager to learn new technologies and integration patterns.
**What we offer**
* Medical, dental, and vision coverage to keep you and your family healthy
* Health savings and flexible spending accounts (HSA/FSA) to maximize your healthcare dollars
* Life insurance so you can protect what matters most
* Short\- and long\-term disability coverage for peace of mind
* Hybrid work schedule
* Flexible PTO plus 13 company holidays
* 401(k) to help you invest in your future
* Generous parental leave programs
 Compensation Range: $110K \- $180K</t>
        </is>
      </c>
    </row>
    <row r="115">
      <c r="A115" t="inlineStr">
        <is>
          <t>li-4376343353</t>
        </is>
      </c>
      <c r="B115" t="inlineStr">
        <is>
          <t>Senior Software Engineer, AI Web Products, Senior Software Engineer, AI Web Products</t>
        </is>
      </c>
      <c r="C115" t="inlineStr">
        <is>
          <t>NVIDIA</t>
        </is>
      </c>
      <c r="D115" t="inlineStr">
        <is>
          <t>linkedin</t>
        </is>
      </c>
      <c r="E115" t="inlineStr"/>
      <c r="F115" t="inlineStr"/>
      <c r="G115" t="inlineStr">
        <is>
          <t>Santa Clara, CA</t>
        </is>
      </c>
      <c r="H115" t="inlineStr"/>
      <c r="I11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16">
      <c r="A116" t="inlineStr">
        <is>
          <t>li-4376339225</t>
        </is>
      </c>
      <c r="B116" t="inlineStr">
        <is>
          <t>Software Developer - Entry Level</t>
        </is>
      </c>
      <c r="C116" t="inlineStr">
        <is>
          <t>Lensa</t>
        </is>
      </c>
      <c r="D116" t="inlineStr">
        <is>
          <t>linkedin</t>
        </is>
      </c>
      <c r="E116" t="inlineStr"/>
      <c r="F116" t="inlineStr"/>
      <c r="G116" t="inlineStr">
        <is>
          <t>Knoxville, TN</t>
        </is>
      </c>
      <c r="H116" t="inlineStr"/>
      <c r="I11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Tennessee, Knoxville
**Position ID:** 
 J0825\-1512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Knoxville, TN in a hybrid working model.
 Fall Application Period: Monday, August 25th, 2025 \- Friday, October 3rd, 2025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\#CGIEarlyCareers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$51,400 \- $84,800\.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17">
      <c r="A117" t="inlineStr">
        <is>
          <t>li-4376334819</t>
        </is>
      </c>
      <c r="B117" t="inlineStr">
        <is>
          <t>Software Engineer, Frontend/Fullstack</t>
        </is>
      </c>
      <c r="C117" t="inlineStr">
        <is>
          <t>WisdomAI</t>
        </is>
      </c>
      <c r="D117" t="inlineStr">
        <is>
          <t>linkedin</t>
        </is>
      </c>
      <c r="E117" t="inlineStr"/>
      <c r="F117" t="inlineStr"/>
      <c r="G117" t="inlineStr">
        <is>
          <t>San Mateo, CA</t>
        </is>
      </c>
      <c r="H117" t="inlineStr"/>
      <c r="I117" t="inlineStr">
        <is>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Fortune100 companies as paying customers and still are early enough that you will get to define a lot of the product/engineering roadmap.
**Role**
 We are looking for a product\-focused frontend/fullstack engineer to join our founding team. We are working on reimagning the AI first UX for data analytics, which involves defining novel UX paradigms and solving some complex visualization problems.
**Job Responsibilities**
* Build an engaging and modern UI for chat and complex visualizations.
* Defining and building UI/UX for analytical and agentic workflows.
* Work closely with customers and founders to define the product and engineering roadmap.
* Shape up the engineering culture and tech stack for the company.
**Qualifications**
* Obsessed with building seamless and intuitive user experiences.
* Experience building robust product features with node.js/react/typescript.
* Experience working in startup/fast paced teams is highly desirable.
* Bachelor's or Master's degree in Computer Science or related field.</t>
        </is>
      </c>
    </row>
    <row r="118">
      <c r="A118" t="inlineStr">
        <is>
          <t>li-4376333588</t>
        </is>
      </c>
      <c r="B118" t="inlineStr">
        <is>
          <t>Software Engineer - Early Career (USA)</t>
        </is>
      </c>
      <c r="C118" t="inlineStr">
        <is>
          <t>Lensa</t>
        </is>
      </c>
      <c r="D118" t="inlineStr">
        <is>
          <t>linkedin</t>
        </is>
      </c>
      <c r="E118" t="inlineStr"/>
      <c r="F118" t="inlineStr"/>
      <c r="G118" t="inlineStr">
        <is>
          <t>Stamford, CT</t>
        </is>
      </c>
      <c r="H118" t="inlineStr"/>
      <c r="I1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19">
      <c r="A119" t="inlineStr">
        <is>
          <t>li-4376322776</t>
        </is>
      </c>
      <c r="B119" t="inlineStr">
        <is>
          <t>Software Engineer II</t>
        </is>
      </c>
      <c r="C119" t="inlineStr">
        <is>
          <t>Microsoft</t>
        </is>
      </c>
      <c r="D119" t="inlineStr">
        <is>
          <t>linkedin</t>
        </is>
      </c>
      <c r="E119" t="inlineStr"/>
      <c r="F119" t="inlineStr"/>
      <c r="G119" t="inlineStr">
        <is>
          <t>Redmond, WA</t>
        </is>
      </c>
      <c r="H119" t="inlineStr"/>
      <c r="I119" t="inlineStr">
        <is>
          <t>**Overview**
 We are looking for a Software Engineer II to join Microsoft Specialized Clouds! Microsoft Specialized Clouds (MSC) is at the forefront of delivering industry\-leading cloud and edge capabilities for customers with advanced sovereignty, security, and compliance needs. Our mission is to build and operate platforms that enable Microsoft’s edge vision, serving regulated industries, governments, and organizations worldwide.
 As part of MSC, you’ll work with a globally distributed team of engineers, architects, program managers, product managers, UX researchers, and designers who thrive on solving complex challenges at scale. We design and deliver specialized workloads, adaptive cloud solutions, and sovereign environments that empower customers to achieve more—securely and efficiently.
 Microsoft Specialized Clouds engineering team is looking to hire talented and highly motivated Software Engineers to be on point for designing and implementing the next\-generation Specialized Clouds products and services for customers across the globe. This person will need to be solid technically, with in\-depth knowledge and experience in analyzing data and requirements, designing, developing and releasing services or products to end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solid technically, with in\-depth knowledge and experience in developing distributed cloud services and a good understanding of Operating Systems.
* Contribute as an individual contributor while fostering the team culture, helping plan and prioritize work and be accountable for world\-class cloud service.
* Design and implement scalable, highly available services
* Drive the implementation and execution to bring the vision to life.
* Apply agile methodologies with a focus on efficiency, iterating quickly and continuous learning.
* Write scalable, maintainable and efficient code following best practices.
**Qualifications**
**Required Qualifications:**
* Bachelor's Degree in Computer Science, or related technical discipline AND 2\+ years technical engineering experience with coding in languages including, but not limited to, C, C\+\+, C\#, Java, JavaScript, or Python
+ OR equivalent experience.
* 1\+ years of experience in programming, design and problem\-solving skills, with a solid bias for quality and engineering excellence
* 1\+ year of experience with modern software development and/or micro service technologies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Demonstrated ability to learn and grasps concepts quickly in a fast\-paced environment.
* Experience identifying and resolving technical issues in production and development environments.
* Hands\-on experience with Microsoft Azure or other cloud platforms.
* Practical programming experience in GoLang/C\# Languages with Data Structures and Algorithms.
* Experience with containers and Kubernetes.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0">
      <c r="A120" t="inlineStr">
        <is>
          <t>li-4376339547</t>
        </is>
      </c>
      <c r="B120" t="inlineStr">
        <is>
          <t>Senior Software Engineer, AI Web Products, Senior Software Engineer, AI Web Products</t>
        </is>
      </c>
      <c r="C120" t="inlineStr">
        <is>
          <t>NVIDIA</t>
        </is>
      </c>
      <c r="D120" t="inlineStr">
        <is>
          <t>linkedin</t>
        </is>
      </c>
      <c r="E120" t="inlineStr"/>
      <c r="F120" t="inlineStr"/>
      <c r="G120" t="inlineStr">
        <is>
          <t>Washington, United States</t>
        </is>
      </c>
      <c r="H120" t="inlineStr"/>
      <c r="I12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21">
      <c r="A121" t="inlineStr">
        <is>
          <t>li-4376333661</t>
        </is>
      </c>
      <c r="B121" t="inlineStr">
        <is>
          <t>Software Developer</t>
        </is>
      </c>
      <c r="C121" t="inlineStr">
        <is>
          <t>2HB Incorporated</t>
        </is>
      </c>
      <c r="D121" t="inlineStr">
        <is>
          <t>linkedin</t>
        </is>
      </c>
      <c r="E121" t="inlineStr"/>
      <c r="F121" t="inlineStr"/>
      <c r="G121" t="inlineStr">
        <is>
          <t>Chantilly, VA</t>
        </is>
      </c>
      <c r="H121" t="inlineStr"/>
      <c r="I121" t="inlineStr">
        <is>
          <t>**This is a full\-time position, and requires a TS/SCI/Full Scope Polygraph Clearance.**
**2HB Incorporated is seeking a Software Developer** 
**to support its government customer in Chantilly, VA.**
 The Sponsor's data analytics and collection services provide intelligence products to inform operations, drive collection, solve Sponsor business problems, and support national security needs. The Sponsor specializes in development and maintenance of large\-scale innovative solutions to solve the Sponsor's leading challenges in data correlation, aggregation, and graphing. The contractor shall support the advancement of the Sponsor's solution with highly technical software development to meet complex and evolving mission needs.
**Required**
* Demonstrated experience with Java Development
* Demonstrated experience designing, developing, maintaining, and troubleshooting APIs
* Demonstrated experience with Python
* Demonstrated Big Data experience
**This is a full\-time position, and requires a TS/SCI/Full Scope Polygraph Clearance.**</t>
        </is>
      </c>
    </row>
    <row r="122">
      <c r="A122" t="inlineStr">
        <is>
          <t>li-4376333812</t>
        </is>
      </c>
      <c r="B122" t="inlineStr">
        <is>
          <t>Software Developer - REMOTE</t>
        </is>
      </c>
      <c r="C122" t="inlineStr">
        <is>
          <t>Jobgether</t>
        </is>
      </c>
      <c r="D122" t="inlineStr">
        <is>
          <t>linkedin</t>
        </is>
      </c>
      <c r="E122" t="inlineStr"/>
      <c r="F122" t="inlineStr"/>
      <c r="G122" t="inlineStr">
        <is>
          <t>Florida, United States</t>
        </is>
      </c>
      <c r="H122" t="inlineStr"/>
      <c r="I122"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li-4376350085</t>
        </is>
      </c>
      <c r="B123" t="inlineStr">
        <is>
          <t>Remote Software Developer</t>
        </is>
      </c>
      <c r="C123" t="inlineStr">
        <is>
          <t>Jobgether</t>
        </is>
      </c>
      <c r="D123" t="inlineStr">
        <is>
          <t>linkedin</t>
        </is>
      </c>
      <c r="E123" t="inlineStr"/>
      <c r="F123" t="inlineStr"/>
      <c r="G123" t="inlineStr">
        <is>
          <t>Delaware, United States</t>
        </is>
      </c>
      <c r="H123" t="inlineStr"/>
      <c r="I123"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li-4376335539</t>
        </is>
      </c>
      <c r="B124" t="inlineStr">
        <is>
          <t>Software Engineer - Early Career</t>
        </is>
      </c>
      <c r="C124" t="inlineStr">
        <is>
          <t>Lensa</t>
        </is>
      </c>
      <c r="D124" t="inlineStr">
        <is>
          <t>linkedin</t>
        </is>
      </c>
      <c r="E124" t="inlineStr"/>
      <c r="F124" t="inlineStr"/>
      <c r="G124" t="inlineStr">
        <is>
          <t>King of Prussia, PA</t>
        </is>
      </c>
      <c r="H124" t="inlineStr"/>
      <c r="I12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develop, deliver, and operate affordable engineering and sustainment solutions for commercial and military users across the globe. The successful candidate will have experience and/or knowledge of software development, agile methodology, innovative solutions for space\-based programs.
**Basic Qualifications**
* Bachelor's Degree in Computer Science or Computer Engineering. Related disciplines will also be considered
* Experience/exposure to C, C\+\+, Java, Python, Linux, agile methodology
* Basic knowledge in software/hardware integration
**Desired Skills**
* Excellent written and verbal communication skills
* Ability to work in a collaborative and team\-based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125">
      <c r="A125" t="inlineStr">
        <is>
          <t>li-4376347164</t>
        </is>
      </c>
      <c r="B125" t="inlineStr">
        <is>
          <t>Software Engineer - REMOTE</t>
        </is>
      </c>
      <c r="C125" t="inlineStr">
        <is>
          <t>Jobgether</t>
        </is>
      </c>
      <c r="D125" t="inlineStr">
        <is>
          <t>linkedin</t>
        </is>
      </c>
      <c r="E125" t="inlineStr"/>
      <c r="F125" t="inlineStr"/>
      <c r="G125" t="inlineStr">
        <is>
          <t>Arkansas, United States</t>
        </is>
      </c>
      <c r="H125" t="inlineStr"/>
      <c r="I125"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li-4376347230</t>
        </is>
      </c>
      <c r="B126" t="inlineStr">
        <is>
          <t>Senior Software Engineer, AI Web Products, Senior Software Engineer, AI Web Products</t>
        </is>
      </c>
      <c r="C126" t="inlineStr">
        <is>
          <t>NVIDIA</t>
        </is>
      </c>
      <c r="D126" t="inlineStr">
        <is>
          <t>linkedin</t>
        </is>
      </c>
      <c r="E126" t="inlineStr"/>
      <c r="F126" t="inlineStr"/>
      <c r="G126" t="inlineStr">
        <is>
          <t>Massachusetts, United States</t>
        </is>
      </c>
      <c r="H126" t="inlineStr"/>
      <c r="I12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27">
      <c r="A127" t="inlineStr">
        <is>
          <t>li-4376337654</t>
        </is>
      </c>
      <c r="B127" t="inlineStr">
        <is>
          <t>Senior Software Engineer, AI Web Products, Senior Software Engineer, AI Web Products</t>
        </is>
      </c>
      <c r="C127" t="inlineStr">
        <is>
          <t>NVIDIA</t>
        </is>
      </c>
      <c r="D127" t="inlineStr">
        <is>
          <t>linkedin</t>
        </is>
      </c>
      <c r="E127" t="inlineStr"/>
      <c r="F127" t="inlineStr"/>
      <c r="G127" t="inlineStr">
        <is>
          <t>California, United States</t>
        </is>
      </c>
      <c r="H127" t="inlineStr"/>
      <c r="I127"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28">
      <c r="A128" t="inlineStr">
        <is>
          <t>li-4376341273</t>
        </is>
      </c>
      <c r="B128" t="inlineStr">
        <is>
          <t>Sr. Software Engineer</t>
        </is>
      </c>
      <c r="C128" t="inlineStr">
        <is>
          <t>2HB Incorporated</t>
        </is>
      </c>
      <c r="D128" t="inlineStr">
        <is>
          <t>linkedin</t>
        </is>
      </c>
      <c r="E128" t="inlineStr"/>
      <c r="F128" t="inlineStr"/>
      <c r="G128" t="inlineStr">
        <is>
          <t>Annapolis Junction, MD</t>
        </is>
      </c>
      <c r="H128" t="inlineStr"/>
      <c r="I128" t="inlineStr">
        <is>
          <t>**This is a full\-time position, and requires a TS/SCI/Full Scope Polygraph Clearance.**
**2HB Incorporated is seeking a Sr.** 
**Software Engineer** 
**to support its government customer in Annapolis Junction, MD.**
 A senior engineer who can design, implement, and improve distributed application orchestration logic, mentor peers, and contribute to the architectural direction of the system.
**Responsibilities**
* Design scalable workflows for deploying and managing Kubernetes\-native applications
* Lead the development of reusable Helm charts, GitOps templates, and deployment strategies
* Build system\-aware controllers or agents that automate app lifecycle tasks
* Contribute to platform\-wide architecture decisions (e.g., deployment strategy, multi\-cluster config, observability)
* Mentor junior engineers and review code for reliability, clarity, and best practices
* Collaborate with DevOps and platform teams to ensure secure and compliant deployments
 Core Skills
* Deep experience with Go or Python in cloud\-native contexts
* Strong Kubernetes experience: CRDs, Helm, GitOps, multi\-tenant app deployments
* Experience with event\-driven or agent\-based systems (e.g., Kafka, controller patterns)
* Familiar with infrastructure automation (Terraform, cloud\-init, Ansible)
* Comfortable balancing automation and operator oversight in complex environments
 Leadership Traits
* Owns end\-to\-end delivery of system components
* Helps shape internal standards and shared tooling
* Guides team through design decisions and tradeoffs
* Thinks in systems, not just services
**This is a full\-time position, and requires a TS/SCI/Full Scope Polygraph Clearance.**</t>
        </is>
      </c>
    </row>
    <row r="129">
      <c r="A129" t="inlineStr">
        <is>
          <t>li-4376342352</t>
        </is>
      </c>
      <c r="B129" t="inlineStr">
        <is>
          <t>Remote Software Engineer II</t>
        </is>
      </c>
      <c r="C129" t="inlineStr">
        <is>
          <t>Jobgether</t>
        </is>
      </c>
      <c r="D129" t="inlineStr">
        <is>
          <t>linkedin</t>
        </is>
      </c>
      <c r="E129" t="inlineStr"/>
      <c r="F129" t="inlineStr"/>
      <c r="G129" t="inlineStr">
        <is>
          <t>Idaho, United States</t>
        </is>
      </c>
      <c r="H129" t="inlineStr"/>
      <c r="I129"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li-4376177587</t>
        </is>
      </c>
      <c r="B130" t="inlineStr">
        <is>
          <t>Software Engineer, Data</t>
        </is>
      </c>
      <c r="C130" t="inlineStr">
        <is>
          <t>Wiraa</t>
        </is>
      </c>
      <c r="D130" t="inlineStr">
        <is>
          <t>linkedin</t>
        </is>
      </c>
      <c r="E130" t="inlineStr"/>
      <c r="F130" t="inlineStr"/>
      <c r="G130" t="inlineStr"/>
      <c r="H130" t="inlineStr"/>
      <c r="I130" t="inlineStr">
        <is>
          <t>**About The Company**
 Sift is at the forefront of redefining how modern machines are built, tested, and operated. Our innovative platform provides engineers with real\-time observability over high\-frequency telemetry data, eliminating bottlenecks and enabling faster, more reliable development cycles. With origins rooted in groundbreaking work at SpaceX on projects such as Dragon, Falcon, Starlink, and Starship, Sift was founded by a team with extensive experience from SpaceX, Google, and Palantir. Our mission is to build mission\-critical systems where precision, scalability, and reliability are paramount. We are committed to delivering cutting\-edge infrastructure solutions that support complex engineering endeavors and mission success.
**About The Role**
 As a Data Infrastructure Engineer at Sift, you will play a pivotal role in designing and scaling our real\-time telemetry platform. Your work will involve developing the core architecture necessary to ingest, process, and serve millions of high\-frequency data points per second. You will be responsible for building a horizontally scalable platform capable of supporting large\-scale analytics and real\-time data processing. This role offers an exciting opportunity to work on complex backend systems, influence engineering culture, and collaborate with a talented team of engineers dedicated to advancing mission\-critical systems. Your contributions will directly impact the reliability and performance of systems used in some of the most demanding engineering environments in the world.
**Qualifications**
* Bachelor's degree in Computer Science, Engineering, Physics, or a related STEM field
* 7\+ years of experience in backend, infrastructure, or data engineering roles
* Hands\-on experience with event\-time\-based stream processing or streaming SQL systems (e.g., Apache Flink, Kafka Streams, Beam)
* Proficiency with relational and time\-series databases such as PostgreSQL, Druid, Pinot, TimescaleDB, or equivalent
* Experience with large\-scale distributed systems or low\-latency backend services, ideally in Go, Rust, or Python
* Familiarity with DevOps and cloud infrastructure tools including Kubernetes, Prometheus, ArgoCD, and Terraform
* Strong communication skills and a collaborative approach to problem\-solving
**Responsibilities**
* Design and develop a horizontally scalable platform capable of ingesting millions of hardware sensor data points per second
* Create durable and efficient database solutions to support real\-time reads and large\-scale analytics workloads
* Innovate in data architecture by integrating recent advancements in streaming and storage technologies, including cloud\-native and diskless designs
* Establish and promote engineering standards, best practices, and processes to ensure high\-quality deliverables
* Collaborate closely with cross\-functional teams on architecture, design reviews, code reviews, and system scaling strategies
* Contribute to the continuous improvement of our data infrastructure and platform performance
**Benefits**
* Competitive salary range of $200,000 \- $250,000 per year
* Equity participation in the company
* Comprehensive benefits package
* Flexible work arrangements, including remote work options for qualified candidates
* Collaborative and innovative work environment
* Opportunities for professional growth and development within a pioneering company
 Equal Opportunity
 Sift is an equal opportunity employer. We celebrate diversity and are committed to creating an inclusive environment for all employees. We do not discriminate based on race, ethnicity, gender, age, sexual orientation, disability, or any other protected status. We encourage all qualified individuals to apply and join our team dedicated to building mission\-critical systems for the future.</t>
        </is>
      </c>
    </row>
    <row r="131">
      <c r="A131" t="inlineStr">
        <is>
          <t>li-4376170856</t>
        </is>
      </c>
      <c r="B131" t="inlineStr">
        <is>
          <t>Software Engineer, AI</t>
        </is>
      </c>
      <c r="C131" t="inlineStr">
        <is>
          <t>Wiraa</t>
        </is>
      </c>
      <c r="D131" t="inlineStr">
        <is>
          <t>linkedin</t>
        </is>
      </c>
      <c r="E131" t="inlineStr"/>
      <c r="F131" t="inlineStr"/>
      <c r="G131" t="inlineStr"/>
      <c r="H131" t="inlineStr"/>
      <c r="I131" t="inlineStr">
        <is>
          <t>**About The Company**
 General Motors (GM) is a global leader in automotive manufacturing, committed to innovation, sustainability, and technological advancement. With a rich history of driving progress in mobility, GM strives to create a world with Zero Crashes, Zero Emissions, and Zero Congestion. The company fosters a culture of inclusion, diversity, and continuous learning, aiming to lead the transformation of transportation through cutting\-edge technology and sustainable solutions. GM's dedication to excellence and innovation positions it as a pioneer in the automotive industry, dedicated to delivering safe, reliable, and innovative mobility products worldwide.
**About The Role**
 GM is seeking a highly skilled and experienced Staff Software Engineer to join our dynamic team focused on developing advanced AI agents. This role involves leading the design, development, and deployment of scalable, intelligent software agents that drive innovation across our products and services. The ideal candidate will possess a deep understanding of AI/ML principles, distributed systems, and technical leadership. You will play a pivotal role in shaping the future of AI\-driven solutions within GM, collaborating with cross\-functional teams to deliver impactful results. This position offers a hybrid/remote work arrangement, with reporting requirements to Mountain View, CA, or Washington, DC, as dictated by business needs.
**Qualifications**
* Bachelor's degree in Computer Science, Engineering, or a related technical field, or equivalent practical experience
* 8\+ years of professional software development experience, particularly in large\-scale distributed systems or AI/ML infrastructure
* Expert proficiency in programming languages such as Python, C\+\+, Java, or Kotlin
* Extensive experience designing, building, and deploying production\-grade AI/ML models or intelligent agents
* Proven track record of technical leadership, including mentoring and leading cross\-functional initiatives
**Responsibilities**
* Lead the architecture and implementation of next\-generation AI agents from conception to deployment
* Define and drive the technical strategy for the AI agent platform, ensuring scalability, reliability, and high performance
* Mentor and guide junior and senior engineers, fostering a culture of technical excellence and best practices
* Collaborate with Product Managers and engineering teams to gather requirements and deliver impactful solutions
* Conduct complex code reviews, system design reviews, and provide constructive feedback to team members
* Identify and resolve technical debt, performance bottlenecks, and architectural challenges within the AI infrastructure
* Stay updated with the latest advancements in AI, machine learning, and software engineering to enhance technology stack
**Benefits**
* Competitive salary range of $189,300 \- $290,000, commensurate with experience and qualifications
* Incentive pay program based on individual, team, and company performance
* Potential eligibility for relocation benefits
* Participation in GM's company vehicle evaluation program, subject to review and approval
* Comprehensive health, dental, and vision insurance plans
* Retirement savings plans and employee stock purchase programs
* Generous paid time off and holiday leave
* Access to professional development resources and continuous learning opportunities
* Inclusive and diverse workplace culture that promotes belonging and growth
 Equal Opportunity
 General Motors is committed to creating a workplace that is inclusive, equitable, and free from unlawful discrimination. We provide equal employment opportunities to all applicants and employees regardless of sex, race, color, national origin, citizenship status, religion, age, disability, pregnancy or maternity status, sexual orientation, gender identity, veteran status, or any other protected characteristic under applicable laws. We believe that fostering diversity and inclusion enhances innovation and drives better business outcomes. Interested candidates are encouraged to review the key responsibilities and qualifications for each role and apply accordingly. GM also offers accommodations for applicants with disabilities during the recruitment process.</t>
        </is>
      </c>
    </row>
    <row r="132">
      <c r="A132" t="inlineStr">
        <is>
          <t>li-4376173641</t>
        </is>
      </c>
      <c r="B132" t="inlineStr">
        <is>
          <t>Full Stack Software Engineer II</t>
        </is>
      </c>
      <c r="C132" t="inlineStr">
        <is>
          <t>Wiraa</t>
        </is>
      </c>
      <c r="D132" t="inlineStr">
        <is>
          <t>linkedin</t>
        </is>
      </c>
      <c r="E132" t="inlineStr"/>
      <c r="F132" t="inlineStr"/>
      <c r="G132" t="inlineStr"/>
      <c r="H132" t="inlineStr"/>
      <c r="I132" t="inlineStr">
        <is>
          <t>**About The Company**
 Jerry.ai is a pioneering technology company dedicated to transforming the way Americans manage their most valuable assets—cars and homes. As the first super app of its kind in the United States, Jerry.ai leverages artificial intelligence and machine learning to automate and simplify ownership, maintenance, and insurance processes. Since its inception in 2017, the company has experienced rapid growth, backed by over $240 million in funding and a user base exceeding 5 million customers. Recognized for its innovative approach, Jerry.ai is committed to redefining ownership through seamless, personalized services that address complex, multi\-trillion\-dollar markets. The company prides itself on fostering a collaborative, fast\-paced, and remote\-first culture that values ownership, continuous learning, and impactful work.
**About The Role**
 We are seeking a talented and motivated Full Stack Engineer to join our dynamic engineering team. In this role, you will be instrumental in building and scaling automation systems that handle complex insurance servicing tasks, such as policy endorsements, cancellations, document uploads, and reinstatements. Your work will directly impact customer experience by reducing policy cancellations, improving renewal processes, and ensuring users receive optimal coverage. You will participate in rapid development cycles, shipping new automations within one to two weeks, and contribute to designing backend pipelines that synchronize customer data, deliver timely alerts, and facilitate seamless re\-shopping experiences. The role offers a unique opportunity to work on a foundational platform that supports our next phase of growth, with a focus on refactoring legacy systems, building scalable microservices, and continuously improving our backend architecture. Collaboration occurs asynchronously across global teams, with minimal meetings but high engagement through tools like Slack and Asana. This position is ideal for someone passionate about solving ambiguous problems, taking ownership of end\-to\-end outcomes, and thriving in a fast\-moving, innovative environment.
**Qualifications**
* Minimum of 2 years of full stack engineering experience building production‑grade software
* Prior experience with large\-scale distributed systems for consumer\-facing applications
* Strong understanding of data structures, algorithms, and systems design
* Proficiency in problem\-solving, breaking down complex issues, and iterating quickly
* Ability to take ownership of projects and deliver end\-to\-end solutions
* Excellent communication skills and comfort working asynchronously across time zones
* Curiosity and adaptability to learn new tools and explore innovative solutions
* Experience with modern tech stacks (preferred but not mandatory): TypeScript, Nest.js, Next.js, React, React Native, GraphQL, Postgres, DynamoDB, AWS, microservices architecture, containerization (ECS/EKS), serverless (Lambda)
**Responsibilities**
* Develop and maintain automation systems for insurance servicing tasks, including policy endorsements, cancellations, and reinstatements
* Design backend business logic that adheres to complex insurance carrier rules
* Create and optimize backend pipelines for syncing customer policy data, delivering alerts, and enabling re\-shopping experiences
* Build scalable internal tools to automate processes and reduce agent intervention
* Collaborate closely with product, data, and operations teams to enhance customer retention and reduce churn
* Continuously improve backend systems, APIs, and microservice architecture to support platform growth
* Refactor and rebuild core components of the platform to simplify legacy systems and set up for future expansion
* Participate in rapid development cycles, shipping new features and automations within tight timelines
* Work asynchronously with a remote, global team, ensuring clear communication and collaboration
**Benefits**
* Comprehensive health, dental, and vision insurance coverage
* Paid time off and paid parental leave
* 401(k) plan with employer matching
* Wellness and mental health benefits
* Opportunities for equity grants as part of total compensation
* Flexible remote work environment with a global team
* Engagement in innovative projects with high impact and ownership
* Continuous learning and professional development opportunities
 Equal Opportunity
 Jerry.ai is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laws. We are committed to providing reasonable accommodations for individuals with disabilities throughout our hiring process. We believe in fostering an inclusive environment where all team members can thrive and contribute to our mission of transforming asset ownership.</t>
        </is>
      </c>
    </row>
    <row r="133">
      <c r="A133" t="inlineStr">
        <is>
          <t>li-4376342333</t>
        </is>
      </c>
      <c r="B133" t="inlineStr">
        <is>
          <t>Software Engineer - Remote Work</t>
        </is>
      </c>
      <c r="C133" t="inlineStr">
        <is>
          <t>Jobgether</t>
        </is>
      </c>
      <c r="D133" t="inlineStr">
        <is>
          <t>linkedin</t>
        </is>
      </c>
      <c r="E133" t="inlineStr"/>
      <c r="F133" t="inlineStr"/>
      <c r="G133" t="inlineStr">
        <is>
          <t>Massachusetts, United States</t>
        </is>
      </c>
      <c r="H133" t="inlineStr"/>
      <c r="I133"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li-4376331886</t>
        </is>
      </c>
      <c r="B134" t="inlineStr">
        <is>
          <t>Software Engineer, NLP/Machine Learning</t>
        </is>
      </c>
      <c r="C134" t="inlineStr">
        <is>
          <t>WisdomAI</t>
        </is>
      </c>
      <c r="D134" t="inlineStr">
        <is>
          <t>linkedin</t>
        </is>
      </c>
      <c r="E134" t="inlineStr"/>
      <c r="F134" t="inlineStr"/>
      <c r="G134" t="inlineStr">
        <is>
          <t>San Mateo, CA</t>
        </is>
      </c>
      <c r="H134" t="inlineStr"/>
      <c r="I134" t="inlineStr">
        <is>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 100 companies as paying customers and still are early enough that you will get to define a lot of the product/engineering roadmap.
**Role**
 We are looking for exceptional ML/NLP engineers to join our team. We are working on fundamental problems in LLM based code\-generation, document understanding, context synthesis and LLM based agents. Our team consists of experts from companies like Glean, Apple, Rubrik, Google and Meta.
**Job Responsibilities**
* Build workflows/agentic pipelines for complex analytical workloads.
* Design evaluation framework and carry out evaluations of our query processing engine.
* Work closely with customers and founders to define the product and engineering roadmap.
* Shape up the engineering culture and tech stack for the company.
**Qualifications**
* Strong analytical skills and proven ability to work with hard NLP problems.
* Background in search/retrieval, LLMs, and evaluation pipelines is plus.
* Experience working in startup/fast paced teams is highly desirable.
* Bachelor's or Master's degree in Computer Science or related field.</t>
        </is>
      </c>
    </row>
    <row r="135">
      <c r="A135" t="inlineStr">
        <is>
          <t>li-4376323935</t>
        </is>
      </c>
      <c r="B135" t="inlineStr">
        <is>
          <t>Software Engineer - Early Career (USA)</t>
        </is>
      </c>
      <c r="C135" t="inlineStr">
        <is>
          <t>Lensa</t>
        </is>
      </c>
      <c r="D135" t="inlineStr">
        <is>
          <t>linkedin</t>
        </is>
      </c>
      <c r="E135" t="inlineStr"/>
      <c r="F135" t="inlineStr"/>
      <c r="G135" t="inlineStr">
        <is>
          <t>New York, NY</t>
        </is>
      </c>
      <c r="H135" t="inlineStr"/>
      <c r="I1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36">
      <c r="A136" t="inlineStr">
        <is>
          <t>li-4277390789</t>
        </is>
      </c>
      <c r="B136" t="inlineStr">
        <is>
          <t>Senior Software Engineer II - Engineering Platforms</t>
        </is>
      </c>
      <c r="C136" t="inlineStr">
        <is>
          <t>Compass</t>
        </is>
      </c>
      <c r="D136" t="inlineStr">
        <is>
          <t>linkedin</t>
        </is>
      </c>
      <c r="E136" t="inlineStr"/>
      <c r="F136" t="inlineStr"/>
      <c r="G136" t="inlineStr">
        <is>
          <t>Seattle, WA</t>
        </is>
      </c>
      <c r="H136" t="inlineStr"/>
      <c r="I136"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Engineering Platforms team provides the foundational infrastructure, automation, and tools that empower our engineering teams to build, deploy, and operate products with confidence, speed, and clarity. As a Senior Software Engineer, you will influence key technology decisions that shape the future of our entire engineering organization, fostering a culture of technical excellence and developer empowerment.
 You are a pragmatic visionary who can "poke holes" in complex designs to prevent future debt, simplify sprawling systems, and deliver scalable, resilient solutions that save thousands of engineering hours. Beyond execution, you serve as a mentor, guiding a talented team of engineers while driving impactful, high\-complexity projects. You lead by example \- innovating, teaching, and shaping the future of engineering platforms at Compass.
**Responsibilities**
* Contribute to the technical roadmap for our internal engineering platform, championing open standards and a best\-in\-class developer experience.
* Architect, scale, and maintain our platform's core features \- including IDEs, CLIs, CI/CD, developer monorepos, experimentation/feature flags, and observability \- to meet the quality and performance needs of the entire engineering organization.
* Design, develop, and maintain high\-quality internal tools and APIs to improve developer productivity. This includes building tools and services that guide engineers along the "golden path" for development and deployment.
* Partner with internal engineering customers to understand pain points and translate them into improvements in system reliability, scalability, and quality across our entire ecosystem.
* Design and develop advanced, automated systems to improve operational efficiency, including AI\-driven workflows and the underlying systems that support them.
* Drive operational excellence by establishing and refining standards for system reliability, performance, and monitoring, including SLAs and SLOs.
* Partner with customer teams and stakeholders such as security and compliance to proactively identify infrastructure needs
**Basic Qualifications**
* BS in Computer Science, Software Engineering, or equivalent experience.
* 7\+ years of professional software development experience with a focus on large\-scale systems.
* Proven ability to design and build complex distributed systems, ensuring reliability and scalability not just for a single team, but across a broader product surface.
* Proficiency in Go and professional experience in one or more of the following: Java, Python, or TypeScript.
* Extensive experience building and operating services on major cloud providers (AWS, GCP, Azure) with a focus on abstracting complexity for end\-users.
**Preferred Qualifications**
* Experience building internal tools, libraries, or APIs that have been successfully adopted by multiple teams outside of your direct organization.
* A history of modernizing legacy systems and successfully deprecating redundant infrastructure.
* Ability to manage the full lifecycle of an internal developer platform, treating internal engineers as customers and focusing on "Golden Path" adoption.
* Active experience in the hiring process and a track record of outsized impact with the continuous improvement of engineering culture.
**Compensation:** 
 The base pay range for this position is $155K\-$197K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137">
      <c r="A137" t="inlineStr">
        <is>
          <t>li-4376328722</t>
        </is>
      </c>
      <c r="B137" t="inlineStr">
        <is>
          <t>Software Developer - Entry Level</t>
        </is>
      </c>
      <c r="C137" t="inlineStr">
        <is>
          <t>Lensa</t>
        </is>
      </c>
      <c r="D137" t="inlineStr">
        <is>
          <t>linkedin</t>
        </is>
      </c>
      <c r="E137" t="inlineStr"/>
      <c r="F137" t="inlineStr"/>
      <c r="G137" t="inlineStr">
        <is>
          <t>Westerville, OH</t>
        </is>
      </c>
      <c r="H137" t="inlineStr"/>
      <c r="I1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Ohio, Westerville
**Position ID:** 
 J0825\-1598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Westerville, OH in a hybrid working model.
 Spring Application Period: Monday, January 19, 2026 \- Friday, February 27, 2026
**Your Future Duties And Responsibilities**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\#CGIEarlyCareers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38">
      <c r="A138" t="inlineStr">
        <is>
          <t>li-4376333541</t>
        </is>
      </c>
      <c r="B138" t="inlineStr">
        <is>
          <t>Software Developer/Data Engineer - Entry Level</t>
        </is>
      </c>
      <c r="C138" t="inlineStr">
        <is>
          <t>Lensa</t>
        </is>
      </c>
      <c r="D138" t="inlineStr">
        <is>
          <t>linkedin</t>
        </is>
      </c>
      <c r="E138">
        <f>HYPERLINK("https://www.linkedin.com/jobs/view/4376333541", "https://www.linkedin.com/jobs/view/4376333541")</f>
        <v/>
      </c>
      <c r="F138">
        <f>HYPERLINK("https://lensa.com/cgw/dfb0ca0263bb459daea1ac31eff735batjo1?jpsi=directemployers_no_redirect&amp;publisher_preference=easier_apply&amp;utm_campaign=Computer%20Occupations&amp;utm_medium=slot&amp;utm_source=linkedin&amp;utm_term=jse&amp;urlHash=yuGs", "https://lensa.com/cgw/dfb0ca0263bb459daea1ac31eff735batjo1?jpsi=directemployers_no_redirect&amp;publisher_preference=easier_apply&amp;utm_campaign=Computer%20Occupations&amp;utm_medium=slot&amp;utm_source=linkedin&amp;utm_term=jse&amp;urlHash=yuGs")</f>
        <v/>
      </c>
      <c r="G138" t="inlineStr">
        <is>
          <t>Nashville, TN</t>
        </is>
      </c>
      <c r="H138" t="inlineStr"/>
      <c r="I1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39">
      <c r="A139" t="inlineStr">
        <is>
          <t>li-4374975001</t>
        </is>
      </c>
      <c r="B139" t="inlineStr">
        <is>
          <t>New Grad Software Engineer</t>
        </is>
      </c>
      <c r="C139" t="inlineStr">
        <is>
          <t>Confido</t>
        </is>
      </c>
      <c r="D139" t="inlineStr">
        <is>
          <t>linkedin</t>
        </is>
      </c>
      <c r="E139">
        <f>HYPERLINK("https://www.linkedin.com/jobs/view/4374975001", "https://www.linkedin.com/jobs/view/4374975001")</f>
        <v/>
      </c>
      <c r="F139" t="inlineStr"/>
      <c r="G139" t="inlineStr">
        <is>
          <t>New York, NY</t>
        </is>
      </c>
      <c r="H139" t="inlineStr"/>
      <c r="I139" t="inlineStr">
        <is>
          <t>Confido is building an AI\-native operating system for brands that sell into brick\-and\-mortar retail. We’re building intuitive and powerful software paired with AI agents that help brands automate the 1000s of hours of tedious manual work that goes into scaling a brand in retail. Brands like Baskin Robbins and Olipop use our first products in accounting and planning to account for and plan for $Bs of retail revenue.
 We have millions of ARR, best\-in\-class growth, and best in class efficiency. We’ve recently raised a $15M Series A to build on the existing momentum.
 The Role
 Location: New York, NY (relocation assistance available)
 Compensation: $150,000 \+ Benefits \+ Meaningful Equity (.05% \- .1%).
 As a full\-stack engineer at Confido, you will spearhead the development of new features and systems from the ground up. This role offers the unique opportunity to shape the product landscape and make a tangible impact on our technology and our customers.
 You may be working on
* AI (computer vision \+ NLP) powered data processing of financial documents
* Scaling data collection capabilities across different sources
* Financial analytics and forecasting
* Interfacing directly with customers to understand their needs and craft intuitive UXs
* Create intuitive user interfaces that simplify complex data into actionable insights
* And more…
**Requirements**
* Strong technical background with at least 1 summer of engineering internship experience (Backend or ML /AI experience highly preferred)
* Scrappiness and interest in learning the ins and outs of the CPG industry
**Preferred Qualifications**
* Excellent communication skills with the ability to talk directly with customers and manage feature development
* Strong desire to work at an early\-stage startup and touch all parts of the product
* CS or equivalent degree</t>
        </is>
      </c>
    </row>
    <row r="140">
      <c r="A140" t="inlineStr">
        <is>
          <t>li-4376347203</t>
        </is>
      </c>
      <c r="B140" t="inlineStr">
        <is>
          <t>Software Engineer, Backend</t>
        </is>
      </c>
      <c r="C140" t="inlineStr">
        <is>
          <t>WisdomAI</t>
        </is>
      </c>
      <c r="D140" t="inlineStr">
        <is>
          <t>linkedin</t>
        </is>
      </c>
      <c r="E140">
        <f>HYPERLINK("https://www.linkedin.com/jobs/view/4376347203", "https://www.linkedin.com/jobs/view/4376347203")</f>
        <v/>
      </c>
      <c r="F140">
        <f>HYPERLINK("https://jobs.ashbyhq.com/Wisdom%20AI/eee64e05-59fe-4d42-9e7a-de494c7848f7/application?utm_source=rP4OlmAqN4&amp;urlHash=6Ymo", "https://jobs.ashbyhq.com/Wisdom%20AI/eee64e05-59fe-4d42-9e7a-de494c7848f7/application?utm_source=rP4OlmAqN4&amp;urlHash=6Ymo")</f>
        <v/>
      </c>
      <c r="G140" t="inlineStr">
        <is>
          <t>San Mateo, CA</t>
        </is>
      </c>
      <c r="H140" t="inlineStr"/>
      <c r="I140" t="inlineStr">
        <is>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Fortune100 companies as paying customers and still are early enough that you will get to define a lot of the product/engineering roadmap.
**Role**
 We are looking for a backend/infrastructure engineer to join our founding team. We are working on building ML and data pipelines, which can be efficient, secure and highly scalable by design.
**Job Responsibilities**
* Build large scale data pipelines to handle latency critical analytical workloads.
* Work with modern cloud infrastructure to build cost efficient and scalable systems.
* Work closely with customers and founders to define the product and engineering roadmap.
* Shape up the engineering culture and tech stack for the company.
**Qualifications**
* Experience working on large scale data pipelines.
* Bachelor's or Master's degree in Computer Science or related field.
* Experience working in startup/fast paced teams is highly desirable.</t>
        </is>
      </c>
    </row>
    <row r="141">
      <c r="A141" t="inlineStr">
        <is>
          <t>li-4376334818</t>
        </is>
      </c>
      <c r="B141" t="inlineStr">
        <is>
          <t>Software Engineer, Platforms</t>
        </is>
      </c>
      <c r="C141" t="inlineStr">
        <is>
          <t>WisdomAI</t>
        </is>
      </c>
      <c r="D141" t="inlineStr">
        <is>
          <t>linkedin</t>
        </is>
      </c>
      <c r="E141">
        <f>HYPERLINK("https://www.linkedin.com/jobs/view/4376334818", "https://www.linkedin.com/jobs/view/4376334818")</f>
        <v/>
      </c>
      <c r="F141">
        <f>HYPERLINK("https://jobs.ashbyhq.com/Wisdom%20AI/21f1550a-9ee7-43a8-83b4-9e5485d70cc5/application?utm_source=rP4OlmAqN4&amp;urlHash=vJ_S", "https://jobs.ashbyhq.com/Wisdom%20AI/21f1550a-9ee7-43a8-83b4-9e5485d70cc5/application?utm_source=rP4OlmAqN4&amp;urlHash=vJ_S")</f>
        <v/>
      </c>
      <c r="G141" t="inlineStr">
        <is>
          <t>San Mateo, CA</t>
        </is>
      </c>
      <c r="H141" t="inlineStr"/>
      <c r="I141" t="inlineStr">
        <is>
          <t>**About Wisdom**
 Simplicity drives clarity, but data has never been simple. At Wisdom, we're on a mission to radically simplify the way businesses interact with their data, democratizing insights so they can focus on making the best decisions while moving fast.
 We are guided by a set of values that define our culture and our product:
* Default to Action. Speed is our greatest advantage, and we value progress
* Customer\-Obsessed. Our main goal is to provide maximum customer value.
* One Team. We communicate openly, challenge ideas respectfully
**Role**
 We are looking for a backend/infrastructure engineer to join our founding team. We are working on building ML and data pipelines, which can be efficient, secure and highly scalable by design. As a platforms engineer you will be working on the deployments, observability and other aspects for scaling the production environment with customers.
**What You'll Do**
 Wisdom is at an inflection point, with strong product market fit and the traction of Fortune 100 customers. We are looking for an early\-stage engineer to build out the deployment, observability, and scaling of our growing production environments. You will work closely with experienced members of the team and customers to build systems to surpass the bottleneck of onboarding customers of any shape and size.
**Job Responsibilities**
* Owning the observability and deployments of Wisdom stack.
* Working with other software engineers and sales engineers to build the right processes and tooling for production change management.
* Work with modern cloud infrastructure to build cost efficient and scalable systems.
* Work closely with customers and founders to define the product and engineering roadmap.
* Shape up the engineering culture and tech stack for the company.
**Qualifications**
* Experience building highly available and scalable cloud infrastructure.
* Experience with Kubernetes/Terraform/Python.
* Bachelor's or Master's degree in Computer Science or related field.
* Experience working in startup/fast paced teams is highly desirable.</t>
        </is>
      </c>
    </row>
    <row r="142">
      <c r="A142" t="inlineStr">
        <is>
          <t>li-4376351110</t>
        </is>
      </c>
      <c r="B142" t="inlineStr">
        <is>
          <t>Software Engineer II</t>
        </is>
      </c>
      <c r="C142" t="inlineStr">
        <is>
          <t>Todyl</t>
        </is>
      </c>
      <c r="D142" t="inlineStr">
        <is>
          <t>linkedin</t>
        </is>
      </c>
      <c r="E142">
        <f>HYPERLINK("https://www.linkedin.com/jobs/view/4376351110", "https://www.linkedin.com/jobs/view/4376351110")</f>
        <v/>
      </c>
      <c r="F142" t="inlineStr"/>
      <c r="G142" t="inlineStr">
        <is>
          <t>Denver, CO</t>
        </is>
      </c>
      <c r="H142" t="inlineStr"/>
      <c r="I142" t="inlineStr">
        <is>
          <t>**Software Engineer II – 3rd Party Integration**
**About Us**
 At Todyl, we are on a mission to protect small and medium\-sized businesses from ever\-changing cyber threats. The Todyl platform fully integrates threat, risk, and compliance management to provide exceptional and affordable unified cybersecurity solutions to MSPs (Managed Service Providers) and their end customers.
 At the end of the day, we’re here to keep our partners and customers safe and help them manage the risks and comply with regulations. Protecting others requires a team that works together with trust and cares deeply about carrying out our mission.
**About The Role**
 We are looking for a talented, collaborative individual who is deeply knowledgeable in software engineering and enjoys working across the backend stack of the application. This will be an opportunity to design, build, and maintain scalable integrations with third\-party platforms and services. In this role, you will be responsible for developing reliable APIs, enabling secure data exchange, and ensuring seamless connectivity between our internal systems and external partner solutions. This role will focus on building robust service\-to\-service integrations, designing scalable APIs, managing external system dependencies, and ensuring secure, resilient data flows between internal applications and partner ecosystems.
 This role reports to the Sr. Manager of Engineering. Todyl has an in\-office team, and this role is for our Denver office.
**Key Responsibilities**
* Own the software development process from concept to deployment with some guidance from senior engineers.
* Design, develop, and maintain backend services and APIs to enable secure and scalable integrations with third\-party platforms and partner systems.
* Implement secure authentication and authorization mechanisms (e.g., OAuth, token\-based authentication, API keys) for external system communication.
* Develop reusable integration frameworks, connectors, and services to accelerate onboarding of new partners.
* Monitor, troubleshoot, and resolve integration issues such as API failures, latency, and data inconsistencies. Should be able to add alerts/monitoring to review the health of the integrations.
* Collaborate with product, platform, and partner engineering teams to define integration requirements and technical contracts.
* Write and maintain unit and integration tests to ensure service reliability and performance.
* Participate in code reviews and contribute to improving engineering standards and best practices.
* Maintain documentation for APIs, integration workflows, and operational procedures.
* Support deployment and production operations related to integration services as needed.
* Participate in bug fixes and incident response processes/ on call to support customers.
**Qualifications**
**Values Fit**
* Extreme ownership, particularly when things go wrong or aren’t completed on time.
* Intrinsic drive for growth; self\-motivated, always learning, and focused on raising the bar for self and team.
* Strong bias for action with impact; make tough decisions quickly, measure results, and iterate with clarity to move the mission forward.
* Comfort with ambiguity and change, embrace change and uncertainty as part of startup life.
* Humility, purpose over ego to acknowledge mistakes, learn from others, and embrace feedback while putting the mission first.
**Who You Are**
* 3\+ years of experience in backend software development.
* Experience building and consuming RESTful APIs and working with external service integrations.
* Proficiency in modern programming languages (Go, Java, Python, or similar) and strong software engineering fundamentals.
* Working knowledge of message queues (Kafka) or event\-driven integration patterns is a plus.
* Experience with cloud platforms (AWS, Azure, or GCP) and containerized deployments is preferred.
* Familiarity with relational and NoSQL databases.
* Understanding of API lifecycle management, versioning, and integration best practices.
* Familiarity with CI/CD pipelines and modern DevOps practices.
* Startup experience or comfort operating in fast\-paced, evolving environments is a plus.
* You are collaborative and communicate effectively with cross\-functional teams.
* You enjoy solving integration challenges and working with external systems and APIs.
* You have strong problem\-solving skills and attention to detail.
* You are eager to learn new technologies and integration patterns.
**What we offer**
* Medical, dental, and vision coverage to keep you and your family healthy
* Health savings and flexible spending accounts (HSA/FSA) to maximize your healthcare dollars
* Life insurance so you can protect what matters most
* Short\- and long\-term disability coverage for peace of mind
* Hybrid work schedule
* Flexible PTO plus 13 company holidays
* 401(k) to help you invest in your future
* Generous parental leave programs
 Compensation Range: $110K \- $180K</t>
        </is>
      </c>
    </row>
    <row r="143">
      <c r="A143" t="inlineStr">
        <is>
          <t>li-4376331886</t>
        </is>
      </c>
      <c r="B143" t="inlineStr">
        <is>
          <t>Software Engineer, NLP/Machine Learning</t>
        </is>
      </c>
      <c r="C143" t="inlineStr">
        <is>
          <t>WisdomAI</t>
        </is>
      </c>
      <c r="D143" t="inlineStr">
        <is>
          <t>linkedin</t>
        </is>
      </c>
      <c r="E143">
        <f>HYPERLINK("https://www.linkedin.com/jobs/view/4376331886", "https://www.linkedin.com/jobs/view/4376331886")</f>
        <v/>
      </c>
      <c r="F143">
        <f>HYPERLINK("https://jobs.ashbyhq.com/Wisdom%20AI/4091fbd2-b705-4414-9aef-287d7eb10d71/application?utm_source=rP4OlmAqN4&amp;urlHash=71gk", "https://jobs.ashbyhq.com/Wisdom%20AI/4091fbd2-b705-4414-9aef-287d7eb10d71/application?utm_source=rP4OlmAqN4&amp;urlHash=71gk")</f>
        <v/>
      </c>
      <c r="G143" t="inlineStr">
        <is>
          <t>San Mateo, CA</t>
        </is>
      </c>
      <c r="H143" t="inlineStr"/>
      <c r="I143" t="inlineStr">
        <is>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 100 companies as paying customers and still are early enough that you will get to define a lot of the product/engineering roadmap.
**Role**
 We are looking for exceptional ML/NLP engineers to join our team. We are working on fundamental problems in LLM based code\-generation, document understanding, context synthesis and LLM based agents. Our team consists of experts from companies like Glean, Apple, Rubrik, Google and Meta.
**Job Responsibilities**
* Build workflows/agentic pipelines for complex analytical workloads.
* Design evaluation framework and carry out evaluations of our query processing engine.
* Work closely with customers and founders to define the product and engineering roadmap.
* Shape up the engineering culture and tech stack for the company.
**Qualifications**
* Strong analytical skills and proven ability to work with hard NLP problems.
* Background in search/retrieval, LLMs, and evaluation pipelines is plus.
* Experience working in startup/fast paced teams is highly desirable.
* Bachelor's or Master's degree in Computer Science or related field.</t>
        </is>
      </c>
    </row>
    <row r="144">
      <c r="A144" t="inlineStr">
        <is>
          <t>li-4376334819</t>
        </is>
      </c>
      <c r="B144" t="inlineStr">
        <is>
          <t>Software Engineer, Frontend/Fullstack</t>
        </is>
      </c>
      <c r="C144" t="inlineStr">
        <is>
          <t>WisdomAI</t>
        </is>
      </c>
      <c r="D144" t="inlineStr">
        <is>
          <t>linkedin</t>
        </is>
      </c>
      <c r="E144">
        <f>HYPERLINK("https://www.linkedin.com/jobs/view/4376334819", "https://www.linkedin.com/jobs/view/4376334819")</f>
        <v/>
      </c>
      <c r="F144">
        <f>HYPERLINK("https://jobs.ashbyhq.com/Wisdom%20AI/3466621d-47df-4576-b5e0-1566afafd5f8/application?utm_source=rP4OlmAqN4&amp;urlHash=qG9_", "https://jobs.ashbyhq.com/Wisdom%20AI/3466621d-47df-4576-b5e0-1566afafd5f8/application?utm_source=rP4OlmAqN4&amp;urlHash=qG9_")</f>
        <v/>
      </c>
      <c r="G144" t="inlineStr">
        <is>
          <t>San Mateo, CA</t>
        </is>
      </c>
      <c r="H144" t="inlineStr"/>
      <c r="I144" t="inlineStr">
        <is>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Fortune100 companies as paying customers and still are early enough that you will get to define a lot of the product/engineering roadmap.
**Role**
 We are looking for a product\-focused frontend/fullstack engineer to join our founding team. We are working on reimagning the AI first UX for data analytics, which involves defining novel UX paradigms and solving some complex visualization problems.
**Job Responsibilities**
* Build an engaging and modern UI for chat and complex visualizations.
* Defining and building UI/UX for analytical and agentic workflows.
* Work closely with customers and founders to define the product and engineering roadmap.
* Shape up the engineering culture and tech stack for the company.
**Qualifications**
* Obsessed with building seamless and intuitive user experiences.
* Experience building robust product features with node.js/react/typescript.
* Experience working in startup/fast paced teams is highly desirable.
* Bachelor's or Master's degree in Computer Science or related field.</t>
        </is>
      </c>
    </row>
    <row r="145">
      <c r="A145" t="inlineStr">
        <is>
          <t>li-4376323935</t>
        </is>
      </c>
      <c r="B145" t="inlineStr">
        <is>
          <t>Software Engineer - Early Career (USA)</t>
        </is>
      </c>
      <c r="C145" t="inlineStr">
        <is>
          <t>Lensa</t>
        </is>
      </c>
      <c r="D145" t="inlineStr">
        <is>
          <t>linkedin</t>
        </is>
      </c>
      <c r="E145">
        <f>HYPERLINK("https://www.linkedin.com/jobs/view/4376323935", "https://www.linkedin.com/jobs/view/4376323935")</f>
        <v/>
      </c>
      <c r="F145" t="inlineStr"/>
      <c r="G145" t="inlineStr">
        <is>
          <t>New York, NY</t>
        </is>
      </c>
      <c r="H145" t="inlineStr"/>
      <c r="I14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46">
      <c r="A146" t="inlineStr">
        <is>
          <t>li-4277390789</t>
        </is>
      </c>
      <c r="B146" t="inlineStr">
        <is>
          <t>Senior Software Engineer II - Engineering Platforms</t>
        </is>
      </c>
      <c r="C146" t="inlineStr">
        <is>
          <t>Compass</t>
        </is>
      </c>
      <c r="D146" t="inlineStr">
        <is>
          <t>linkedin</t>
        </is>
      </c>
      <c r="E146">
        <f>HYPERLINK("https://www.linkedin.com/jobs/view/4277390789", "https://www.linkedin.com/jobs/view/4277390789")</f>
        <v/>
      </c>
      <c r="F146" t="inlineStr"/>
      <c r="G146" t="inlineStr">
        <is>
          <t>Seattle, WA</t>
        </is>
      </c>
      <c r="H146" t="inlineStr"/>
      <c r="I146"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Engineering Platforms team provides the foundational infrastructure, automation, and tools that empower our engineering teams to build, deploy, and operate products with confidence, speed, and clarity. As a Senior Software Engineer, you will influence key technology decisions that shape the future of our entire engineering organization, fostering a culture of technical excellence and developer empowerment.
 You are a pragmatic visionary who can "poke holes" in complex designs to prevent future debt, simplify sprawling systems, and deliver scalable, resilient solutions that save thousands of engineering hours. Beyond execution, you serve as a mentor, guiding a talented team of engineers while driving impactful, high\-complexity projects. You lead by example \- innovating, teaching, and shaping the future of engineering platforms at Compass.
**Responsibilities**
* Contribute to the technical roadmap for our internal engineering platform, championing open standards and a best\-in\-class developer experience.
* Architect, scale, and maintain our platform's core features \- including IDEs, CLIs, CI/CD, developer monorepos, experimentation/feature flags, and observability \- to meet the quality and performance needs of the entire engineering organization.
* Design, develop, and maintain high\-quality internal tools and APIs to improve developer productivity. This includes building tools and services that guide engineers along the "golden path" for development and deployment.
* Partner with internal engineering customers to understand pain points and translate them into improvements in system reliability, scalability, and quality across our entire ecosystem.
* Design and develop advanced, automated systems to improve operational efficiency, including AI\-driven workflows and the underlying systems that support them.
* Drive operational excellence by establishing and refining standards for system reliability, performance, and monitoring, including SLAs and SLOs.
* Partner with customer teams and stakeholders such as security and compliance to proactively identify infrastructure needs
**Basic Qualifications**
* BS in Computer Science, Software Engineering, or equivalent experience.
* 7\+ years of professional software development experience with a focus on large\-scale systems.
* Proven ability to design and build complex distributed systems, ensuring reliability and scalability not just for a single team, but across a broader product surface.
* Proficiency in Go and professional experience in one or more of the following: Java, Python, or TypeScript.
* Extensive experience building and operating services on major cloud providers (AWS, GCP, Azure) with a focus on abstracting complexity for end\-users.
**Preferred Qualifications**
* Experience building internal tools, libraries, or APIs that have been successfully adopted by multiple teams outside of your direct organization.
* A history of modernizing legacy systems and successfully deprecating redundant infrastructure.
* Ability to manage the full lifecycle of an internal developer platform, treating internal engineers as customers and focusing on "Golden Path" adoption.
* Active experience in the hiring process and a track record of outsized impact with the continuous improvement of engineering culture.
**Compensation:** 
 The base pay range for this position is $155K\-$197K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147">
      <c r="A147" t="inlineStr">
        <is>
          <t>li-4376328722</t>
        </is>
      </c>
      <c r="B147" t="inlineStr">
        <is>
          <t>Software Developer - Entry Level</t>
        </is>
      </c>
      <c r="C147" t="inlineStr">
        <is>
          <t>Lensa</t>
        </is>
      </c>
      <c r="D147" t="inlineStr">
        <is>
          <t>linkedin</t>
        </is>
      </c>
      <c r="E147">
        <f>HYPERLINK("https://www.linkedin.com/jobs/view/4376328722", "https://www.linkedin.com/jobs/view/4376328722")</f>
        <v/>
      </c>
      <c r="F147">
        <f>HYPERLINK("https://lensa.com/cgw/fc1e9aae77b74232b85e26868f0f5e3ctjo1?jpsi=directemployers_no_redirect&amp;publisher_preference=easier_apply&amp;utm_campaign=Computer%20Occupations&amp;utm_medium=slot&amp;utm_source=linkedin&amp;utm_term=jse&amp;urlHash=u-gn", "https://lensa.com/cgw/fc1e9aae77b74232b85e26868f0f5e3ctjo1?jpsi=directemployers_no_redirect&amp;publisher_preference=easier_apply&amp;utm_campaign=Computer%20Occupations&amp;utm_medium=slot&amp;utm_source=linkedin&amp;utm_term=jse&amp;urlHash=u-gn")</f>
        <v/>
      </c>
      <c r="G147" t="inlineStr">
        <is>
          <t>Westerville, OH</t>
        </is>
      </c>
      <c r="H147" t="inlineStr"/>
      <c r="I1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Ohio, Westerville
**Position ID:** 
 J0825\-1598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Westerville, OH in a hybrid working model.
 Spring Application Period: Monday, January 19, 2026 \- Friday, February 27, 2026
**Your Future Duties And Responsibilities**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\#CGIEarlyCareers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48">
      <c r="A148" t="inlineStr">
        <is>
          <t>li-4376333661</t>
        </is>
      </c>
      <c r="B148" t="inlineStr">
        <is>
          <t>Software Developer</t>
        </is>
      </c>
      <c r="C148" t="inlineStr">
        <is>
          <t>2HB Incorporated</t>
        </is>
      </c>
      <c r="D148" t="inlineStr">
        <is>
          <t>linkedin</t>
        </is>
      </c>
      <c r="E148">
        <f>HYPERLINK("https://www.linkedin.com/jobs/view/4376333661", "https://www.linkedin.com/jobs/view/4376333661")</f>
        <v/>
      </c>
      <c r="F148" t="inlineStr"/>
      <c r="G148" t="inlineStr">
        <is>
          <t>Chantilly, VA</t>
        </is>
      </c>
      <c r="H148" t="inlineStr"/>
      <c r="I148" t="inlineStr">
        <is>
          <t>**This is a full\-time position, and requires a TS/SCI/Full Scope Polygraph Clearance.**
**2HB Incorporated is seeking a Software Developer** 
**to support its government customer in Chantilly, VA.**
 The Sponsor's data analytics and collection services provide intelligence products to inform operations, drive collection, solve Sponsor business problems, and support national security needs. The Sponsor specializes in development and maintenance of large\-scale innovative solutions to solve the Sponsor's leading challenges in data correlation, aggregation, and graphing. The contractor shall support the advancement of the Sponsor's solution with highly technical software development to meet complex and evolving mission needs.
**Required**
* Demonstrated experience with Java Development
* Demonstrated experience designing, developing, maintaining, and troubleshooting APIs
* Demonstrated experience with Python
* Demonstrated Big Data experience
**This is a full\-time position, and requires a TS/SCI/Full Scope Polygraph Clearance.**</t>
        </is>
      </c>
    </row>
    <row r="149">
      <c r="A149" t="inlineStr">
        <is>
          <t>li-4376339225</t>
        </is>
      </c>
      <c r="B149" t="inlineStr">
        <is>
          <t>Software Developer - Entry Level</t>
        </is>
      </c>
      <c r="C149" t="inlineStr">
        <is>
          <t>Lensa</t>
        </is>
      </c>
      <c r="D149" t="inlineStr">
        <is>
          <t>linkedin</t>
        </is>
      </c>
      <c r="E149">
        <f>HYPERLINK("https://www.linkedin.com/jobs/view/4376339225", "https://www.linkedin.com/jobs/view/4376339225")</f>
        <v/>
      </c>
      <c r="F149">
        <f>HYPERLINK("https://lensa.com/cgw/008a6dd32a2e405ebc8f0b521ac54a2dtjo1?jpsi=directemployers_no_redirect&amp;publisher_preference=easier_apply&amp;utm_campaign=Computer%20Occupations&amp;utm_medium=slot&amp;utm_source=linkedin&amp;utm_term=jse&amp;urlHash=mh6O", "https://lensa.com/cgw/008a6dd32a2e405ebc8f0b521ac54a2dtjo1?jpsi=directemployers_no_redirect&amp;publisher_preference=easier_apply&amp;utm_campaign=Computer%20Occupations&amp;utm_medium=slot&amp;utm_source=linkedin&amp;utm_term=jse&amp;urlHash=mh6O")</f>
        <v/>
      </c>
      <c r="G149" t="inlineStr">
        <is>
          <t>Knoxville, TN</t>
        </is>
      </c>
      <c r="H149" t="inlineStr"/>
      <c r="I1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Tennessee, Knoxville
**Position ID:** 
 J0825\-1512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Knoxville, TN in a hybrid working model.
 Fall Application Period: Monday, August 25th, 2025 \- Friday, October 3rd, 2025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\#CGIEarlyCareers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$51,400 \- $84,800\.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50">
      <c r="A150" t="inlineStr">
        <is>
          <t>li-4376335622</t>
        </is>
      </c>
      <c r="B150" t="inlineStr">
        <is>
          <t>Software Engineer</t>
        </is>
      </c>
      <c r="C150" t="inlineStr">
        <is>
          <t>2HB Incorporated</t>
        </is>
      </c>
      <c r="D150" t="inlineStr">
        <is>
          <t>linkedin</t>
        </is>
      </c>
      <c r="E150">
        <f>HYPERLINK("https://www.linkedin.com/jobs/view/4376335622", "https://www.linkedin.com/jobs/view/4376335622")</f>
        <v/>
      </c>
      <c r="F150">
        <f>HYPERLINK("https://2hb.catsone.com/careers/64727-General/jobs/16777405-Software-Engineer&amp;urlHash=sEIM", "https://2hb.catsone.com/careers/64727-General/jobs/16777405-Software-Engineer&amp;urlHash=sEIM")</f>
        <v/>
      </c>
      <c r="G150" t="inlineStr">
        <is>
          <t>Annapolis Junction, MD</t>
        </is>
      </c>
      <c r="H150" t="inlineStr"/>
      <c r="I150" t="inlineStr">
        <is>
          <t>**This is a full\-time position, and requires a TS/SCI/Full Scope Polygraph Clearance.**
**2HB Incorporated is seeking a** 
**Software Engineer** 
**to support its government customer in Annapolis Junction, MD.**
 A reliable engineer capable of implementing containerized application workflows and infrastructure automation using modern DevOps and cloud\-native tooling.
**Responsibilities**
* Contribute to the development of deployment pipelines and Helm charts
* Collaborate with backend, frontend, and infrastructure teams to integrate services
* Work with Kubernetes tooling (Helm, GitOps, etc.) to support scalable deployments
* Follow team standards and participate in code reviews, testing, and documentation
* Implement and test logic to handle common app deployment patterns, secrets, and config maps
* Support internal efforts to standardize and document reusable application deployment templates
 Core Skills
* Comfortable coding in Go, Python, or TypeScript
* Familiar with GitOps workflows and CI/CD tools like ArgoCD or Fleet
* Experience with Kubernetes manifests, Helm, Docker
* Understands basic concepts of infrastructure\-as\-code and Linux system operations
* Can debug and troubleshoot in a containerized environment
 Mindset
* Eager to learn from senior teammates
* Open to working across the full stack and infrastructure boundaries
* Values automation, documentation, and code reusability
**This is a full\-time position, and requires a TS/SCI/Full Scope Polygraph Clearance.**</t>
        </is>
      </c>
    </row>
    <row r="151">
      <c r="A151" t="inlineStr">
        <is>
          <t>li-4376333588</t>
        </is>
      </c>
      <c r="B151" t="inlineStr">
        <is>
          <t>Software Engineer - Early Career (USA)</t>
        </is>
      </c>
      <c r="C151" t="inlineStr">
        <is>
          <t>Lensa</t>
        </is>
      </c>
      <c r="D151" t="inlineStr">
        <is>
          <t>linkedin</t>
        </is>
      </c>
      <c r="E151">
        <f>HYPERLINK("https://www.linkedin.com/jobs/view/4376333588", "https://www.linkedin.com/jobs/view/4376333588")</f>
        <v/>
      </c>
      <c r="F151">
        <f>HYPERLINK("https://lensa.com/cgw/1fafd749a4244f07a5fe7b58a86f02bbtjo1?jpsi=directemployers&amp;publisher_preference=easier_apply&amp;utm_campaign=Computer%20Occupations&amp;utm_medium=slot&amp;utm_source=linkedin&amp;utm_term=jse&amp;urlHash=epsE", "https://lensa.com/cgw/1fafd749a4244f07a5fe7b58a86f02bbtjo1?jpsi=directemployers&amp;publisher_preference=easier_apply&amp;utm_campaign=Computer%20Occupations&amp;utm_medium=slot&amp;utm_source=linkedin&amp;utm_term=jse&amp;urlHash=epsE")</f>
        <v/>
      </c>
      <c r="G151" t="inlineStr">
        <is>
          <t>Stamford, CT</t>
        </is>
      </c>
      <c r="H151" t="inlineStr"/>
      <c r="I1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52">
      <c r="A152" t="inlineStr">
        <is>
          <t>li-4376337654</t>
        </is>
      </c>
      <c r="B152" t="inlineStr">
        <is>
          <t>Senior Software Engineer, AI Web Products, Senior Software Engineer, AI Web Products</t>
        </is>
      </c>
      <c r="C152" t="inlineStr">
        <is>
          <t>NVIDIA</t>
        </is>
      </c>
      <c r="D152" t="inlineStr">
        <is>
          <t>linkedin</t>
        </is>
      </c>
      <c r="E152">
        <f>HYPERLINK("https://www.linkedin.com/jobs/view/4376337654", "https://www.linkedin.com/jobs/view/4376337654")</f>
        <v/>
      </c>
      <c r="F152">
        <f>HYPERLINK("https://nvidia.wd5.myworkdayjobs.com/NVIDIAExternalCareerSite/job/US-CA-Santa-Clara/Senior-Software-Engineer\u002d\u002dAI-Web-Products_JR2013475?source=jobboardlinkedin&amp;urlHash=pc-Z", "https://nvidia.wd5.myworkdayjobs.com/NVIDIAExternalCareerSite/job/US-CA-Santa-Clara/Senior-Software-Engineer\u002d\u002dAI-Web-Products_JR2013475?source=jobboardlinkedin&amp;urlHash=pc-Z")</f>
        <v/>
      </c>
      <c r="G152" t="inlineStr">
        <is>
          <t>California, United States</t>
        </is>
      </c>
      <c r="H152" t="inlineStr"/>
      <c r="I15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53">
      <c r="A153" t="inlineStr">
        <is>
          <t>li-4376343353</t>
        </is>
      </c>
      <c r="B153" t="inlineStr">
        <is>
          <t>Senior Software Engineer, AI Web Products, Senior Software Engineer, AI Web Products</t>
        </is>
      </c>
      <c r="C153" t="inlineStr">
        <is>
          <t>NVIDIA</t>
        </is>
      </c>
      <c r="D153" t="inlineStr">
        <is>
          <t>linkedin</t>
        </is>
      </c>
      <c r="E153">
        <f>HYPERLINK("https://www.linkedin.com/jobs/view/4376343353", "https://www.linkedin.com/jobs/view/4376343353")</f>
        <v/>
      </c>
      <c r="F153">
        <f>HYPERLINK("https://nvidia.wd5.myworkdayjobs.com/NVIDIAExternalCareerSite/job/US-CA-Santa-Clara/Senior-Software-Engineer\u002d\u002dAI-Web-Products_JR2013475?source=jobboardlinkedin&amp;urlHash=pc-Z", "https://nvidia.wd5.myworkdayjobs.com/NVIDIAExternalCareerSite/job/US-CA-Santa-Clara/Senior-Software-Engineer\u002d\u002dAI-Web-Products_JR2013475?source=jobboardlinkedin&amp;urlHash=pc-Z")</f>
        <v/>
      </c>
      <c r="G153" t="inlineStr">
        <is>
          <t>Santa Clara, CA</t>
        </is>
      </c>
      <c r="H153" t="inlineStr"/>
      <c r="I15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54">
      <c r="A154" t="inlineStr">
        <is>
          <t>li-4376322776</t>
        </is>
      </c>
      <c r="B154" t="inlineStr">
        <is>
          <t>Software Engineer II</t>
        </is>
      </c>
      <c r="C154" t="inlineStr">
        <is>
          <t>Microsoft</t>
        </is>
      </c>
      <c r="D154" t="inlineStr">
        <is>
          <t>linkedin</t>
        </is>
      </c>
      <c r="E154">
        <f>HYPERLINK("https://www.linkedin.com/jobs/view/4376322776", "https://www.linkedin.com/jobs/view/4376322776")</f>
        <v/>
      </c>
      <c r="F154">
        <f>HYPERLINK("https://apply.careers.microsoft.com/careers/job/1970393556638298?utm_source=linkedin&amp;domain=microsoft.com&amp;src=LinkedIn&amp;urlHash=ASxS", "https://apply.careers.microsoft.com/careers/job/1970393556638298?utm_source=linkedin&amp;domain=microsoft.com&amp;src=LinkedIn&amp;urlHash=ASxS")</f>
        <v/>
      </c>
      <c r="G154" t="inlineStr">
        <is>
          <t>Redmond, WA</t>
        </is>
      </c>
      <c r="H154" t="inlineStr"/>
      <c r="I154" t="inlineStr">
        <is>
          <t>**Overview**
 We are looking for a Software Engineer II to join Microsoft Specialized Clouds! Microsoft Specialized Clouds (MSC) is at the forefront of delivering industry\-leading cloud and edge capabilities for customers with advanced sovereignty, security, and compliance needs. Our mission is to build and operate platforms that enable Microsoft’s edge vision, serving regulated industries, governments, and organizations worldwide.
 As part of MSC, you’ll work with a globally distributed team of engineers, architects, program managers, product managers, UX researchers, and designers who thrive on solving complex challenges at scale. We design and deliver specialized workloads, adaptive cloud solutions, and sovereign environments that empower customers to achieve more—securely and efficiently.
 Microsoft Specialized Clouds engineering team is looking to hire talented and highly motivated Software Engineers to be on point for designing and implementing the next\-generation Specialized Clouds products and services for customers across the globe. This person will need to be solid technically, with in\-depth knowledge and experience in analyzing data and requirements, designing, developing and releasing services or products to end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solid technically, with in\-depth knowledge and experience in developing distributed cloud services and a good understanding of Operating Systems.
* Contribute as an individual contributor while fostering the team culture, helping plan and prioritize work and be accountable for world\-class cloud service.
* Design and implement scalable, highly available services
* Drive the implementation and execution to bring the vision to life.
* Apply agile methodologies with a focus on efficiency, iterating quickly and continuous learning.
* Write scalable, maintainable and efficient code following best practices.
**Qualifications**
**Required Qualifications:**
* Bachelor's Degree in Computer Science, or related technical discipline AND 2\+ years technical engineering experience with coding in languages including, but not limited to, C, C\+\+, C\#, Java, JavaScript, or Python
+ OR equivalent experience.
* 1\+ years of experience in programming, design and problem\-solving skills, with a solid bias for quality and engineering excellence
* 1\+ year of experience with modern software development and/or micro service technologies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Demonstrated ability to learn and grasps concepts quickly in a fast\-paced environment.
* Experience identifying and resolving technical issues in production and development environments.
* Hands\-on experience with Microsoft Azure or other cloud platforms.
* Practical programming experience in GoLang/C\# Languages with Data Structures and Algorithms.
* Experience with containers and Kubernetes.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5">
      <c r="A155" t="inlineStr">
        <is>
          <t>li-4376333812</t>
        </is>
      </c>
      <c r="B155" t="inlineStr">
        <is>
          <t>Software Developer - REMOTE</t>
        </is>
      </c>
      <c r="C155" t="inlineStr">
        <is>
          <t>Jobgether</t>
        </is>
      </c>
      <c r="D155" t="inlineStr">
        <is>
          <t>linkedin</t>
        </is>
      </c>
      <c r="E155">
        <f>HYPERLINK("https://www.linkedin.com/jobs/view/4376333812", "https://www.linkedin.com/jobs/view/4376333812")</f>
        <v/>
      </c>
      <c r="F155" t="inlineStr"/>
      <c r="G155" t="inlineStr">
        <is>
          <t>Florida, United States</t>
        </is>
      </c>
      <c r="H155" t="inlineStr"/>
      <c r="I155"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6">
      <c r="A156" t="inlineStr">
        <is>
          <t>li-4376339547</t>
        </is>
      </c>
      <c r="B156" t="inlineStr">
        <is>
          <t>Senior Software Engineer, AI Web Products, Senior Software Engineer, AI Web Products</t>
        </is>
      </c>
      <c r="C156" t="inlineStr">
        <is>
          <t>NVIDIA</t>
        </is>
      </c>
      <c r="D156" t="inlineStr">
        <is>
          <t>linkedin</t>
        </is>
      </c>
      <c r="E156">
        <f>HYPERLINK("https://www.linkedin.com/jobs/view/4376339547", "https://www.linkedin.com/jobs/view/4376339547")</f>
        <v/>
      </c>
      <c r="F156" t="inlineStr"/>
      <c r="G156" t="inlineStr">
        <is>
          <t>Washington, United States</t>
        </is>
      </c>
      <c r="H156" t="inlineStr"/>
      <c r="I15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57">
      <c r="A157" t="inlineStr">
        <is>
          <t>li-4376339486</t>
        </is>
      </c>
      <c r="B157" t="inlineStr">
        <is>
          <t>Software Engineer - Remote Opportunity</t>
        </is>
      </c>
      <c r="C157" t="inlineStr">
        <is>
          <t>Jobgether</t>
        </is>
      </c>
      <c r="D157" t="inlineStr">
        <is>
          <t>linkedin</t>
        </is>
      </c>
      <c r="E157">
        <f>HYPERLINK("https://www.linkedin.com/jobs/view/4376339486", "https://www.linkedin.com/jobs/view/4376339486")</f>
        <v/>
      </c>
      <c r="F157" t="inlineStr"/>
      <c r="G157" t="inlineStr">
        <is>
          <t>Maine, United States</t>
        </is>
      </c>
      <c r="H157" t="inlineStr"/>
      <c r="I157"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8">
      <c r="A158" t="inlineStr">
        <is>
          <t>li-4376338587</t>
        </is>
      </c>
      <c r="B158" t="inlineStr">
        <is>
          <t>Remote Full Stack Software Engineer</t>
        </is>
      </c>
      <c r="C158" t="inlineStr">
        <is>
          <t>Jobgether</t>
        </is>
      </c>
      <c r="D158" t="inlineStr">
        <is>
          <t>linkedin</t>
        </is>
      </c>
      <c r="E158">
        <f>HYPERLINK("https://www.linkedin.com/jobs/view/4376338587", "https://www.linkedin.com/jobs/view/4376338587")</f>
        <v/>
      </c>
      <c r="F158">
        <f>HYPERLINK("https://jobs.lever.co/jobgether/9683c635-e132-44e2-9c7e-3f1286f4f9d9/apply?source=LinkedIn&amp;urlHash=dfqK", "https://jobs.lever.co/jobgether/9683c635-e132-44e2-9c7e-3f1286f4f9d9/apply?source=LinkedIn&amp;urlHash=dfqK")</f>
        <v/>
      </c>
      <c r="G158" t="inlineStr">
        <is>
          <t>Wisconsin, United States</t>
        </is>
      </c>
      <c r="H158" t="inlineStr"/>
      <c r="I158"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9">
      <c r="A159" t="inlineStr">
        <is>
          <t>li-4376351078</t>
        </is>
      </c>
      <c r="B159" t="inlineStr">
        <is>
          <t>Remote Software Engineer</t>
        </is>
      </c>
      <c r="C159" t="inlineStr">
        <is>
          <t>Jobgether</t>
        </is>
      </c>
      <c r="D159" t="inlineStr">
        <is>
          <t>linkedin</t>
        </is>
      </c>
      <c r="E159">
        <f>HYPERLINK("https://www.linkedin.com/jobs/view/4376351078", "https://www.linkedin.com/jobs/view/4376351078")</f>
        <v/>
      </c>
      <c r="F159" t="inlineStr"/>
      <c r="G159" t="inlineStr">
        <is>
          <t>Arizona, United States</t>
        </is>
      </c>
      <c r="H159" t="inlineStr"/>
      <c r="I159"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0">
      <c r="A160" t="inlineStr">
        <is>
          <t>li-4376328977</t>
        </is>
      </c>
      <c r="B160" t="inlineStr">
        <is>
          <t>Remote Software Engineer Position</t>
        </is>
      </c>
      <c r="C160" t="inlineStr">
        <is>
          <t>Jobgether</t>
        </is>
      </c>
      <c r="D160" t="inlineStr">
        <is>
          <t>linkedin</t>
        </is>
      </c>
      <c r="E160">
        <f>HYPERLINK("https://www.linkedin.com/jobs/view/4376328977", "https://www.linkedin.com/jobs/view/4376328977")</f>
        <v/>
      </c>
      <c r="F160" t="inlineStr"/>
      <c r="G160" t="inlineStr">
        <is>
          <t>Michigan, United States</t>
        </is>
      </c>
      <c r="H160" t="inlineStr"/>
      <c r="I160"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1">
      <c r="A161" t="inlineStr">
        <is>
          <t>li-4376349143</t>
        </is>
      </c>
      <c r="B161" t="inlineStr">
        <is>
          <t>Remote Backend Engineer</t>
        </is>
      </c>
      <c r="C161" t="inlineStr">
        <is>
          <t>Jobgether</t>
        </is>
      </c>
      <c r="D161" t="inlineStr">
        <is>
          <t>linkedin</t>
        </is>
      </c>
      <c r="E161">
        <f>HYPERLINK("https://www.linkedin.com/jobs/view/4376349143", "https://www.linkedin.com/jobs/view/4376349143")</f>
        <v/>
      </c>
      <c r="F161" t="inlineStr"/>
      <c r="G161" t="inlineStr">
        <is>
          <t>North Carolina, United States</t>
        </is>
      </c>
      <c r="H161" t="inlineStr"/>
      <c r="I161"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2">
      <c r="A162" t="inlineStr">
        <is>
          <t>li-4376335746</t>
        </is>
      </c>
      <c r="B162" t="inlineStr">
        <is>
          <t>Software Engineer (REMOTE)</t>
        </is>
      </c>
      <c r="C162" t="inlineStr">
        <is>
          <t>Jobgether</t>
        </is>
      </c>
      <c r="D162" t="inlineStr">
        <is>
          <t>linkedin</t>
        </is>
      </c>
      <c r="E162">
        <f>HYPERLINK("https://www.linkedin.com/jobs/view/4376335746", "https://www.linkedin.com/jobs/view/4376335746")</f>
        <v/>
      </c>
      <c r="F162">
        <f>HYPERLINK("https://jobs.lever.co/jobgether/dbca1dfe-a661-4af3-966d-fc637420e270/apply?source=LinkedIn&amp;urlHash=w1IL", "https://jobs.lever.co/jobgether/dbca1dfe-a661-4af3-966d-fc637420e270/apply?source=LinkedIn&amp;urlHash=w1IL")</f>
        <v/>
      </c>
      <c r="G162" t="inlineStr">
        <is>
          <t>Texas, United States</t>
        </is>
      </c>
      <c r="H162" t="inlineStr"/>
      <c r="I162"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3">
      <c r="A163" t="inlineStr">
        <is>
          <t>li-4376339542</t>
        </is>
      </c>
      <c r="B163" t="inlineStr">
        <is>
          <t>Senior Software Engineer, AI Web Products, Senior Software Engineer, AI Web Products</t>
        </is>
      </c>
      <c r="C163" t="inlineStr">
        <is>
          <t>NVIDIA</t>
        </is>
      </c>
      <c r="D163" t="inlineStr">
        <is>
          <t>linkedin</t>
        </is>
      </c>
      <c r="E163">
        <f>HYPERLINK("https://www.linkedin.com/jobs/view/4376339542", "https://www.linkedin.com/jobs/view/4376339542")</f>
        <v/>
      </c>
      <c r="F163">
        <f>HYPERLINK("https://nvidia.wd5.myworkdayjobs.com/NVIDIAExternalCareerSite/job/US-CA-Santa-Clara/Senior-Software-Engineer\u002d\u002dAI-Web-Products_JR2013475?source=jobboardlinkedin&amp;urlHash=pc-Z", "https://nvidia.wd5.myworkdayjobs.com/NVIDIAExternalCareerSite/job/US-CA-Santa-Clara/Senior-Software-Engineer\u002d\u002dAI-Web-Products_JR2013475?source=jobboardlinkedin&amp;urlHash=pc-Z")</f>
        <v/>
      </c>
      <c r="G163" t="inlineStr">
        <is>
          <t>Colorado, United States</t>
        </is>
      </c>
      <c r="H163" t="inlineStr"/>
      <c r="I16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inquisitive and driven full\-time software engineers with a strong interest in building high\-quality, long\-lasting systems. The VLSI Productivity and Infrastructure team supports hundreds of chip design engineers by building internal tools and platforms that supercharge their everyday work. From build automation to machine learning, databases to web applications, and on\-prem compute to cloud workloads, this team handles it all.
**What You'll Be Doing**
* Design and develop innovative AI\-driven web products to solve big data challenges in chip design. Build high performance API's, data pipelines and backend services in a distributed systems environment.
* Own technical strategy for broad and complex challenges. Collaborate closely with product and engineering teams to translate high\-level requirements into actionable deliverables. Handle multiple tasks and adapt to changing priorities.
* Be an engineering generalist. Discover and build skills needed at different times to solve the problems at hand.
**What We Need To See**
* Bachelor’s degree in Computer Science, Engineering, or related field (or equivalent experience).
* 6\+ years of professional experience in full\-stack development.
* Strong fundamentals in data structures, algorithms and software design patterns.
* Experience building web apps with modern frameworks, tooling and design libraries (ReactJS preferred).
* Experience building scalable API’s and backend systems (NodeJS and/or Python preferred).
* Background with data storage solutions and query optimization approaches (e.g. MySQL, MongoDB, Elasticsearch, AWS S3, etc.).
**Ways To Stand Out From The Crowd**
* A passion for well\-written code, test\-driven development and engineering best practices.
* Strong problem solving and interpersonal skills, self\-motivated, and a team player.
* Strong ability to build functional and intuitive user experiences.
* A zeal to learn and perform beyond prior experience and expertise.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JR2013475</t>
        </is>
      </c>
    </row>
    <row r="164">
      <c r="A164" t="inlineStr">
        <is>
          <t>li-4376342333</t>
        </is>
      </c>
      <c r="B164" t="inlineStr">
        <is>
          <t>Software Engineer - Remote Work</t>
        </is>
      </c>
      <c r="C164" t="inlineStr">
        <is>
          <t>Jobgether</t>
        </is>
      </c>
      <c r="D164" t="inlineStr">
        <is>
          <t>linkedin</t>
        </is>
      </c>
      <c r="E164">
        <f>HYPERLINK("https://www.linkedin.com/jobs/view/4376342333", "https://www.linkedin.com/jobs/view/4376342333")</f>
        <v/>
      </c>
      <c r="F164" t="inlineStr"/>
      <c r="G164" t="inlineStr">
        <is>
          <t>Massachusetts, United States</t>
        </is>
      </c>
      <c r="H164" t="inlineStr"/>
      <c r="I164"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2026-02-22T04:36:49Z</dcterms:created>
  <dcterms:modified xsi:type="dcterms:W3CDTF">2026-02-22T04:36:49Z</dcterms:modified>
</cp:coreProperties>
</file>