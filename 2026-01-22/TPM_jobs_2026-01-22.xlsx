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in-bdb12f34095abd6a</t>
        </is>
      </c>
      <c r="B2" t="inlineStr">
        <is>
          <t>Program Manager</t>
        </is>
      </c>
      <c r="C2" t="inlineStr">
        <is>
          <t>Newton Design, LLC</t>
        </is>
      </c>
      <c r="D2" t="inlineStr">
        <is>
          <t>indeed</t>
        </is>
      </c>
      <c r="E2">
        <f>HYPERLINK("https://www.indeed.com/viewjob?jk=bdb12f34095abd6a", "https://www.indeed.com/viewjob?jk=bdb12f34095abd6a")</f>
        <v/>
      </c>
      <c r="F2">
        <f>HYPERLINK("http://www.indeed.com/job/program-manager-bdb12f34095abd6a", "http://www.indeed.com/job/program-manager-bdb12f34095abd6a")</f>
        <v/>
      </c>
      <c r="G2" t="inlineStr">
        <is>
          <t>Catoosa, OK, US</t>
        </is>
      </c>
      <c r="H2" s="2" t="n">
        <v>46044</v>
      </c>
      <c r="I2" t="inlineStr">
        <is>
          <t>We are growing and looking for an accomplished and self\-motivated Program Manager to lead multi\-disciplinary teams designing, implementing, and maintaining our products and systems. The Program Manager will work across a variety of functional groups that are directly responsible for proposals, engineering, product development, manufacturing, and implementation.
**Responsibilities and Duties:** 
The Program Manager is a leadership role at Newton Design, encompassing the following job responsibilities:
· Oversees, leads, and manages a portfolio of projects and/or programs, serving as the primary point of contact with customers and internal team members.
· Builds and maintains relationships with customers, suppliers, and internal team members while maintaining effective and open communication.
· Develops and executes program plans, including time\-phased spend plans, schedules, and budgets, while continually assessing and adjusting plans and execution to achieve desired program outcomes and contractual obligations.
· Evaluates, directs, and approves changes that substantially impact program scope, schedule, and budget.
· Creates and presents program related proposals, reports, findings, plans, and projections to internal and external stakeholders.
· Resolves escalated issues arising from customers, operations, and/or production.
· Proposes solutions, budgets, and schedules for various projects and new business opportunities.
· Provides input to company strategic decisions, including policies, standards, tools, and procedures.
**Preferred Qualifications:** 
The ideal candidate is a technically adept leader and excellent communicator capable of working through multi\-faceted challenges and employing practical solutions. Remote work candidates are not being considered.
**Requirements:**
* Proficiency in Microsoft Project.
* Proficiency in common personal computer productivity software, including Microsoft Office suite of tools, is required.
* Domestic and international travel may be required.
* 3\+ years of experience with aircraft simulation devices and government contracting; previous experience as a program manager is strongly preferred.
* PMP® Certification a plus
* Working knowledge of DoD acquisition process and systems engineering fundamentals.
**Additional Information:**
* MUST BE A U.S. CITIZEN
* · Must be able to work occasional overtime, weekends, holidays, or night shifts.
Job Type: Full\-time
Pay: $74,000\.00 \- $116,000\.00 per year
Benefits:
* 401(k)
* Dental insurance
* Health insurance
* Life insurance
* Paid time off
* Vision insurance
Application Question(s):
* Are you a US Citizen?
* Are you a Dual Citizen?
* Are you willing to work occasional overtime, weekends, holidays, or night shifts?
Experience:
* Program management: 2 years (Required)
Ability to Commute:
* Catoosa, OK 74015 (Required)
Work Location: In person</t>
        </is>
      </c>
    </row>
    <row r="3">
      <c r="A3" t="inlineStr">
        <is>
          <t>in-38c69777527151d1</t>
        </is>
      </c>
      <c r="B3" t="inlineStr">
        <is>
          <t>NPI Program Manager</t>
        </is>
      </c>
      <c r="C3" t="inlineStr">
        <is>
          <t>Global Partner Solutions</t>
        </is>
      </c>
      <c r="D3" t="inlineStr">
        <is>
          <t>indeed</t>
        </is>
      </c>
      <c r="E3">
        <f>HYPERLINK("https://www.indeed.com/viewjob?jk=38c69777527151d1", "https://www.indeed.com/viewjob?jk=38c69777527151d1")</f>
        <v/>
      </c>
      <c r="F3">
        <f>HYPERLINK("http://www.indeed.com/job/npi-program-manager-38c69777527151d1", "http://www.indeed.com/job/npi-program-manager-38c69777527151d1")</f>
        <v/>
      </c>
      <c r="G3" t="inlineStr">
        <is>
          <t>Stockton, CA, US</t>
        </is>
      </c>
      <c r="H3" s="2" t="n">
        <v>46044</v>
      </c>
      <c r="I3" t="inlineStr">
        <is>
          <t>**Position Overview**
The Supplier Readiness Specialist plays a critical on‑site role in ensuring a new aerospace supplier is fully prepared to manufacture complex wing panel assemblies. This independent contractor position requires a highly driven operations professional with strong cross‑functional understanding of **engineering, quality, supply chain, and manufacturing readiness**.
This role serves as the “eyes and ears” on the ground—verifying that the supplier has the tools, equipment, BFE (Buyer Furnished Equipment), long‑lead materials, and over 100\+ part numbers required to execute production of fabricated metal parts (FMP). The ideal candidate is resourceful, persistent, and solutions‑oriented—someone who does not accept “no” as a final answer and is willing to dig into the details to remove roadblocks and ensure supplier success.
**Key Responsibilities**
**Supplier Assessment \&amp; Development**
* **Conduct on‑site readiness evaluations** of supplier capacity, tooling, equipment, BFE, long‑lead materials, and overall operational preparedness.
* **Assess manufacturing, quality, and supply chain processes** to determine capability to produce wing panel assemblies.
* **Identify risks, gaps, and constraints** that may impact schedule, quality, or delivery performance.
* **Verify availability and status of 100\+ part numbers** including fabricated metal parts (FMP) and long‑lead components.
**Performance Monitoring \&amp; Reporting**
* **Develop clear, actionable readiness and assessment reports** summarizing findings, risks, and required actions.
* **Track supplier progress against milestones** and escalate issues impacting schedule or quality.
* **Establish and monitor KPIs** to measure supplier readiness and performance improvement.
**Corrective Action \&amp; Process Improvement**
* **Create and drive corrective action plans** to close readiness gaps and resolve production barriers.
* **Support improvements in production planning and SIOP** to ensure material availability and schedule alignment.
* **Apply Lean, RCCA, and continuous improvement methods** to strengthen supplier capability and throughput.
**Project Management \&amp; Cross‑Functional Collaboration**
* **Serve as the primary liaison** between the supplier and internal engineering, procurement, and quality teams.
* **Facilitate issue resolution** across technical, quality, and supply chain functions.
* **Coordinate logistics, expediting, and special processes** to ensure on‑time delivery of all required materials and tooling.
**Qualifications \&amp; Requirements**
* **Bachelor’s degree in Engineering, Supply Chain, or related field**
* **10\+ years of experience in supplier development, quality engineering, procurement, or supply chain**—aerospace strongly preferred
* **Deep knowledge of manufacturing processes and aerospace quality standards** (AS9100, ISO 9001, regulatory compliance)
* **Strong RCCA, risk mitigation, and problem‑solving skills**
* **Proficiency in Lean, Six Sigma, and continuous improvement**
* **Ability to manage multiple supplier initiatives** in a fast‑paced environment
* **Exceptional communication, negotiation, and leadership abilities**
* **Willingness to travel frequently** for on‑site supplier support
**Preferred Qualifications**
* **Experience with New Product Introduction (NPI)** and supplier qualification
* **Familiarity with ERP/MRP systems** (SAP, Oracle, etc.)
* **Lean/Six Sigma or Supplier Quality certifications**
Pay: $50\.00 \- $70\.00 per hour
Expected hours: 40\.0 per week
Application Question(s):
* Do you have experience with New Production Introduction and supplier Qualification?
Experience:
* Manufacturing: 7 years (Required)
* Lean Six Sigma: 5 years (Required)
Ability to Relocate:
* Stockton, CA 95206: Relocate before starting work (Required)
Work Location: In person</t>
        </is>
      </c>
    </row>
    <row r="4">
      <c r="A4" t="inlineStr">
        <is>
          <t>in-09da662f39eee98f</t>
        </is>
      </c>
      <c r="B4" t="inlineStr">
        <is>
          <t>Technical Program Manager</t>
        </is>
      </c>
      <c r="C4" t="inlineStr">
        <is>
          <t>Trio Labs, Inc.</t>
        </is>
      </c>
      <c r="D4" t="inlineStr">
        <is>
          <t>indeed</t>
        </is>
      </c>
      <c r="E4">
        <f>HYPERLINK("https://www.indeed.com/viewjob?jk=09da662f39eee98f", "https://www.indeed.com/viewjob?jk=09da662f39eee98f")</f>
        <v/>
      </c>
      <c r="F4">
        <f>HYPERLINK("http://www.indeed.com/job/technical-program-manager-09da662f39eee98f", "http://www.indeed.com/job/technical-program-manager-09da662f39eee98f")</f>
        <v/>
      </c>
      <c r="G4" t="inlineStr">
        <is>
          <t>Morrisville, NC, US</t>
        </is>
      </c>
      <c r="H4" s="2" t="n">
        <v>46044</v>
      </c>
      <c r="I4" t="inlineStr">
        <is>
          <t>**Role Overview**
The Program Manager will play a central role in coordinating complex, multidisciplinary engineering and manufacturing programs as Trio Labs scales. This person will partner closely with cross‑functional leaders to ensure that product development, R\&amp;D initiatives, and manufacturing scale‑up efforts are executed with clarity, alignment, and predictable delivery.
The ideal candidate thrives in ambiguity, excels at building structure in fast‑changing environments, and communicates with precision and empathy. They bring a builder’s mindset, a systems‑level view, a passion for enabling teams to do their best work, and excitement in the technology program manager space.
**Key Responsibilities**
* **Drive cross‑functional program execution** by aligning engineering, R\&amp;D, manufacturing, and product teams around clear goals, timelines, and deliverables.
* **Develop and maintain program plans** including schedules, milestones, risk registers, and resource needs.
* **Facilitate communication and decision‑making** across technical and non‑technical stakeholders, ensuring transparency and alignment.
* **Identify and mitigate risks** proactively to keep programs on track and escalate issues when needed.
* **Implement scalable processes** for program tracking, reporting, and cross‑team collaboration as the organization grows.
* **Enable R\&amp;D productivity** by helping teams prioritize, sequence work, and translate development needs into actionable engineering plans.
* **Champion Trio Labs’ culture** of openness, constructive challenge, and collaborative problem‑solving.
**Qualifications**
* **B.S. Degree in engineering or a related technical field** (such as mechanical engineering, materials science, chemical engineering, or a closely related discipline) preferred; an advanced degree is a plus. \[DD1]
* **10\+ years\[DD2] of program or project management experience** in hardware, advanced manufacturing, medical devices, or related fields. Loves technology project management work.
* **Experience working with multidisciplinary engineering teams** (mechanical, materials, chemistry, electrical, software, manufacturing).
* **Strong organizational and planning skills** with the ability to manage multiple complex programs simultaneously.
* **Excellent communication abilities**—clear, concise, and effective across all levels of the organization.
* **Comfort operating in a fast‑paced startup environment** with evolving priorities and limited structure.
* **Advance Collaboration \&amp; Leadership**—experienced and effective at reconciling perspectives and priorities between executives, management, and individual teams and contributors. Aligning the entire organization on priorities, trade\-offs, acceptable risks, and the associated impacts to operating and commercial outcomes.
* **Familiarity with regulated product development** (e.g., medical devices) is a plus.
* **Technical curiosity and a systems mindset**—you need to love understanding how things work.
**What Success Looks Like**
* **Programs run smoothly** with clear ownership, predictable timelines, and minimal surprises.
* **Teams feel supported and unblocked** because communication is crisp and decisions happen quickly.
* **Processes scale with the company** rather than slow it down.
* **The organization stays aligned** even as complexity increases.
Job Type: Full\-time
Pay: $75,000\.00 \- $100,000\.00 per year
Benefits:
* 401(k)
* 401(k) matching
* Dental insurance
* Flexible spending account
* Health insurance
* Health savings account
* Life insurance
* Paid time off
* Retirement plan
* Vision insurance
Work Location: In person</t>
        </is>
      </c>
    </row>
    <row r="5">
      <c r="A5" t="inlineStr">
        <is>
          <t>in-e43798d6521a4058</t>
        </is>
      </c>
      <c r="B5" t="inlineStr">
        <is>
          <t>Rehabilitation Program Manager</t>
        </is>
      </c>
      <c r="C5" t="inlineStr">
        <is>
          <t>Driftwood Healthcare Center Santa Cruz</t>
        </is>
      </c>
      <c r="D5" t="inlineStr">
        <is>
          <t>indeed</t>
        </is>
      </c>
      <c r="E5">
        <f>HYPERLINK("https://www.indeed.com/viewjob?jk=e43798d6521a4058", "https://www.indeed.com/viewjob?jk=e43798d6521a4058")</f>
        <v/>
      </c>
      <c r="F5">
        <f>HYPERLINK("https://jobs.apploi.com/view/e8jd58a71404?utm_campaign=integration&amp;utm_medium=job-board-feed&amp;utm_source=indeed-apply-feed", "https://jobs.apploi.com/view/e8jd58a71404?utm_campaign=integration&amp;utm_medium=job-board-feed&amp;utm_source=indeed-apply-feed")</f>
        <v/>
      </c>
      <c r="G5" t="inlineStr">
        <is>
          <t>Hayward, CA, US</t>
        </is>
      </c>
      <c r="H5" s="2" t="n">
        <v>46044</v>
      </c>
      <c r="I5" t="inlineStr">
        <is>
          <t>**Driftwood Healthcare Center\-Santa Cruz is hiring for a Rehabilitation Program Manager.****We value our management team and are committed to providing a professional and supportive work environment. We treat our residents and employees as part of our family.**
**Rehabilitation Program Manager Salary:****$104,00 \- $135,200****Full/Part Time**
**Sign\-on Bonus Available!**
**Rehabilitation Program Manager Benefits:**
* Medical insurance
* Dental insurance
* Vision insurance
* 401K
* PTO Package
* Referral Bonuses
* Relocation Reimbursement
* Management Training Program
**Rehabilitation Program Manager essential duties and****responsibilities****:**
* Maintain established standards for quality and principles of patient care.
* Supervises the scheduling of residents for therapy services.
* Manages therapy programs provided by Physical, Occupational, and Speech\-Language Pathology.
* Responsible for clinical performance for the rehabilitation department.
* Responsible for the financial performance of the rehabilitation department.
* Maintains confidentiality of patient records.
* Completes required forms and documents in accordance with company policy and state and/or federal regulations.
**Rehabilitation Program Manager Entry Qualifications and Skills:**
* Degree from an accredited school in Physical Therapy, Occupational Therapy, or Speech\-Language Pathology.
* Current valid state licensure as a PT, OT, or SLP where applicable.
* Three to Five years (3\-5\) clinical experience preferred.</t>
        </is>
      </c>
    </row>
    <row r="6">
      <c r="A6" t="inlineStr">
        <is>
          <t>in-face5b38ff688897</t>
        </is>
      </c>
      <c r="B6" t="inlineStr">
        <is>
          <t>Program Manager - Children's Emergency Shelter</t>
        </is>
      </c>
      <c r="C6" t="inlineStr">
        <is>
          <t>CCETN</t>
        </is>
      </c>
      <c r="D6" t="inlineStr">
        <is>
          <t>indeed</t>
        </is>
      </c>
      <c r="E6">
        <f>HYPERLINK("https://www.indeed.com/viewjob?jk=face5b38ff688897", "https://www.indeed.com/viewjob?jk=face5b38ff688897")</f>
        <v/>
      </c>
      <c r="F6">
        <f>HYPERLINK("http://www.indeed.com/job/program-manager-childrens-emergency-shelter-face5b38ff688897", "http://www.indeed.com/job/program-manager-childrens-emergency-shelter-face5b38ff688897")</f>
        <v/>
      </c>
      <c r="G6" t="inlineStr">
        <is>
          <t>Knoxville, TN, US</t>
        </is>
      </c>
      <c r="H6" s="2" t="n">
        <v>46044</v>
      </c>
      <c r="I6" t="inlineStr">
        <is>
          <t>Catholic Charities of East Tennessee (CCETN) is looking for a Program Leader for Children’s Emergency Shelter (CES) to guide staff and ensure high\-quality emergency care for children. This role ensures a safe, structured, and trauma\-informed environment while maintaining full compliance with state licensing, funding, and court requirements. The Program Leader supervises staff, manages program operations, and serves as a key liaison with courts, DCS, and community partners.
**Program Leadership and Operations**
* Plan, implement, and oversee daily operations of the Children’s Emergency Shelter in alignment with organizational mission and program goals
* Maintain and update the Program Policy and Procedure Manual
* Ensure program compliance with all licensing, regulatory, and funding requirements
* Maintain audit readiness and promptly address corrective actions
* Oversee facility safety, maintenance, and emergency preparedness
**Client Services and Compliance**
* Manage and oversee caseloads for all CES clients
* Review intake, discharge, and case documentation for accuracy and completeness
* Represent minors in Juvenile Court as required
* Maintain accurate documentation of services, outcomes, and funding compliance
**Financial and Grant Management**
* Develop and manage the annual program budget
* Ensure program operations remain within approved funding
* Complete grant reports, invoices, and required funder documentation accurately and on time
* Communicate with funders in accordance with grant agreements
**Staff Leadership and Supervision**
* Recruit, hire, train, supervise, and evaluate program staff and volunteers in collaboration with HR and program leadership
* Ensure appropriate staffing levels and on call coverage at all times
* Lead staff meetings, trainings, and team development efforts
**Community and Stakeholder Engagement**
* Serve as primary liaison to Juvenile Court, DCS, CPS, law enforcement, and referral partners
* Build and maintain strong community relationships to support program success
* Collaborate with Development staff on outreach, marketing, and fundraising efforts
**On\-Call Responsibilities**
* Participate in or coordinate 24/7 on\-call coverage for program emergencies
Requirements
* Ability to lift up to 40 pounds
* Valid driver’s license with F endorsement and clean driving record
* Flexibility to work occasional weekends, holidays, and alternate shifts
* Successful completion of all DCS required screenings including background checks, TB test, and medical clearance
* Willingness to travel as needed
* Commitment to ongoing training and certification requirements
* Support the teachings of the Catholic Church and ability to model the organization’s mission and values
* Regular, predictable on site attendance required
**Qualifications**
* Bachelor’s degree in Social Services or a related field required
* Minimum of 3 to 5 years of relevant experience
* Residential treatment or shelter program experience strongly preferred
* Waiver of degree requirements may be considered per DCS guidelines
* Proficiency in Microsoft Word, Excel, and Outlook
Pay: $48,500\.00 per year
Benefits:
* 401(k)
* 401(k) matching
* Dental insurance
* Employee assistance program
* Health insurance
* Health savings account
* Life insurance
* Paid time off
* Retirement plan
* Vision insurance
Education:
* Bachelor's (Required)
Experience:
* staff supervision: 3 years (Preferred)
Shift availability:
* Day Shift (Required)
Work Location: In person</t>
        </is>
      </c>
    </row>
    <row r="7">
      <c r="A7" t="inlineStr">
        <is>
          <t>in-b5a4759936ad194e</t>
        </is>
      </c>
      <c r="B7" t="inlineStr">
        <is>
          <t>Prevention Counseling Program Manager</t>
        </is>
      </c>
      <c r="C7" t="inlineStr">
        <is>
          <t>Center for Youth Services</t>
        </is>
      </c>
      <c r="D7" t="inlineStr">
        <is>
          <t>indeed</t>
        </is>
      </c>
      <c r="E7">
        <f>HYPERLINK("https://www.indeed.com/viewjob?jk=b5a4759936ad194e", "https://www.indeed.com/viewjob?jk=b5a4759936ad194e")</f>
        <v/>
      </c>
      <c r="F7">
        <f>HYPERLINK("https://centerforyouth.isolvedhire.com/jobs/1690444-358176.html", "https://centerforyouth.isolvedhire.com/jobs/1690444-358176.html")</f>
        <v/>
      </c>
      <c r="G7" t="inlineStr">
        <is>
          <t>Rochester, NY, US</t>
        </is>
      </c>
      <c r="H7" s="2" t="n">
        <v>46044</v>
      </c>
      <c r="I7" t="inlineStr">
        <is>
          <t>**The Center for Youth:** Started BY YOUTH FOR YOUTH. We partner with youth to realize their full potential, by creating opportunities, removing barriers and promoting social justice.
**Overview:**
The Counseling and Runaway and Homeless Youth (RHY) Department provides a continuum of essential services to the most vulnerable youth in our community, including prevention counseling, two crisis nurseries, an emergency shelter, permanent and transitional housing, a food and clothing pantry, street outreach, and support for minor victims of commercial sexual exploitation.
The RHY Prevention Counseling Program Manager is responsible for the management and supervision of the RHY Prevention Counselors, including Community Counselors, Triage Counselors, YouthFamily Counselors, and Safe Harbour Advocates. The Manager plays a leadership role in planning, prioritizing and evaluating services, team outreach activities and linkages with other providers/collaboratives/committees. The Manager will be responsible for the on\-going assessment of the team's service, identify expansion potential, assess community or catchment area needs and formulate possible responses. The Manager attends weekly Case Review and works closely with the other RHY Managers.
**Schedule:** Full Time. Must participate in the On\-Call Supervisor rotation (1 week, every 5\-6 weeks). This emergency response system is intended to provide after\-hours and weekend support to the 24\-hour residential and crisis programs.
**Responsibilities:**
* Review and Monitor OASAS contract objectives, as well as maintaining the New York State Safe Harbour database.
* Ongoing planning and program development specific to assessment, counseling, and outcomes
* Promote and develop effective linkages with community resources, providers, and systems
* Assesses the needs of youth and families served
* Assures compliance with record keeping, reporting, and evaluation requirements of the agency and funders
* Supervises, provides guidance, mentors, and evaluates the performance of Counselors and Advocates
* Hires, trains, orients, and mentors new counseling staff
* Coordinates and leads the team outreach activities
**Required Qualifications:**
* Master's Degree in Counseling, Human Services or related field AND 5 years' human service experience with supervisory experience OR equivalent
* *CPP/ ICPS/ CASAC certification or advanced training in chemical dependency prevention preferred*
* A valid drivers license
**Skills:**
* Strong knowledge of Chemical dependency and problem gambling prevention counseling
* Strong management and supervisory techniques
* Crisis intervention, case management, advocacy, and strength\-based problem solving and decision\-making models
* Strong knowledge of Adolescent development including: positive youth development, asset development, risk reduction and protective factors
* Knowledge of community resources
* Strong literacy and communication skills
**Pay Rate: $28\.50\- $29\.75 per hour**
* All Offers may be contingent on a Background check and Driving recordAutomobile insurance that meets agency insurance carrier requirements.
*The Center for Youth Provides Equal Employment Opportunities*</t>
        </is>
      </c>
    </row>
    <row r="8">
      <c r="A8" t="inlineStr">
        <is>
          <t>in-f48171acbe492133</t>
        </is>
      </c>
      <c r="B8" t="inlineStr">
        <is>
          <t>Program Manager- Developmental Disabilities Services</t>
        </is>
      </c>
      <c r="C8" t="inlineStr"/>
      <c r="D8" t="inlineStr">
        <is>
          <t>indeed</t>
        </is>
      </c>
      <c r="E8">
        <f>HYPERLINK("https://www.indeed.com/viewjob?jk=f48171acbe492133", "https://www.indeed.com/viewjob?jk=f48171acbe492133")</f>
        <v/>
      </c>
      <c r="F8">
        <f>HYPERLINK("https://jobs.apploi.com/view/1411267?utm_campaign=integration&amp;utm_medium=job-board-feed&amp;utm_source=indeed-apply-feed", "https://jobs.apploi.com/view/1411267?utm_campaign=integration&amp;utm_medium=job-board-feed&amp;utm_source=indeed-apply-feed")</f>
        <v/>
      </c>
      <c r="G8" t="inlineStr">
        <is>
          <t>OH, US</t>
        </is>
      </c>
      <c r="H8" s="2" t="n">
        <v>46044</v>
      </c>
      <c r="I8" t="inlineStr">
        <is>
          <t>The primary responsibility of this position will provide leadership and support the Home Coordinators and the Direct Support Professionals to ensure policies and procedures and delivery of services are consistent with agency mission and in accordance with contract requirements, state and federal regulations. In addition to ensuring the overall health and safety of our individual’s, the Program Manager also ensures the effective and efficient use of available resources and is responsible for overall management of program staff including the supervision style and effort for the retention of staff and continuity of care for the individuals. This position is on call 24/7\.
Essential Job Functions:
Staff/Team:
* Observe, monitor and coach House Coordinator Team and direct reports to assure consistency and compliance with ISP contract requirements, and agency policies not limited to the following areas, ISP, BSP, Outcome goals, etc.
* Collaborate with Quality Assurance to ensure quality of all services and establish systems and procedures to maintain quality and correct deficiencies.
* Facilitate positive communication between all staff and team members.
* Follow retention programs for all Home Coordinators and DSPs.
* Complete performance appraisal documents and meetings for all direct reports as directed.
* Ensure staff are trained within agency guidelines and training required by OAC.
* Attend and coordinator regular Site Team Meetings.
Individual:
* Review individual specific ISP, BSP and any other relative services that a individual is receiving or is eligible for to ensure compliance with contracts.
* Ensure development and maintenance of accurate and appropriate records and documentation for compliance with the program requirements, agency policy and ensure completion of all reports as required. (HPCs, QAs, LPS, etc.)
* Responds to complaints, grievances and appeals regarding individual services and escalate and effectively communicates as needed.
* Facilitates communication and coordination of care between individuals, family, and the support team.
* Comply with all DSP and Home Coordinators job responsibilities as necessary.
* Ensure follow up on all Quality Assurance reviews and medical reviews as required.
* Follow up on reviews of UI/MUI reports.</t>
        </is>
      </c>
    </row>
    <row r="9">
      <c r="A9" t="inlineStr">
        <is>
          <t>in-4e00511b622b108e</t>
        </is>
      </c>
      <c r="B9" t="inlineStr">
        <is>
          <t>Summer ESL YOUTH Camp Program Manager</t>
        </is>
      </c>
      <c r="C9" t="inlineStr">
        <is>
          <t>Converse International School of Languages</t>
        </is>
      </c>
      <c r="D9" t="inlineStr">
        <is>
          <t>indeed</t>
        </is>
      </c>
      <c r="E9">
        <f>HYPERLINK("https://www.indeed.com/viewjob?jk=4e00511b622b108e", "https://www.indeed.com/viewjob?jk=4e00511b622b108e")</f>
        <v/>
      </c>
      <c r="F9">
        <f>HYPERLINK("http://www.indeed.com/job/summer-esl-youth-camp-program-manager-4e00511b622b108e", "http://www.indeed.com/job/summer-esl-youth-camp-program-manager-4e00511b622b108e")</f>
        <v/>
      </c>
      <c r="G9" t="inlineStr">
        <is>
          <t>San Diego, CA, US</t>
        </is>
      </c>
      <c r="H9" s="2" t="n">
        <v>46044</v>
      </c>
      <c r="I9" t="inlineStr">
        <is>
          <t>**Please note the following:**
* Dates July 1 \- August 10 2025
* This position is an on\-campus overnight position. Room/Board included.
* 7/24 availability and working long hours during the course of the program (5 Weeks)
* On\-line Training on a Sat/Sun in early June
We are seeking a highly organized and experienced Camp Manager to oversee the operations of our summer camp program. As a Summer Junior Program Manager (JPM), you are responsible for the day\-to\-day operations of the ESL Camp and managing program staff, including Activity Leaders, Head Teachers, ESL Teachers, and Residence Advisors and prepare or supervise the preparation of payroll for every member of the staff of the Junior Program. Other duties include working with head office, assisting with transportation and logistics, activity development, student discipline, expense management and payroll, prepare/ supervise weekly expense reports. The JPM also assists with reviewing invoices from vendors and the final bill from the university as well as ensuring that departure surveys are completed by group leaders/ students. This is an on\-campus position meaning you will be living in the dorms arriving the week prior to the first intake date of students.
Principal duties and responsibilities (in addition to the above):
**Academics**
1\. Train, develop and supervise lead teacher/ teachers to implement the CISL English Junior Program (jointly with lead teacher). Supervise the head teacher in planning the weekly teaching schedule and use arrival and departure information on students to maximize efficiency through teacher/student ratio.
2\. Welcome new students and coordinate orientation and testing of new students on arrival.
3\. Ensures that the students are grouped in the appropriate English level.
4\. Prepare student grouping information in the Registrar System.
5\. Assist the Head Teacher in managing the academic resources and teaching facilities to ensure that books, teaching materials, videos, CDs and office supplies are available to support classroom activity and program in general.
6\. Ensure quality control of English program by monitoring and supervising teachers to make certain that they are delivering a challenging academic program.
7\. Classroom assignments
**Supervise Resident Coordinator (RC) in the following responsibilities:**
1\. Coordinate airport “meet \&amp; greet” for groups to transfer to the residence upon arrival.
2\. Ensure that CISL students receive a clean and comfortable room at the residence facilities designated.
3\. Conduct the room matching.
4\. Coordinate the rules and regulations with the group leaders and enforce them with the students, in cooperation with the designated residence authorities.
5\. Supervise and monitor the students’ Residence Hall daily, to ensure safety and compliance with the rules.
6\. Coordinate the daily meals, making sure that students are on time for the meals and maintaining daily accounting of meals consumed by students.
7\. Complete the necessary meal accounting documents daily, to be turned in to the coordinator at the end of each week.
**Train and supervise activity staff.**
1\. Supervise the planning and implementing of the Junior Activities Program in accordance with the Activities Calendar.
2\. Coordinate the advance ticket purchases and reservations for student activities with the activities coordinator as needed, making sure the best prices are also obtained, taking advantage of all discounts available.
3\. Ensure that bus passes are purchased and distributed to group leaders for distribution to students, in accordance with group agreements, as verified by the CISL office.
4\. Coordinate preparation of orientation packages containing program and activities information for Group Leaders and students.
5\. Manage Activities budget and maintain control of all expenses by completing a daily expense report and a weekly expense summary.
6\. Ensure that all the activities are conducted in a professional manner by always placing the safety and welfare of the students first.
7\. Other duties as assigned
**Requirements:**
* BA/BS
* ESL Academic background /certification.
* Experience working with teenagers in a camp or educational setting.
* Excellent communication and interpersonal skills
* Experience managing others.
* Strong organizational skills with the ability to multitask and prioritize responsibilities
* Willingness and readiness to work hard for 4 weeks
* Fingerprinting background check
If you are passionate about working with children and creating memorable summer experiences, we encourage you to apply for the position of Camp Manager. Please submit your resume along with a cover letter detailing your relevant experience. Only qualified candidates will be contacted for an interview.
Job Types: Full\-time, Contract, Temporary
Pay: $1,370\.00 per week
Work Location: In person</t>
        </is>
      </c>
    </row>
    <row r="10">
      <c r="A10" t="inlineStr">
        <is>
          <t>in-1d6ae3a91d6c904b</t>
        </is>
      </c>
      <c r="B10" t="inlineStr">
        <is>
          <t>Summer ESL YOUTH Camp Program Manager</t>
        </is>
      </c>
      <c r="C10" t="inlineStr">
        <is>
          <t>Converse International School of Languages</t>
        </is>
      </c>
      <c r="D10" t="inlineStr">
        <is>
          <t>indeed</t>
        </is>
      </c>
      <c r="E10">
        <f>HYPERLINK("https://www.indeed.com/viewjob?jk=1d6ae3a91d6c904b", "https://www.indeed.com/viewjob?jk=1d6ae3a91d6c904b")</f>
        <v/>
      </c>
      <c r="F10">
        <f>HYPERLINK("http://www.indeed.com/job/summer-esl-youth-camp-program-manager-1d6ae3a91d6c904b", "http://www.indeed.com/job/summer-esl-youth-camp-program-manager-1d6ae3a91d6c904b")</f>
        <v/>
      </c>
      <c r="G10" t="inlineStr">
        <is>
          <t>Berkeley, CA, US</t>
        </is>
      </c>
      <c r="H10" s="2" t="n">
        <v>46044</v>
      </c>
      <c r="I10" t="inlineStr">
        <is>
          <t>**Please note the following:**
* Location: University of California, Berkeley
* Dates June 23 \- August 10 2025
* This position is an on\-campus overnight position. Room/Board included.
* 7/24 availability and working long hours during the course of the program
* Weekend online required training in early June
We are seeking a highly organized and experienced Camp Manager to oversee the operations of our summer camp program. As a Summer Junior Program Manager (JPM), you are responsible for the day\-to\-day operations of the ESL Camp and managing program staff, including Activity Leaders, Head Teachers, ESL Teachers, and Residence Advisors and prepare or supervise the preparation of payroll for every member of the staff of the Junior Program. Other duties include working with head office, assisting with transportation and logistics, activity development, student discipline, expense management and payroll, prepare/ supervise weekly expense reports. The JPM also assists with reviewing invoices from vendors and the final bill from the university as well as ensuring that departure surveys are completed by group leaders/ students. This is an on\-campus position meaning you will be living in the dorms arriving the week prior to the first intake date of students.
Depending on the size of the program, this position may serve as the Academic Manager as well.
Principal duties and responsibilities (in addition to the above):
**Academics**
1\. Supervise Academic Manager (or perform the duties of the Academic Manager)/ lead teacher/ teachers to implement the English Junior Program (jointly with lead teacher). Supervise the head teacher in planning the weekly teaching schedule and use arrival and departure information on students to maximize efficiency through teacher/student ratio.
2\. Welcome new students and coordinate orientation and testing of new students on arrival.
3\. Ensures that the students are grouped in the appropriate English level.
4\. Prepare student grouping information in the Registrar System.
5\. Assist the Head Teacher in managing the academic resources and teaching facilities to ensure that books, teaching materials, videos, CDs and office supplies are available to support classroom activity and program in general.
6\. Ensure quality control of English program by monitoring and supervising teachers to make certain that they are delivering a challenging academic program.
7\. Classroom assignments
**Supervise Resident Coordinator (RC) in the following responsibilities:**
1\. Coordinate airport “meet \&amp; greet” for groups to transfer to the residence upon arrival.
2\. Ensure that CISL students receive a clean and comfortable room at the residence facilities designated.
3\. Conduct the room matching.
4\. Coordinate the rules and regulations with the group leaders and enforce them with the students, in cooperation with the designated residence authorities.
5\. Supervise and monitor the students’ Residence Hall daily, to ensure safety and compliance with the rules.
6\. Coordinate the daily meals, making sure that students are on time for the meals and maintaining daily accounting of meals consumed by students.
7\. Complete the necessary meal accounting documents daily, to be turned in to the coordinator at the end of each week.
**Train and supervise activity staff.**
1\. Supervise the planning and implementing of the Junior Activities Program in accordance with the Activities Calendar.
2\. Coordinate the advance ticket purchases and reservations for student activities with the activities coordinator as needed, making sure the best prices are also obtained, taking advantage of all discounts available.
3\. Ensure that bus passes are purchased and distributed to group leaders for distribution to students, in accordance with group agreements, as verified by the CISL office.
4\. Coordinate preparation of orientation packages containing program and activities information for Group Leaders and students.
5\. Manage Activities budget and maintain control of all expenses by completing a daily expense report and a weekly expense summary.
6\. Ensure that all the activities are conducted in a professional manner by always placing the safety and welfare of the students first.
7\. Other duties as assigned
**Requirements:**
* BA/BS
* ESL Academic background /certification.
* Experience working with teenagers in a camp or educational setting.
* Excellent communication and interpersonal skills.
* Experience managing others.
* Strong organizational skills with the ability to multitask and prioritize responsibilities.
* Willingness and readiness to work hard for 7 weeks
* Background check as you will be working with minors
If you are passionate about working with children and creating memorable summer experiences, we encourage you to apply for the position of Camp Manager. Please submit your resume along with a cover letter detailing your relevant experience. Only qualified candidates will be contacted for an interview.
Job Types: Full\-time, Contract, Temporary
Pay: $1,370\.00 per week
Work Location: In person</t>
        </is>
      </c>
    </row>
    <row r="11">
      <c r="A11" t="inlineStr">
        <is>
          <t>in-9babdc051677bccc</t>
        </is>
      </c>
      <c r="B11" t="inlineStr">
        <is>
          <t>Program Manager</t>
        </is>
      </c>
      <c r="C11" t="inlineStr">
        <is>
          <t>Housing Works</t>
        </is>
      </c>
      <c r="D11" t="inlineStr">
        <is>
          <t>indeed</t>
        </is>
      </c>
      <c r="E11">
        <f>HYPERLINK("https://www.indeed.com/viewjob?jk=9babdc051677bccc", "https://www.indeed.com/viewjob?jk=9babdc051677bccc")</f>
        <v/>
      </c>
      <c r="F11">
        <f>HYPERLINK("https://recruiting.ultipro.com/HOU1012HOUW/JobBoard/1bf12d6d-83cc-400b-8c20-2210c9595a27/OpportunityDetail?opportunityId=2a1b2377-0f08-4a9d-90d9-8e9c44dc2179&amp;postingId=48820f43-60b3-4f1f-b4ab-b8e8da9face9", "https://recruiting.ultipro.com/HOU1012HOUW/JobBoard/1bf12d6d-83cc-400b-8c20-2210c9595a27/OpportunityDetail?opportunityId=2a1b2377-0f08-4a9d-90d9-8e9c44dc2179&amp;postingId=48820f43-60b3-4f1f-b4ab-b8e8da9face9")</f>
        <v/>
      </c>
      <c r="G11" t="inlineStr">
        <is>
          <t>New York, NY, US</t>
        </is>
      </c>
      <c r="H11" s="2" t="n">
        <v>46044</v>
      </c>
      <c r="I11" t="inlineStr">
        <is>
          <t>**Compensation Range: $28/hr \- $31\.25/hr commensurate with experience.**
**Benefits:**
We have three comprehensive healthcare plans to choose from based on your priorities and budget. Housing Works covers most of the plan; you pay a portion, based on your salary. Staff begins accruing PTO immediately for a total of up to 30 days earned in the first year. We offer employees an educational benefit. This money is available for tuition loan reimbursement, tuition costs, and text books.
**Overview:**
The Program Manager is responsible for general oversight of service delivery to clients of the CCR program within the Prevention and Care Department across sites in Manhattan (Westside Health Center). The Program Manager will oversee the day\-to\-day operations of the program in Manhattan, including service coordination between all Manhattan\-based staff and routinely review staff caseloads. Leads, with support from the Program Director, all quality activities for Manhattan based services; and supervises the Care Coordinators, Patient Navigators, and the Outreach Specialists in Manhattan. The role reports to the Program Director. This position works collaboratively with a care team that includes the medical provider, client navigators, outreach staff/peers, nurse coordinator, and additional support and administrative staff. Utilizing a multidisciplinary care team approach in a primary care and community setting, team members work with a complex population that includes people who use drugs, people experiencing housing instability/homelessness, people with mental health issues, and others experiencing the effects of social and structural determinants of health. In addition to primary care, this position will collaborate with other Housing Works programs such as Youth and Prevention Services, OASAS Substance Use Treatment, and OMH Mental Health Care.
**Responsibilities:**
* Responsible for monitoring the service\-based aspects of the contract.
* Provide supervision to the department staff, including Navigators and Outreach Workers.
* Reviews/approves assessments, reassessments, care plans, PCSMs, self\-management assessments, and case conferences.
* Monitors programs’ enrollment and discharge trends to ensure retention and quality.
* Maintains staff scheduling to ensure adequate program coverage at all times.
* Collaborate with key stakeholders at each site, including leadership clinic staff, program staff to ensure effective communication and service delivery
* Ensure all client records are maintained in accordance with all state and federal laws, rules and regulations.
* Participates in the development and execution of Quality Improvement Initiatives in collaboration with the department and QI Team.
* Ensure high\-quality client experience by ensuring all client care is coordinated across Housing Works programs and addressing client issues and barriers to care as necessary
Other functions that may be required with this position include:
* Other duties that support programmatic goals as needed
* Participation in Housing Works supported advocacy events
**Requirements:**
* College degree required
* Experience with program management.
* Knowledge and experience with the dually diagnosed community of HIV/AIDS and mental illness.
* Knowledge and experience with state and local policies of NYC affecting persons living with mental illness, HIV/AIDS.
* Some Experience in program planning and program operations.
* Experience working with homeless populations and active substance users.
* Ability to supervise, manage and provide leadership to all staff members and trainees
* Demonstrated ability to work effectively independently, manage a team, and collaborate across departments, required
* Excellent written and verbal communication skills, required
* Strong managerial skills including communication, motivating employees, problem solving, and progressive discipline
* Commitment to maintaining the highest levels of confidentiality
* Demonstrated ability to build the trust and respect of patients, staff, colleagues, external contacts, and other Housing Works members
* Sensitivity to needs of culturally and linguistically diverse patient and employee population
* Demonstrated ability to meet or exceed the Service Excellence Standards of Housing Works
* Willingness and ability to work some evenings and weekends, as needed
* Demonstrated ability to utilize electronic medical records (EMRs)
Job candidates should be aware that scammers may pose as employers and create fake job postings in order to extract personal information from individuals for financial gain. Housing Works will never ask job candidates for personal information, such as social security numbers or bank account details, over the phone. If you suspect that a job posting may be fake or wish to confirm that a job posting from Housing Works is genuine, please contact us at recruitment@housingworks.org
Housing Works was founded in 1990; With a long\-term commitment to AIDS advocacy. Housing Works established New York State’s first harm reduction\-based, OASAS\-licensed outpatient drug treatment program. Other services include Health Home care management, behavioral health, and syringe exchange programs. A pioneer in the social entrepreneurship movement, Housing Works operates 10 high\-end thrift shops in Manhattan and Brooklyn and a much\-loved Bookstore Cafe in Soho. For more information, visit www.housingworks.org
Housing Works fights for funding and legislation to ensure that all people living with HIV/AIDS have access to quality housing, healthcare, HIV prevention, and treatment, among other lifesaving services.
Housing Works provides equal employment opportunities (EEO) to all employees and applicants for employment without regard to race, color, religion, sex, national origin, age, disability or genetics. In addition to federal law requirements. Housing Works complies with applicable state and local laws governing nondiscrimination in employment in every location in which the company has facilities. Housing Works also does not request prior salary information during the hiring process. This policy applies to all terms and conditions of employment, including recruiting, hiring, placement, promotion, termination, layoff, recall, transfer, leaves of absence, compensation and training.</t>
        </is>
      </c>
    </row>
    <row r="12">
      <c r="A12" t="inlineStr">
        <is>
          <t>in-f8f2a53ef1a6200f</t>
        </is>
      </c>
      <c r="B12" t="inlineStr">
        <is>
          <t>Technical Product Manager (Consultant)</t>
        </is>
      </c>
      <c r="C12" t="inlineStr">
        <is>
          <t>Syria Justice and Accountability Centre</t>
        </is>
      </c>
      <c r="D12" t="inlineStr">
        <is>
          <t>indeed</t>
        </is>
      </c>
      <c r="E12">
        <f>HYPERLINK("https://www.indeed.com/viewjob?jk=f8f2a53ef1a6200f", "https://www.indeed.com/viewjob?jk=f8f2a53ef1a6200f")</f>
        <v/>
      </c>
      <c r="F12">
        <f>HYPERLINK("http://www.indeed.com/job/technical-product-manager-consultant-f8f2a53ef1a6200f", "http://www.indeed.com/job/technical-product-manager-consultant-f8f2a53ef1a6200f")</f>
        <v/>
      </c>
      <c r="G12" t="inlineStr">
        <is>
          <t>Remote, US</t>
        </is>
      </c>
      <c r="H12" s="2" t="n">
        <v>46044</v>
      </c>
      <c r="I12" t="inlineStr">
        <is>
          <t>**Title:** Technical Product Manager (Consultant)
**Location:** Remote
**Reports To**: Legal Director
The Syria Justice and Accountability Centre (SJAC) is a Syrian human rights organization that pursues meaningful justice and accountability for crimes committed in Syria. SJAC’s database, Bayanat is an open\-source data management tool that SJAC created for storing and analyzing large amounts of data, including evidence of human rights violations.
SJAC will issue the selected candidate a six month consulting agreement with options to extend. Hours will vary, but SJAC anticipates the consultant will work 120\-140 hours per month.
**Position Summary**
***Purpose:*** Coordinate the development of SJAC’s database, Bayanat.
*SJAC is continuing to develop its open\-source database software, Bayanat, to increase its usability and security features. With increasing global need for a database like Bayanat, SJAC is committed to growing the pool of users for Bayanat as well as its capabilities. In order to continue implementing its tech project and further develop Bayanat, SJAC needs a Technical Product Manager to supervise Bayanat development. The Technical Product Manager will coordinate the planning and implementing tech development, meet with partners adopting Bayanat, and assist with managing funding and donor reporting.* The role focuses on coordination, prioritization, and delivery, working closely with technical leads on implementation and design decisions.
**General Duties and Responsibilities**
***Product Management***
* In consultation with SJAC management, developers, and end users, develop the overall product vision, strategy, and roadmap based on market research, user needs, and SJAC’s goals.
* Convert complex technical concepts and customer needs into clear, actionable requirements for the IT team.
* Support planning, designing, and implementing efficient strategies, workflows, and tools.
* Oversee and collaborate closely with designers and partners to continuously enhance Bayanat’s user experience.
* Manage Bayanat localization efforts and foster open\-source community engagement.
* Contribute to the documentation, coordination, and communication of SJAC’s cyber and data security policies, in collaboration with technical leads and SJAC management.
* Communicate with SJAC’s partners and contribute to efforts for wider adoption of Bayanat.
* Monitor development workflows, identify bottlenecks, and support the team in delivering high\-quality releases on schedule.
**Data Resource \&amp; Systems Administration**
* Manage and optimize the organization’s data resources, ensuring that information architecture supports both the Bayanat database and broader operational needs.
* Maintain a comprehensive inventory of all data resources, documenting data locations, access levels, and backup protocols to ensure institutional continuity.
* Oversee the management of digital accounts, serving as the primary administrator for organizational suites including Google Workspace and Microsoft 365\.
* Coordinate the provisioning and deprovisioning of user accounts, license allocation, and security settings across all enterprise platforms.
* Support the communication and implementation of SJAC’s cyber and data security policies in relation to these managed accounts.
***Development and Reporting***
* Contribute to brainstorming and planning for new business development and proposals, providing technical expertise.
* Draft grant proposals and assist with budgets related to Bayanat, providing realistic effort estimates and technical scope.
* Manage awards and subgrants with implementing partners.
* Communicate and coordinate with members of the SJAC Analysis, Investigations, and IT teams.
* Contribute monthly to SJAC’s Performance Monitoring and Evaluation Plan.
* Participate in regular team calls and collaborate using online teamwork tools.
***Deliverables***
* Product roadmap and quarterly development priorities.
* Prioritized backlog with user stories and acceptance criteria.
* Sprint plans, release notes, and progress reports.
* Up\-to\-date registry of organizational data resources and assets.
* Documented administration workflows for Google Suite, Microsoft Suite, and other digital platforms.
* Monthly audit reports of user access and account security status. Quarterly reports for donors and leadership.
* Partner outreach materials and adoption support documentation.
**Skills and Experience**
* University degree (advanced degree preferred) in Information Management, Computer Science, Systems Engineering, Computer Engineering, or related field.
* Deep understanding of the Syrian conflict associated human rights violations, and transitional justice processes.
* Arabic (Syrian dialect) and English proficiency, written and spoken.
* Experience working with mission\-oriented NGOs similar to SJAC.
* Experience in product coordination and development lifecycle management, with demonstrated ability to learn and apply UX principles and CI/CD practices.
* Familiarity with Agile/Scrum methodologies.
* Good knowledge of database systems and cloud platforms.
* Good understanding of AI and ML technologies.
* Experience contributing to open\-source projects, with a solid understanding of open\-source principles and licenses.
* Excellent team communication and collaboration skills; strong work ethic, commitment to accuracy, and ability to handle confidential information.
* Proven ability to work independently and as part of a team, demonstrating responsibility and sensitivity in dealing with diverse audiences.
SJAC is a diverse organization made up of 40\+ team members around the globe. We pride ourselves in our ability to implement programming that is inclusive and responsive to the needs of all Syrians, and believe that our own team’s diversity of viewpoints and experiences helps us to achieve that goal. We encourage all interested applicants to apply, regardless of race, religion, national origin, gender, gender identity, sexual orientation, disability, or age.
Candidates should send their CV, cover letter, and proposed hourly rate to hiring@syriaaccountability.org, subject line: Technical Product Manager. Applications will be reviewed on a rolling basis.
Pay: $1\.00 \- $2\.00 per hour
Expected hours: No more than 35\.0 per week
Work Location: Remote</t>
        </is>
      </c>
    </row>
    <row r="13">
      <c r="A13" t="inlineStr">
        <is>
          <t>in-0001ec302d463116</t>
        </is>
      </c>
      <c r="B13" t="inlineStr">
        <is>
          <t>Program Manager</t>
        </is>
      </c>
      <c r="C13" t="inlineStr">
        <is>
          <t>Valley Community Services</t>
        </is>
      </c>
      <c r="D13" t="inlineStr">
        <is>
          <t>indeed</t>
        </is>
      </c>
      <c r="E13">
        <f>HYPERLINK("https://www.indeed.com/viewjob?jk=0001ec302d463116", "https://www.indeed.com/viewjob?jk=0001ec302d463116")</f>
        <v/>
      </c>
      <c r="F13">
        <f>HYPERLINK("http://www.indeed.com/job/program-manager-0001ec302d463116", "http://www.indeed.com/job/program-manager-0001ec302d463116")</f>
        <v/>
      </c>
      <c r="G13" t="inlineStr">
        <is>
          <t>Bedford, PA, US</t>
        </is>
      </c>
      <c r="H13" s="2" t="n">
        <v>46044</v>
      </c>
      <c r="I13" t="inlineStr">
        <is>
          <t>Do you have student loan debt? Valley Community Services offers a college repayment program to all employees!
Valley Community Services is committed to providing the highest quality services to the people and families we serve. Every person in the agency from the Executive Director to the newest member of the direct service personnel must strive to adhere to the founding principle which requires that every minute of every day should be dedicated to providing the people we serve with a day better than the day before.
Valley Community Services supports people with Intellectual Disabilities with the ultimate goal of gaining independence and community integration.
We are seeking to hire a Program Manager for two group homes. One is located in Bedford, PA and the second is in Johnstown, PA. In this role you will be supervising the day to day operations of two group homes, staff, and residents.
If you are a caring and compassionate person, please join us in our goal of “Supporting People”.
**Qualifications:**
* Valid PA driver’s license
* High school diploma or GED equivalent
* Background checks
* Physical/Mantoux TB required
* Pre\-Employment Drug Testing
* Supervisory experience
**Benefits: (PT \&amp; FT Status) Once Eligible**
* Health, Vision \&amp; Dental Insurance
* Immediate Accrual of Vacation/Sick Time
* Nine overtime paid holidays for timed worked plus paid day off for birthday
* Disability, Life and other supplemental insurance available
* Student loan repayment program
* Optional retirement plan
Job Type: Full\-time
Pay: $43,680\.00 per year
Benefits:
* 401(k)
* Dental insurance
* Flexible schedule
* Health insurance
* Health savings account
* Life insurance
* Paid time off
* Vision insurance
Work Location: In person</t>
        </is>
      </c>
    </row>
    <row r="14">
      <c r="A14" t="inlineStr">
        <is>
          <t>in-0a9a169862e13510</t>
        </is>
      </c>
      <c r="B14" t="inlineStr">
        <is>
          <t>Corporate Health, Safety Environment Program Manager</t>
        </is>
      </c>
      <c r="C14" t="inlineStr">
        <is>
          <t>Morgan Corp.</t>
        </is>
      </c>
      <c r="D14" t="inlineStr">
        <is>
          <t>indeed</t>
        </is>
      </c>
      <c r="E14">
        <f>HYPERLINK("https://www.indeed.com/viewjob?jk=0a9a169862e13510", "https://www.indeed.com/viewjob?jk=0a9a169862e13510")</f>
        <v/>
      </c>
      <c r="F14">
        <f>HYPERLINK("https://jobs.ourcareerpages.com/job/974050?source=Indeed", "https://jobs.ourcareerpages.com/job/974050?source=Indeed")</f>
        <v/>
      </c>
      <c r="G14" t="inlineStr">
        <is>
          <t>Savannah, GA, US</t>
        </is>
      </c>
      <c r="H14" s="2" t="n">
        <v>46044</v>
      </c>
      <c r="I14" t="inlineStr">
        <is>
          <t>Position Overview:
The Corporate HSE Program Manager is a strategic leader responsible for the design, governance, and continuous  
improvement of Health, Safety \&amp; Environment (HSE) data systems, performance analytics, reporting frameworks,  
digital platforms, and safety management system (SMS).  
This role works with internal and external partners and contractors managing companywide construction projects.  
Responsible for the design, implementation, maintenance, and evaluation of identified Health, Safety \&amp;  
Environmental (HSE) programs including the complex analysis of data resulting from these programs.  
This position plays a vital role in advancing HSE digital transformation—leveraging enterprise platforms, analytics  
technologies, and predictive modeling to uncover hidden risks, strengthen culture, and support Morgan Corp’s  
Social Contract.
Key Responsibilities:
* Own and manage the tools, datasets, and processes for collecting, validating, analyzing, and presenting
HSE performance data (partnering with Information Technology). Technologies and digital platforms  
(Intelex, HCSS, SharePoint, DoneSafe, etc.).  
* Manage existing health, safety \&amp; environmental programs as well as analyze data to reduce risk in the
work environment. Dashboards, scorecards, and analytics in Power BI or equivalent tools to support the  
HSE function and business divisions.  
* Assit with accuracy, consistency, and correctness of HSE data used across the organization.
* Serves as a technical “expert” and provides technical support to internal and external stakeholders’
regarding compliance with health and safety regulations.  
* Recommends and designs new health, safety \&amp; environmental programs related to risk management and
hazard abatement.  
* Provide technical guidance and direction to other employees in support of producing high quality, timely
and cost\-effective solutions to ensure compliance with applicable Federal, State, and local regulations.  
* Build partnerships with groups, such as but not limited to those involved in Training \&amp; Development to
identify learning and development gaps, identify solutions and to foster development of all employees  
related to health and safety issues. Develop \&amp; deliver engaging, sustainable training materials on data and  
safety management systems. Items could include project orientation decks, site\-specific safety plans, and  
subcontractor onboarding documents.  
* Work as an individual contributor with substantial latitude for unreviewed action or decisions to lead
functional teams or projects.  
* Performs trending analysis to improve Environmental, Health and Safety performance by gathering data,
developing reports, identifying gaps, evaluating risk, and implementing process improvements and/or  
corrective actions to prevent reoccurrence.
* Participates in industrial conferences and benchmarks top performing organizations for program
improvements.  
* Provides project management services, including project coordination, contract administration, material
tracking, scheduling and cost monitoring on projects, project safety or site safety, and review with  
management.  
* Coordinate safety planning from award through demobilization, including Pre\-Mob checklists, crew
readiness, safety meetings, and permitting requirements (e.g., Dust Control, SWPPP, Noise, Haul Routes).  
* Monitor post\-incident reviews and assist in leading analyses in coordination with field leadership. Using
learning teams, High Energy Controls Assessments (HECA), and Safety Classification \&amp; Learning (SCL)  
Model.  
* Guiding teams, coordinating with cross\-functional teams, and monitoring progress to ensure milestones
are met.
Qualifications \&amp; Experience:
* Ten (10\+) years of experience in HSE roles within civil, utility, or industrial construction.
* Proficiency with Microsoft Office tools including Excel, PowerPoint, SharePoint, Teams, and Power BI.
* Operational experience managing digital systems and enterprise platforms (Intelex, HCSS, Power Bi, data
analytics, HSE programs, etc.).  
* Experience collaborating with subject matter experts to create training and capability\-building materials.
Experience leading safety audits, observations, or job safety analysis (JSAs) on projects and job sites.  
* Strong planning, organization, and time management skills with the ability to support internal end users.
Strong knowledge of OSHA 1910 and 1926 regulations.  
* Demonstrated ability to design dashboards, build data models, and perform visual analytics.
Representative type qualities during personal interactions. Oral and written communication skills with  
demonstrated ability to design and deliver reports.
Critical Competencies:
* Analytical mindset with the ability to translate data into meaningful insights.
* Effective communication and storytelling skills, especially in presenting technical information to non\-
technical audiences.  
* Stakeholder management and cross\-functional collaboration.
* Diligence with a commitment to high data quality.
* Continuous improvement orientation and initiative\-taking problem solving.
* Experience in HSE regulations, requirements, writing, and concepts.
* Planning, Organization and Time Management Skills to maintain a high\-level of customer service to
internal stakeholders (end users). Project \&amp; change management skills and experience are highly  
advantageous.  
* Successful completion of a board safety certification such as Certified Safety Professional (CSP), Certified
Industrial Hygienist (CIH) or Certified Hazardous Materials Manager (CHMM) is highly desired.  
Education  
* Degree in engineering, Computer Science, Business, Construction Management, Data Analytics, safety
engineering, Environmental Management, Occupational Safety and Health, Industrial Hygiene, or another  
equivalent technical field.
Why This Role Matters:  
The HSE discipline is undergoing digital transformation. With advancements in analytics, automation, and AI,  
organizations increasingly rely on high\-quality data to predict incidents, assess behavioral patterns, enhance  
training effectiveness, and prioritize safety interventions.  
In this environment, the Corporate HSE Manager plays a pivotal role—collecting, organizing, interpreting, and  
visualizing data that improves decision\-making, prevents incidents, strengthens safety culture, and drives  
environmental stewardship.
This role ensures the organization has the insights it needs to protect employees, prevent injuries, manage risks,  
and continuously improve HSE performance</t>
        </is>
      </c>
    </row>
    <row r="15">
      <c r="A15" t="inlineStr">
        <is>
          <t>in-3df3b3e73b5a4965</t>
        </is>
      </c>
      <c r="B15" t="inlineStr">
        <is>
          <t>Corporate Health, Safety Environment Program Manager</t>
        </is>
      </c>
      <c r="C15" t="inlineStr">
        <is>
          <t>Morgan Corp.</t>
        </is>
      </c>
      <c r="D15" t="inlineStr">
        <is>
          <t>indeed</t>
        </is>
      </c>
      <c r="E15">
        <f>HYPERLINK("https://www.indeed.com/viewjob?jk=3df3b3e73b5a4965", "https://www.indeed.com/viewjob?jk=3df3b3e73b5a4965")</f>
        <v/>
      </c>
      <c r="F15">
        <f>HYPERLINK("https://jobs.ourcareerpages.com/job/974040?source=Indeed", "https://jobs.ourcareerpages.com/job/974040?source=Indeed")</f>
        <v/>
      </c>
      <c r="G15" t="inlineStr">
        <is>
          <t>Raleigh, NC, US</t>
        </is>
      </c>
      <c r="H15" s="2" t="n">
        <v>46044</v>
      </c>
      <c r="I15" t="inlineStr">
        <is>
          <t>Description
Position Overview:
The Corporate HSE Program Manager is a strategic leader responsible for the design, governance, and continuous  
improvement of Health, Safety \&amp; Environment (HSE) data systems, performance analytics, reporting frameworks,  
digital platforms, and safety management system (SMS).  
This role works with internal and external partners and contractors managing companywide construction projects.  
Responsible for the design, implementation, maintenance, and evaluation of identified Health, Safety \&amp;  
Environmental (HSE) programs including the complex analysis of data resulting from these programs.  
This position plays a vital role in advancing HSE digital transformation—leveraging enterprise platforms, analytics  
technologies, and predictive modeling to uncover hidden risks, strengthen culture, and support Morgan Corp’s  
Social Contract.
Key Responsibilities:
* Own and manage the tools, datasets, and processes for collecting, validating, analyzing, and presenting
HSE performance data (partnering with Information Technology). Technologies and digital platforms  
(Intelex, HCSS, SharePoint, DoneSafe, etc.).  
* Manage existing health, safety \&amp; environmental programs as well as analyze data to reduce risk in the
work environment. Dashboards, scorecards, and analytics in Power BI or equivalent tools to support the  
HSE function and business divisions.  
* Assit with accuracy, consistency, and correctness of HSE data used across the organization.
* Serves as a technical “expert” and provides technical support to internal and external stakeholders’
regarding compliance with health and safety regulations.  
* Recommends and designs new health, safety \&amp; environmental programs related to risk management and
hazard abatement.  
* Provide technical guidance and direction to other employees in support of producing high quality, timely
and cost\-effective solutions to ensure compliance with applicable Federal, State, and local regulations.  
* Build partnerships with groups, such as but not limited to those involved in Training \&amp; Development to
identify learning and development gaps, identify solutions and to foster development of all employees  
related to health and safety issues. Develop \&amp; deliver engaging, sustainable training materials on data and  
safety management systems. Items could include project orientation decks, site\-specific safety plans, and  
subcontractor onboarding documents.  
* Work as an individual contributor with substantial latitude for unreviewed action or decisions to lead
functional teams or projects.  
* Performs trending analysis to improve Environmental, Health and Safety performance by gathering data,
developing reports, identifying gaps, evaluating risk, and implementing process improvements and/or  
corrective actions to prevent reoccurrence.
* Participates in industrial conferences and benchmarks top performing organizations for program
improvements.  
* Provides project management services, including project coordination, contract administration, material
tracking, scheduling and cost monitoring on projects, project safety or site safety, and review with  
management.  
* Coordinate safety planning from award through demobilization, including Pre\-Mob checklists, crew
readiness, safety meetings, and permitting requirements (e.g., Dust Control, SWPPP, Noise, Haul Routes).  
* Monitor post\-incident reviews and assist in leading analyses in coordination with field leadership. Using
learning teams, High Energy Controls Assessments (HECA), and Safety Classification \&amp; Learning (SCL)  
Model.  
* Guiding teams, coordinating with cross\-functional teams, and monitoring progress to ensure milestones
are met.
Qualifications \&amp; Experience:
* Ten (10\+) years of experience in HSE roles within civil, utility, or industrial construction.
* Proficiency with Microsoft Office tools including Excel, PowerPoint, SharePoint, Teams, and Power BI.
* Operational experience managing digital systems and enterprise platforms (Intelex, HCSS, Power Bi, data
analytics, HSE programs, etc.).  
* Experience collaborating with subject matter experts to create training and capability\-building materials.
Experience leading safety audits, observations, or job safety analysis (JSAs) on projects and job sites.  
* Strong planning, organization, and time management skills with the ability to support internal end users.
Strong knowledge of OSHA 1910 and 1926 regulations.  
* Demonstrated ability to design dashboards, build data models, and perform visual analytics.
Representative type qualities during personal interactions. Oral and written communication skills with  
demonstrated ability to design and deliver reports.
Critical Competencies:
* Analytical mindset with the ability to translate data into meaningful insights.
* Effective communication and storytelling skills, especially in presenting technical information to non\-
technical audiences.  
* Stakeholder management and cross\-functional collaboration.
* Diligence with a commitment to high data quality.
* Continuous improvement orientation and initiative\-taking problem solving.
* Experience in HSE regulations, requirements, writing, and concepts.
* Planning, Organization and Time Management Skills to maintain a high\-level of customer service to
internal stakeholders (end users). Project \&amp; change management skills and experience are highly  
advantageous.  
* Successful completion of a board safety certification such as Certified Safety Professional (CSP), Certified
Industrial Hygienist (CIH) or Certified Hazardous Materials Manager (CHMM) is highly desired.  
Education  
* Degree in engineering, Computer Science, Business, Construction Management, Data Analytics, safety
engineering, Environmental Management, Occupational Safety and Health, Industrial Hygiene, or another  
equivalent technical field.
Why This Role Matters:  
The HSE discipline is undergoing digital transformation. With advancements in analytics, automation, and AI,  
organizations increasingly rely on high\-quality data to predict incidents, assess behavioral patterns, enhance  
training effectiveness, and prioritize safety interventions.  
In this environment, the Corporate HSE Manager plays a pivotal role—collecting, organizing, interpreting, and  
visualizing data that improves decision\-making, prevents incidents, strengthens safety culture, and drives  
environmental stewardship.
This role ensures the organization has the insights it needs to protect employees, prevent injuries, manage risks,  
and continuously improve HSE performance
Additional Job Information</t>
        </is>
      </c>
    </row>
    <row r="16">
      <c r="A16" t="inlineStr">
        <is>
          <t>in-a9b490f5ceb17e22</t>
        </is>
      </c>
      <c r="B16" t="inlineStr">
        <is>
          <t>Regional Program Manager (Education)</t>
        </is>
      </c>
      <c r="C16" t="inlineStr">
        <is>
          <t>Junior Achievement of New Jersey</t>
        </is>
      </c>
      <c r="D16" t="inlineStr">
        <is>
          <t>indeed</t>
        </is>
      </c>
      <c r="E16">
        <f>HYPERLINK("https://www.indeed.com/viewjob?jk=a9b490f5ceb17e22", "https://www.indeed.com/viewjob?jk=a9b490f5ceb17e22")</f>
        <v/>
      </c>
      <c r="F16">
        <f>HYPERLINK("http://www.indeed.com/job/regional-program-manager-education-a9b490f5ceb17e22", "http://www.indeed.com/job/regional-program-manager-education-a9b490f5ceb17e22")</f>
        <v/>
      </c>
      <c r="G16" t="inlineStr">
        <is>
          <t>Edison, NJ, US</t>
        </is>
      </c>
      <c r="H16" s="2" t="n">
        <v>46044</v>
      </c>
      <c r="I16" t="inlineStr">
        <is>
          <t>Position Available: October 1, 2025
Compensation \&amp; Benefits: Salary / Full\-Time / Health Benefits / 401k / Career Advancement Opportunities
Work Hours: 8:30am to 4:30pm or 9:00am to 5:00pm
Junior Achievement of New Jersey’s mission is to inspire and prepare young people to succeed in a global economy. By bridging the business and education communities with hands\-on experiential programs focused on business, entrepreneurship, civic responsibility, career\-readiness, and financial literacy, JA aims to motivate, engage and inspire students to recognize the value and relevance of education; to make informed decisions about their own personal education and career pathways; and to equip students with the key career\-readiness skills that will drive success in any environment, and to invigorate innovative, creative, and entrepreneurial thinking among our youth.
Position Description
The Regional Program Manager implements and manages daily operations of JA learning experiences in their designated region for overall program strategy and in support of JANJ’s strategic plan. The position works with the President and other JANJ associates to increase public awareness within the region, assures program quality and expansion, establishes and stewards relationships with school districts, develops the regional yearly planning calendar, and maintains accurate records for data analysis and reporting.
Primary Responsibilities
* Oversee school outreach, registration, and program implementation in the designated region with emphasis on quality and quantity to meet annual regional impact goals.
* Secure required documentation and information from schools in a timely manner to support effective delivery of JA programs (i.e., student attendance, preparation level, etc.)
* Facilitate school and educator training and ongoing support to ensure partners receive the tools and information required to effectively implement JA programs in their classrooms.
* Manage inventory and distribution of student and educator in\-class curriculum and materials.
* Provide volunteer training and support for regional JA learning experiences to ensure quality, meaningful engagement.
* Collaborate with community partners and higher education institutions.
* Assure adherence to program implementation models and file all needed program variances.
* Other duties as assigned, which may include some early mornings, weeknights, and weekends.
Qualifications: Education \&amp; Experience
* Bachelor’s or associate degree preferred.
* Minimum 1 year of relevant experience in program or event management, business, customer service, or education.
* Strong written and oral communication skills, with ability to present to groups of educators, corporate/community volunteers, and students from urban and suburban school districts.
* Ability to perform and prioritize multiple tasks seamlessly with excellent attention to detail.
* Goal driven, self\-starter and team player who enjoys providing exceptional customer\-focused service.
* Punctual and reliable with collaboration and problem\-solving skills.
* Strong customer relationship management skills.
Physical Demands: The physical demands described below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walk, occasionally required to reach with hands and arms, continually required to talk or hear, occasionally required to bend, lift, or climb, frequently required to lift and carry light weights (25\-50 pounds), and specific vision abilities include: close vision, distance vision, and ability to adjust or focus.
This position description in no way states or implies that these are the only duties to be performed in this role. Employees are required to follow any other job duties required by their supervisor. This document does not create an employment contract, other than an “at\-will” relationship.
Job Type: Full\-time
Pay: $41,000\.00 \- $50,000\.00 per year
Benefits:
* 401(k) matching
* Dental insurance
* Employee assistance program
* Health insurance
* Life insurance
* Paid time off
* Vision insurance
Work Location: Hybrid remote in Edison, NJ 08837</t>
        </is>
      </c>
    </row>
    <row r="17">
      <c r="A17" t="inlineStr">
        <is>
          <t>in-cc9e476c2b804dfb</t>
        </is>
      </c>
      <c r="B17" t="inlineStr">
        <is>
          <t>Technical Product Manager III</t>
        </is>
      </c>
      <c r="C17" t="inlineStr">
        <is>
          <t>MAPFRE Insurance</t>
        </is>
      </c>
      <c r="D17" t="inlineStr">
        <is>
          <t>indeed</t>
        </is>
      </c>
      <c r="E17">
        <f>HYPERLINK("https://www.indeed.com/viewjob?jk=cc9e476c2b804dfb", "https://www.indeed.com/viewjob?jk=cc9e476c2b804dfb")</f>
        <v/>
      </c>
      <c r="F17">
        <f>HYPERLINK("https://jobs.mapfre.com/job/Webster-Technical-Product-Manager-III-MA-01570/1286269701/", "https://jobs.mapfre.com/job/Webster-Technical-Product-Manager-III-MA-01570/1286269701/")</f>
        <v/>
      </c>
      <c r="G17" t="inlineStr">
        <is>
          <t>Webster, MA, US</t>
        </is>
      </c>
      <c r="H17" s="2" t="n">
        <v>46043</v>
      </c>
      <c r="I17" t="inlineStr">
        <is>
          <t>**Summary:**
A Technical Product Manager understands customer needs and translate them to requirements. They work with engineers, architects ensuring that requirements are understood, and that implementation plans match expectations. A Technical Product Manager focuses on the technical aspects of product development, working closely with the engineering team to ensure technical feasibility and implementation. Oversee one or some projects and products for the company. They will also oversee all aspects of a project from defining its requirements to evaluating the finished product.
**Responsibilities:**
* Ensures all stages (ideation, development, launch, post\-launch) are well\-defined.
* Conducts market research and competitive analysis to identify product opportunities and market trends.
* Demonstrates the ability to communicate clearly either written or orally with customers, develop, management or peers.
* Conducts user research to understand user needs and translate them into product requirements.
* Partners with Tech leaders to define the technology roadmap, ensuring alignment with product strategy and business objectives.
* Creates clear and compelling product presentations tailored for consumption by technical and non\-technical audiences.
* Collaborates with Product Owners and business leaders to define product success metrics (KPIs), establish product vision, and communicate product impact to stakeholders at all levels.
* Develops and prioritizes the product backlog based on user needs, business value, and technical feasibility.
* Creates and maintains product documentation, including user guides, technical specifications, and release notes.
* Analyzes product usage data and user feedback to measure product performance against KPIs and identify areas for improvement.
* Leads and mentors other TPMs, providing feedback, and supporting their development.
* Stays up\-to\-date on industry trends, new technologies, and best practices in product management.
* Adheres to company policies and procedures as outlined in the Human Resources Policy Guide and follows departmental and functional area standards, rules, guidelines, processes, and policies as identified by management.
**Experience and Qualifications:**
* Bachelor's Degree in Computer Science, Engineering, Information Technology or a related field preferred.
* Experience in a technical field can be considered for candidates with a strong understanding of technology concepts.
* 8\+ years of experience in product management, with a focus on technical products.
* Strong expertise of Agile methodologies (e.g., Scrum, Kanban, SAFe, DAD, etc.).
* Expertise in user research methodologies (e.g., A/B testing, user journey mapping).
* Proficiency in product analytics tools and data analysis tools.
* Expertise in emerging technologies relevant to the insurance industry (e.g., AI, Blockchain, Gen AI).
* Excellent written and verbal communication skills, with the ability to tailor presentations for various audiences.
**Why Mapfre?**
As a global insurance leader with a strong local presence, we offer more than a job — we provide a purpose\-driven career where your growth, well\-being, and impact truly matter.
**Purpose \&amp; Culture:** Join a company built on trust, collaboration, and inclusion. Our values guide everything we do, creating a workplace where people feel respected and empowered.
**Comprehensive** **Benefits:** Enjoy competitive health coverage, retirement plans, paid time off, flexible work options, and lifestyle perks like employee discounts.
**Career Growth:** Advance your skills through tuition reimbursement, leadership programs, and internal mobility opportunities. Your development is our priority.
**Social Responsibility:** Contribute to meaningful initiatives through Fundación Mapfre, supporting communities and sustainability worldwide.
Pay Philosophy: The typical starting salary range for this role is determined by several factors including skills, experience, education, certifications, and location. Some roles at MAPFRE are eligible for commission and/or bonus earnings, in addition to salary, calculated based upon factors set forth in the compensation plan for the role.  
**Salary Range:** $105,000 \- $147,000  
*Thank you for considering MAPFRE Insurance as part of your career journey.*  
*We're proud to be rated "A" (Excellent) by A.M. Best Company. We offer property and casualty insurance, working with over 3,000 independent agents and brokers in 11 states.*  
*If you require an accommodation for a disability so that you may participate in the selection process, you are encouraged to contact the MAPFRE Insurance Talent Acquisition team at* *talentacquisition@mapfreusa.com**.*  
*We are proud to be an equal opportunity employer.*</t>
        </is>
      </c>
    </row>
    <row r="18">
      <c r="A18" t="inlineStr">
        <is>
          <t>in-e5bf181794150fca</t>
        </is>
      </c>
      <c r="B18" t="inlineStr">
        <is>
          <t>Senior Product Manager / SAP Treasury &amp; Finance Systems-3</t>
        </is>
      </c>
      <c r="C18" t="inlineStr">
        <is>
          <t>Realign</t>
        </is>
      </c>
      <c r="D18" t="inlineStr">
        <is>
          <t>indeed</t>
        </is>
      </c>
      <c r="E18">
        <f>HYPERLINK("https://www.indeed.com/viewjob?jk=e5bf181794150fca", "https://www.indeed.com/viewjob?jk=e5bf181794150fca")</f>
        <v/>
      </c>
      <c r="F18">
        <f>HYPERLINK("https://realign-llc.com/careers/job-details/IT80969SE-3", "https://realign-llc.com/careers/job-details/IT80969SE-3")</f>
        <v/>
      </c>
      <c r="G18" t="inlineStr">
        <is>
          <t>San Jose, CA, US</t>
        </is>
      </c>
      <c r="H18" s="2" t="n">
        <v>46043</v>
      </c>
      <c r="I18" t="inlineStr">
        <is>
          <t>Job Type: Contract
Job Category: IT
Job Description
**Job Title: Senior Product Manager – SAP Treasury \&amp; Finance Systems**  
**Location: San Jose CA**  
**Duration: Long term Contract**  
**ONSITE ROLE. \*\*\* LOCAL CANDIDATES ONLY\*\*\***  
Looking for a senior Product Manager with 10\+ years of hands\-on SAP S/4HANA Treasury (TRM), FICO, FSCM experience to own end\-to\-end product roadmap, requirements, and delivery of enterprise finance solutions. Must have strong treasury domain expertise (cash management, FX, risk, in\-house cash) and proven ability to work with finance, engineering, and leadership teams in an agile product environment.  
**Must\-Have**  
* 10\+ years Product Management experience with SAP S/4HANA Treasury (TRM), FICO, FSCM
* Strong Treasury domain expertise: Cash Management, In\-House Cash, FX, Risk Management, Forecasting, AR/AP
* Proven ownership of end\-to\-end product lifecycle (roadmap, PRDs, user stories, delivery, launch)
* Ability to translate finance business needs into functional specs and work closely with engineering
* Experience working in Agile/Scrum environments with cross\-functional teams
* Strong stakeholder management with Finance leaders and executives
Good\-to\-Have  
* Experience with SAP ECC and large S/4HANA transformation programs
* Exposure to Salesforce, MS Dynamics, Databricks or financial analytics platforms
* Background in GL, Tax, RAR, Capital Markets, Credit \&amp; Collections
* Experience in enterprise SaaS / platform product launches
* Prior experience in large enterprise or Fortune 500 environments (Adobe\-like scale)
Required Skills
TECHNICAL PROJECT MANAGER</t>
        </is>
      </c>
    </row>
    <row r="19">
      <c r="A19" t="inlineStr">
        <is>
          <t>in-96fc59004f159341</t>
        </is>
      </c>
      <c r="B19" t="inlineStr">
        <is>
          <t>Communications Program Manager</t>
        </is>
      </c>
      <c r="C19" t="inlineStr">
        <is>
          <t>The Henry M. Jackson Foundation for the Advancement of Military Medicine</t>
        </is>
      </c>
      <c r="D19" t="inlineStr">
        <is>
          <t>indeed</t>
        </is>
      </c>
      <c r="E19">
        <f>HYPERLINK("https://www.indeed.com/viewjob?jk=96fc59004f159341", "https://www.indeed.com/viewjob?jk=96fc59004f159341")</f>
        <v/>
      </c>
      <c r="F19">
        <f>HYPERLINK("https://iaaxmg.fa.ocs.oraclegovcloud.com/hcmUI/CandidateExperience/en/sites/CX_2001/requisitions/preview/10691", "https://iaaxmg.fa.ocs.oraclegovcloud.com/hcmUI/CandidateExperience/en/sites/CX_2001/requisitions/preview/10691")</f>
        <v/>
      </c>
      <c r="G19" t="inlineStr">
        <is>
          <t>Bethesda, MD, US</t>
        </is>
      </c>
      <c r="H19" s="2" t="n">
        <v>46043</v>
      </c>
      <c r="I19" t="inlineStr">
        <is>
          <t>**Join the HJF Team!**
HJF is seeking a **Senior Communications Program Manager** to support and manage internal and external communications to include researching and writing content for print and online communications vehicles, i.e., newsletters, news articles for the public website, and web content.  
This position will be in support of PRS\-Vice President of External Affairs.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is>
      </c>
    </row>
    <row r="20">
      <c r="A20" t="inlineStr">
        <is>
          <t>in-49f3e75ca4188f11</t>
        </is>
      </c>
      <c r="B20" t="inlineStr">
        <is>
          <t>Program Manager - Space and Defense</t>
        </is>
      </c>
      <c r="C20" t="inlineStr">
        <is>
          <t>Asco Industries</t>
        </is>
      </c>
      <c r="D20" t="inlineStr">
        <is>
          <t>indeed</t>
        </is>
      </c>
      <c r="E20">
        <f>HYPERLINK("https://www.indeed.com/viewjob?jk=49f3e75ca4188f11", "https://www.indeed.com/viewjob?jk=49f3e75ca4188f11")</f>
        <v/>
      </c>
      <c r="F20">
        <f>HYPERLINK("https://www.asco.be/job/program-manager-space-and-defense/", "https://www.asco.be/job/program-manager-space-and-defense/")</f>
        <v/>
      </c>
      <c r="G20" t="inlineStr">
        <is>
          <t>US</t>
        </is>
      </c>
      <c r="H20" s="2" t="n">
        <v>46043</v>
      </c>
      <c r="I20" t="inlineStr">
        <is>
          <t>**JOB DESCRIPTION:**
The Program Manager – Space and Defense is the primary point of contact between the customer and ASCO. The program manager is responsible for contract administration and application within ASCO’s space and defense portfolio.
The Program Manager maintains oversight of assigned programs to track quality, delivery, engineering, and costs, and ensure on\-time delivery and other customer satisfaction objectives are achieved including but not limited to full compliance with ITAR/EAR export regulations. This requires regular interactions with personnel in Engineering, Manufacturing, Supply Chain, Compliance, and Quality to obtain and relay information about customer orders.
This position requires professional and courteous interaction directly (via phone, email, and in\-person) with customers to provide information, promptly respond to customer inquiries, and resolve disputes as needed.
**ROLES AND RESPONSIBILITIES:**
* Monitor and Ensure Customer Satisfaction: To ensure Asco is working towards high level of Customer satisfaction and to act as a single point of contact, position will:
	+ Consolidate and develop relationship with new and existing customers.
	+ Monitor OTD KPI (internally and customer)
	+ Report and challenge KPI; escalate to Operations Organization and Management Committee, if required
	+ Stay informed of and transmit customer complaints to quality department (and to the Delivery Coordinator if relevant) for corrective action plan
	+ Maintain communication and act as escalation level with the customer on all program related issues in close collaboration with the Delivery Coordinator
	+ Prepare the sales budget and MTP exercise
	+ Be responsible for the COM system Data accuracy
	+ Manage customer purchase orders in customer portal and maintain purchase orders and forecast in Mapics
* Contract Management: Ensure the application of contract rules and contract obligations in order to manage the customer relationship, by:
	+ Managing purchase orders
	+ Managing technical or other contractual changes (including Transfer of Work) with the organization and with the customers
	+ Managing Accounts Receivables (RC and NRC)
	+ Preparing and presenting program reviews
	+ Ensuring the definition of all contractual required actions/steps at contract end.
* Commercial Management
	+ Assist in Contract Review and Administration of New Business by participating in order to maximize contracts acquisition
	+ Assist in its Business Retention activities to maximize contracts retention (follow\-on contracts / contract renewal).
* Support in the bidding process
	+ Assist in the bidding process, as assigned, in order to guarantee offers made per customer requirements.
* Compliance \&amp; Export Control (ITAR/EAR)
	+ Ensure all program activities adhere to ITAR and EAR requirements, including proper handling of technical data, communications, and production parts.
	+ Coordinate with the ASCO compliance manager to verify classifications, licensing needs, and end\-use controls (as needed).
**P****ROFILE:**
Education: Bachelor’s degree (B.S.) in Business, Finance or relevant discipline or equivalent relevant experience required.
**SKILLS / EXPERIENCE:**
* 2 years’ aerospace or manufacturing experience required
* Space and defense experience and export regulation understanding is a preferred
* Previous customer service experience preferred
* Excellent interpersonal and communication skills (English required)
* Flexible, open, respectful and loyal individual with strong team spirit
* Strong negotiation skills
* Intermediate proficiency with Microsoft Office Suite.
* Independent and able to work with minimum supervision
* Takes initiative and is pro\-active
* Willingness to travel as needed/when required
* U.S. Citizenship required (due to ITAR\-regulated work).
*AAUSA, LLC is an Equal Opportunity/Affirmative Action Employer. Qualified applicants will receive consideration for employment without regard to race, color, citizenship, national origin, gender, age, religion, physical or mental disability, veteran status, sexual orientation, gender identity, or any other characteristic protected by law.*</t>
        </is>
      </c>
    </row>
    <row r="21">
      <c r="A21" t="inlineStr">
        <is>
          <t>in-32fb78285e8f794f</t>
        </is>
      </c>
      <c r="B21" t="inlineStr">
        <is>
          <t>Product Manager, Deployed Optical Solutions</t>
        </is>
      </c>
      <c r="C21" t="inlineStr">
        <is>
          <t>Anduril</t>
        </is>
      </c>
      <c r="D21" t="inlineStr">
        <is>
          <t>indeed</t>
        </is>
      </c>
      <c r="E21">
        <f>HYPERLINK("https://www.indeed.com/viewjob?jk=32fb78285e8f794f", "https://www.indeed.com/viewjob?jk=32fb78285e8f794f")</f>
        <v/>
      </c>
      <c r="F21">
        <f>HYPERLINK("https://grnh.se/mn2wtxd17us", "https://grnh.se/mn2wtxd17us")</f>
        <v/>
      </c>
      <c r="G21" t="inlineStr">
        <is>
          <t>Lexington, MA, US</t>
        </is>
      </c>
      <c r="H21" s="2" t="n">
        <v>46043</v>
      </c>
      <c r="I2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Anduril Imaging team develops state\-of\-the\-art imaging systems across both hardware and software, deployed to tackle the most significant security challenges of America and its allies. The team is heavily involved in utilizing computer vision, perception, electro\-optical, infrared, and sensor data to give our war fighters and allies an advantage.
### **ABOUT THE JOB**
As a Product Manager you will work cross\-functionally with technical program management, growth, operations, engineering, and other functional and program teams to drive innovation, scalability, and mission success of highly performant optical systems. You will develop a deep understanding of product operational needs and use that knowledge to develop and deliver cutting\-edge systems to Anduril's customers. You will be the driving force between customers, engineers, and production to ensure successful execution and delivery.
#### **WHAT YOU'LL DO**
* **Product Strategy \&amp; Roadmap Development**
	+ Define and execute a long\-term product strategy and roadmap aligned with business objectives and customer needs.
	+ Conduct business case and ROI analyses to guide investment decisions.
	+ Develop product requirements, feature specifications, and pricing models based on market trends, user feedback, and competitive intelligence.
	+ Create Product Requirements Document and similar artifacts that outlines the requirements and features of a product, serving as a guide for business and technical teams to build, delivery and market the capability.
	+ Identify and integrate emerging technologies that enhance Anduril's operational capabilities and market position.
* **Engineering \&amp; Cross\-Functional Execution**
	+ Establish clear product goals and key success metrics and measure progress
	+ Partner closely with Engineering Leads and Technical Program Managers to ensure product designs meet customer and business requirements while being scalable and manufacturable.
	+ Define and track key performance metrics to ensure successful product outcomes.
	+ Serve as a product evangelist, effectively communicating strategy and goals to internal and external stakeholders to drive alignment and support.
* **Financial \&amp; Cost Management**
	+ Work closely with Finance and Business Leadership to set and achieve product financial targets.
	+ Lead margin optimization efforts through efforts including design improvements, make vs buy decisions, new technology introductions.
* **Customer \&amp; Market Engagement**
	+ Partner with business development and field operations teams to gather customer insights, validate product needs, and refine product offerings.
	+ Conduct market research and competitive analysis to ensure Anduril remains at the forefront of autonomous surveillance technology.
#### **REQUIRED QUALIFICATIONS**
* Bachelor's or Master's degree in Engineering, Robotics, Computer Science, Business, or a related technical field.
* 5\+ years of experience in Product Management, Program Management, or Systems Engineering with a focus on rugged, highly performant operational sensing systems
* Proven ability to lead end\-to\-end product development, from strategy and design to execution and commercialization.
* Strong technical understanding of hardware\-software systems, including computer vision, AI/ML, autonomy, networking, and embedded systems.
* Experience working with government, defense, or aerospace customers, with familiarity in DoD procurement and acquisition processes.
* Eligible to obtain and maintain an active U.S. Secret security clearance
#### **PREFERRED QUALIFICATIONS**
* Background in military operations, surveillance, or force protection.
* Experience with supply chain, manufacturing, and scaling production for high\-tech hardware products.
* Experience with optical systems, particularly infrared systems.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2">
      <c r="A22" t="inlineStr">
        <is>
          <t>in-0536f71c6569b830</t>
        </is>
      </c>
      <c r="B22" t="inlineStr">
        <is>
          <t>Senior Product Manager</t>
        </is>
      </c>
      <c r="C22" t="inlineStr">
        <is>
          <t>obvio</t>
        </is>
      </c>
      <c r="D22" t="inlineStr">
        <is>
          <t>indeed</t>
        </is>
      </c>
      <c r="E22">
        <f>HYPERLINK("https://www.indeed.com/viewjob?jk=0536f71c6569b830", "https://www.indeed.com/viewjob?jk=0536f71c6569b830")</f>
        <v/>
      </c>
      <c r="F22">
        <f>HYPERLINK("https://jobs.ashbyhq.com/obvio/c6787d71-142f-4945-bb91-6c1919217f46?utm_source=r8Nnba93PL", "https://jobs.ashbyhq.com/obvio/c6787d71-142f-4945-bb91-6c1919217f46?utm_source=r8Nnba93PL")</f>
        <v/>
      </c>
      <c r="G22" t="inlineStr">
        <is>
          <t>San Carlos, CA, US</t>
        </is>
      </c>
      <c r="H22" s="2" t="n">
        <v>46043</v>
      </c>
      <c r="I22" t="inlineStr">
        <is>
          <t>**About Obvio AI**
------------------
Each year, more than 7,500 pedestrians are killed by drivers in the U.S.—a number that has increased by 70% over the past decade. Despite growing awareness, most cities still struggle to curb dangerous driving. “Vision Zero” efforts across the country are falling short.
Obvio AI exists to change that.
We deploy solar\-powered, AI\-assisted cameras to enforce traffic laws where pedestrians are most vulnerable—automating enforcement in ways that police departments or traditional systems cannot. Our approach has already led to a dramatic reduction in reckless driving and improved safety for pedestrians, drivers, and law enforcement alike.
Founded by the team behind Motive’s AI dashcam, Obvio is backed by Bain Capital Ventures and Khosla Ventures. We recently raised a $22M Series A and are working with some of the most forward\-thinking cities in the country. With meaningful revenue, a massive market, and strong policy momentum, we’re building the intelligence layer for safer streets globally.
We’re looking for a Lead Product Manage**r** to take ownership of core product lines that sit at the intersection of cutting\-edge AI, hardware, and civic infrastructure. You’ll drive high\-impact initiatives across camera intelligence, enforcement workflows, and ticketing operations—collaborating with engineers, city officials, field ops, and courts.
This is a high\-leverage role: you'll shape strategy, influence roadmaps across functions, and own products that directly impact public safety outcomes and revenue growth.
### **What You’ll Do**
* Lead the end\-to\-end strategy and execution of critical product initiatives across hardware, software, and operational systems.
* Serve as the connective tissue between engineering, operations, legal systems, and government stakeholders.
* Design scalable, repeatable solutions for complex public safety problems—from real\-time detection to citation delivery and resolution.
* Use customer research, data analysis, and intuition to deeply understand user needs and define product direction.
* Collaborate with engineering to build technically sound and operationally viable systems.
* Shape GTM strategy and product narratives that resonate with policymakers, city partners, and the public.
* Hire \&amp; mentor junior PMs as the team grows and help shape Obvio’s product culture.
### **What We’re Looking For**
* 7\+ years of product management experience, with a track record of shipping and scaling impactful products.
* Experience working across cross\-functional teams and domains—especially where software meets operations or hardware.
* Ability to work through ambiguity with structured thinking and clear decision\-making.
* High customer empathy—across a range of stakeholders like city leaders, law enforcement, and everyday drivers.
* Strong technical fluency—you can navigate engineering tradeoffs and speak the language of systems and architecture.
* Proven leadership in setting vision, aligning teams, and delivering outcomes with urgency and quality.
* Comfortable operating in a founder\-led, high\-velocity startup environment.
### **Bonus Points**
* Experience in govtech, mobility, logistics, or smart infrastructure.
* Exposure to computer vision, IoT devices, or regulated systems.
* Prior work with public agencies, courts, or field ops\-heavy environments.
* Based in the Bay Area (or open to relocating).
**Why Obvio**
-------------
* Your work will help save lives and improve road safety
* Series A of $22M led by Bain Capital
* Fast\-moving startup environment with meaningful ownership
* Competitive compensation and early\-stage equity
Obvio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Obvio considers qualified applicants with criminal histories, consistent with applicable federal, state, and local law. Obvio is also committed to providing reasonable accommodations for qualified individuals with disabilities and disabled veterans in our job application procedures. If you need assistance or an accommodation due to a disability, please let your recruiter know.</t>
        </is>
      </c>
    </row>
    <row r="23">
      <c r="A23" t="inlineStr">
        <is>
          <t>in-9423edcda4995231</t>
        </is>
      </c>
      <c r="B23" t="inlineStr">
        <is>
          <t>Senior Staff Technical Program Manager, Manufacturing</t>
        </is>
      </c>
      <c r="C23" t="inlineStr">
        <is>
          <t>Form Energy</t>
        </is>
      </c>
      <c r="D23" t="inlineStr">
        <is>
          <t>indeed</t>
        </is>
      </c>
      <c r="E23">
        <f>HYPERLINK("https://www.indeed.com/viewjob?jk=9423edcda4995231", "https://www.indeed.com/viewjob?jk=9423edcda4995231")</f>
        <v/>
      </c>
      <c r="F23">
        <f>HYPERLINK("https://jobs.ashbyhq.com/formenergy/c4375253-79b9-4f16-9757-73e8bca1e461?utm_source=QeK3j8aJ8Z", "https://jobs.ashbyhq.com/formenergy/c4375253-79b9-4f16-9757-73e8bca1e461?utm_source=QeK3j8aJ8Z")</f>
        <v/>
      </c>
      <c r="G23" t="inlineStr">
        <is>
          <t>Weirton, WV, US</t>
        </is>
      </c>
      <c r="H23" s="2" t="n">
        <v>46043</v>
      </c>
      <c r="I23" t="inlineStr">
        <is>
          <t>Are you ready to build America’s energy future? Form Energy is an American manufacturing and energy technology company. We’re revolutionizing energy storage with cost\-effective, multi\-day technology designed to keep the electric grid secure and reliable, even during extended periods of stress. By strengthening the electric system and reimagining what’s possible, we’re giving clean energy a whole new form!
In recent years, Form Energy has earned a number of accolades, including being named by *TIME* as a “Best Invention”, *MIT Technology Review* as a “Top Climate Tech Company To Watch”, and *Fast Company* as “One of the Next Big Things In Tech”. We are making rapid progress on our mission of delivering energy storage for a better world, and our team is growing just as rapidly to meet demand. We have signed contracts with leading electric utilities across the United States and production of our iron\-air batteries is underway at our first high\-volume manufacturing facility in West Virginia.
Working for Form Energy is more than just a job, it’s a chance to be part of something extraordinary. And now \- right as we significantly scale up battery manufacturing \- might be the most exciting moment in the company’s history to join. We are assembling a team of highly talented and driven individuals across the country. Driven by our core values of humanity, excellence, and creativity, our team is determined to deliver on our mission and transform the energy landscape for the better.
**Feeling energized to make a meaningful impact on the world? Then keep reading \- you’ve come to the right place.**
**Job Description**
We are hiring a Senior Staff Technical Program Manager to join our factory team, focused on the production of our iron\-air battery systems. In this role, you will be the key point of direction, defining, and advocating for the tools and metrics that streamline communications and optimize manufacturing operations. You will leverage your technical depth in new product introduction (NPI) and manufacturing to set the strategic direction for what we build, how many, in what order, and how they are tested—and why. This is a chance to have a direct, hands\-on impact on scaling up revolutionary, multi\-day energy storage technology.
*This role is based out of* *Form Factory 1* *in Weirton, WV, commutable from Pittsburgh, PA. Relocation assistance is available.*
**What You'll Do:**
* Define and drive the strategic New Product Introduction (NPI) plan, including build sequencing and prioritization, linking factory operations to overall program goals.
* Develop, deploy, and own key factory operations tools and metrics to improve cross\-functional communication and operational efficiency on the floor.
* Lead the planning and execution of New Product Introduction (NPI) or pilot manufacturing processes, ensuring new equipment and processes are developed, qualified, and integrated successfully.
* Collaborate with engineering and manufacturing teams to define system\-level testing requirements, schedules, and success criteria for both new and existing products.
* Provide clear technical direction and rationale to factory teams, ensuring alignment on product specifications and quality objectives.
* Prepare and present clear, concise program status updates and risk mitigation strategies to leadership and multidisciplinary stakeholders.
**What You'll Bring:**
* Robust expertise (10\+ years) in a manufacturing environment, specifically supporting New Product Introduction (NPI) or pilot manufacturing scale\-up
* Proven ability to define, develop, and implement operational tools and metrics for manufacturing and communication.
* Expertise in setting product build strategy, sequencing, and prioritization in a dynamic production setting.
* Practical experience in coordinating complex technical requirements for product testing and verification on the factory floor.
* Commitment to the core value of Excellence by breaking down problems to their root cause and driving continuous improvement in processes.
* Exceptional communication and organizational skills, with the ability to convey complex technical information to all levels of the organization.
*\#LI\-Onsite*
*\#LI\-LN1*
*Humanity is a cornerstone of Form Energy’s culture, and we make sure our compensation and benefits reflect that. Form Energy offers competitive salaries, stock options, and a holistic benefits package to ensure all employees have what they need to thrive while working here.*
*When it comes to you and your family’s health, we cover 100% of medical, dental, and vision premiums for full\-time employees \- and 80% of healthcare premiums for dependents. This starts from day one. We also offer at least 12 weeks of paid leave for new parents (up to 20 weeks for birthing parents), and generous vacation policies to give employees time to recharge when needed.*
*To build America’s energy future, we need everyone at the table. We are proud to be an equal opportunity employer, and encourage candidates from all backgrounds to apply to our open jobs.*
 *If you may require reasonable accommodations to participate in our interview process, please contact accommodations@formenergy.com. Requests for accommodations will be treated with discretion.*  
*Form Energy is committed to maintaining the privacy of our applicants. Please be aware that we will* ***never*** *solicit sensitive personal information such as Social Security numbers or bank account details during the recruiting or hiring process.*</t>
        </is>
      </c>
    </row>
    <row r="24">
      <c r="A24" t="inlineStr">
        <is>
          <t>in-2e4edd75d50e9f6b</t>
        </is>
      </c>
      <c r="B24" t="inlineStr">
        <is>
          <t>Senior Product Manager (AI Provider Solutions)</t>
        </is>
      </c>
      <c r="C24" t="inlineStr">
        <is>
          <t>Inovalon</t>
        </is>
      </c>
      <c r="D24" t="inlineStr">
        <is>
          <t>indeed</t>
        </is>
      </c>
      <c r="E24">
        <f>HYPERLINK("https://www.indeed.com/viewjob?jk=2e4edd75d50e9f6b", "https://www.indeed.com/viewjob?jk=2e4edd75d50e9f6b")</f>
        <v/>
      </c>
      <c r="F24">
        <f>HYPERLINK("https://grnh.se/2txn2dil3us", "https://grnh.se/2txn2dil3us")</f>
        <v/>
      </c>
      <c r="G24" t="inlineStr">
        <is>
          <t>Nashville, TN, US</t>
        </is>
      </c>
      <c r="H24" s="2" t="n">
        <v>46043</v>
      </c>
      <c r="I24"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Senior** **Product Manager** is responsible for driving the **commercialization and go to market of AI across products in Provider Solutions\-** with a near term focus on **generative AI** features within the business unit product portfolio**.** This role is responsible for managing inputs from external and internal stakeholders, product planning, managing platform dependencies, leading cross functional teams for release and go\-to\-market plans and activities, enhancing and differentiating product within our core markets to best position the products within our markets and the competitive landscape. Interfaces with engineering, operations and sales to develop new products and enhance existing products.
**Duties and Responsibilities:**
* Develop business cases to justify investment required to build, partner or buy.
* Own the go to market and productization of AI capabilities that materially help providers (mid\-market health systems, ambulatory, post\-acute, specialties) and RCM vendors
* Be the trusted thought leader for your product area; being the 'voice of the market/customer' within Provider and externally with customer interactions and events.
* Build and maintain roadmap for products and work with cross\-functional teams to deliver a unified product plan to the market.
* Collaborate with go\-to\-market teams (such as Marketing, Sales, Legal, Operations, Finance) strategy, positioning, and pricing, and serve as the product evangelist to ensure organizational alignment on the vision, roadmap, and best practices.
* Develop, drive and coordinate complex product priorities in a fast\-paced environment with intra\-team and inter\-team dependencies.
* Develop and implement a company\-wide commercialization and launch plan for the products within the product line, working with all departments and the Product PMO to execute.
* Translate product strategy into requirements and prototypes, and then work with architects, developers and customers to implement these features.
* Analyze and manage to product metrics/KPI's that inform the success of your products in the market.
* Architect and manage strong delivery plans to provide clear, timely updates to leadership and stakeholders that communicate the progress of projects.
* Stay updated on AI advancements and methodologies.
* Maintain compliance with Inovalon's policies, procedures and mission statement.
* Ensure compliance with ethical guidelines and data privacy regulations.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Minimum of 8 years of Software Product Management experience managing platform or integration products.
* Minimum of 5 years of healthcare information technology experience with a focus on partner integration products.
* Minimum of 2\-3 years of experience launching and managing AI capabilities within a product, including ML and Generative/Agentic AI.
* Experience with Pragmatic Marketing or Certified in Pragmatic Marketing.
* Proven to perform strategically and execute operationally.
* Proven track record of leading cross\-functional teams from product concept to reference customers.
* Proven track record of creating and launching new products.
* Minimum of 3 years' experience in Agile development methodologies.
* SaaS or cloud software experience.
* Proficient in Microsoft Office suite including Word, Excel, Visio and PowerPoint.
* Self\-motivated with strong organizational/prioritization skills and ability to multi\-task with close attention to detail.
* Excellent written and oral presentation skills.
* Ability to work in a fast\- paced environment.
**Education:**
* BA/BS Degree.
**Travel may be required**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25">
      <c r="A25" t="inlineStr">
        <is>
          <t>in-c4f94fd69d297034</t>
        </is>
      </c>
      <c r="B25" t="inlineStr">
        <is>
          <t>Senior Product Manager (AI Provider Solutions)</t>
        </is>
      </c>
      <c r="C25" t="inlineStr">
        <is>
          <t>Inovalon</t>
        </is>
      </c>
      <c r="D25" t="inlineStr">
        <is>
          <t>indeed</t>
        </is>
      </c>
      <c r="E25">
        <f>HYPERLINK("https://www.indeed.com/viewjob?jk=c4f94fd69d297034", "https://www.indeed.com/viewjob?jk=c4f94fd69d297034")</f>
        <v/>
      </c>
      <c r="F25">
        <f>HYPERLINK("https://grnh.se/ov2u47vn3us", "https://grnh.se/ov2u47vn3us")</f>
        <v/>
      </c>
      <c r="G25" t="inlineStr">
        <is>
          <t>Minneapolis, MN, US</t>
        </is>
      </c>
      <c r="H25" s="2" t="n">
        <v>46043</v>
      </c>
      <c r="I25"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Senior** **Product Manager** is responsible for driving the **commercialization and go to market of AI across products in Provider Solutions\-** with a near term focus on **generative AI** features within the business unit product portfolio**.** This role is responsible for managing inputs from external and internal stakeholders, product planning, managing platform dependencies, leading cross functional teams for release and go\-to\-market plans and activities, enhancing and differentiating product within our core markets to best position the products within our markets and the competitive landscape. Interfaces with engineering, operations and sales to develop new products and enhance existing products.
**Duties and Responsibilities:**
* Develop business cases to justify investment required to build, partner or buy.
* Own the go to market and productization of AI capabilities that materially help providers (mid\-market health systems, ambulatory, post\-acute, specialties) and RCM vendors
* Be the trusted thought leader for your product area; being the 'voice of the market/customer' within Provider and externally with customer interactions and events.
* Build and maintain roadmap for products and work with cross\-functional teams to deliver a unified product plan to the market.
* Collaborate with go\-to\-market teams (such as Marketing, Sales, Legal, Operations, Finance) strategy, positioning, and pricing, and serve as the product evangelist to ensure organizational alignment on the vision, roadmap, and best practices.
* Develop, drive and coordinate complex product priorities in a fast\-paced environment with intra\-team and inter\-team dependencies.
* Develop and implement a company\-wide commercialization and launch plan for the products within the product line, working with all departments and the Product PMO to execute.
* Translate product strategy into requirements and prototypes, and then work with architects, developers and customers to implement these features.
* Analyze and manage to product metrics/KPI's that inform the success of your products in the market.
* Architect and manage strong delivery plans to provide clear, timely updates to leadership and stakeholders that communicate the progress of projects.
* Stay updated on AI advancements and methodologies.
* Maintain compliance with Inovalon's policies, procedures and mission statement.
* Ensure compliance with ethical guidelines and data privacy regulations.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Minimum of 8 years of Software Product Management experience managing platform or integration products.
* Minimum of 5 years of healthcare information technology experience with a focus on partner integration products.
* Minimum of 2\-3 years of experience launching and managing AI capabilities within a product, including ML and Generative/Agentic AI.
* Experience with Pragmatic Marketing or Certified in Pragmatic Marketing.
* Proven to perform strategically and execute operationally.
* Proven track record of leading cross\-functional teams from product concept to reference customers.
* Proven track record of creating and launching new products.
* Minimum of 3 years' experience in Agile development methodologies.
* SaaS or cloud software experience.
* Proficient in Microsoft Office suite including Word, Excel, Visio and PowerPoint.
* Self\-motivated with strong organizational/prioritization skills and ability to multi\-task with close attention to detail.
* Excellent written and oral presentation skills.
* Ability to work in a fast\- paced environment.
**Education:**
* BA/BS Degree.
**Travel may be required**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26">
      <c r="A26" t="inlineStr">
        <is>
          <t>in-3100f38396a63f1d</t>
        </is>
      </c>
      <c r="B26" t="inlineStr">
        <is>
          <t>Senior Product Manager (AI Provider Solutions)</t>
        </is>
      </c>
      <c r="C26" t="inlineStr">
        <is>
          <t>Inovalon</t>
        </is>
      </c>
      <c r="D26" t="inlineStr">
        <is>
          <t>indeed</t>
        </is>
      </c>
      <c r="E26">
        <f>HYPERLINK("https://www.indeed.com/viewjob?jk=3100f38396a63f1d", "https://www.indeed.com/viewjob?jk=3100f38396a63f1d")</f>
        <v/>
      </c>
      <c r="F26">
        <f>HYPERLINK("https://grnh.se/nfrq2o043us", "https://grnh.se/nfrq2o043us")</f>
        <v/>
      </c>
      <c r="G26" t="inlineStr">
        <is>
          <t>Atlanta, GA, US</t>
        </is>
      </c>
      <c r="H26" s="2" t="n">
        <v>46043</v>
      </c>
      <c r="I26"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Senior** **Product Manager** is responsible for driving the **commercialization and go to market of AI across products in Provider Solutions\-** with a near term focus on **generative AI** features within the business unit product portfolio**.** This role is responsible for managing inputs from external and internal stakeholders, product planning, managing platform dependencies, leading cross functional teams for release and go\-to\-market plans and activities, enhancing and differentiating product within our core markets to best position the products within our markets and the competitive landscape. Interfaces with engineering, operations and sales to develop new products and enhance existing products.
**Duties and Responsibilities:**
* Develop business cases to justify investment required to build, partner or buy.
* Own the go to market and productization of AI capabilities that materially help providers (mid\-market health systems, ambulatory, post\-acute, specialties) and RCM vendors
* Be the trusted thought leader for your product area; being the 'voice of the market/customer' within Provider and externally with customer interactions and events.
* Build and maintain roadmap for products and work with cross\-functional teams to deliver a unified product plan to the market.
* Collaborate with go\-to\-market teams (such as Marketing, Sales, Legal, Operations, Finance) strategy, positioning, and pricing, and serve as the product evangelist to ensure organizational alignment on the vision, roadmap, and best practices.
* Develop, drive and coordinate complex product priorities in a fast\-paced environment with intra\-team and inter\-team dependencies.
* Develop and implement a company\-wide commercialization and launch plan for the products within the product line, working with all departments and the Product PMO to execute.
* Translate product strategy into requirements and prototypes, and then work with architects, developers and customers to implement these features.
* Analyze and manage to product metrics/KPI's that inform the success of your products in the market.
* Architect and manage strong delivery plans to provide clear, timely updates to leadership and stakeholders that communicate the progress of projects.
* Stay updated on AI advancements and methodologies.
* Maintain compliance with Inovalon's policies, procedures and mission statement.
* Ensure compliance with ethical guidelines and data privacy regulations.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Minimum of 8 years of Software Product Management experience managing platform or integration products.
* Minimum of 5 years of healthcare information technology experience with a focus on partner integration products.
* Minimum of 2\-3 years of experience launching and managing AI capabilities within a product, including ML and Generative/Agentic AI.
* Experience with Pragmatic Marketing or Certified in Pragmatic Marketing.
* Proven to perform strategically and execute operationally.
* Proven track record of leading cross\-functional teams from product concept to reference customers.
* Proven track record of creating and launching new products.
* Minimum of 3 years' experience in Agile development methodologies.
* SaaS or cloud software experience.
* Proficient in Microsoft Office suite including Word, Excel, Visio and PowerPoint.
* Self\-motivated with strong organizational/prioritization skills and ability to multi\-task with close attention to detail.
* Excellent written and oral presentation skills.
* Ability to work in a fast\- paced environment.
**Education:**
* BA/BS Degree.
**Travel may be required**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27">
      <c r="A27" t="inlineStr">
        <is>
          <t>in-9474d46619ca5626</t>
        </is>
      </c>
      <c r="B27" t="inlineStr">
        <is>
          <t>Principal Product Manager, Market Expansion</t>
        </is>
      </c>
      <c r="C27" t="inlineStr">
        <is>
          <t>OpenTable</t>
        </is>
      </c>
      <c r="D27" t="inlineStr">
        <is>
          <t>indeed</t>
        </is>
      </c>
      <c r="E27">
        <f>HYPERLINK("https://www.indeed.com/viewjob?jk=9474d46619ca5626", "https://www.indeed.com/viewjob?jk=9474d46619ca5626")</f>
        <v/>
      </c>
      <c r="F27">
        <f>HYPERLINK("https://grnh.se/8k5rr8tj2us", "https://grnh.se/8k5rr8tj2us")</f>
        <v/>
      </c>
      <c r="G27" t="inlineStr">
        <is>
          <t>New York, NY, US</t>
        </is>
      </c>
      <c r="H27" s="2" t="n">
        <v>46043</v>
      </c>
      <c r="I27" t="inlineStr">
        <is>
          <t>**Principal Product Manager, Market Expansion**
**Location**: New York, NY (Hybrid Position, in office 2 days per week) \- Empire State Building
With millions of diners, 60,000\+ restaurant partners and 25\+ years of experience, OpenTable, part of Booking Holdings, Inc. (NASDAQ: BKNG), is an industry leader with a passion for helping restaurants thrive. Our world\-class technology empowers restaurants to focus on what matters most – their team, their guests, and their bottom line – while enabling diners to discover and book the perfect restaurant for every occasion.
Every employee at OpenTable has a tangible impact on what we do and how we do it. You'll also be part of a global team and its portfolio of metasearch brands. Hospitality is all about taking care of others, and it defines our culture.
**About the role:**
We're seeking a Principal Product Manager to drive market expansion by identifying and executing growth opportunities through data\-driven insights. You'll lead cross\-functional teams, develop executive\-level strategies, and bridge strategy with execution. This London\-based, hybrid role requires expertise in product management, strategic analysis, and communication across global teams.
Join us in shaping our product roadmap while fostering a diverse, inclusive workplace that thrives on collaboration and empowers both restaurants and diners!
**Responsibilities**
* Partner with OpenTable product and cross\-functional leadership as well as external stakeholders (customer, prospects, partners) to identify and evaluate, influence and execute on growth opportunities, focusing on data\-driven insights and delivering executive\-ready content.
* Lead cross\-functional project teams to structure and execute a range of analyses and develop executive\-level recommendations, including but not limited to market sizing and opportunity analysis, benchmarking and positioning, build vs buy analyses, etc.
* Deep expertise in building and evangelizing compelling, data\-driven business cases across diverse areas.
* Can bridge the gap between strategy and execution \- driving product definition, prioritization, execution and evangelization of strategic projects as needed. Can act as quarterback across multiple cross\-functional teams to drive forward strategic initiatives like international expansion or penetrating a new segment.
* Masterful communicator: Support executive narratives that communicate the overall strategy and how we are executing against our strategy.
* Establish frameworks, playbooks and tools for effectively managing horizontal projects across a matrixed organization and achieving goals.
* Ensure the team and broader org stays up\-to\-date on market and customer trends relevant to strategic initiatives, articulates implications for existing and future product roadmap and influences stakeholders to make informed decisions.
**Experience**
* Bachelor's degree
* 8 years of experience in management consulting, product management and strategy, or analytics in a technology company.
* Experience working with and analyzing data, and managing multiple projects.
* Experience working with product and engineering teams.
* Excellent communication skills.
* Business strategy or consulting experience
* Experience working in product development teams
#### **Benefits and Perks**
* Work from (almost) anywhere for up to 20 days per year
* Focus on mental health and well\-being:
* + Company\-paid therapy sessions through SpringHealth
	+ Company\-paid subscription to Headspace
	+ Annual company\-wide week off a year \- the whole team fully recharges (and returns without a pile\-up of work!)
* Paid parental leave
* Generous paid vacation \+ time off for your birthday
* Paid volunteer time
* Focus on your career growth:
* + Development Dollars
	+ Leadership development
	+ Access to thousands of on\-demand e\-learnings
* Travel Discounts
* Employee Resource Groups
* Free lunch 5 days per week
* Beautiful office in the Empire State Building with lots of building amenities, such as a gym, multi\-purpose room, in\-building Starbucks, and more.
Note for MA applicants: It is unlawful in Massachusetts to require or administer a lie detector test as a condition of employment or continued employment. An employer who violates this law shall be subject to criminal penalties and civil liability.
There are a variety of factors that go into determining a salary range, including but not limited to external market benchmark data, geographic location, and years of experience sought/required. **The range for this United States based role is $200,000\-$230,000**
We offer a competitive base salary and benefits including: health benefits; flexible spending account; retirement benefits; life insurance; paid time off (including PTO, paid sick leave, medical leave, bereavement leave, floating holidays and paid holidays); and parental leave benefits. This role is eligible to be considered for an annual bonus and equity grant.
**Work Environment \&amp; Flexibility**
At OpenTable, we pride ourselves on fostering a global and dynamic work environment. As a team member with us, you will benefit from a schedule tailored to accommodate a global workforce operating across multiple time zones. While the majority of your responsibilities may align with conventional business hours, there will be instances where you are expected to manage communications \- via calls, Slack messages, or emails \- outside of regular working hours to effectively collaborate with international colleagues, respond to restaurant partners, and/or address urgent matters. OpenTable will always abide by and consider local laws and regulations.
**Inclusion**
We're committed to creating a workplace where everyone feels they belong and can thrive. We know the best ideas come when we bring different voices to the table, so we're building a team as dynamic as the diners and restaurants we serve—and fostering a culture where everyone feels welcome to be themselves.
If you need accommodations during the application or interview process, or on the job, we're here to support you. Please reach out to your recruiter to request any accommodations.
\#LI\-LT1</t>
        </is>
      </c>
    </row>
    <row r="28">
      <c r="A28" t="inlineStr">
        <is>
          <t>in-a3cbb31443e0d06d</t>
        </is>
      </c>
      <c r="B28" t="inlineStr">
        <is>
          <t>Program Manager (Value Stream Leader) - Government Programs (Onsite)</t>
        </is>
      </c>
      <c r="C28" t="inlineStr">
        <is>
          <t>Collins Aerospace</t>
        </is>
      </c>
      <c r="D28" t="inlineStr">
        <is>
          <t>indeed</t>
        </is>
      </c>
      <c r="E28">
        <f>HYPERLINK("https://www.indeed.com/viewjob?jk=a3cbb31443e0d06d", "https://www.indeed.com/viewjob?jk=a3cbb31443e0d06d")</f>
        <v/>
      </c>
      <c r="F28">
        <f>HYPERLINK("https://jsv3.recruitics.com/redirect?rx_cid=3426&amp;rx_jobId=01818786&amp;rx_url=https%3A%2F%2Fcareers.rtx.com%2Fglobal%2Fen%2Fjob%2F01818786%3Frx_a%3D0%26rx_c%3D%26rx_ch%3Djobp4p%26rx_group%3D122223%26rx_id%3Dc91870b5-f77d-11f0-841c-63450a21e7ab%26rx_job%3D01818786%26rx_medium%3Dcpc%26rx_r%3Dnone%26rx_source%3Dindeed%26rx_ts%3D20260122T160404Z%26rx_vp%3Dcpc", "https://jsv3.recruitics.com/redirect?rx_cid=3426&amp;rx_jobId=01818786&amp;rx_url=https%3A%2F%2Fcareers.rtx.com%2Fglobal%2Fen%2Fjob%2F01818786%3Frx_a%3D0%26rx_c%3D%26rx_ch%3Djobp4p%26rx_group%3D122223%26rx_id%3Dc91870b5-f77d-11f0-841c-63450a21e7ab%26rx_job%3D01818786%26rx_medium%3Dcpc%26rx_r%3Dnone%26rx_source%3Dindeed%26rx_ts%3D20260122T160404Z%26rx_vp%3Dcpc")</f>
        <v/>
      </c>
      <c r="G28" t="inlineStr">
        <is>
          <t>Fairfield, CA, US</t>
        </is>
      </c>
      <c r="H28" s="2" t="n">
        <v>46043</v>
      </c>
      <c r="I28" t="inlineStr">
        <is>
          <t>**Date Posted:**
2026\-01\-21**Country:**
United States of America**Location:**
US\-CA\-FAIRFIELD\-3530 \~ 3530 Branscombe Rd \~ BRANSCOMBE**Position Role Type:**
Onsite**U.S.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Type:**
None/Not Required**Security Clearance Status:**
Not Required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have an opportunity to join a Value Stream in the Propulsion business in Fairfield, California. This role reports to the U.S. Government Value Stream Manager and is responsible for multiple small and mid\-sized programs specifically serving military customers.
Accountable for the full lifecycle of products and services from inception through completion. Includes pursuit and order capture, design and development, produce to deliver, service/support and long\-term strategic business plans. Ensure the Program Management Team (PMT) is effective at managing the contract lifecycle, cost, schedule, performance and on\-time delivery of company programs or subsystems of major programs. Serves as the face of the organization to clients and customers. Has profit \&amp; Loss (P\&amp;L) responsibility for their programs within a business segment or portfolio.
**What You Will Do**
* Responsible for program execution, ensuring adherence to program plans, schedules, and budgets for programs under his/her responsibility
* Reviews and updates milestones, program plans, schedules and budgets for programs to ensure that the organization's objectives are met
* Identifies risks and opportunities, develops risk and opportunities register, develops mitigations and recommendations to achieve customer satisfaction, cost and performance goals
* Participates in the negotiation of contracts and contractual changes, including coordinating preparation of proposals, business plans, proposal work statements, operational budgets, specifications, and financial conditions of contracts to ensure legal compliance and to protect the organization’s interests
* Supports annual strategic planning efforts for the business
* Prepares and presents value\-stream strategy, progress, and results
* Ensures a Continuous Improvement mentality is prevalent in the organization, actively leading and participating in Lean activities to drive quality and efficiency
* Able to travel nationally as needed up to 10%
**Qualifications You Must Have**
* Typically requires a University Degree or equivalent experience and minimum 8 years prior relevant experience or an Advanced Degree in a related field and minimum 5 years of experience
* Previous Customer facing experience as a project/program manager required
* Experience owning and managing multiple aspects of a program/project, i.e. financial, engineering, operations
* Previous Negotiation experience required
**Qualifications We Prefer**
* Technical background, i.e. engineering, quality, etc.
* Experience with lean manufacturing/six sigma is preferred
* Experience with Root Cause Corrective Action is preferred
* Experience with Change management is preferred
* Experience with Manufacturing life cycle is preferred
* Experience interpreting aerospace and U.S. government requirements, specifications and contracts is preferred
* Experience with SAP
* Experience with Microsoft Project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118,300 USD \- 224,900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9">
      <c r="A29" t="inlineStr">
        <is>
          <t>in-22621fe84dc12e09</t>
        </is>
      </c>
      <c r="B29" t="inlineStr">
        <is>
          <t>Program Manager - FAA SSM ESS Subject Matter Expert (Contingency Hire)</t>
        </is>
      </c>
      <c r="C29" t="inlineStr">
        <is>
          <t>KBR</t>
        </is>
      </c>
      <c r="D29" t="inlineStr">
        <is>
          <t>indeed</t>
        </is>
      </c>
      <c r="E29">
        <f>HYPERLINK("https://www.indeed.com/viewjob?jk=22621fe84dc12e09", "https://www.indeed.com/viewjob?jk=22621fe84dc12e09")</f>
        <v/>
      </c>
      <c r="F29">
        <f>HYPERLINK("https://careers.kbr.com/us/en/job/KIVKBRUSR2117826EXTERNALENUS/Program-Manager-FAA-SSM-ESS-Subject-Matter-Expert-Contingency-Hire?utm_source=indeed&amp;utm_medium=phenom-feeds", "https://careers.kbr.com/us/en/job/KIVKBRUSR2117826EXTERNALENUS/Program-Manager-FAA-SSM-ESS-Subject-Matter-Expert-Contingency-Hire?utm_source=indeed&amp;utm_medium=phenom-feeds")</f>
        <v/>
      </c>
      <c r="G29" t="inlineStr">
        <is>
          <t>North Charleston, SC, US</t>
        </is>
      </c>
      <c r="H29" s="2" t="n">
        <v>46043</v>
      </c>
      <c r="I29" t="inlineStr">
        <is>
          <t>**Title:**
Program Manager \- FAA SSM ESS Subject Matter Expert (Contingency Hire)**Program Summary:**
KBR’s Defense and Technology Solutions (DTS) business unit delivers comprehensive engineering and technical solutions across the lifecycle of military systems on land, at sea, in the air, and in space. By integrating emerging technologies with deep platform expertise, KBR enhances mission effectiveness on a global scale. With capabilities in digital engineering, RDT\&amp;E, cyber, AI, modeling and simulation, and rapid prototyping, KBR provides innovative solutions that drive defense and security advancements. Backed by a global presence and a strong ethical framework, KBR collaborates closely with customers to develop secure, effective, and forward\-thinking solutions.
**Position is Contingent Upon Contract Award**
**Job Summary:**
The **Program Manager\-FAA SSM Electronic Security Systems (ESS) Subject Matter Expert (SME)** will be responsible for the oversight to lead, manage, and coordinate complex FAA SSM projects involving the development, deployment, and sustainment of corrective maintenance (CM) work order activities for the FAA ESS systems across CONUS and OCONUS operational environments. The role is responsible for lifecycle CM planning, stakeholder engagement, acquisition oversight, and leading cross\-functional teams and sub\-contractor teams to meet technical, schedule, and budget objectives in alignment with FAA standards. To ensure the development, maintenance, and implementation of the corrective maintenance program and required management plans via K\-EXEC. The Program Manager should have a deep understanding of electronic security systems including Physical Access Control Systems, Video Surveillance and Management Systems, Intrusion Detection technologies, Security Gate infrastructure, to encompass information system infrastructures, cybersecurity, command control and power support infrastructures. Furthermore, the individual needs strong analytical and critical thinking skills, as well as the ability to interpret technical documentation and perform troubleshooting. The candidate should be comfortable being customer\-facing and act as a representative of CIP leadership and serves as the authorized interface with the Government Contracting Officer (CO), the Contracting Officer's Representative (COR), Government management personnel and customer agency representatives. The ideal candidate should possess strong technical writing skills that focus on conveying complex information in a clear, concise, and understandable manner to a specific audience and has served as the technical writer for FAA Program Management Reviews (PMR) to the customer. As a minimum, the candidate must have been working in the Federal Electronic Security field for at least 7\+ years with 50% or more working within the US Government business sector in areas of FAA and/or DoD Electronic Security. To include experience managing federal property and call center activities, formulating, and enforcing work standards, reviewing work discrepancies, assigning contractor schedules, supervising contractor personnel, communicating policies, purposes, and goals of the organization to subordinates, and maintaining client contacts to ensure conformity to all contractual obligations.
**Roles and Responsibilities:**
The Program Manager for FAA SSM Electronic Security will serve as the main focal point for all FAA program business, leadership, and management engagement in performing the following activities:
* Assure that operation of FAA security systems is reliable and failures are corrected in the time limits specified by the FAA SSM program.
* Act as the GFE Product Owner to provide support to the FAA warehouse logistical and operational efforts.
* Establish procedures and controls to ensure that all aspects of the corrective maintenance programs are completed in accordance within agreed\-to RTR/RTS standards and schedules.
* Providing mentorship and training to other FAA program security professionals, sharing knowledge and expertise to enhance the overall security capabilities of the program.
* Lead Electronic Security Systems SMEs assigned to the program.
* Serving as the technical lead for all field technician deployment coordination and work order activities.
* Develop and maintain necessary Standard Operating Procedures pertaining to the FAA corrective maintenance activities.
* Maintain and update K\-EXEC data entries to include review of work order activities.
* Maintain and update K\-EXEC Vendor Data Specifications, COIs, drawings, cut sheets and technical data.
* Strong ability to create Basis of Estimates (BOE).
* Strong ability to create Basis of Materials (BOM).
* Strong ability to write vendor Scopes of Work (SOWs).
* Report to the CIP Operating Unit Director and provide input to senior KBR management on all FAA SSM program efforts.
* Support CIP Safety/Quality assurance and control reviews for the FAA program.
* Support NCHS warehouse inventory activities and to attend/coordinate KBR and FAA Property Management Audits.
* Where required, perform additional duties associated with project management, proposal management, engineering design and development, to include on site system test and evaluation.
* Responsible for the overall contract performance.
**Basic Qualifications:**
* Bachelor’s degree and 7\+ years of direct experience supporting the Physical and Electronic Security Industry.
* In addition to the seven years’ experience, at least five years of specialized experience is required in the direct supervision and management of projects, which included construction, installation, testing, integration, and maintenance of complex systems and subsystems.
* At least a 2\-year period of experience managing large government technical contracts, projects involving subordinate groups of at least 25 persons.
* PMP Certification required.
**Preferred Qualifications:**
* DoD experience preferred.
**Travel:**
* Willingness to travel up to 30% of the time to CONUS and OCONUS locations.
**Work Location:** North Charleston, SC or Remote
**Compensation:** $116,100\.00 \- $174,200\.00\. The salary range posted is for South Carolina locations. The offered rate will be based on the selected candidate’s location, knowledge, skills, abilities, and/or experience, contract affordability, and in consideration of internal parity.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\#LI\-ML2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30">
      <c r="A30" t="inlineStr">
        <is>
          <t>in-b83fecde4a112b36</t>
        </is>
      </c>
      <c r="B30" t="inlineStr">
        <is>
          <t>Park Ranger (Protection) - Law Enforcement Training Program Manager</t>
        </is>
      </c>
      <c r="C30" t="inlineStr">
        <is>
          <t>U.S. National Park Service</t>
        </is>
      </c>
      <c r="D30" t="inlineStr">
        <is>
          <t>indeed</t>
        </is>
      </c>
      <c r="E30">
        <f>HYPERLINK("https://www.indeed.com/viewjob?jk=b83fecde4a112b36", "https://www.indeed.com/viewjob?jk=b83fecde4a112b36")</f>
        <v/>
      </c>
      <c r="F30">
        <f>HYPERLINK("https://www.usajobs.gov:443/job/855004300", "https://www.usajobs.gov:443/job/855004300")</f>
        <v/>
      </c>
      <c r="G30" t="inlineStr">
        <is>
          <t>Glynco, GA, US</t>
        </is>
      </c>
      <c r="H30" s="2" t="n">
        <v>46043</v>
      </c>
      <c r="I30" t="inlineStr">
        <is>
          <t>**Summary**
-----------
This position is located at the Federal Law Enforcement Training Center (FLETC). Service wide Law Enforcement Training Manager carries out the responsibility for the nationwide development and implementation of the Training Programs for the Law Enforcement/Resources Protection career field.  
**Position is a not\-to\-exceed one (1\) year with no eligibility for an extension or conversion to a permanent position.**
**This job is open to**
-----------------------
### **The public**
U.S. Citizens, Nationals or those who owe allegiance to the U.S.
### **Career transition (CTAP, ICTAP, RPL)**
Federal employees whose job, agency or department was eliminated and are eligible for priority over other applicants.
### **Clarification from the agency**
U.S. Citizens, Interagency Career Transition Assistant Program (ICTAP), and Career Transition Assistance Program (CTAP).
**Duties**
----------
**Major Duties of the** **Park Ranger (Protection) \- Law Enforcement Training Program Manager** **position include, but are not limited to the following:**
* Serves as national program manager with primary oversight responsibility for national level law enforcement program curriculum and course development/modification.
* Participates in ad hoc committees with representatives of other agencies in addressing training polices, academic requirements, etc.; and may represent the National Park Service and or Law Enforcement Training Center with other organizations in the development of training standards and programs.
* Develops and executes both short\-term and long\-term program goals and budgets.
* Establishes and maintains ongoing effective program liaison with organizations and individuals.
* Conducts organizational reviews to include position management and use of contractors.
**Requirements**
----------------
### **Conditions of employment**
* U.S. Citizenship required.
* Appointment subject to background investigation and favorable adjudication.
* Meet Selective Service Registration Act requirement for males
* Subject to pre\-employment physical and drug testing.
* Must possess a Type I Law Enforcement Commission.
* Applicants must be at least 21 years old.
* Selectee will be required to participate in the Direct Deposit Electronics Funds Transfer Program.
* Selectee(s) will be required to carry a firearm while performing duties and maintain firearm proficiency.
* Selectee(s) must be free of any domestic violence convictions. Appointment will be subject to the applicant's successful completion of a background security investigation and favorable adjudication. Failure to successfully meet these requirements will be grounds for termination.
* You will be required to submit to a drug test and receive a negative drug test result prior to appointment. In addition, this position is subject to random testing for illegal drug use.
* Prior to appointment, you must be determined physically fit by an authorized government physician to perform strenuous and physically demanding duties; and also pass a medical examination (which includes vision, hearing, cardiovascular, and mobility of extremities) given by an authorized government physician. You will also be required to undergo periodic medical examinations throughout employment.
* Prior to appointment, the people selected for these positions must be determined physically fit by an authorized physician to perform strenuous and physically demanding duties, pass a medical examination, and pass the Physical Efficiency Battery (PEB). The PEB is a fitness test consisting of five different components: 1\) agility run \- measures the ability to get up from the ground and sprint while changing directions; 2\) bench press \- measures upper body strength for one repetition; 3\) 1\.5 mile run \- measures cardio/respiratory fitness; 4\) sit and reach \- measures flexibility in the lower back, legs and shoulders; and 5\) body composition \- measures body fat. Prior to appointment, selectees will be tested in all five components, and must pass the agility run, bench press and 1\.5 mile run in the 25th percentile.
**REQUIREMENTS CONTINUED UNDER NEXT STEPS**
### **Qualifications**
All qualifications must be met by the closing date of this announcement\-01/28/2026\-unless otherwise stated in this vacancy announcement.  
Credit will be given for all appropriate qualifying experience. To receive credit for experience, your resume MUST clearly indicate the nature of the duties and responsibilities for each position, starting and ending dates of employment (month/year), and the resume must reflect full and/or part\-time or total number of hours worked (i.e., work 40\+ hours a week, rather than indicating full\-time). If part\-time, the hours must be annotated to be able to pro\-rate the amount of qualified specialized experience.  
**Selective Factors:** Applicants must meet **ALL** of the following to qualify:
* **Applicants must be at least 21 years of age.**
* **Mandatory Law Enforcement Commission: Applicants must meet one of the following criteria by the close date of the announcement to be considered for these positions: Currently hold or have previously held (within the past three years), a National Park Service full (Level I) law enforcement commission, or equivalent within the past three years.** **You MUST certify in your supporting documents the possession of at least one of the above criteria. Include your commission number with expiration date within your resume.**
* **You must possess prior law enforcement experience as gained by substantial service (three (3\) years of service) in a primary rigorous law enforcement position or equivalent experience outside the Federal government.**
**\-** **AND** **\-**  
**Applicants must possess** **the following minimum qualification** by close of the announcement:
* **EXPERIENCE:** At least one full year of specialized experience comparable in scope and responsibility to the GS\-12 grade level in the Federal service (obtained in either the public or private sectors). Specialized experience is experience that equipped the applicant with the particular knowledge, skills, and abilities needed to successfully perform the duties of this position. Experience at this level must include all of the following: 1\) providing expert guidance and training on law enforcement procedures as a law enforcement instructor; 2\) developing law enforcement training curriculum using advanced principles and techniques to include lesson plan development, research, curriculum review, development, and revision; 3\) conducting technical training and education programs including development of law enforcement training curriculum as a certified law enforcement instructor; 4\) developing course materials utilizing different approaches and methods to instruction in classroom settings and practical exercises, include evaluation of student performance for both team and individual training settings to determine behavior anchor points and acquired skills/abilities; and 5\) maintaining working relationships with key stakeholders to complete joint training projects or to share best practices; and developing and delivering presentations to students and management officials. Substantial prior primary law enforcement experience either inside or outside the Federal government (e.g. investigating, apprehending or detaining criminals or criminal suspects).
**Volunteer Experience**: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**Additional information**
A selectee receiving a first appointment to the Federal Government (Civil Service) is entitled only to the lowest step of the grade for which selected The display of a salary range on this vacancy shall not be construed as granting an entitlement to a higher rate of pay. **Dual Compensation Off\-Set Waiver for Reemployed Annuitants.**  
**Certain incentives, such as Salary Offset Waiver or Recruitment or Relocation Incentives, may be authorized to eligible selectees. The decision to offer an incentive will be made on a case\-by\-case basis and is neither promised nor guaranteed.**  
**Reemployed Annuitants being placed in a secondary covered position will not have a mandatory retirement age restriction.**  
This announcement may be used to fill additional positions if identical vacancies occur within 90 days of the issue date of the referral certificate.  
**Physical Demands** \- Office work occasionally requires long hours of desk work and can be stressful in that the incumbent is often faced with short deadlines, conflicting priorities and must occasionally resolve conflicting viewpoints. The work entails periodic travel to parks and offices throughout the NPS. Site\-specific fieldwork associated with program responsibilities may involve occasional strenuous activity, exposure to rugged terrain and travel by small plane, helicopter, watercraft, or specialized vehicles. The incumbent must be able to safely utilize firearms, less than lethal weapons, and defensive tactics, and must be prepared at all times, to defend him/her\-self and others against physical and armed attack, including the use of physical violence or deadly force. Due to the law enforcement requirements of this position, mandatory physical fitness and medical standards apply to the incumbent as set forth in the requirements of Department Order \#57 Medical Standard Program.
**Work Environment** \- Most work is performed in an office setting, but field work can entail a wide variety of geographical settings and exposure to natural elements and weather extremes.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 will be evaluated based on how well you meet the qualifications listed in this vacancy announcement. Your qualifications will be evaluated based on your application materials (e.g., resume, supporting documents), the responses you provide on the application questionnaire, and the result of the additional assessments required for this position. A review of your resume and supporting documentation will be made and compared against your responses to the Assessment Questionnaire to determine if you are qualified for this job. If your resume is incomplete or does not support the responses provided in the Assessment Questionnaire, or if you fail to submit all required documentation, you will be rated 'ineligible', 'not qualified', or your score will be adjusted accordingly. If a determination is made that you have inflated your qualifications or experience, you can lose consideration for this position. Please follow all instructions carefully; errors or omissions can affect your rating.  
**Resumes must not exceed two single\-sided pages and resumes longer than two pages will not be accepted. You may only submit one resume. Only the document submitted as the "Resume" under the Documents section will be used to determine your qualifications/eligibility and for rating purposes. In the event you submit more than one resume, only the latest submission will be reviewed.**  
Candidates will be rated and ranked using Category Rating procedures. These procedures place candidates with veteran's preference above non\-preference eligibles within each category. Veterans with a service connected disability of at least 10 percent are listed in the highest quality category, except when the position being filled is scientific or professional at the GS\-09 grade level or higher. Under Category Rating, candidates will be rated and ranked into one of three categories:
* **Best Qualified** \- applicants possessing experience that substantially exceeds the minimum qualifications of the position including all selective factors and are highly proficient in all requirements of the job and can perform effectively in the position
* **Well Qualified \-** applicants possessing experience that exceeds the minimum qualifications of the position including all selective factors and are proficient in most of the requirements of the job
* **Qualified \-** applicants possessing experience that meets the minimum qualifications of the position including all selective factors and are proficient in some, but not all of the requirements of the job.
**You will be evaluated on the following competencies:**  
* Oral Communication
* Partnering
* Technical Competence
* Writing
In order to be considered for this position, you must complete all required steps in the process. In addition to the application and application questionnaire, this position requires successful completion of additional assessments, including a panel resume review. These assessments measure the critical competencies listed above that are required to successfully perform the job.
**Required Documents**
----------------------
The following documents are required and must be submitted by 11:59 PM (EST) on 01/28/2026:
* **2\-Page Resume** which includes a list of all significant jobs held and duties performed, dates specified in month and year format, and the resume must reflect full and/or part\-time or total number of hours worked (i.e., work 40\+ hours a week, rather than indicating full\-time). If part\-time, the hours must be annotated to be able to pro\-rate the amount of qualified specialized experience. If military or civilian, please include your rank and/or grade. **Resumes must not exceed two single\-sided pages and resumes longer than two pages will not be accepted.** The minimum font size is 10\-point for all body text. Headers may be slightly larger but must remain legible. All resumes must maintain a minimum 0\.5\-inch margins on all sides to ensure readability and prevent excessive content compression. Including supplemental pages or attachments disguised as resume extensions are prohibited and will not be reviewed to determine your eligibility/qualifications.
* Complete **All Required Assessments.**
* **Other Supporting Documents**, if applicable, such as:
	+ Veterans Preference Documentation:
		- If you are a **Discharged, Non\-Disabled Veteran**, you must submit a copy of your DD\-214 showing character of discharge (Member 4 copy), or other Documentation of Service and Separation under Honorable Conditions, as listed on the SF15\. If you don't have your DD\-214, you may request it after discharge from the National Archives.
		- If you are a **veteran within 120 days of discharge**, you must submit signed documentation from the Armed Forces certifying: 1\) your expected release/retirement from active duty, 2\) under honorable conditions, 3\) your pay grade/rank/rate at time of discharge, 4\) dates of active duty service, 5\) any campaign or expeditionary medals received, \&amp; 6\) dated within 120 days of your separation.
		- If you are a **Disabled Veteran, Purple Heart Recipient, or** **Mother or Spouse of a Disabled or Deceased Veteran**, you must submit all additional proof required by the SF15, and if applicable, a completed SF15\. You may request a copy of your Department of Veterans Affairs letter from www.ebenefits.va.gov or call 1\-800\-827\-1000 to establish proof of disability.
* **Documentation that you meet Selective Factors**.
* Documentation for Interagency/Career Transition Assistance Plan consideration if you are a displaced Federal employee within the local commuting area. You must include: 1\) Proof you are a displaced Federal employee, e.g., RIF Separation Notice, Notice of Proposed Removal, etc; 2\) SF\-50s (Notifications of Personnel Action) showing career/conditional tenure competitive status, promotion potential and duty location; and 3\) your most recent performance appraisal. To exercise selection priority, displaced or surplus Federal employees must be rated well\-qualified or above 85 on the rating criteria for this position.
**Do not submit photographs with your application package.** Documents with photographs may not be seen by hiring officials \- you must remove your image from any badges, licenses, etc.
**Do not upload Adobe portfolio documents.** Adobe portfolio documents are not viewable by our agency's staffing offices.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**To apply for this position:** You must complete the occupational questionnaire and submit the documentation specified in the Required Documents section below. To receive consideration, the complete application package must be submitted by 11:59 PM (EST) on 01/28/2026\. You must provide documentation to support your claim for each eligibility selected. Please review the required documentation listed in the eligibilities language to ensure you submit the appropriate information. Note: You will only be marked eligible for those eligibilities that you selected and provided the appropriate supporting documentation.  
**WE DO NOT ACCEPT HARD\-COPY OR E\-MAIL APPLICATION PACKAGES.**
* Select Apply. If you are not logged in, you will be prompted to login or create an account.
* Prompted to Start the Application Process by selecting "Apply."
	+ Click here for USAJobs Help with "How to create an application"
	+ To **PREVIEW** the application questionnaire, select the following link: https://apply.usastaffing.gov/ViewQuestionnaire/12864158
* Select or add the resume you want to use for this application. Click here on how to build a resume in USAJOBS.
* Select documents you want included in this application.
* Review package to acknowledge your documents were reviewed.
* Select if you want to include your demographic information.
* After reading and certifying the application is true and submitted in good faith, select "Continue to Agency Site."
* Follow onscreen prompts and instructions to complete your application.
* Add the supporting documents by indexing your documents with the dropdown.
	+ Upload any missing required documents or optional documents.
* Review and Submit Application.
* While logged in, you can check the status of your application by selecting "\+" next to the job title for this position.
* You can review or revise your application at any point during the open period of the announcement.
	+ To update an application, you should log into your USAJOBS account and select "\+" next to the job title for this position. Select **"Update Application"** for this job.
	+ **Note:** When you click **Update Application**, you will be prompted to re\-select your documents from USAJOBS. Documents submitted with the first application will no longer be associated with the applicant record. So it is important that you select all documents you want to use in the re\-application.
### **Agency contact information**
Washington Office
Email
waso\_shro@nps.gov
Address
*Visitor and Resource Protection*  
*1849 C Street, NW*  
*Washington, DC 20240*  
*US*### **Next steps**
**REQUIREMENTS CONTINUED \-**
* You will be required to operate a government (or private) motor vehicle as part of your official duties; a valid driver's license is required. You will be required to submit a Motor Vehicle Operator's License and Driving Record. You must also submit (within a State sealed envelope or submitted directly by the State authorities), and at your own expense, all certified driving records from all States that disclose all valid driver's licenses, whether current or past, possessed by you.
* Selectees will be expected to travel in (not pilot) a small single\-engine aircraft.
* You will be required to wear a uniform and comply with the National Park Service uniform standards. A uniform allowance will be provided.
* You may be required to work on\-call, evenings, weekends, holidays, overtime and shift work.
* You may be required to travel overnight away from home up to 5 days a month. You must obtain a government charge card for travel purposes.
* You may be required to complete training and obtain/maintain a government charge card with travel and/or purchase authority.
* The position to which you will be appointed is subject to a financial disclosure reporting requirement and you will be required to complete a new entrant Confidential Financial Disclosure Report (OGE Form 450\) within 30 days of your appointment.
Once the Occupational Questionnaire is received you will receive acknowledgement that your submission was successful. If you are among the most qualified candidates and your name is referred to the hiring official, you may be contacted directly for a possible interview. You will be notified of the status of your Application Package at the time candidates are referred for consideration, and when the selection process is complete.
**Overview**
------------
Accepting applications
Open \&amp; closing dates
01/22/2026 to 01/28/2026
Salary
$109,383 to \- $109,383 per year
Pay scale \&amp; grade
GS 13
Location
1 vacancy in the following location:
Glynco, GA
Remote job
No
Telework eligible
No
Travel Required
Occasional travel \- You may be expected to travel for this position.
Relocation expenses reimbursed
No
Appointment type
Temporary \- 1 Year
Work schedule
Full\-time
Service
Competitive
Promotion potential
None
Job family (Series)
* 0025 Park Ranger
Supervisory status
No
Security clearance
Top Secret
Drug test
Yes
Position sensitivity and risk
Critical\-Sensitive (CS)/High Risk
Trust determination process
* Credentialing
* Suitability/Fitness
* National security
Financial disclosure
Yes
Bargaining unit status
No
Announcement number
WO\-1614\-VRP\-26\-12864158\-DE
Control number
855004300</t>
        </is>
      </c>
    </row>
    <row r="31">
      <c r="A31" t="inlineStr">
        <is>
          <t>in-3b9cc4783f069ecb</t>
        </is>
      </c>
      <c r="B31" t="inlineStr">
        <is>
          <t>Senior Program Manager, Onsite</t>
        </is>
      </c>
      <c r="C31" t="inlineStr">
        <is>
          <t>Leonardo DRS</t>
        </is>
      </c>
      <c r="D31" t="inlineStr">
        <is>
          <t>indeed</t>
        </is>
      </c>
      <c r="E31">
        <f>HYPERLINK("https://www.indeed.com/viewjob?jk=3b9cc4783f069ecb", "https://www.indeed.com/viewjob?jk=3b9cc4783f069ecb")</f>
        <v/>
      </c>
      <c r="F31">
        <f>HYPERLINK("https://careers.leonardodrs.com/job/Fitchburg-Senior-Program-Manager%2C-Onsite-MA-01420/1358426700/", "https://careers.leonardodrs.com/job/Fitchburg-Senior-Program-Manager%2C-Onsite-MA-01420/1358426700/")</f>
        <v/>
      </c>
      <c r="G31" t="inlineStr">
        <is>
          <t>Fitchburg, MA, US</t>
        </is>
      </c>
      <c r="H31" s="2" t="n">
        <v>46043</v>
      </c>
      <c r="I31" t="inlineStr">
        <is>
          <t>**Job ID:** **113591**  
The Leonardo DRS Naval Power Systems business is a trusted provider of innovative naval gas and hybrid power systems, control technology and support solutions for the U.S. Navy and navies around the world.**Job Summary**
**Job Responsibilities**
Manage and direct the daily execution of multiple programs within contract requirements to assure that cost, schedules and performance goals are met. Lead all meetings and the integrated product and/or project team (kick\-off through project close). Provide interface, communication and coordination with internal and external customers on matters pertaining to existing contracts. Lead and or support bid and proposal activities. Responsibilities are conducted under the guidance of senior level management (Director of Programs, or LOB Lead).
Works closely with Engineering to manage a development program or a project. May need to intercede with Engineering Management to accomplish objectives. Work outcomes may encompass product development, services or both. Manages and ensures the timely completion of specific, defined technical programs or projects. Oversee a team or portion of a program to plan, track and execute project plans from start to completion using specific technical knowledge. Provides resolution to a diverse range of complex problems. Uses judgement within defined policies and practices.
* Participate as a team member or leader on bid and proposal activities. Ensure that the requirements of the request for proposal are met in the preparation and documentation of bids and proposals for existing customers
* Actively seek new business opportunities in coordination with Business Development
* Represent management at program reviews, meetings, seminars, etc.
* Prepare for and participate in contract/subcontract negotiations. While representing Company’s interests, assure that all government regulatory guidance is adhered to
* Allocate and control contract budgets for labor, material, travel and purchased services. Regularly report program status to senior management
* Formally identify, assess, monitor and mitigate risk throughout the program life cycle. Obtains management approval prior to making decisions that will cause deterioration of established program, cost and schedule objectives.
* May be required to ensure the overall execution of material on schedule and on budget for a business area
* May be required to collaborate on various tasks with various project teams
* May be required to various tasks/team/project/Engineering changes
* Notify and seek senior management assistance in resolving schedule and budget problems as they arise. Develop and implement corrective action plans when deviations from budgets and/or schedules are evident
* Perform variance analysis of schedule and cost on a formal and informal basis and present them to senior management (i.e. earned value management system)
* Serve as the primary interface with the customer on all matters involving contract execution. Coordinate with other departments on resolution of contractual problems with the customer
* Coordinate with Contracts Administration on issues pertaining to contract requirements, changes, and interpretations.
* Assure the contract requirements are executed in accordance with appropriate regulations and Company policies and procedures (i.e. federal acquisition regulations)
**Job Responsibilities Part II**
* Provide leadership to program or project team. Assures communication and cooperation among team members and resolves areas of conflict
* Ensure a timely closeout of completed programs to ensure that all obligations are satisfied and program documentation is properly recorded
* Understand and develop leading verses lagging indicators
* Develop and execute program corrective action strategies
* May partner with various stakeholders on planning process and system improvements
* Develop and understand principles of program planning. Broad application of principles, theories, and concepts in applicable discipline, plus working knowledge of other related fields
* Develop and understand cash flow management principles
* Support, communicate, reinforce and defend the mission, values and culture of the organization
Secondary Accountabilities
* Develop and understand principles of process improvement (i.e. Lean Six Sigma)
* May require 7\+ year in the in DoD program and/or materials management and in production manufacturing operation utilizing MRP/ERP depending upon the job discipline
* May require knowledge of DoD FAR procurement regulations
* May require knowledge of MRP/ERP with a solid understanding of electro\-mechanical assembly operations, bills of material, demand material planning, and the supply chain purchasing process
**Qualifications**
* 7\+ years relevent experience
* Bachelor’s degree or equivalent combination of education and experience
* Engineering, Finance, Supply Chain or Business degree may be preferred or equivalent combination of education and experience depending upon the job discipline
* Knowledge of program management tools and procedures
* Solid leadership and management skills
* Experience throughout the program lifecycle from development through sustainment to include: proposal development, requirements decomposition, generation of system and subsystem statements of work and subcontracts, risk management, and continuous improvement efforts including implementation cost reduction and performance improvement efforts
* Experience with earned value cost accounting and reporting; experience with metrics for assessing and reporting program progress, productivity and variance analysis
* Experience in finance, contracting, export regulations, engineering, logistics, manufacturing and supply chain management
* Solid problem solving skills
* Strong presentation skills
* Experience with managing manpower planning, project reviews, scheduling and budget control
* Ability to manage aerospace/defense programs as a prime or subcontractor to a domestic or foreign military organization
* Strong oral and written communication skills
* Program Management certification preferred (i.e. PMP or DAU)
U.S. Citizenship required.
*The salary range for this position is $125,114 \- $ 99,484/year. This range reflects the good faith estimate of pay the employer is willing to offer at the time of posting. Several factors can influence the pay scale, including but not limited to: Federal contract labor categories and contract wage rates, collective bargaining agreements, geographic location, business considerations, scope, and responsibilities of the position, local or other applicable market conditions, and internal equity. Other factors include the candidate’s qualifications such as prior work experience, specific skills and competencies, education/training, and certifications. In addition to base pay, employees may be eligible for: annual performance\-based bonuses, equity awards, and overtime pay (for non\-exempt employees as applicable. Our benefits package includes comprehensive health insurance (medical, dental, vision), employer matching 401(k) retirement plan, paid time off including vacation, holidays, and sick leave (including ant state\-mandated paid sick leave), parental leave benefits, tuition reimbursement, professional development support, and life and disability insurance coverage.*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
*\#NPSIND \#LI\-LT1*</t>
        </is>
      </c>
    </row>
    <row r="32">
      <c r="A32" t="inlineStr">
        <is>
          <t>in-98e069290a4cd3a9</t>
        </is>
      </c>
      <c r="B32" t="inlineStr">
        <is>
          <t>Residential Program Manager</t>
        </is>
      </c>
      <c r="C32" t="inlineStr">
        <is>
          <t>Merakey</t>
        </is>
      </c>
      <c r="D32" t="inlineStr">
        <is>
          <t>indeed</t>
        </is>
      </c>
      <c r="E32">
        <f>HYPERLINK("https://www.indeed.com/viewjob?jk=98e069290a4cd3a9", "https://www.indeed.com/viewjob?jk=98e069290a4cd3a9")</f>
        <v/>
      </c>
      <c r="F32">
        <f>HYPERLINK("https://recruiting.adp.com/srccsh/public/RTI.home?r=5001175048006&amp;c=1148411&amp;d=External&amp;rb=INDEED&amp;idUnique=5001175048006", "https://recruiting.adp.com/srccsh/public/RTI.home?r=5001175048006&amp;c=1148411&amp;d=External&amp;rb=INDEED&amp;idUnique=5001175048006")</f>
        <v/>
      </c>
      <c r="G32" t="inlineStr">
        <is>
          <t>Chambersburg, PA, US</t>
        </is>
      </c>
      <c r="H32" s="2" t="n">
        <v>46043</v>
      </c>
      <c r="I32" t="inlineStr">
        <is>
          <t>We are currently seeking a **Program Manager** to join our Intellectual and Developmental Disabilities Services (IDD) division in **Chambersburg, PA**.
**Position Overview:**
The Program Manager plays a critical role in in the day \- to \- day management and oversight of specific programs or services within their Division. Reporting to the program Director or Director, this position is responsible for coordinating program activities, supervising program staff, and ensuring the delivery of high \- quality services to program participants.
The **Program Manager** plays a critical role in the day\-to\-day management and oversight of specific programs or services within their identified Division. Reporting to the Program Director or Director , this position is responsible for coordinating program activities, supervising program staff, and ensuring the delivery of high\-quality services to program participants. This role may manage a caseload of their own.
Job Functions of the **Program Manager** role**:**
* Responsible for personnel management to include but not limited to; Leave Management, Workers Compensation, Unemployment, Performance Management, hiring, remediation and, termination.
* Management of Professional services.
* Purchasing of required supplies and reconciliation of receipts.
* On\-call responsibilities for region.
* Incident Management in partnership with QCO.
* When applicable understanding of labor to include but not limited to; seniority and overtime rules and contract interpretation.
* Client fund management
* Intake and distribution of medication
* Oversight of team compliance of required trainings.
* Oversight of program operations to ensure adherence to monthly budgetary requirements
**Benefits**
Merakey offers generous benefits that promote well\-being, financial security, and work\-life balance, including:
* Comprehensive medical, dental, and vision coverage, plus access to healthcare advocacy support.
Retirement plan * \- both pre\-tax and Roth (after\-tax) options available for employee contributions.
DailyPay * \- access your pay when you need it!
* On the Goga well\-being platform, featuring self\-care tools and resources.
* Access Care.com for backup childcare, elder care, and household services.
* Confidential counseling, legal, and financial services through our Employee Assistance Program (EAP).
* Tuition reimbursement and educational partnerships.
* Employee discounts and savings programs on entertainment, travel, and lifestyle.
* Access to Pryor Online Learning for free online personal development classes.
Learn more about our full benefits package \- https://www.merakey.org/careers/benefits
**About Merakey**
Merakey is a non\-profit provider of developmental, behavioral health, and education services. More than 8,000 employees provide support to nearly 40,000 individuals and families throughout 12 states across the country each year. Click here to watch a video about Merakey. **Merakey strictly follows a zero\-tolerance policy for abuse.**
**Merakey is proud to be an Equal Opportunity Employer!** We deeply value diversity and do not discriminate on the basis of race, religion, color, national origin, ethnic background, sex, gender, gender identity, sexual orientation, age, marital status, veteran status, genetic information, or disability status. Moreover, we are committed to creating teams that reflect the diversity of the communities we serve and encourage applicants from underrepresented backgrounds to apply. Merakey welcomes all Veterans to apply!
Requirements:
**Our ideal candidate will possess the following skills:**
* Valid Driver's License and ability to pass motor vehicle report and criminal background checks
* High School Diploma or GED required
* Bachelor's Degree preferred
* 1\-3 years IDD related experience
* 1\-3 year Supervisor / Manager experience</t>
        </is>
      </c>
    </row>
    <row r="33">
      <c r="A33" t="inlineStr">
        <is>
          <t>in-9d2f164ef64e79d6</t>
        </is>
      </c>
      <c r="B33" t="inlineStr">
        <is>
          <t>Product Manager III - Consumer Credit Cards</t>
        </is>
      </c>
      <c r="C33" t="inlineStr">
        <is>
          <t>City National Bank</t>
        </is>
      </c>
      <c r="D33" t="inlineStr">
        <is>
          <t>indeed</t>
        </is>
      </c>
      <c r="E33">
        <f>HYPERLINK("https://www.indeed.com/viewjob?jk=9d2f164ef64e79d6", "https://www.indeed.com/viewjob?jk=9d2f164ef64e79d6")</f>
        <v/>
      </c>
      <c r="F33">
        <f>HYPERLINK("https://jsv3.recruitics.com/redirect?rx_cid=3690&amp;rx_jobId=12489-1&amp;rx_url=https%3A%2F%2Fcareers.cnb.com%2Fjobs%2F12489%3Fiis%3DJob%252BBoard%26iisn%3DRecruitics_Indeed%26lang%3Den-us%26mode%3Djob%26rx_a%3D0%26rx_c%3D%26rx_ch%3Djobp4p%26rx_group%3D423557%26rx_id%3D3c7f01fc-f756-11f0-888a-ff00d82e4acf%26rx_job%3D12489-1%26rx_medium%3Dcpc%26rx_r%3Dnone%26rx_source%3Dindeed%26rx_ts%3D20260122T180424Z%26rx_vp%3Dcpc%26utm_medium%3Dppc%26utm_source%3Drecruitics_indeedorganic", "https://jsv3.recruitics.com/redirect?rx_cid=3690&amp;rx_jobId=12489-1&amp;rx_url=https%3A%2F%2Fcareers.cnb.com%2Fjobs%2F12489%3Fiis%3DJob%252BBoard%26iisn%3DRecruitics_Indeed%26lang%3Den-us%26mode%3Djob%26rx_a%3D0%26rx_c%3D%26rx_ch%3Djobp4p%26rx_group%3D423557%26rx_id%3D3c7f01fc-f756-11f0-888a-ff00d82e4acf%26rx_job%3D12489-1%26rx_medium%3Dcpc%26rx_r%3Dnone%26rx_source%3Dindeed%26rx_ts%3D20260122T180424Z%26rx_vp%3Dcpc%26utm_medium%3Dppc%26utm_source%3Drecruitics_indeedorganic")</f>
        <v/>
      </c>
      <c r="G33" t="inlineStr">
        <is>
          <t>New York, NY, US</t>
        </is>
      </c>
      <c r="H33" s="2" t="n">
        <v>46042</v>
      </c>
      <c r="I33" t="inlineStr">
        <is>
          <t>**PRODUCT MANAGER III \- CONSUMER CREDIT CARDS**
**WHAT IS THE OPPORTUNITY?**
The Product Manager III will lead the development, management, and optimization of **consumer credit card products** tailored to the unique needs of **RBC Wealth Management clients**. This role focuses on creating and enhancing credit card solutions that align with the bank's wealth management strategy, drive client engagement, and contribute to profitability.
Key responsibilities include:* **Developing and managing** credit card products that cater to high\-net\-worth and affluent clients, ensuring they align with RBC Wealth Management's broader financial solutions.
* **Enhancing product features** to meet client expectations for premium benefits, rewards, and personalized experiences.
* **Analyzing market trends** in the credit card industry, particularly within the wealth management segment, to identify opportunities for innovation and differentiation.
* **Collaborating with cross\-functional teams** (e.g., marketing, risk, compliance, and technology) to ensure seamless product delivery and client satisfaction.
* **Driving profitability** by optimizing pricing, fees, and rewards structures while maintaining competitiveness in the wealth management space.
Product Management for credit cards in RBC Wealth Management involves a continuous cycle:* **Analysis**: Identify client needs, market gaps, and competitive benchmarks.
* **Development**: Design credit card products with features like travel rewards, concierge services, and exclusive benefits.
* **Launch**: Coordinate training, policy updates, and marketing materials for internal and external stakeholders.
* **Monitoring**: Track product performance, client feedback, and market shifts.
* **Enhancement**: Recommend improvements to ensure ongoing relevance and competitiveness.
**WHAT WILL YOU DO?*** **Manage the credit card product portfolio** for RBC Wealth Management, ensuring alignment with client needs and business objectives.
* **Identify and evaluate opportunities** for product enhancements, such as premium rewards programs, cashback structures, or travel perks tailored to affluent clients.
* **Conduct regular market and competitor analysis** to benchmark RBC's credit card offerings against industry leaders in wealth management.
* **Prepare and present reports** to senior leadership on product performance, profitability, and strategic recommendations.
* **Collaborate with marketing** to develop targeted campaigns and materials highlighting credit card benefits for wealth management clients.
* **Review and optimize pricing/fees** annually, ensuring compliance with regulatory requirements and client expectations.
* **Serve as the subject matter expert** for credit card products, providing guidance to sales teams on positioning and selling to high\-net\-worth clients.
* **Monitor risk and compliance** for credit card products, working closely with risk management and legal teams.
* **Foster relationships** with internal stakeholders (e.g., client advisors, operations) to ensure seamless product integration and client support.
* **Stay updated on industry trends**, including digital payment innovations, regulatory changes, and client preferences in the wealth management space.
**WHAT DO YOU NEED TO SUCCEED?****Required Qualifications\**** Minimum 5 years of product management experience required.
* Minimum 3 years of financial services industry experience required.
* Minimum 3 years of experience managing medium to large projects required.
**Additional Qualifications*** Bachelor's degree or equivalent experience
* Excellent organizational, problem solving, analytical, planning, and scheduling skills
* Strong leadership and negotiation skills; executive presence
* Extensive credit card industry/business knowledge
* Excellent verbal and written communication skills with the ability to prepare comprehensive reports, make presentations and communicate with all levels of Bank management
* Proven experience in demonstrating initiative in creating and maintaining positive business relationships with various unit managers
* Project management experience with the ability to concurrently manage multiple projects and timeframes is necessary
* Excellent verbal and written communication skills
* Proficiency in Excel, Word, and PowerPoint are essential
 **WHAT'S IN IT FOR YOU?****Compensation**
Starting base salary: $92,114 \- $156,880 per year. Exact compensation may vary based on skills, experience, and location. This job is eligible for bonus and/or commissions. **Benefits and Perks**
At City National, we strive to be the best at whatever we do, including the benefits and perks we offer our colleagues including:* Comprehensive healthcare coverage, including Medical, Dental and Vision plans, available the first of the month following start date
* Generous 401(k) company matching contribution
* Career Development through Tuition Reimbursement and other internal upskilling and training resources
* Valued Time Away benefits including vacation, sick and volunteer time
* Specialized health and family planning benefits including fertility benefits, and cancer, diabetes and musculoskeletal support programs
* Career Mobility support from a dedicated recruitment team
* Colleague Resource Groups to support networking and community engagement
Get a more detailed look at our Benefits and Perks. **ABOUT US**
Since day one we've always gone further than the competition to help our clients, colleagues and communities flourish. City National Bank was founded in 1954 by entrepreneurs for entrepreneurs and that legacy of integrity, community and unparalleled client relationships continues today. City National is a subsidiary of Royal Bank of Canada, one of North America's leading diversified financial services companies. To learn more about City National and our dynamic company culture, visit us at About Us. **INCLUSION AND EQUAL OPPORTUNITY EMPLOYMENT**
City National Bank fosters an inclusive environment where all forms of diversity are valued and leveraged to make us a better company and employer. We are an equal opportunity employer and all qualified applicants will receive consideration for employment without regard to race, color, religion, sexual orientation, gender identity, national origin, disability, veteran status or other basis protected by law.  
It is unlawful in Massachusetts to require or administer a lie detector test as a condition of employment or continued employment. An employer who violates this law shall be subject to criminal penalties and civil liability.  
* Represents basic qualifications for the position. To be considered for this position, you must at least meet the required qualifications. careers.cnb.com accepts applications on an ongoing basis, until filled.
Unless otherwise indicated as fully remote, reporting into a designated City National location is an essential function of the job.</t>
        </is>
      </c>
    </row>
    <row r="34">
      <c r="A34" t="inlineStr">
        <is>
          <t>in-4b27fd3dd57e1157</t>
        </is>
      </c>
      <c r="B34" t="inlineStr">
        <is>
          <t>Product Manager III - Consumer Credit Cards</t>
        </is>
      </c>
      <c r="C34" t="inlineStr">
        <is>
          <t>City National Bank</t>
        </is>
      </c>
      <c r="D34" t="inlineStr">
        <is>
          <t>indeed</t>
        </is>
      </c>
      <c r="E34">
        <f>HYPERLINK("https://www.indeed.com/viewjob?jk=4b27fd3dd57e1157", "https://www.indeed.com/viewjob?jk=4b27fd3dd57e1157")</f>
        <v/>
      </c>
      <c r="F34">
        <f>HYPERLINK("https://jsv3.recruitics.com/redirect?rx_cid=3690&amp;rx_jobId=12489&amp;rx_url=https%3A%2F%2Fcareers.cnb.com%2Fjobs%2F12489%3Fiis%3DJob%252BBoard%26iisn%3DRecruitics_Indeed%26lang%3Den-us%26mode%3Djob%26rx_a%3D0%26rx_c%3D%26rx_ch%3Djobp4p%26rx_group%3D423557%26rx_id%3D3b552850-f756-11f0-888a-b3fabd148350%26rx_job%3D12489%26rx_medium%3Dcpc%26rx_r%3Dnone%26rx_source%3Dindeed%26rx_ts%3D20260122T180424Z%26rx_vp%3Dcpc%26utm_medium%3Dppc%26utm_source%3Drecruitics_indeedorganic", "https://jsv3.recruitics.com/redirect?rx_cid=3690&amp;rx_jobId=12489&amp;rx_url=https%3A%2F%2Fcareers.cnb.com%2Fjobs%2F12489%3Fiis%3DJob%252BBoard%26iisn%3DRecruitics_Indeed%26lang%3Den-us%26mode%3Djob%26rx_a%3D0%26rx_c%3D%26rx_ch%3Djobp4p%26rx_group%3D423557%26rx_id%3D3b552850-f756-11f0-888a-b3fabd148350%26rx_job%3D12489%26rx_medium%3Dcpc%26rx_r%3Dnone%26rx_source%3Dindeed%26rx_ts%3D20260122T180424Z%26rx_vp%3Dcpc%26utm_medium%3Dppc%26utm_source%3Drecruitics_indeedorganic")</f>
        <v/>
      </c>
      <c r="G34" t="inlineStr">
        <is>
          <t>Los Angeles, CA, US</t>
        </is>
      </c>
      <c r="H34" s="2" t="n">
        <v>46042</v>
      </c>
      <c r="I34" t="inlineStr">
        <is>
          <t>**PRODUCT MANAGER III \- CONSUMER CREDIT CARDS**
**WHAT IS THE OPPORTUNITY?**
The Product Manager III will lead the development, management, and optimization of **consumer credit card products** tailored to the unique needs of **RBC Wealth Management clients**. This role focuses on creating and enhancing credit card solutions that align with the bank's wealth management strategy, drive client engagement, and contribute to profitability.
Key responsibilities include:* **Developing and managing** credit card products that cater to high\-net\-worth and affluent clients, ensuring they align with RBC Wealth Management's broader financial solutions.
* **Enhancing product features** to meet client expectations for premium benefits, rewards, and personalized experiences.
* **Analyzing market trends** in the credit card industry, particularly within the wealth management segment, to identify opportunities for innovation and differentiation.
* **Collaborating with cross\-functional teams** (e.g., marketing, risk, compliance, and technology) to ensure seamless product delivery and client satisfaction.
* **Driving profitability** by optimizing pricing, fees, and rewards structures while maintaining competitiveness in the wealth management space.
Product Management for credit cards in RBC Wealth Management involves a continuous cycle:* **Analysis**: Identify client needs, market gaps, and competitive benchmarks.
* **Development**: Design credit card products with features like travel rewards, concierge services, and exclusive benefits.
* **Launch**: Coordinate training, policy updates, and marketing materials for internal and external stakeholders.
* **Monitoring**: Track product performance, client feedback, and market shifts.
* **Enhancement**: Recommend improvements to ensure ongoing relevance and competitiveness.
**WHAT WILL YOU DO?*** **Manage the credit card product portfolio** for RBC Wealth Management, ensuring alignment with client needs and business objectives.
* **Identify and evaluate opportunities** for product enhancements, such as premium rewards programs, cashback structures, or travel perks tailored to affluent clients.
* **Conduct regular market and competitor analysis** to benchmark RBC's credit card offerings against industry leaders in wealth management.
* **Prepare and present reports** to senior leadership on product performance, profitability, and strategic recommendations.
* **Collaborate with marketing** to develop targeted campaigns and materials highlighting credit card benefits for wealth management clients.
* **Review and optimize pricing/fees** annually, ensuring compliance with regulatory requirements and client expectations.
* **Serve as the subject matter expert** for credit card products, providing guidance to sales teams on positioning and selling to high\-net\-worth clients.
* **Monitor risk and compliance** for credit card products, working closely with risk management and legal teams.
* **Foster relationships** with internal stakeholders (e.g., client advisors, operations) to ensure seamless product integration and client support.
* **Stay updated on industry trends**, including digital payment innovations, regulatory changes, and client preferences in the wealth management space.
**WHAT DO YOU NEED TO SUCCEED?****Required Qualifications\**** Minimum 5 years of product management experience required.
* Minimum 3 years of financial services industry experience required.
* Minimum 3 years of experience managing medium to large projects required.
**Additional Qualifications*** Bachelor's degree or equivalent experience
* Excellent organizational, problem solving, analytical, planning, and scheduling skills
* Strong leadership and negotiation skills; executive presence
* Extensive credit card industry/business knowledge
* Excellent verbal and written communication skills with the ability to prepare comprehensive reports, make presentations and communicate with all levels of Bank management
* Proven experience in demonstrating initiative in creating and maintaining positive business relationships with various unit managers
* Project management experience with the ability to concurrently manage multiple projects and timeframes is necessary
* Excellent verbal and written communication skills
* Proficiency in Excel, Word, and PowerPoint are essential
 **WHAT'S IN IT FOR YOU?****Compensation**
Starting base salary: $92,114 \- $156,880 per year. Exact compensation may vary based on skills, experience, and location. This job is eligible for bonus and/or commissions. **Benefits and Perks**
At City National, we strive to be the best at whatever we do, including the benefits and perks we offer our colleagues including:* Comprehensive healthcare coverage, including Medical, Dental and Vision plans, available the first of the month following start date
* Generous 401(k) company matching contribution
* Career Development through Tuition Reimbursement and other internal upskilling and training resources
* Valued Time Away benefits including vacation, sick and volunteer time
* Specialized health and family planning benefits including fertility benefits, and cancer, diabetes and musculoskeletal support programs
* Career Mobility support from a dedicated recruitment team
* Colleague Resource Groups to support networking and community engagement
Get a more detailed look at our Benefits and Perks. **ABOUT US**
Since day one we've always gone further than the competition to help our clients, colleagues and communities flourish. City National Bank was founded in 1954 by entrepreneurs for entrepreneurs and that legacy of integrity, community and unparalleled client relationships continues today. City National is a subsidiary of Royal Bank of Canada, one of North America's leading diversified financial services companies. To learn more about City National and our dynamic company culture, visit us at About Us. **INCLUSION AND EQUAL OPPORTUNITY EMPLOYMENT**
City National Bank fosters an inclusive environment where all forms of diversity are valued and leveraged to make us a better company and employer. We are an equal opportunity employer and all qualified applicants will receive consideration for employment without regard to race, color, religion, sexual orientation, gender identity, national origin, disability, veteran status or other basis protected by law.  
It is unlawful in Massachusetts to require or administer a lie detector test as a condition of employment or continued employment. An employer who violates this law shall be subject to criminal penalties and civil liability.  
* Represents basic qualifications for the position. To be considered for this position, you must at least meet the required qualifications. careers.cnb.com accepts applications on an ongoing basis, until filled.
Unless otherwise indicated as fully remote, reporting into a designated City National location is an essential function of the job.</t>
        </is>
      </c>
    </row>
    <row r="35">
      <c r="A35" t="inlineStr">
        <is>
          <t>in-0b3222fdb23491c2</t>
        </is>
      </c>
      <c r="B35" t="inlineStr">
        <is>
          <t>Product Manager, Metabolic Health - Stelo</t>
        </is>
      </c>
      <c r="C35" t="inlineStr">
        <is>
          <t>Dexcom</t>
        </is>
      </c>
      <c r="D35" t="inlineStr">
        <is>
          <t>indeed</t>
        </is>
      </c>
      <c r="E35">
        <f>HYPERLINK("https://www.indeed.com/viewjob?jk=0b3222fdb23491c2", "https://www.indeed.com/viewjob?jk=0b3222fdb23491c2")</f>
        <v/>
      </c>
      <c r="F35">
        <f>HYPERLINK("https://dexcom.wd1.myworkdayjobs.com/en-US/Dexcom/job/Remote---United-States/Product-Manager--Metabolic-Health---Stelo_JR116122", "https://dexcom.wd1.myworkdayjobs.com/en-US/Dexcom/job/Remote---United-States/Product-Manager--Metabolic-Health---Stelo_JR116122")</f>
        <v/>
      </c>
      <c r="G35" t="inlineStr">
        <is>
          <t>Remote, US</t>
        </is>
      </c>
      <c r="H35" s="2" t="n">
        <v>46042</v>
      </c>
      <c r="I35"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Join our dynamic and innovative consumer team at the crux of innovation, technology, and consumer products! We are dedicated to empowering individuals to take control of their metabolic health through cutting\-edge biosensor technology and intuitive app experiences. If you're passionate about pushing the boundaries of what's possible and thrive in fast\-moving environments, we want you on our team.
As Product Manager for the Stelo app, you’ll lead the development of in\-app features that help users monitor, understand, and improve their metabolic health. You’ll work cross\-functionally with design, engineering, clinical, and marketing teams to deliver experiences that are evidence\-based, engaging, and impactful.
**Where you come in:**
* Contribute to the product strategy and roadmap for metabolic health features within the Stelo app, and take ownership of driving execution from concept to launch.
* Translate user needs, clinical insights, and business goals into clear product requirements
* Collaborate with UX/UI designers to craft intuitive and motivating user experiences
* Partner with engineering to prioritize and deliver high\-quality mobile features
* Monitor product performance, user feedback, and health outcomes to iterate and improve
* Stay current on trends in metabolic health, digital therapeutics, and mobile health innovation
**What makes you successful:**
* 3\+ years of product management experience, ideally in digital health or wellness
* Strong understanding of metabolic health (e.g., glucose, insulin sensitivity, nutrition, fitness)
* Proven success building and launching mobile apps (iOS/Android)
* Experience with wearable tech, CGM, and/or health data platforms
* Familiarity with regulatory considerations in consumer health apps
* Experience working with cross\-functional teams in agile environments
* Excellent communication, prioritization, and stakeholder management skills
* Passion for empowering people to live healthier lives through technology
**What you’ll get:**
* A front row seat to life changing CGM technology. Learn about our brave \#dexcomwarriors community .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5\-15%
**Experience and Education Requirements:**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$122,500\.00 \- $204,100\.00</t>
        </is>
      </c>
    </row>
    <row r="36">
      <c r="A36" t="inlineStr">
        <is>
          <t>in-c66b73be436ed51f</t>
        </is>
      </c>
      <c r="B36" t="inlineStr">
        <is>
          <t>Director Product Manager, Compute SW</t>
        </is>
      </c>
      <c r="C36" t="inlineStr">
        <is>
          <t>Qualcomm</t>
        </is>
      </c>
      <c r="D36" t="inlineStr">
        <is>
          <t>indeed</t>
        </is>
      </c>
      <c r="E36">
        <f>HYPERLINK("https://www.indeed.com/viewjob?jk=c66b73be436ed51f", "https://www.indeed.com/viewjob?jk=c66b73be436ed51f")</f>
        <v/>
      </c>
      <c r="F36">
        <f>HYPERLINK("https://careers.qualcomm.com/careers/job/446716297282?utm_source=indeed&amp;domain=qualcomm.com", "https://careers.qualcomm.com/careers/job/446716297282?utm_source=indeed&amp;domain=qualcomm.com")</f>
        <v/>
      </c>
      <c r="G36" t="inlineStr">
        <is>
          <t>San Diego, CA, US</t>
        </is>
      </c>
      <c r="H36" s="2" t="n">
        <v>46042</v>
      </c>
      <c r="I36" t="inlineStr">
        <is>
          <t>**Company:**
------------
Qualcomm Technologies, Inc.**Job Area:**
-------------
Operations Group, Operations Group \&gt; Product Management**General Summary:**
Qualcomm is looking for a Technical Product Manager in the Compute Business Unit to help drive Microsoft Copilot Runtime, AI Solutions \&amp; Frameworks and OEM platform software for Windows on Snapdragon® initiative.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Windows on Snapdragon® initiative is revolutionizing the PC industry. Windows Copilot\+ PCs powered by Snapdragon X Elite are leading the industry with revolutionary performance, efficiency and AI capabilities. The personal notebook industry is shifting towards these capabilities, and this has created momentum amongst the developer community to adopt this new platform. We are looking for a passionate person who can help accelerate this developer momentum.
Windows PC is primary development and target platform for millions of software developer community. These developers represent multiple use cases, needs and challenges. To make Snapdragon Compute platform developer ready for these challenges, Qualcomm works closely with existing industry solutions, tools and middleware. Especially with AI, this landscape is shifting fast. The role will be central to this movement.
The successful candidate will have a good understanding of Windows PC software ecosystem across consumer/enterprise segments. She/he will also be familiar with developer workflows and related tools \&amp; tech for today’s generation of Windows developer with thirst for AI. She/he will work with the internal stakeholders (product, engineering, marketing, business, and program management) and external industry partners for application developer engagement, enablement, and support particularly for Windows Copilot and AI foundry use cases on Snapdragon based platforms. She/he will engage with developers and industry partners to analyze new business and technical opportunities \- new software/hardware requirements, drive execution, and support the go\-to\-market plans. Work closely with AI eco system partners like Ollama, Stability and Llama.cpp for prototypes of Gen AI and Agentic AI use cases to be demonstrated in tech events Like Microsoft Build, CES and Qualcomm Summit.
The position requires understanding of PC and Windows, knowledge of technical and business sides of software and application development with strong interpersonal and communication skills. The role also requires AI technology and ecosystem knowledge.
**Principal Duties and Responsibilities:**
* Work closely with Microsoft on the evolution of Windows Copilot\+ experiences and their successful launch on Qualcomm products. Partner with first party applications for scale. Work on innovative solutions partnering with AI ecosystem partners and Frameworks and present in industry meets, forums.
* **Influences external developer/partner products roadmaps** and decisions by advocating for Windows on Snapdragon and Qualcomm technologies.
* Working with multiple product management, engineering, program, marketing, and other business stakeholders **executes the on the roadmap** for Windows on Snapdragon scale.
* **Executes on WOS scale** strategies for new products and technologies through technical marketing opportunities such as conferences, congresses, and direct customer contact and ensures successful product launch.
* Prepares and delivers **technical presentations** to a variety of internal and external audiences regarding product roadmaps that explain and demonstrate products to customers and integrates customer feedback into projects for OEM design wins.
**Level of Responsibility:**
* Working independently with limited supervision.
* Using verbal and written communication skills to convey complex and/or detailed information to Microsoft and OEM partners for Windows on Snapdragon solutions.
* Completing tasks that require multiple steps that can be performed in various orders; tasks require simultaneously executing multiple cognitive abilities and maintaining information in short\- or long\-term memory.
* Regularly determines what needs to be done and is involved with sharing innovative solutions to achieve broad policies and objectives.
* Using deductive and inductive problem solving, multiple approaches may be taken/necessary to solve the problem; often information is missing or conflicting; advanced data analysis and interpretation skills are required.
**Minimum Qualifications:**
* Bachelor's degree in Engineering, Information Systems, Computer Science, Humanities, or related field.
* 8\+ years of Product Management or related work experience.
**Preferred Qualifications:**
* 15\+ years of Product Management or related work experience.
* 4\+ years of working in a large matrixed organization.
* 2\+ years of working with operating budgets and/or project financials.
* 2\+ years of negotiating 3rd party business agreements.
bjectives.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$196,000\.00 \- $294,000\.00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7">
      <c r="A37" t="inlineStr">
        <is>
          <t>in-06a8fa82a2414892</t>
        </is>
      </c>
      <c r="B37" t="inlineStr">
        <is>
          <t>Program Manager</t>
        </is>
      </c>
      <c r="C37" t="inlineStr">
        <is>
          <t>Qualcomm</t>
        </is>
      </c>
      <c r="D37" t="inlineStr">
        <is>
          <t>indeed</t>
        </is>
      </c>
      <c r="E37">
        <f>HYPERLINK("https://www.indeed.com/viewjob?jk=06a8fa82a2414892", "https://www.indeed.com/viewjob?jk=06a8fa82a2414892")</f>
        <v/>
      </c>
      <c r="F37">
        <f>HYPERLINK("https://careers.qualcomm.com/careers/job/446716302306?utm_source=indeed&amp;domain=qualcomm.com", "https://careers.qualcomm.com/careers/job/446716302306?utm_source=indeed&amp;domain=qualcomm.com")</f>
        <v/>
      </c>
      <c r="G37" t="inlineStr">
        <is>
          <t>San Diego, CA, US</t>
        </is>
      </c>
      <c r="H37" s="2" t="n">
        <v>46042</v>
      </c>
      <c r="I37" t="inlineStr">
        <is>
          <t>**Company:**
------------
Qualcomm Technologies, Inc.**Job Area:**
-------------
Engineering Services Group, Engineering Services Group \&gt; Program Management**General Summary:**
Develops, defines, and executes plans of record, including: schedules, budgets, resources, deliverables, and risks. Monitors and drives the program from initiation through delivery, interfacing with internal and external stakeholders across functions on technical matters, as needed. Monitors budget/spending, on\-time delivery, and achievement of program milestones. Represents the program and drives alignment across stakeholders.
**Minimum Qualifications:**
* Bachelor's degree in Engineering, Computer Science, or related field.
* 2\+ years of Program Management or related work experience.
**Preferred Qualifications:**
* 5\+ years of Program Management or related work experience.
* 1\+ year of experience working in a large matrixed organization.
* 1\+ year of experience with program management tools such as dashboards, Gantt charts, etc.
**Principal Duties and Responsibilities:**  
* Supports the establishment of program goals and prioritizes deliverables under minimal supervision of Program Management stakeholders.
* Manages and takes responsibility for multiple small programs/technology with minimal complexity or a single program/technology with moderate complexity by applying up\-to\-date program management knowledge to meet deadlines.
* Builds and manages the execution of the Plan of Record (e.g., on time, on budget, within scope) for multiple small programs or a single medium sized program, which includes schedule and resource forecasting, stakeholder identification, method and frequency of communication, scope, and prioritization.
* Tracks all key metrics pertaining to a program, provides early warning for potential metric deviations and escalates in timely manner when metrics deviate significantly from Plan of Record.
* Coordinates the work of a small team on assigned tasks with guidance and maintains progress in tracking system.
* Identifies program issues/risks and creates a risk mitigation plan for multiple small programs or a single medium\-sized program. Maintains and updates the risk tracker.
* Supports team vision and objectives by motivating team.
* Supports the compliance of processes by following best practices and procedures and providing observations for process improvement.
**Level of Responsibility:**  
* Working under some supervision.
* Making decisions that are low to moderate in impact; errors may have relatively minor financial impact or effect on projects, operations, or customer relationships; errors may require involvement beyond immediate work group to correct.
* Using verbal and written communication skills to convey information that may be somewhat complex to others who may have limited knowledge of the subject in question. May require basic negotiation and influence, cooperation, tact, and diplomacy, etc.
* Completing tasks with multiple steps that can be performed in various orders; some planning and prioritization must occur to complete the tasks effectively; mistakes may result in some rework.
* Exercising creativity to draft original documents, imagery, or work products within established guidelines.
* Using deductive and inductive problem solving; multiple approaches may be taken/necessary to solve the problem; often information is missing or incomplete; intermediate data analysis/interpretation skills may be required.
The responsibilities of this role do not include:  
* Financial accountability (e.g., does not involve budgeting responsibility).
* Influence over key organizational decisions.
* Role in strategic planning.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$126,400\.00 \- $189,600\.00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8">
      <c r="A38" t="inlineStr">
        <is>
          <t>in-3e7825cf34080905</t>
        </is>
      </c>
      <c r="B38" t="inlineStr">
        <is>
          <t>Program Manager III</t>
        </is>
      </c>
      <c r="C38" t="inlineStr">
        <is>
          <t>Centene</t>
        </is>
      </c>
      <c r="D38" t="inlineStr">
        <is>
          <t>indeed</t>
        </is>
      </c>
      <c r="E38">
        <f>HYPERLINK("https://www.indeed.com/viewjob?jk=3e7825cf34080905", "https://www.indeed.com/viewjob?jk=3e7825cf34080905")</f>
        <v/>
      </c>
      <c r="F38">
        <f>HYPERLINK("https://jobs.centene.com/us/en/jobs/1627797/program-manager-iii/", "https://jobs.centene.com/us/en/jobs/1627797/program-manager-iii/")</f>
        <v/>
      </c>
      <c r="G38" t="inlineStr">
        <is>
          <t>SC, US</t>
        </is>
      </c>
      <c r="H38" s="2" t="n">
        <v>46042</v>
      </c>
      <c r="I38"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9">
      <c r="A39" t="inlineStr">
        <is>
          <t>in-3de351b1b9375235</t>
        </is>
      </c>
      <c r="B39" t="inlineStr">
        <is>
          <t>Program Manager III</t>
        </is>
      </c>
      <c r="C39" t="inlineStr">
        <is>
          <t>Centene</t>
        </is>
      </c>
      <c r="D39" t="inlineStr">
        <is>
          <t>indeed</t>
        </is>
      </c>
      <c r="E39">
        <f>HYPERLINK("https://www.indeed.com/viewjob?jk=3de351b1b9375235", "https://www.indeed.com/viewjob?jk=3de351b1b9375235")</f>
        <v/>
      </c>
      <c r="F39">
        <f>HYPERLINK("https://jobs.centene.com/us/en/jobs/1627797/program-manager-iii/", "https://jobs.centene.com/us/en/jobs/1627797/program-manager-iii/")</f>
        <v/>
      </c>
      <c r="G39" t="inlineStr">
        <is>
          <t>CO, US</t>
        </is>
      </c>
      <c r="H39" s="2" t="n">
        <v>46042</v>
      </c>
      <c r="I39"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40">
      <c r="A40" t="inlineStr">
        <is>
          <t>in-2bbc87995686b912</t>
        </is>
      </c>
      <c r="B40" t="inlineStr">
        <is>
          <t>Program Manager III</t>
        </is>
      </c>
      <c r="C40" t="inlineStr">
        <is>
          <t>Centene</t>
        </is>
      </c>
      <c r="D40" t="inlineStr">
        <is>
          <t>indeed</t>
        </is>
      </c>
      <c r="E40">
        <f>HYPERLINK("https://www.indeed.com/viewjob?jk=2bbc87995686b912", "https://www.indeed.com/viewjob?jk=2bbc87995686b912")</f>
        <v/>
      </c>
      <c r="F40">
        <f>HYPERLINK("https://jobs.centene.com/us/en/jobs/1627797/program-manager-iii/", "https://jobs.centene.com/us/en/jobs/1627797/program-manager-iii/")</f>
        <v/>
      </c>
      <c r="G40" t="inlineStr">
        <is>
          <t>NE, US</t>
        </is>
      </c>
      <c r="H40" s="2" t="n">
        <v>46042</v>
      </c>
      <c r="I40"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41">
      <c r="A41" t="inlineStr">
        <is>
          <t>in-c1120f5088ce7da7</t>
        </is>
      </c>
      <c r="B41" t="inlineStr">
        <is>
          <t>Program Manager III</t>
        </is>
      </c>
      <c r="C41" t="inlineStr">
        <is>
          <t>Centene</t>
        </is>
      </c>
      <c r="D41" t="inlineStr">
        <is>
          <t>indeed</t>
        </is>
      </c>
      <c r="E41">
        <f>HYPERLINK("https://www.indeed.com/viewjob?jk=c1120f5088ce7da7", "https://www.indeed.com/viewjob?jk=c1120f5088ce7da7")</f>
        <v/>
      </c>
      <c r="F41">
        <f>HYPERLINK("https://jobs.centene.com/us/en/jobs/1627797/program-manager-iii/", "https://jobs.centene.com/us/en/jobs/1627797/program-manager-iii/")</f>
        <v/>
      </c>
      <c r="G41" t="inlineStr">
        <is>
          <t>NM, US</t>
        </is>
      </c>
      <c r="H41" s="2" t="n">
        <v>46042</v>
      </c>
      <c r="I41"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42">
      <c r="A42" t="inlineStr">
        <is>
          <t>in-068065e67d5ed21c</t>
        </is>
      </c>
      <c r="B42" t="inlineStr">
        <is>
          <t>Program Manager III</t>
        </is>
      </c>
      <c r="C42" t="inlineStr">
        <is>
          <t>Centene</t>
        </is>
      </c>
      <c r="D42" t="inlineStr">
        <is>
          <t>indeed</t>
        </is>
      </c>
      <c r="E42">
        <f>HYPERLINK("https://www.indeed.com/viewjob?jk=068065e67d5ed21c", "https://www.indeed.com/viewjob?jk=068065e67d5ed21c")</f>
        <v/>
      </c>
      <c r="F42">
        <f>HYPERLINK("https://jobs.centene.com/us/en/jobs/1627797/program-manager-iii/", "https://jobs.centene.com/us/en/jobs/1627797/program-manager-iii/")</f>
        <v/>
      </c>
      <c r="G42" t="inlineStr">
        <is>
          <t>OR, US</t>
        </is>
      </c>
      <c r="H42" s="2" t="n">
        <v>46042</v>
      </c>
      <c r="I42"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43">
      <c r="A43" t="inlineStr">
        <is>
          <t>in-bce63a2964121002</t>
        </is>
      </c>
      <c r="B43" t="inlineStr">
        <is>
          <t>Program Manager III</t>
        </is>
      </c>
      <c r="C43" t="inlineStr">
        <is>
          <t>Centene</t>
        </is>
      </c>
      <c r="D43" t="inlineStr">
        <is>
          <t>indeed</t>
        </is>
      </c>
      <c r="E43">
        <f>HYPERLINK("https://www.indeed.com/viewjob?jk=bce63a2964121002", "https://www.indeed.com/viewjob?jk=bce63a2964121002")</f>
        <v/>
      </c>
      <c r="F43">
        <f>HYPERLINK("https://jobs.centene.com/us/en/jobs/1627797/program-manager-iii/", "https://jobs.centene.com/us/en/jobs/1627797/program-manager-iii/")</f>
        <v/>
      </c>
      <c r="G43" t="inlineStr">
        <is>
          <t>OK, US</t>
        </is>
      </c>
      <c r="H43" s="2" t="n">
        <v>46042</v>
      </c>
      <c r="I43"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44">
      <c r="A44" t="inlineStr">
        <is>
          <t>in-227c62668abd094e</t>
        </is>
      </c>
      <c r="B44" t="inlineStr">
        <is>
          <t>Program Manager III</t>
        </is>
      </c>
      <c r="C44" t="inlineStr">
        <is>
          <t>Centene</t>
        </is>
      </c>
      <c r="D44" t="inlineStr">
        <is>
          <t>indeed</t>
        </is>
      </c>
      <c r="E44">
        <f>HYPERLINK("https://www.indeed.com/viewjob?jk=227c62668abd094e", "https://www.indeed.com/viewjob?jk=227c62668abd094e")</f>
        <v/>
      </c>
      <c r="F44">
        <f>HYPERLINK("https://jobs.centene.com/us/en/jobs/1627797/program-manager-iii/", "https://jobs.centene.com/us/en/jobs/1627797/program-manager-iii/")</f>
        <v/>
      </c>
      <c r="G44" t="inlineStr">
        <is>
          <t>MS, US</t>
        </is>
      </c>
      <c r="H44" s="2" t="n">
        <v>46042</v>
      </c>
      <c r="I44"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45">
      <c r="A45" t="inlineStr">
        <is>
          <t>in-628115cdadc99e8c</t>
        </is>
      </c>
      <c r="B45" t="inlineStr">
        <is>
          <t>Program Manager III</t>
        </is>
      </c>
      <c r="C45" t="inlineStr">
        <is>
          <t>Centene</t>
        </is>
      </c>
      <c r="D45" t="inlineStr">
        <is>
          <t>indeed</t>
        </is>
      </c>
      <c r="E45">
        <f>HYPERLINK("https://www.indeed.com/viewjob?jk=628115cdadc99e8c", "https://www.indeed.com/viewjob?jk=628115cdadc99e8c")</f>
        <v/>
      </c>
      <c r="F45">
        <f>HYPERLINK("https://jobs.centene.com/us/en/jobs/1627797/program-manager-iii/", "https://jobs.centene.com/us/en/jobs/1627797/program-manager-iii/")</f>
        <v/>
      </c>
      <c r="G45" t="inlineStr">
        <is>
          <t>TX, US</t>
        </is>
      </c>
      <c r="H45" s="2" t="n">
        <v>46042</v>
      </c>
      <c r="I45"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46">
      <c r="A46" t="inlineStr">
        <is>
          <t>in-892f40488f3cb801</t>
        </is>
      </c>
      <c r="B46" t="inlineStr">
        <is>
          <t>Program Manager III</t>
        </is>
      </c>
      <c r="C46" t="inlineStr">
        <is>
          <t>Centene</t>
        </is>
      </c>
      <c r="D46" t="inlineStr">
        <is>
          <t>indeed</t>
        </is>
      </c>
      <c r="E46">
        <f>HYPERLINK("https://www.indeed.com/viewjob?jk=892f40488f3cb801", "https://www.indeed.com/viewjob?jk=892f40488f3cb801")</f>
        <v/>
      </c>
      <c r="F46">
        <f>HYPERLINK("https://jobs.centene.com/us/en/jobs/1627797/program-manager-iii/", "https://jobs.centene.com/us/en/jobs/1627797/program-manager-iii/")</f>
        <v/>
      </c>
      <c r="G46" t="inlineStr">
        <is>
          <t>ME, US</t>
        </is>
      </c>
      <c r="H46" s="2" t="n">
        <v>46042</v>
      </c>
      <c r="I46"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47">
      <c r="A47" t="inlineStr">
        <is>
          <t>in-56b014c697ab465b</t>
        </is>
      </c>
      <c r="B47" t="inlineStr">
        <is>
          <t>Program Manager III</t>
        </is>
      </c>
      <c r="C47" t="inlineStr">
        <is>
          <t>Centene</t>
        </is>
      </c>
      <c r="D47" t="inlineStr">
        <is>
          <t>indeed</t>
        </is>
      </c>
      <c r="E47">
        <f>HYPERLINK("https://www.indeed.com/viewjob?jk=56b014c697ab465b", "https://www.indeed.com/viewjob?jk=56b014c697ab465b")</f>
        <v/>
      </c>
      <c r="F47">
        <f>HYPERLINK("https://jobs.centene.com/us/en/jobs/1627797/program-manager-iii/", "https://jobs.centene.com/us/en/jobs/1627797/program-manager-iii/")</f>
        <v/>
      </c>
      <c r="G47" t="inlineStr">
        <is>
          <t>UT, US</t>
        </is>
      </c>
      <c r="H47" s="2" t="n">
        <v>46042</v>
      </c>
      <c r="I47"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48">
      <c r="A48" t="inlineStr">
        <is>
          <t>in-6d471c0a9bf3584c</t>
        </is>
      </c>
      <c r="B48" t="inlineStr">
        <is>
          <t>Program Manager III</t>
        </is>
      </c>
      <c r="C48" t="inlineStr">
        <is>
          <t>Centene</t>
        </is>
      </c>
      <c r="D48" t="inlineStr">
        <is>
          <t>indeed</t>
        </is>
      </c>
      <c r="E48">
        <f>HYPERLINK("https://www.indeed.com/viewjob?jk=6d471c0a9bf3584c", "https://www.indeed.com/viewjob?jk=6d471c0a9bf3584c")</f>
        <v/>
      </c>
      <c r="F48">
        <f>HYPERLINK("https://jobs.centene.com/us/en/jobs/1627797/program-manager-iii/", "https://jobs.centene.com/us/en/jobs/1627797/program-manager-iii/")</f>
        <v/>
      </c>
      <c r="G48" t="inlineStr">
        <is>
          <t>NJ, US</t>
        </is>
      </c>
      <c r="H48" s="2" t="n">
        <v>46042</v>
      </c>
      <c r="I48"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49">
      <c r="A49" t="inlineStr">
        <is>
          <t>in-329a98f7783e8b4f</t>
        </is>
      </c>
      <c r="B49" t="inlineStr">
        <is>
          <t>Program Manager III</t>
        </is>
      </c>
      <c r="C49" t="inlineStr">
        <is>
          <t>Centene</t>
        </is>
      </c>
      <c r="D49" t="inlineStr">
        <is>
          <t>indeed</t>
        </is>
      </c>
      <c r="E49">
        <f>HYPERLINK("https://www.indeed.com/viewjob?jk=329a98f7783e8b4f", "https://www.indeed.com/viewjob?jk=329a98f7783e8b4f")</f>
        <v/>
      </c>
      <c r="F49">
        <f>HYPERLINK("https://jobs.centene.com/us/en/jobs/1627797/program-manager-iii/", "https://jobs.centene.com/us/en/jobs/1627797/program-manager-iii/")</f>
        <v/>
      </c>
      <c r="G49" t="inlineStr">
        <is>
          <t>WI, US</t>
        </is>
      </c>
      <c r="H49" s="2" t="n">
        <v>46042</v>
      </c>
      <c r="I49"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50">
      <c r="A50" t="inlineStr">
        <is>
          <t>in-35889ec9510255e8</t>
        </is>
      </c>
      <c r="B50" t="inlineStr">
        <is>
          <t>Program Manager III</t>
        </is>
      </c>
      <c r="C50" t="inlineStr">
        <is>
          <t>Centene</t>
        </is>
      </c>
      <c r="D50" t="inlineStr">
        <is>
          <t>indeed</t>
        </is>
      </c>
      <c r="E50">
        <f>HYPERLINK("https://www.indeed.com/viewjob?jk=35889ec9510255e8", "https://www.indeed.com/viewjob?jk=35889ec9510255e8")</f>
        <v/>
      </c>
      <c r="F50">
        <f>HYPERLINK("https://jobs.centene.com/us/en/jobs/1627797/program-manager-iii/", "https://jobs.centene.com/us/en/jobs/1627797/program-manager-iii/")</f>
        <v/>
      </c>
      <c r="G50" t="inlineStr">
        <is>
          <t>PA, US</t>
        </is>
      </c>
      <c r="H50" s="2" t="n">
        <v>46042</v>
      </c>
      <c r="I50"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51">
      <c r="A51" t="inlineStr">
        <is>
          <t>in-7129b8a0085619f7</t>
        </is>
      </c>
      <c r="B51" t="inlineStr">
        <is>
          <t>Program Manager III</t>
        </is>
      </c>
      <c r="C51" t="inlineStr">
        <is>
          <t>Centene</t>
        </is>
      </c>
      <c r="D51" t="inlineStr">
        <is>
          <t>indeed</t>
        </is>
      </c>
      <c r="E51">
        <f>HYPERLINK("https://www.indeed.com/viewjob?jk=7129b8a0085619f7", "https://www.indeed.com/viewjob?jk=7129b8a0085619f7")</f>
        <v/>
      </c>
      <c r="F51">
        <f>HYPERLINK("https://jobs.centene.com/us/en/jobs/1627797/program-manager-iii/", "https://jobs.centene.com/us/en/jobs/1627797/program-manager-iii/")</f>
        <v/>
      </c>
      <c r="G51" t="inlineStr">
        <is>
          <t>MT, US</t>
        </is>
      </c>
      <c r="H51" s="2" t="n">
        <v>46042</v>
      </c>
      <c r="I51"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52">
      <c r="A52" t="inlineStr">
        <is>
          <t>in-4d6b92b0b4dd226c</t>
        </is>
      </c>
      <c r="B52" t="inlineStr">
        <is>
          <t>Program Manager III</t>
        </is>
      </c>
      <c r="C52" t="inlineStr">
        <is>
          <t>Centene</t>
        </is>
      </c>
      <c r="D52" t="inlineStr">
        <is>
          <t>indeed</t>
        </is>
      </c>
      <c r="E52">
        <f>HYPERLINK("https://www.indeed.com/viewjob?jk=4d6b92b0b4dd226c", "https://www.indeed.com/viewjob?jk=4d6b92b0b4dd226c")</f>
        <v/>
      </c>
      <c r="F52">
        <f>HYPERLINK("https://jobs.centene.com/us/en/jobs/1627797/program-manager-iii/", "https://jobs.centene.com/us/en/jobs/1627797/program-manager-iii/")</f>
        <v/>
      </c>
      <c r="G52" t="inlineStr">
        <is>
          <t>NH, US</t>
        </is>
      </c>
      <c r="H52" s="2" t="n">
        <v>46042</v>
      </c>
      <c r="I52"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53">
      <c r="A53" t="inlineStr">
        <is>
          <t>in-5bcf14e410715d18</t>
        </is>
      </c>
      <c r="B53" t="inlineStr">
        <is>
          <t>Program Manager III</t>
        </is>
      </c>
      <c r="C53" t="inlineStr">
        <is>
          <t>Centene</t>
        </is>
      </c>
      <c r="D53" t="inlineStr">
        <is>
          <t>indeed</t>
        </is>
      </c>
      <c r="E53">
        <f>HYPERLINK("https://www.indeed.com/viewjob?jk=5bcf14e410715d18", "https://www.indeed.com/viewjob?jk=5bcf14e410715d18")</f>
        <v/>
      </c>
      <c r="F53">
        <f>HYPERLINK("https://jobs.centene.com/us/en/jobs/1627797/program-manager-iii/", "https://jobs.centene.com/us/en/jobs/1627797/program-manager-iii/")</f>
        <v/>
      </c>
      <c r="G53" t="inlineStr">
        <is>
          <t>WY, US</t>
        </is>
      </c>
      <c r="H53" s="2" t="n">
        <v>46042</v>
      </c>
      <c r="I53"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54">
      <c r="A54" t="inlineStr">
        <is>
          <t>in-36508f13fa50eeed</t>
        </is>
      </c>
      <c r="B54" t="inlineStr">
        <is>
          <t>Program Manager III</t>
        </is>
      </c>
      <c r="C54" t="inlineStr">
        <is>
          <t>Centene</t>
        </is>
      </c>
      <c r="D54" t="inlineStr">
        <is>
          <t>indeed</t>
        </is>
      </c>
      <c r="E54">
        <f>HYPERLINK("https://www.indeed.com/viewjob?jk=36508f13fa50eeed", "https://www.indeed.com/viewjob?jk=36508f13fa50eeed")</f>
        <v/>
      </c>
      <c r="F54">
        <f>HYPERLINK("https://jobs.centene.com/us/en/jobs/1627797/program-manager-iii/", "https://jobs.centene.com/us/en/jobs/1627797/program-manager-iii/")</f>
        <v/>
      </c>
      <c r="G54" t="inlineStr">
        <is>
          <t>RI, US</t>
        </is>
      </c>
      <c r="H54" s="2" t="n">
        <v>46042</v>
      </c>
      <c r="I54"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55">
      <c r="A55" t="inlineStr">
        <is>
          <t>in-0f07d6652d9e96a6</t>
        </is>
      </c>
      <c r="B55" t="inlineStr">
        <is>
          <t>Program Manager III</t>
        </is>
      </c>
      <c r="C55" t="inlineStr">
        <is>
          <t>Centene</t>
        </is>
      </c>
      <c r="D55" t="inlineStr">
        <is>
          <t>indeed</t>
        </is>
      </c>
      <c r="E55">
        <f>HYPERLINK("https://www.indeed.com/viewjob?jk=0f07d6652d9e96a6", "https://www.indeed.com/viewjob?jk=0f07d6652d9e96a6")</f>
        <v/>
      </c>
      <c r="F55">
        <f>HYPERLINK("https://jobs.centene.com/us/en/jobs/1627797/program-manager-iii/", "https://jobs.centene.com/us/en/jobs/1627797/program-manager-iii/")</f>
        <v/>
      </c>
      <c r="G55" t="inlineStr">
        <is>
          <t>IA, US</t>
        </is>
      </c>
      <c r="H55" s="2" t="n">
        <v>46042</v>
      </c>
      <c r="I55"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56">
      <c r="A56" t="inlineStr">
        <is>
          <t>in-583ea0868cd15f32</t>
        </is>
      </c>
      <c r="B56" t="inlineStr">
        <is>
          <t>Program Manager III</t>
        </is>
      </c>
      <c r="C56" t="inlineStr">
        <is>
          <t>Centene</t>
        </is>
      </c>
      <c r="D56" t="inlineStr">
        <is>
          <t>indeed</t>
        </is>
      </c>
      <c r="E56">
        <f>HYPERLINK("https://www.indeed.com/viewjob?jk=583ea0868cd15f32", "https://www.indeed.com/viewjob?jk=583ea0868cd15f32")</f>
        <v/>
      </c>
      <c r="F56">
        <f>HYPERLINK("https://jobs.centene.com/us/en/jobs/1627797/program-manager-iii/", "https://jobs.centene.com/us/en/jobs/1627797/program-manager-iii/")</f>
        <v/>
      </c>
      <c r="G56" t="inlineStr">
        <is>
          <t>VA, US</t>
        </is>
      </c>
      <c r="H56" s="2" t="n">
        <v>46042</v>
      </c>
      <c r="I56"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57">
      <c r="A57" t="inlineStr">
        <is>
          <t>in-10e447de6478c6d2</t>
        </is>
      </c>
      <c r="B57" t="inlineStr">
        <is>
          <t>Program Manager III</t>
        </is>
      </c>
      <c r="C57" t="inlineStr">
        <is>
          <t>Centene</t>
        </is>
      </c>
      <c r="D57" t="inlineStr">
        <is>
          <t>indeed</t>
        </is>
      </c>
      <c r="E57">
        <f>HYPERLINK("https://www.indeed.com/viewjob?jk=10e447de6478c6d2", "https://www.indeed.com/viewjob?jk=10e447de6478c6d2")</f>
        <v/>
      </c>
      <c r="F57">
        <f>HYPERLINK("https://jobs.centene.com/us/en/jobs/1627797/program-manager-iii/", "https://jobs.centene.com/us/en/jobs/1627797/program-manager-iii/")</f>
        <v/>
      </c>
      <c r="G57" t="inlineStr">
        <is>
          <t>PR, US</t>
        </is>
      </c>
      <c r="H57" s="2" t="n">
        <v>46042</v>
      </c>
      <c r="I57"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58">
      <c r="A58" t="inlineStr">
        <is>
          <t>in-2650155afd4bc2d7</t>
        </is>
      </c>
      <c r="B58" t="inlineStr">
        <is>
          <t>Program Manager III</t>
        </is>
      </c>
      <c r="C58" t="inlineStr">
        <is>
          <t>Centene</t>
        </is>
      </c>
      <c r="D58" t="inlineStr">
        <is>
          <t>indeed</t>
        </is>
      </c>
      <c r="E58">
        <f>HYPERLINK("https://www.indeed.com/viewjob?jk=2650155afd4bc2d7", "https://www.indeed.com/viewjob?jk=2650155afd4bc2d7")</f>
        <v/>
      </c>
      <c r="F58">
        <f>HYPERLINK("https://jobs.centene.com/us/en/jobs/1627797/program-manager-iii/", "https://jobs.centene.com/us/en/jobs/1627797/program-manager-iii/")</f>
        <v/>
      </c>
      <c r="G58" t="inlineStr">
        <is>
          <t>MN, US</t>
        </is>
      </c>
      <c r="H58" s="2" t="n">
        <v>46042</v>
      </c>
      <c r="I58"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59">
      <c r="A59" t="inlineStr">
        <is>
          <t>in-47cca0016d91a309</t>
        </is>
      </c>
      <c r="B59" t="inlineStr">
        <is>
          <t>Program Manager III</t>
        </is>
      </c>
      <c r="C59" t="inlineStr">
        <is>
          <t>Centene</t>
        </is>
      </c>
      <c r="D59" t="inlineStr">
        <is>
          <t>indeed</t>
        </is>
      </c>
      <c r="E59">
        <f>HYPERLINK("https://www.indeed.com/viewjob?jk=47cca0016d91a309", "https://www.indeed.com/viewjob?jk=47cca0016d91a309")</f>
        <v/>
      </c>
      <c r="F59">
        <f>HYPERLINK("https://jobs.centene.com/us/en/jobs/1627797/program-manager-iii/", "https://jobs.centene.com/us/en/jobs/1627797/program-manager-iii/")</f>
        <v/>
      </c>
      <c r="G59" t="inlineStr">
        <is>
          <t>OH, US</t>
        </is>
      </c>
      <c r="H59" s="2" t="n">
        <v>46042</v>
      </c>
      <c r="I59"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60">
      <c r="A60" t="inlineStr">
        <is>
          <t>in-3bfdddae98e09fd1</t>
        </is>
      </c>
      <c r="B60" t="inlineStr">
        <is>
          <t>Program Manager III</t>
        </is>
      </c>
      <c r="C60" t="inlineStr">
        <is>
          <t>Centene</t>
        </is>
      </c>
      <c r="D60" t="inlineStr">
        <is>
          <t>indeed</t>
        </is>
      </c>
      <c r="E60">
        <f>HYPERLINK("https://www.indeed.com/viewjob?jk=3bfdddae98e09fd1", "https://www.indeed.com/viewjob?jk=3bfdddae98e09fd1")</f>
        <v/>
      </c>
      <c r="F60">
        <f>HYPERLINK("https://jobs.centene.com/us/en/jobs/1627797/program-manager-iii/", "https://jobs.centene.com/us/en/jobs/1627797/program-manager-iii/")</f>
        <v/>
      </c>
      <c r="G60" t="inlineStr">
        <is>
          <t>NV, US</t>
        </is>
      </c>
      <c r="H60" s="2" t="n">
        <v>46042</v>
      </c>
      <c r="I60"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61">
      <c r="A61" t="inlineStr">
        <is>
          <t>in-5873f5a150552a53</t>
        </is>
      </c>
      <c r="B61" t="inlineStr">
        <is>
          <t>Program Manager III</t>
        </is>
      </c>
      <c r="C61" t="inlineStr">
        <is>
          <t>Centene</t>
        </is>
      </c>
      <c r="D61" t="inlineStr">
        <is>
          <t>indeed</t>
        </is>
      </c>
      <c r="E61">
        <f>HYPERLINK("https://www.indeed.com/viewjob?jk=5873f5a150552a53", "https://www.indeed.com/viewjob?jk=5873f5a150552a53")</f>
        <v/>
      </c>
      <c r="F61">
        <f>HYPERLINK("https://jobs.centene.com/us/en/jobs/1627797/program-manager-iii/", "https://jobs.centene.com/us/en/jobs/1627797/program-manager-iii/")</f>
        <v/>
      </c>
      <c r="G61" t="inlineStr">
        <is>
          <t>ND, US</t>
        </is>
      </c>
      <c r="H61" s="2" t="n">
        <v>46042</v>
      </c>
      <c r="I61"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62">
      <c r="A62" t="inlineStr">
        <is>
          <t>in-6b916d8aea0d0712</t>
        </is>
      </c>
      <c r="B62" t="inlineStr">
        <is>
          <t>Program Manager III</t>
        </is>
      </c>
      <c r="C62" t="inlineStr">
        <is>
          <t>Centene</t>
        </is>
      </c>
      <c r="D62" t="inlineStr">
        <is>
          <t>indeed</t>
        </is>
      </c>
      <c r="E62">
        <f>HYPERLINK("https://www.indeed.com/viewjob?jk=6b916d8aea0d0712", "https://www.indeed.com/viewjob?jk=6b916d8aea0d0712")</f>
        <v/>
      </c>
      <c r="F62">
        <f>HYPERLINK("https://jobs.centene.com/us/en/jobs/1627797/program-manager-iii/", "https://jobs.centene.com/us/en/jobs/1627797/program-manager-iii/")</f>
        <v/>
      </c>
      <c r="G62" t="inlineStr">
        <is>
          <t>WV, US</t>
        </is>
      </c>
      <c r="H62" s="2" t="n">
        <v>46042</v>
      </c>
      <c r="I62"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63">
      <c r="A63" t="inlineStr">
        <is>
          <t>in-a6aa9db6040976ff</t>
        </is>
      </c>
      <c r="B63" t="inlineStr">
        <is>
          <t>Program Manager III</t>
        </is>
      </c>
      <c r="C63" t="inlineStr">
        <is>
          <t>Centene</t>
        </is>
      </c>
      <c r="D63" t="inlineStr">
        <is>
          <t>indeed</t>
        </is>
      </c>
      <c r="E63">
        <f>HYPERLINK("https://www.indeed.com/viewjob?jk=a6aa9db6040976ff", "https://www.indeed.com/viewjob?jk=a6aa9db6040976ff")</f>
        <v/>
      </c>
      <c r="F63">
        <f>HYPERLINK("https://jobs.centene.com/us/en/jobs/1627797/program-manager-iii/", "https://jobs.centene.com/us/en/jobs/1627797/program-manager-iii/")</f>
        <v/>
      </c>
      <c r="G63" t="inlineStr">
        <is>
          <t>SD, US</t>
        </is>
      </c>
      <c r="H63" s="2" t="n">
        <v>46042</v>
      </c>
      <c r="I63"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64">
      <c r="A64" t="inlineStr">
        <is>
          <t>in-c69e94c4854d2293</t>
        </is>
      </c>
      <c r="B64" t="inlineStr">
        <is>
          <t>Program Manager III</t>
        </is>
      </c>
      <c r="C64" t="inlineStr">
        <is>
          <t>Centene</t>
        </is>
      </c>
      <c r="D64" t="inlineStr">
        <is>
          <t>indeed</t>
        </is>
      </c>
      <c r="E64">
        <f>HYPERLINK("https://www.indeed.com/viewjob?jk=c69e94c4854d2293", "https://www.indeed.com/viewjob?jk=c69e94c4854d2293")</f>
        <v/>
      </c>
      <c r="F64">
        <f>HYPERLINK("https://jobs.centene.com/us/en/jobs/1627797/program-manager-iii/", "https://jobs.centene.com/us/en/jobs/1627797/program-manager-iii/")</f>
        <v/>
      </c>
      <c r="G64" t="inlineStr">
        <is>
          <t>TN, US</t>
        </is>
      </c>
      <c r="H64" s="2" t="n">
        <v>46042</v>
      </c>
      <c r="I64"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65">
      <c r="A65" t="inlineStr">
        <is>
          <t>in-010a3d0fa2d7bd11</t>
        </is>
      </c>
      <c r="B65" t="inlineStr">
        <is>
          <t>Program Manager III</t>
        </is>
      </c>
      <c r="C65" t="inlineStr">
        <is>
          <t>Centene</t>
        </is>
      </c>
      <c r="D65" t="inlineStr">
        <is>
          <t>indeed</t>
        </is>
      </c>
      <c r="E65">
        <f>HYPERLINK("https://www.indeed.com/viewjob?jk=010a3d0fa2d7bd11", "https://www.indeed.com/viewjob?jk=010a3d0fa2d7bd11")</f>
        <v/>
      </c>
      <c r="F65">
        <f>HYPERLINK("https://jobs.centene.com/us/en/jobs/1627797/program-manager-iii/", "https://jobs.centene.com/us/en/jobs/1627797/program-manager-iii/")</f>
        <v/>
      </c>
      <c r="G65" t="inlineStr">
        <is>
          <t>NC, US</t>
        </is>
      </c>
      <c r="H65" s="2" t="n">
        <v>46042</v>
      </c>
      <c r="I65"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66">
      <c r="A66" t="inlineStr">
        <is>
          <t>in-227991d1796a187d</t>
        </is>
      </c>
      <c r="B66" t="inlineStr">
        <is>
          <t>Program Manager III</t>
        </is>
      </c>
      <c r="C66" t="inlineStr">
        <is>
          <t>Centene</t>
        </is>
      </c>
      <c r="D66" t="inlineStr">
        <is>
          <t>indeed</t>
        </is>
      </c>
      <c r="E66">
        <f>HYPERLINK("https://www.indeed.com/viewjob?jk=227991d1796a187d", "https://www.indeed.com/viewjob?jk=227991d1796a187d")</f>
        <v/>
      </c>
      <c r="F66">
        <f>HYPERLINK("https://jobs.centene.com/us/en/jobs/1627797/program-manager-iii/", "https://jobs.centene.com/us/en/jobs/1627797/program-manager-iii/")</f>
        <v/>
      </c>
      <c r="G66" t="inlineStr">
        <is>
          <t>VT, US</t>
        </is>
      </c>
      <c r="H66" s="2" t="n">
        <v>46042</v>
      </c>
      <c r="I66"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67">
      <c r="A67" t="inlineStr">
        <is>
          <t>in-594c451b28b06ef0</t>
        </is>
      </c>
      <c r="B67" t="inlineStr">
        <is>
          <t>Program Manager III</t>
        </is>
      </c>
      <c r="C67" t="inlineStr">
        <is>
          <t>Centene</t>
        </is>
      </c>
      <c r="D67" t="inlineStr">
        <is>
          <t>indeed</t>
        </is>
      </c>
      <c r="E67">
        <f>HYPERLINK("https://www.indeed.com/viewjob?jk=594c451b28b06ef0", "https://www.indeed.com/viewjob?jk=594c451b28b06ef0")</f>
        <v/>
      </c>
      <c r="F67">
        <f>HYPERLINK("https://jobs.centene.com/us/en/jobs/1627797/program-manager-iii/", "https://jobs.centene.com/us/en/jobs/1627797/program-manager-iii/")</f>
        <v/>
      </c>
      <c r="G67" t="inlineStr">
        <is>
          <t>KY, US</t>
        </is>
      </c>
      <c r="H67" s="2" t="n">
        <v>46042</v>
      </c>
      <c r="I67"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68">
      <c r="A68" t="inlineStr">
        <is>
          <t>in-01779e979edd661a</t>
        </is>
      </c>
      <c r="B68" t="inlineStr">
        <is>
          <t>Program Manager III</t>
        </is>
      </c>
      <c r="C68" t="inlineStr">
        <is>
          <t>Centene</t>
        </is>
      </c>
      <c r="D68" t="inlineStr">
        <is>
          <t>indeed</t>
        </is>
      </c>
      <c r="E68">
        <f>HYPERLINK("https://www.indeed.com/viewjob?jk=01779e979edd661a", "https://www.indeed.com/viewjob?jk=01779e979edd661a")</f>
        <v/>
      </c>
      <c r="F68">
        <f>HYPERLINK("https://jobs.centene.com/us/en/jobs/1627797/program-manager-iii/", "https://jobs.centene.com/us/en/jobs/1627797/program-manager-iii/")</f>
        <v/>
      </c>
      <c r="G68" t="inlineStr">
        <is>
          <t>GA, US</t>
        </is>
      </c>
      <c r="H68" s="2" t="n">
        <v>46042</v>
      </c>
      <c r="I68"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69">
      <c r="A69" t="inlineStr">
        <is>
          <t>in-205e270141f39ca4</t>
        </is>
      </c>
      <c r="B69" t="inlineStr">
        <is>
          <t>Program Manager III</t>
        </is>
      </c>
      <c r="C69" t="inlineStr">
        <is>
          <t>Centene</t>
        </is>
      </c>
      <c r="D69" t="inlineStr">
        <is>
          <t>indeed</t>
        </is>
      </c>
      <c r="E69">
        <f>HYPERLINK("https://www.indeed.com/viewjob?jk=205e270141f39ca4", "https://www.indeed.com/viewjob?jk=205e270141f39ca4")</f>
        <v/>
      </c>
      <c r="F69">
        <f>HYPERLINK("https://jobs.centene.com/us/en/jobs/1627797/program-manager-iii/", "https://jobs.centene.com/us/en/jobs/1627797/program-manager-iii/")</f>
        <v/>
      </c>
      <c r="G69" t="inlineStr">
        <is>
          <t>PR, US</t>
        </is>
      </c>
      <c r="H69" s="2" t="n">
        <v>46042</v>
      </c>
      <c r="I69"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Promote increased program efficiency, service levels, and value by capturing and monitoring performance, and then identifying opportunities for improvement and strategies to realize those opportunities. Plan, organize, monitor, oversee and lead multiple, concurrent resultant projects utilizing cross functional teams to deliver defined requirements and meet company strategic objectives.  
* Identify opportunities to increase efficiency, improve service levels and to ensure regulatory compliance through enhanced operations
* Develop strategies to realize improvement opportunities, and ensure organizational prioritization and resource alignment
* Manage multiple projects through full project life cycle process including requirements gathering, creation of project plans and schedules, obtaining and managing resources, managing budget, and facilitating project execution, deployment and closure
* Utilize corporate and industry standard project management tools and techniques to effectively manage projects
* Maintain detailed project documentation as needed including action items, issues lists and risk mitigation plans
* Provide leadership and effectively communicate project status to all stakeholders, including executive summaries and presentations
* Negotiate with project stakeholders to identify and secure resources, resolve issues, and mitigate risks
* Lead cross\-functional meetings with various functional areas to meet overall stakeholder expectations and company’s objectives
* Provide functional and technical knowledge regarding overall program requirements and operations
**Education/Experience:** Bachelor’s degree in Business Administration, Healthcare Administration, related field, or equivalent experience. Master’s degree preferred. 5\+ years project implementation, product or program management experience. Managed care or prescription benefit management experience preferred.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70">
      <c r="A70" t="inlineStr">
        <is>
          <t>in-242ccecc02139bfc</t>
        </is>
      </c>
      <c r="B70" t="inlineStr">
        <is>
          <t>Program Manager 1</t>
        </is>
      </c>
      <c r="C70" t="inlineStr">
        <is>
          <t>Northrop Grumman</t>
        </is>
      </c>
      <c r="D70" t="inlineStr">
        <is>
          <t>indeed</t>
        </is>
      </c>
      <c r="E70">
        <f>HYPERLINK("https://www.indeed.com/viewjob?jk=242ccecc02139bfc", "https://www.indeed.com/viewjob?jk=242ccecc02139bfc")</f>
        <v/>
      </c>
      <c r="F70">
        <f>HYPERLINK("https://jsv3.recruitics.com/redirect?rx_cid=3658&amp;rx_jobId=R10220212&amp;rx_url=https%3A%2F%2Fjobs.northropgrumman.com%2Fcareers%2Fjob%2F1340069500468%3Fcode%3DJB-17946%26domain%3Dngc.com%26rx_a%3D0%26rx_c%3D%26rx_ch%3Djobp4p%26rx_group%3D288254%26rx_id%3D266d6c97-f78d-11f0-bea8-83100f797894%26rx_job%3DR10220212%26rx_medium%3Dcpc%26rx_r%3Dnone%26rx_source%3Dindeed%26rx_ts%3D20260122T180426Z%26rx_vp%3Dcpc%26source%3DJB-17946%26utm_audience%3Dprospectivetalentemployees%26utm_campaign%3Dta-general%26utm_content%3Djobfeed%26utm_format%3Dcpl%26utm_medium%3Djobboard%26utm_source%3Dindeed", "https://jsv3.recruitics.com/redirect?rx_cid=3658&amp;rx_jobId=R10220212&amp;rx_url=https%3A%2F%2Fjobs.northropgrumman.com%2Fcareers%2Fjob%2F1340069500468%3Fcode%3DJB-17946%26domain%3Dngc.com%26rx_a%3D0%26rx_c%3D%26rx_ch%3Djobp4p%26rx_group%3D288254%26rx_id%3D266d6c97-f78d-11f0-bea8-83100f797894%26rx_job%3DR10220212%26rx_medium%3Dcpc%26rx_r%3Dnone%26rx_source%3Dindeed%26rx_ts%3D20260122T180426Z%26rx_vp%3Dcpc%26source%3DJB-17946%26utm_audience%3Dprospectivetalentemployees%26utm_campaign%3Dta-general%26utm_content%3Djobfeed%26utm_format%3Dcpl%26utm_medium%3Djobboard%26utm_source%3Dindeed")</f>
        <v/>
      </c>
      <c r="G70" t="inlineStr">
        <is>
          <t>Commerce, CA, US</t>
        </is>
      </c>
      <c r="H70" s="2" t="n">
        <v>46041</v>
      </c>
      <c r="I70"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and technology that impact people’s lives around the world today, and for generations to come. Our work preserves freedom and democracy and advances human discovery and our understanding of the universe. We look for people who have bold new ideas, courage and a pioneering spirit to join forces to invent the future and have a lot of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(NGSP), Mission Enable Products has an opening for a a Program Manager 1 to join our team of qualified, diverse individuals at our Commerce, CA facility.
**Overview**
The primary objective will be the delivery of all contractual requirements on cost and on schedule, while achieving all technical requirements and creating customer intimacy to support value creation strategies and actions. The individual will lead a cross\-functional organization aligned to common program performance goals. Responsible for leading all phases of the program life cycle from inception (proposal development) through startup, execution, and completion (contract closeout).
**Primary responsibilities:**
* Manage cost, schedule, and technical performance of company programs or subsystems
* Cultivate customer relationships and intimacy to develop further opportunities within the customer community
* Develop new business opportunities through long term strategic planning, capture planning, and development of proposals and business plans
* Establish a program organization that effectively addresses customer requirements and incorporates the necessary internal and external sub\-organizations
* Lead and direct cross\-functional Integrated Program Teams (IPT) to meet program cost, schedule and technical performance objectives
* Measure and report program performance
* Deliver presentations to customers, executive management and other program stakeholders
* Participate in the negotiation of contracts, contract changes, specifications, operating budgets, schedule milestones, and key terms and conditions.
* Establish design concepts, criteria, and engineering efforts for product research, development, integration and test.
* Create, review and finalization of the program Statement of Work
* Identify, distribute, track, and complete program requirements
* Establish and manage the program and subordinate baselines
* Develop and adhere to budget baselines utilizing Earned Value Management (EVM) or similar cost \&amp; schedule control methodologies and tools
* Identify, allocate and manage program resources, including workforce planning
* Manage Government/customer supplied property or information (GFE, CFE, etc.)
* Manage suppliers to meet program objectives.
* Adhere to all internal processes, policies, and applicable industry standards
* Ensure program team understands and adheres to contract scope, and manages change through control board activities
* Develop and adhere to master plans and schedules
* Conduct thorough risk \&amp; opportunity management practices including identification, mitigation and realization
**Basic Qualifications:**
* Bachelor’s degree with 5 years of Program or Project Management experience or similar (IPT Lead, Systems Engineering) supporting spacecraft hardware customers; OR 3 years experience with a Master's degree
* 2 years of demonstrated success leading teams/and or organizations as a Program Manager, Project Manager, or IPT Lead through full program life cycle: proposal through closeout
* Experience leading the performance of tasks on schedule, at cost and achieving all requirements
* Demonstrated financial management skills including development and control of program budgets, Earned Value Management (EVM), Estimate at Complete (EAC), and the ability to recognize and capture program changes
* Strong interpersonal, communication and presentation skills
* Proven analytical, technical, strategic and problem\-solving skills
* Advanced MS Office Suite and MS Project skills
* US Citizenship is required
**Preferred Qualifications:**
* MBA or master’s degree
* PMP Certification
* EAC forecasting
* Cost Account Management experience
* Business Development experience
Primary Level Salary Range: $133,000\.00 \- $199,600\.00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1">
      <c r="A71" t="inlineStr">
        <is>
          <t>in-8d1b3e7c5fe84379</t>
        </is>
      </c>
      <c r="B71" t="inlineStr">
        <is>
          <t>Senior/Staff Software Program Manager</t>
        </is>
      </c>
      <c r="C71" t="inlineStr">
        <is>
          <t>Qualcomm</t>
        </is>
      </c>
      <c r="D71" t="inlineStr">
        <is>
          <t>indeed</t>
        </is>
      </c>
      <c r="E71">
        <f>HYPERLINK("https://www.indeed.com/viewjob?jk=8d1b3e7c5fe84379", "https://www.indeed.com/viewjob?jk=8d1b3e7c5fe84379")</f>
        <v/>
      </c>
      <c r="F71">
        <f>HYPERLINK("https://careers.qualcomm.com/careers/job/446716301693?utm_source=indeed&amp;domain=qualcomm.com", "https://careers.qualcomm.com/careers/job/446716301693?utm_source=indeed&amp;domain=qualcomm.com")</f>
        <v/>
      </c>
      <c r="G71" t="inlineStr">
        <is>
          <t>San Diego, CA, US</t>
        </is>
      </c>
      <c r="H71" s="2" t="n">
        <v>46041</v>
      </c>
      <c r="I71" t="inlineStr">
        <is>
          <t>**Company:**
------------
Qualcomm Technologies, Inc.**Job Area:**
-------------
Engineering Services Group, Engineering Services Group \&gt; Program Management**General Summary:**
The Software Program Manager is a key member of the Central PMO within the Technology Planning and Edge Solutions (TPE) group at Qualcomm. This role focuses on high\-level OS particularly Window platform, Multimedia technologies, SoC and peripheral drivers, for software products across business units. The Program Manager will lead efforts in scoping, planning and managing the execution of Software deliverables across technologies, SoC platforms, and programs.
This role is based in San Diego, CA and requires full\-time onsite work (5 days a week).
**Key Responsibilities:**
* Build strong technical and program understanding to develop key insights and influence.
* Drive and deliver overall program alignment and execution across multiple technologies.
* Understand requirements priority and drive scoping and planning, including interdependencies, staffing constraints, and schedule optimization across multiple tech teams.
* Partner with Product Management and Engineering to establish clear Plan of Records commitments and enable prioritization.
* Establish rigorous execution discipline and communication processes, including risk management, mitigation, tracking, schedule trends vs. baseline, recovery actions, and executive reporting.
* Develop program indicators to manage program health, including quality and timelines.
* Develop and establish strong processes that streamline the development cycle and integrate multiple plans, dependencies, and deliverables effectively.
* Manage stakeholder expectations, channel requirements to respective development teams, and drive consensus on development schedules, plans, and processes.
* Use verbal and written communication skills to convey complex information to multiple audiences, requiring strong negotiation and alignment skills.
* Work independently with little supervision.
**Skills and Experience:**
* Strong technical understanding of high\-level OS platform particularly window platform, multimedia technology, application processor SoC drivers, and peripherals.
* Strong working knowledge of software development principles at the SoC / embedded industry.
* Experience with multiple technology development and end\-to\-end product integration.
* Experience managing products through the entire development life cycle, including risk management.
**Minimum Qualifications:**
* Bachelor's degree in Engineering, Computer Science, or related field.
* 4\+ years of Program Management or related work experience.
**Preferred Qualifications:**
* Master's degree in Engineering, Computer Science, or related field.
* PMP Certification.
* 5 to 10 years of experience in a combination of technical
* Strong technical understanding of high\-level OS platform particularly window platform, multimedia technology, application processor SoC drivers, and peripherals.
* Strong working knowledge of software development principles at the SoC / embedded industry.
* Experience with multiple technology development and end\-to\-end product integration.
* Experience managing products through the entire development life cycle, including risk management.
development and program management in the SoC /embedded industry.
* 7\+ years of Program Management or related work experience.
* 3\+ years of work experience in a role requiring interaction with senior leadership (e.g., Director level and above).
* 2\+ years of experience working in a large matrixed organization.
* 2\+ years of experience with program management tools such as dashboards, Gantt charts,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$154,400\.00 \- $231,600\.00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72">
      <c r="A72" t="inlineStr">
        <is>
          <t>in-e8a66dbe6e09b322</t>
        </is>
      </c>
      <c r="B72" t="inlineStr">
        <is>
          <t>Senior Product Manager (100% Remote)</t>
        </is>
      </c>
      <c r="C72" t="inlineStr">
        <is>
          <t>EmployBridge</t>
        </is>
      </c>
      <c r="D72" t="inlineStr">
        <is>
          <t>indeed</t>
        </is>
      </c>
      <c r="E72">
        <f>HYPERLINK("https://www.indeed.com/viewjob?jk=e8a66dbe6e09b322", "https://www.indeed.com/viewjob?jk=e8a66dbe6e09b322")</f>
        <v/>
      </c>
      <c r="F72">
        <f>HYPERLINK("https://recruiting2.ultipro.com/EMP1013EMPBR/JobBoard/8dfe92d0-c97b-4482-8667-0dd5b28c2c6a/OpportunityDetail?opportunityId=72345543-1836-4043-871d-89bc7ad3fd85&amp;postingId=5b64f789-6940-4811-8945-39fdcd21b793", "https://recruiting2.ultipro.com/EMP1013EMPBR/JobBoard/8dfe92d0-c97b-4482-8667-0dd5b28c2c6a/OpportunityDetail?opportunityId=72345543-1836-4043-871d-89bc7ad3fd85&amp;postingId=5b64f789-6940-4811-8945-39fdcd21b793")</f>
        <v/>
      </c>
      <c r="G72" t="inlineStr">
        <is>
          <t>US</t>
        </is>
      </c>
      <c r="H72" s="2" t="n">
        <v>46028</v>
      </c>
      <c r="I72" t="inlineStr">
        <is>
          <t>##### **Who We Are**
As the United States’ largest light industrial staffing company and the first workforce\-as\-a\-service provider, our digital\-first approach to staffing is rooted in a rich history of delivering high\-quality, scalable workforce solutions to the organizations driving the American supply chain. Our colleagues are guided by our purpose of ***Championing People, Unlocking Potential*** and bring this to life every day as they help put hundreds of thousands of people to work at tens of thousands of companies across the country. The foundation of our culture is built upon a bridge to better, offering our colleagues rewarding and growth oriented experiences that positively impact lives and businesses in innovative and meaningful ways.
**Job Summary**
The **Senior Product Manager** is a critical member of the Employbridge product team, serving as the bridge between business stakeholders and engineering teams. This individual will work directly with users across the organization to understand business processes, identify opportunities for improvement, and translate those insights into clear, actionable requirements.
This role will partner closely with cross\-functional teams to deliver technology solutions that drive business value. You will manage product requirements in Jira, facilitate requirements gathering sessions, and work alongside development teams to ensure solutions meet business needs. A key aspect of this role involves understanding and optimizing system integrations, particularly within the Bullhorn ecosystem.
The Product Manager will be proactive in identifying opportunities for innovation, highly organized in managing multiple workstreams, and eager to learn about both the business and technology landscape. You will play a vital role in ensuring our technology investments deliver meaningful impact to our operations and the people we serve.
**Your Role \&amp; Responsibilities**
* **Requirements Development:** Work directly with business stakeholders to understand business processes, pain points, and opportunities, translating them into clear, detailed requirements and user stories
* **Backlog Management:** Maintain and prioritize product backlogs in Jira, ensuring development teams have well\-defined, ready\-to\-work stories
* **Integration Focus:** Understand and document system integrations, particularly within and connected platforms, ensuring seamless data flow and process automation
* **Stakeholder Collaboration:** Facilitate requirements sessions, design reviews, and demos with business users to ensure alignment and gather feedback
* **Product Strategy:** Contribute to product roadmap planning by identifying and prioritizing features based on business value and strategic objectives
* **Solution Design:** Participate in design discussions with engineering teams, providing business context and validating proposed solutions
* **User Advocacy:** Serve as the voice of the user/customer, ensuring solutions are intuitive, meet business needs, and deliver exceptional user experiences
* **Process Documentation:** Create and maintain comprehensive documentation of business processes, system workflows, and integration points, often in Confluence
* **Change Management:** Support adoption of new features through clear communication, training materials, and stakeholder engagement
* **Innovation:** Proactively identify opportunities to leverage technology to improve business processes and drive efficiency
* **Quality Assurance:** Partner with QA teams to define acceptance criteria and validate that delivered solutions meet requirements
* **Continuous Improvement:** Gather post\-implementation feedback and iterate on solutions to continuously enhance value delivery
**Preferred Education, Skills, and Experience**
* Bachelor's degree in Business, Computer Science, Information Systems, or a related field, or equivalent professional experience
* 5\-7 years of experience in product management, business analysis, or a related roles
* Experience working with cross\-functional teams including engineering, design, and business stakeholders
* Proven track record of successfully delivering technology products or solutions
* **Experience with Bullhorn and/or (administration, configuration, or business process design) is highly desirable**
* Familiarity with agile development methodologies and tools like Jira
**Competencies (Skills \&amp; Knowledge You’ll Bring)**
* **Business Process Understanding:** Ability to quickly grasp complex business processes, develop models representing work flows, and identify opportunities for improvement
* **Requirements Management:** Strong skills in gathering, documenting, and prioritizing requirements with clarity and precision
* **Technical Acumen:** Comfort working with technical teams and understanding system architectures, integrations, and data flows
* **Knowledge:** Experience with platform capabilities, objects, workflows, and integration patterns (highly desirable)
* **Jira Proficiency:** Strong working knowledge of Jira for backlog management, epic \&amp; story creation, and sprint planning
* **Communication Skills:** Excellent verbal and written communication skills with ability to engage both technical and non\-technical audiences
* **Analytical Thinking:** Strong problem\-solving skills with ability to analyze data, identify patterns, and make data\-driven decisions
* **Organization:** Exceptional organizational skills with ability to manage multiple priorities and keep projects on track
* **Proactiveness:** Self\-starter who anticipates needs, identifies opportunities, and takes initiative without waiting to be asked
* **Eagerness to Learn:** Curious mindset with passion for learning new technologies, business domains, and best practices
* **Innovation Mindset:** Creative thinking to identify novel solutions and continuous improvement opportunities
* **Collaboration:** Team player who builds strong relationships and works effectively across organizational boundaries
* **Adaptability:** Flexibility to adjust to changing priorities and comfortable with ambiguity in a dynamic environment
* **Attention to Detail:** Thoroughness in documenting requirements and ensuring accuracy in all deliverables
The anticipated annual base salary for this position in the US is $110,000 to $140,000\. This range does not include any other compensation components or other benefits that an individual may be eligible for.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**Employbridge is an Equal Opportunity Employer committed to diversity and inclusion. All qualified applicants will receive consideration for employment without regard to race, color, religion, sex, sexual orientation, gender identity, national origin, age, marital status, disability, military or veteran status, genetic information, or any other characteristic protected by federal, state or local laws.**
Employbridge offers a competitive benefits package which includes Medical/Dental/Vision, prescription drug benefits, 401(k), paid time off and holidays, a wellness program, and incentive programs. We also offer a variety of career paths and encourage promotion from within.</t>
        </is>
      </c>
    </row>
    <row r="73">
      <c r="A73" t="inlineStr">
        <is>
          <t>in-c8d77f1f18202e59</t>
        </is>
      </c>
      <c r="B73" t="inlineStr">
        <is>
          <t>Sr. Product Manager Technical, Deal Tooling &amp; Insights, Strategic Customer Engagements</t>
        </is>
      </c>
      <c r="C73" t="inlineStr">
        <is>
          <t>Amazon Web Services</t>
        </is>
      </c>
      <c r="D73" t="inlineStr">
        <is>
          <t>indeed</t>
        </is>
      </c>
      <c r="E73">
        <f>HYPERLINK("https://www.indeed.com/viewjob?jk=c8d77f1f18202e59", "https://www.indeed.com/viewjob?jk=c8d77f1f18202e59")</f>
        <v/>
      </c>
      <c r="F73">
        <f>HYPERLINK("https://www.amazon.jobs/jobs/3138889/sr-product-manager-technical-deal-tooling--insights-strategic-customer-engagements?cmpid=DA_INAD200785B", "https://www.amazon.jobs/jobs/3138889/sr-product-manager-technical-deal-tooling--insights-strategic-customer-engagements?cmpid=DA_INAD200785B")</f>
        <v/>
      </c>
      <c r="G73" t="inlineStr">
        <is>
          <t>Austin, TX, US</t>
        </is>
      </c>
      <c r="H73" s="2" t="n">
        <v>45994</v>
      </c>
      <c r="I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4">
      <c r="A74" t="inlineStr">
        <is>
          <t>in-d7393ddf879c4995</t>
        </is>
      </c>
      <c r="B74" t="inlineStr">
        <is>
          <t>Sr. Product Manager Technical, Deal Tooling &amp; Insights, Strategic Customer Engagements</t>
        </is>
      </c>
      <c r="C74" t="inlineStr">
        <is>
          <t>Amazon Web Services</t>
        </is>
      </c>
      <c r="D74" t="inlineStr">
        <is>
          <t>indeed</t>
        </is>
      </c>
      <c r="E74">
        <f>HYPERLINK("https://www.indeed.com/viewjob?jk=d7393ddf879c4995", "https://www.indeed.com/viewjob?jk=d7393ddf879c4995")</f>
        <v/>
      </c>
      <c r="F74">
        <f>HYPERLINK("https://www.amazon.jobs/jobs/3138889/sr-product-manager-technical-deal-tooling--insights-strategic-customer-engagements?cmpid=DA_INAD200785B", "https://www.amazon.jobs/jobs/3138889/sr-product-manager-technical-deal-tooling--insights-strategic-customer-engagements?cmpid=DA_INAD200785B")</f>
        <v/>
      </c>
      <c r="G74" t="inlineStr">
        <is>
          <t>Seattle, WA, US</t>
        </is>
      </c>
      <c r="H74" s="2" t="n">
        <v>45994</v>
      </c>
      <c r="I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5">
      <c r="A75" t="inlineStr">
        <is>
          <t>in-e0f466ea9559e111</t>
        </is>
      </c>
      <c r="B75" t="inlineStr">
        <is>
          <t>Sr. Product Manager Technical, Deal Tooling &amp; Insights, Strategic Customer Engagements</t>
        </is>
      </c>
      <c r="C75" t="inlineStr">
        <is>
          <t>Amazon Web Services</t>
        </is>
      </c>
      <c r="D75" t="inlineStr">
        <is>
          <t>indeed</t>
        </is>
      </c>
      <c r="E75">
        <f>HYPERLINK("https://www.indeed.com/viewjob?jk=e0f466ea9559e111", "https://www.indeed.com/viewjob?jk=e0f466ea9559e111")</f>
        <v/>
      </c>
      <c r="F75">
        <f>HYPERLINK("https://www.amazon.jobs/jobs/3138889/sr-product-manager-technical-deal-tooling--insights-strategic-customer-engagements?cmpid=DA_INAD200785B", "https://www.amazon.jobs/jobs/3138889/sr-product-manager-technical-deal-tooling--insights-strategic-customer-engagements?cmpid=DA_INAD200785B")</f>
        <v/>
      </c>
      <c r="G75" t="inlineStr">
        <is>
          <t>New York, NY, US</t>
        </is>
      </c>
      <c r="H75" s="2" t="n">
        <v>45994</v>
      </c>
      <c r="I7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6">
      <c r="A76" t="inlineStr">
        <is>
          <t>in-b67064e51c56d60c</t>
        </is>
      </c>
      <c r="B76" t="inlineStr">
        <is>
          <t>Sr. Product Manager Technical, Deal Tooling &amp; Insights, Strategic Customer Engagements</t>
        </is>
      </c>
      <c r="C76" t="inlineStr">
        <is>
          <t>Amazon Web Services</t>
        </is>
      </c>
      <c r="D76" t="inlineStr">
        <is>
          <t>indeed</t>
        </is>
      </c>
      <c r="E76">
        <f>HYPERLINK("https://www.indeed.com/viewjob?jk=b67064e51c56d60c", "https://www.indeed.com/viewjob?jk=b67064e51c56d60c")</f>
        <v/>
      </c>
      <c r="F76">
        <f>HYPERLINK("https://www.amazon.jobs/jobs/3138889/sr-product-manager-technical-deal-tooling--insights-strategic-customer-engagements?cmpid=DA_INAD200785B", "https://www.amazon.jobs/jobs/3138889/sr-product-manager-technical-deal-tooling--insights-strategic-customer-engagements?cmpid=DA_INAD200785B")</f>
        <v/>
      </c>
      <c r="G76" t="inlineStr">
        <is>
          <t>Dallas, TX, US</t>
        </is>
      </c>
      <c r="H76" s="2" t="n">
        <v>45994</v>
      </c>
      <c r="I7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7">
      <c r="A77" t="inlineStr">
        <is>
          <t>in-27b6856524c90396</t>
        </is>
      </c>
      <c r="B77" t="inlineStr">
        <is>
          <t>Sr. Product Manager Technical, Deal Tooling &amp; Insights, Strategic Customer Engagements</t>
        </is>
      </c>
      <c r="C77" t="inlineStr">
        <is>
          <t>Amazon Web Services</t>
        </is>
      </c>
      <c r="D77" t="inlineStr">
        <is>
          <t>indeed</t>
        </is>
      </c>
      <c r="E77">
        <f>HYPERLINK("https://www.indeed.com/viewjob?jk=27b6856524c90396", "https://www.indeed.com/viewjob?jk=27b6856524c90396")</f>
        <v/>
      </c>
      <c r="F77">
        <f>HYPERLINK("https://www.amazon.jobs/jobs/3138889/sr-product-manager-technical-deal-tooling--insights-strategic-customer-engagements?cmpid=DA_INAD200785B", "https://www.amazon.jobs/jobs/3138889/sr-product-manager-technical-deal-tooling--insights-strategic-customer-engagements?cmpid=DA_INAD200785B")</f>
        <v/>
      </c>
      <c r="G77" t="inlineStr">
        <is>
          <t>Herndon, VA, US</t>
        </is>
      </c>
      <c r="H77" s="2" t="n">
        <v>45994</v>
      </c>
      <c r="I7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8">
      <c r="A78" t="inlineStr">
        <is>
          <t>in-24e12423933e6c5b</t>
        </is>
      </c>
      <c r="B78" t="inlineStr">
        <is>
          <t>Sr. Product Manager Technical, Deal Tooling &amp; Insights, Strategic Customer Engagements</t>
        </is>
      </c>
      <c r="C78" t="inlineStr">
        <is>
          <t>Amazon Web Services</t>
        </is>
      </c>
      <c r="D78" t="inlineStr">
        <is>
          <t>indeed</t>
        </is>
      </c>
      <c r="E78">
        <f>HYPERLINK("https://www.indeed.com/viewjob?jk=24e12423933e6c5b", "https://www.indeed.com/viewjob?jk=24e12423933e6c5b")</f>
        <v/>
      </c>
      <c r="F78">
        <f>HYPERLINK("https://www.amazon.jobs/jobs/3138889/sr-product-manager-technical-deal-tooling--insights-strategic-customer-engagements?cmpid=DA_INAD200785B", "https://www.amazon.jobs/jobs/3138889/sr-product-manager-technical-deal-tooling--insights-strategic-customer-engagements?cmpid=DA_INAD200785B")</f>
        <v/>
      </c>
      <c r="G78" t="inlineStr">
        <is>
          <t>Arlington, VA, US</t>
        </is>
      </c>
      <c r="H78" s="2" t="n">
        <v>45994</v>
      </c>
      <c r="I7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9">
      <c r="A79" t="inlineStr">
        <is>
          <t>in-cb116b344ce62fd8</t>
        </is>
      </c>
      <c r="B79" t="inlineStr">
        <is>
          <t>Sr. Product Manager - Tech, WHS Data-Tech</t>
        </is>
      </c>
      <c r="C79" t="inlineStr">
        <is>
          <t>Amazon.com</t>
        </is>
      </c>
      <c r="D79" t="inlineStr">
        <is>
          <t>indeed</t>
        </is>
      </c>
      <c r="E79">
        <f>HYPERLINK("https://www.indeed.com/viewjob?jk=cb116b344ce62fd8", "https://www.indeed.com/viewjob?jk=cb116b344ce62fd8")</f>
        <v/>
      </c>
      <c r="F79">
        <f>HYPERLINK("https://www.amazon.jobs/jobs/3156736/sr-product-manager--tech-whs-datatech?cmpid=DA_INAD200785B", "https://www.amazon.jobs/jobs/3156736/sr-product-manager--tech-whs-datatech?cmpid=DA_INAD200785B")</f>
        <v/>
      </c>
      <c r="G79" t="inlineStr">
        <is>
          <t>Bellevue, WA, US</t>
        </is>
      </c>
      <c r="H79" s="2" t="n">
        <v>45836</v>
      </c>
      <c r="I7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0">
      <c r="A80" t="inlineStr">
        <is>
          <t>in-b6e174fd0ca2fb79</t>
        </is>
      </c>
      <c r="B80" t="inlineStr">
        <is>
          <t>Sr. Product Manager - Tech, WHS Data-Tech</t>
        </is>
      </c>
      <c r="C80" t="inlineStr">
        <is>
          <t>Amazon.com</t>
        </is>
      </c>
      <c r="D80" t="inlineStr">
        <is>
          <t>indeed</t>
        </is>
      </c>
      <c r="E80">
        <f>HYPERLINK("https://www.indeed.com/viewjob?jk=b6e174fd0ca2fb79", "https://www.indeed.com/viewjob?jk=b6e174fd0ca2fb79")</f>
        <v/>
      </c>
      <c r="F80">
        <f>HYPERLINK("https://www.amazon.jobs/jobs/3156736/sr-product-manager--tech-whs-datatech?cmpid=DA_INAD200785B", "https://www.amazon.jobs/jobs/3156736/sr-product-manager--tech-whs-datatech?cmpid=DA_INAD200785B")</f>
        <v/>
      </c>
      <c r="G80" t="inlineStr">
        <is>
          <t>Arlington, VA, US</t>
        </is>
      </c>
      <c r="H80" s="2" t="n">
        <v>45836</v>
      </c>
      <c r="I8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1">
      <c r="A81" t="inlineStr">
        <is>
          <t>in-b0d4b10cbdfa265d</t>
        </is>
      </c>
      <c r="B81" t="inlineStr">
        <is>
          <t>Sr. Product Manager - Tech, WHS Data-Tech</t>
        </is>
      </c>
      <c r="C81" t="inlineStr">
        <is>
          <t>Amazon.com</t>
        </is>
      </c>
      <c r="D81" t="inlineStr">
        <is>
          <t>indeed</t>
        </is>
      </c>
      <c r="E81">
        <f>HYPERLINK("https://www.indeed.com/viewjob?jk=b0d4b10cbdfa265d", "https://www.indeed.com/viewjob?jk=b0d4b10cbdfa265d")</f>
        <v/>
      </c>
      <c r="F81">
        <f>HYPERLINK("https://www.amazon.jobs/jobs/3156736/sr-product-manager--tech-whs-datatech?cmpid=DA_INAD200785B", "https://www.amazon.jobs/jobs/3156736/sr-product-manager--tech-whs-datatech?cmpid=DA_INAD200785B")</f>
        <v/>
      </c>
      <c r="G81" t="inlineStr">
        <is>
          <t>Nashville, TN, US</t>
        </is>
      </c>
      <c r="H81" s="2" t="n">
        <v>45836</v>
      </c>
      <c r="I81"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2">
      <c r="A82" t="inlineStr">
        <is>
          <t>in-704f711ba8138fce</t>
        </is>
      </c>
      <c r="B82" t="inlineStr">
        <is>
          <t>Senior Product Manager - Technical, Alexa Communications</t>
        </is>
      </c>
      <c r="C82" t="inlineStr">
        <is>
          <t>Amazon.com</t>
        </is>
      </c>
      <c r="D82" t="inlineStr">
        <is>
          <t>indeed</t>
        </is>
      </c>
      <c r="E82">
        <f>HYPERLINK("https://www.indeed.com/viewjob?jk=704f711ba8138fce", "https://www.indeed.com/viewjob?jk=704f711ba8138fce")</f>
        <v/>
      </c>
      <c r="F82">
        <f>HYPERLINK("https://www.amazon.jobs/jobs/3034220/senior-product-manager--technical-alexa-communications?cmpid=DA_INAD200785B", "https://www.amazon.jobs/jobs/3034220/senior-product-manager--technical-alexa-communications?cmpid=DA_INAD200785B")</f>
        <v/>
      </c>
      <c r="G82" t="inlineStr">
        <is>
          <t>Sunnyvale, CA, US</t>
        </is>
      </c>
      <c r="H82" s="2" t="n">
        <v>45851</v>
      </c>
      <c r="I8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in-cb38cd49513386d3</t>
        </is>
      </c>
      <c r="B83" t="inlineStr">
        <is>
          <t>Senior Product Manager - Technical, Alexa Communications</t>
        </is>
      </c>
      <c r="C83" t="inlineStr">
        <is>
          <t>Amazon.com</t>
        </is>
      </c>
      <c r="D83" t="inlineStr">
        <is>
          <t>indeed</t>
        </is>
      </c>
      <c r="E83">
        <f>HYPERLINK("https://www.indeed.com/viewjob?jk=cb38cd49513386d3", "https://www.indeed.com/viewjob?jk=cb38cd49513386d3")</f>
        <v/>
      </c>
      <c r="F83">
        <f>HYPERLINK("https://www.amazon.jobs/jobs/3034220/senior-product-manager--technical-alexa-communications?cmpid=DA_INAD200785B", "https://www.amazon.jobs/jobs/3034220/senior-product-manager--technical-alexa-communications?cmpid=DA_INAD200785B")</f>
        <v/>
      </c>
      <c r="G83" t="inlineStr">
        <is>
          <t>Seattle, WA, US</t>
        </is>
      </c>
      <c r="H83" s="2" t="n">
        <v>45851</v>
      </c>
      <c r="I8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in-6e869992c38b70fd</t>
        </is>
      </c>
      <c r="B84" t="inlineStr">
        <is>
          <t>Principal Product Manager - Tech, Recommender Systems, Prime Video Personalization &amp; Discovery</t>
        </is>
      </c>
      <c r="C84" t="inlineStr">
        <is>
          <t>Amazon.com</t>
        </is>
      </c>
      <c r="D84" t="inlineStr">
        <is>
          <t>indeed</t>
        </is>
      </c>
      <c r="E84">
        <f>HYPERLINK("https://www.indeed.com/viewjob?jk=6e869992c38b70fd", "https://www.indeed.com/viewjob?jk=6e869992c38b70fd")</f>
        <v/>
      </c>
      <c r="F84">
        <f>HYPERLINK("https://www.amazon.jobs/jobs/2956622/principal-product-manager--tech-recommender-systems-prime-video-personalization--discovery-?cmpid=DA_INAD200785B", "https://www.amazon.jobs/jobs/2956622/principal-product-manager--tech-recommender-systems-prime-video-personalization--discovery-?cmpid=DA_INAD200785B")</f>
        <v/>
      </c>
      <c r="G84" t="inlineStr">
        <is>
          <t>Washington, DC, US</t>
        </is>
      </c>
      <c r="H84" s="2" t="n">
        <v>45753</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in-aa3580a35aaaab52</t>
        </is>
      </c>
      <c r="B85" t="inlineStr">
        <is>
          <t>Principal Product Manager - Tech, Recommender Systems, Prime Video Personalization &amp; Discovery</t>
        </is>
      </c>
      <c r="C85" t="inlineStr">
        <is>
          <t>Amazon.com</t>
        </is>
      </c>
      <c r="D85" t="inlineStr">
        <is>
          <t>indeed</t>
        </is>
      </c>
      <c r="E85">
        <f>HYPERLINK("https://www.indeed.com/viewjob?jk=aa3580a35aaaab52", "https://www.indeed.com/viewjob?jk=aa3580a35aaaab52")</f>
        <v/>
      </c>
      <c r="F85">
        <f>HYPERLINK("https://www.amazon.jobs/jobs/2956622/principal-product-manager--tech-recommender-systems-prime-video-personalization--discovery-?cmpid=DA_INAD200785B", "https://www.amazon.jobs/jobs/2956622/principal-product-manager--tech-recommender-systems-prime-video-personalization--discovery-?cmpid=DA_INAD200785B")</f>
        <v/>
      </c>
      <c r="G85" t="inlineStr">
        <is>
          <t>Seattle, WA, US</t>
        </is>
      </c>
      <c r="H85" s="2" t="n">
        <v>45753</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li-4365313196</t>
        </is>
      </c>
      <c r="B2" t="inlineStr">
        <is>
          <t>Product Manager</t>
        </is>
      </c>
      <c r="C2" t="inlineStr">
        <is>
          <t>Largeton Group</t>
        </is>
      </c>
      <c r="D2" t="inlineStr">
        <is>
          <t>linkedin</t>
        </is>
      </c>
      <c r="E2">
        <f>HYPERLINK("https://www.linkedin.com/jobs/view/4365313196", "https://www.linkedin.com/jobs/view/4365313196")</f>
        <v/>
      </c>
      <c r="F2" t="inlineStr"/>
      <c r="G2" t="inlineStr">
        <is>
          <t>Hopkins, MN</t>
        </is>
      </c>
      <c r="H2" t="inlineStr"/>
      <c r="I2" t="inlineStr">
        <is>
          <t>**Job Summary (Product Manager – US Bank, Hopkins, MN)**
* Serve as Product Manager focusing on loan and mortgage servicing products.
* Leverage experience in mortgage, consumer loan, or lease servicing—especially in outreach/collections, delinquency cure, or loss mitigation with regulatory compliance.
* Lead cross\-functional teams including developers; provide guidance on coding principles, system design, and technical trade\-offs.
* Utilize SQL for data validation, including writing complex queries (joins, filters, aggregations) and investigating data\-related issues.
* Manage and support API\-driven architectures (e.g., .NET, Java Spring Boot) and modern UI workflows (Angular, React).
* Oversee and understand ETL concepts and data pipelines (SSIS, Informatica).
* Ensure products meet both business and regulatory requirements.
* Collaborate with stakeholders to define product requirements and prioritize features.</t>
        </is>
      </c>
    </row>
    <row r="3">
      <c r="A3" t="inlineStr">
        <is>
          <t>li-4354224613</t>
        </is>
      </c>
      <c r="B3" t="inlineStr">
        <is>
          <t>Product Manager / Product Owner [32837]</t>
        </is>
      </c>
      <c r="C3" t="inlineStr">
        <is>
          <t>Stealth Startup</t>
        </is>
      </c>
      <c r="D3" t="inlineStr">
        <is>
          <t>linkedin</t>
        </is>
      </c>
      <c r="E3">
        <f>HYPERLINK("https://www.linkedin.com/jobs/view/4354224613", "https://www.linkedin.com/jobs/view/4354224613")</f>
        <v/>
      </c>
      <c r="F3" t="inlineStr"/>
      <c r="G3" t="inlineStr"/>
      <c r="H3" t="inlineStr"/>
      <c r="I3" t="inlineStr">
        <is>
          <t>Remote · Full time
**About** 
 We're building Liz \- the world's first Software Development Orchestration Agent. Liz is the connective tissue between Product and Engineering. We have Fortune 1000 customers telling us that Liz is something they've dreamed about for years. Our beta customers are already engaging with Liz everyday.
 But Liz isn't our first rodeo. Our current product \- Code Scans \- has given us a deep understanding of the orchestration issues inherent in today's software development processes and the product and engineering teams behind it all. Code Scans has become the trusted standard for technical due diligence. Our customers include 15 of the world's 20 largest private equity investors, who have trusted us in 1,800\+ diligence engagements for enterprise acquisitions worth $1\.6 trillion in transaction value. Our $35M in bookings to date and 50% YoY growth demonstrates we know how to deliver value.
 With Liz, we're creating a new, native AI partner that enables Product and Engineering to move from chaos to alignment. Liz will lead to the creation of a new category \- Software Development Orchestration \- and we're going to own that category. What's missing is someone to drive our narrative for both enterprise sales and investors.
**What this job is about** 
 Our engineering and product culture is built on continuous delivery and quick iterations. We are not wasting time in useless calls, unnecessary rituals, and senseless politics: we experiment, stick to what works, and cut out what doesn’t. Processes for the sake of processes are not our cup of tea.
**What is this job about?** 
 The Product Manager owns multiple feature areas of Liz. The core job is:
* **Customer\-to\-prototype in hours, not weeks.** 
 Sits in customer calls, identifies what they want, then personally builds clickable prototypes with the customer's real data using Claude. This is how we sell and how we learn. If they can't do this themselves, they can't do this job.
* **Full feature ownership.** 
 Tracks every customer conversation that touches their features. Owns epics end\-to\-end. Moves stories from backlog to board. Not a "strategy PM"—a building PM.
* **Feldman Doctrine compliance.** 
 Everything they ship must be neutral\-to\-positive for engineers. They need to instinctively design for engineer happiness, not just user happiness.
* **Work with engineers** 
 to build epics, then guide them as they create stories based on those epics.
* **INCREDIBLY ANAL review of customer meetings** 
 for product improvements, said and unsaid
* **With high English fluency,** 
 can be an account manager\= ownership of individual organizations who are part of Liz beta program (no sales required)
**What we're looking for** 
* **Match with our values** 
 .
* **Has personally built things with AI tools.** 
 Not "interested in AI"—actually uses Claude/ChatGPT/Cursor to build working prototypes, analyze data, create artifacts. Can show examples.
* **Will follow AI\-first product management.** 
 Already knows how much AI changes the PM role itself. Wants to get to mastery of using AI to expand capacity.
* **Comfortable with data and software technical systems.** 
 Doesn't need to code, but needs to understand data structures, APIs, integrations well enough to work with JIRA data, shape it, and build prototypes that feel real.
* **Enterprise SaaS experience preferred.** 
 Liz sells to engineering orgs at companies like Anaplan. Understanding long sales cycles, multiple stakeholders, and "prove it with my data" buyer behavior is valuable.
* **Incredibly smart** 
 —connects dots others miss, learns fast, reframes problems
* **Deeply numerate** 
 —thinks in quantities, models trade\-offs, catches bad math
* **Natural taxonomist** 
 —organizes chaos instinctively, creates usable structures</t>
        </is>
      </c>
    </row>
    <row r="4">
      <c r="A4" t="inlineStr">
        <is>
          <t>li-4365081758</t>
        </is>
      </c>
      <c r="B4" t="inlineStr">
        <is>
          <t>Product Manager</t>
        </is>
      </c>
      <c r="C4" t="inlineStr">
        <is>
          <t>Path Robotics</t>
        </is>
      </c>
      <c r="D4" t="inlineStr">
        <is>
          <t>linkedin</t>
        </is>
      </c>
      <c r="E4">
        <f>HYPERLINK("https://www.linkedin.com/jobs/view/4365081758", "https://www.linkedin.com/jobs/view/4365081758")</f>
        <v/>
      </c>
      <c r="F4" t="inlineStr"/>
      <c r="G4" t="inlineStr">
        <is>
          <t>Columbus, OH</t>
        </is>
      </c>
      <c r="H4" t="inlineStr"/>
      <c r="I4"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We're seeking a visionary Product Manager to drive innovation and collaboration across our engineering, sales, and operations teams. If you're passionate about creating solutions that delight customers and eager to be a part of shaping the future of manufacturing, we want to hear from you.
**What You’ll Do** 
* Communicate delivery targets \&amp; changes to affected stakeholders
* Represent the voice of our customers and users
* Generate actionable insights from customer research, informing product enhancements
* Bridge software, R\&amp;D and hardware teams to deliver strategic product functionality
* Define \&amp; document UX \&amp; functional behavior critical for a welding cycle
* Specify new features \&amp; feature enhancements
* Develop feature roadmaps with engineering that progress feature sets beyond MVP
* Work in a technical environment with a broad, cross functional team to drive product vision define product requirements, coordinate resources from other groups (design, legal, etc) and guide the team through key milestones
**Who You Are** 
* Industry experience related to manufacturing or robotics
* Experience with data analysis and data\-driven decision making, including familiarity with data analytics tools (e.g., SQL, Python, R).
* Experience with A/B testing and experimentation to validate product hypotheses.
* Strong experience facilitating software development through business analyst or product ownership
* At least one year of agile or agile scrum experience going through a full product lifecycle, integrating customer feedback into product requirements, driving prioritization and pre/post\-launch execution
* Experience with at least three feature launches requiring detailed launch planning to ensure successful/non\-disruptive adoption by users
* Ability to energize, communicate, and build rapport with all levels and teams within an organization
* Proficient in deploying diverse frameworks essential for measuring product performance, refining features based on user input, and fostering a culture of continuous enhancement.
* Effective communicator: on\-time, transparent, productive, constructive
* At least one year of responsibility for detailed functional analysis \&amp; documentation
* At least one year of experience facilitating cross\-functional and \-departmental dialogue to achieve common understanding of product improvements and surrounding tactics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5">
      <c r="A5" t="inlineStr">
        <is>
          <t>li-4343121590</t>
        </is>
      </c>
      <c r="B5" t="inlineStr">
        <is>
          <t>Product Manager</t>
        </is>
      </c>
      <c r="C5" t="inlineStr">
        <is>
          <t>Warner Bros. Games</t>
        </is>
      </c>
      <c r="D5" t="inlineStr">
        <is>
          <t>linkedin</t>
        </is>
      </c>
      <c r="E5">
        <f>HYPERLINK("https://www.linkedin.com/jobs/view/4343121590", "https://www.linkedin.com/jobs/view/4343121590")</f>
        <v/>
      </c>
      <c r="F5" t="inlineStr"/>
      <c r="G5" t="inlineStr">
        <is>
          <t>Burbank, CA</t>
        </is>
      </c>
      <c r="H5" t="inlineStr"/>
      <c r="I5"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**The Job** 
 As a Product Manager in our Central Product Management team, you will play a critical role in the development and management of our AAA titles. You will work closely with cross\-functional teams to define the product strategy, create a roadmap, and execute on it to ensure the success of our games in a live environment. If you are passionate about gaming and have a strong blend of technical and business skills, we want you to join our team and contribute to our mission of delivering top\-tier gaming experiences.
**The Daily** 
* **Product Strategy** 
**:** 
 Collaborate with senior product management and stakeholders to define the long\-term product vision and strategy for AAA titles.
* **Roadmap Planning:** 
 Create and maintain a comprehensive product roadmap that aligns with the overall business objectives, considering market trends, player feedback, and competitive analysis.
* **Feature Definition** 
**:** 
 Work closely with cross\-functional teams, including game designers, developers, artists, and QA, to define and prioritize features and improvements for the AAA titles.
* **Live Operations** 
**:** 
 Oversee live operations, including in\-game events, updates, and patches, to ensure a positive player experience and drive engagement and monetization.
* **Data Analysis:** 
 Utilize data analytics and player feedback to make informed decisions, identify areas for improvement, and optimize game performance and monetization strategies.
* **Monetization Strategy:** 
 Develop and execute monetization strategies, including in\-game purchases and virtual economies, while maintaining a fair and enjoyable player experience.
* **Competitive Analysis** 
**:** 
 Stay up\-to\-date with industry trends and competitors to ensure our titles remain competitive and innovative.
* **Team Collaboration** 
**:** 
 Work closely with cross\-functional teams, including marketing, community management, and customer support, to coordinate efforts and deliver on project goals.
* **Player Engagement** 
**:** 
 Build and maintain strong relationships with the player community, gather feedback, and address concerns to enhance player satisfaction and retention.
**The Essentials** 
* Bachelor's degree in a related field (e.g., business, computer science, game design) or equivalent experience.
* 2\+ years of experience in product management, preferably in the gaming industry.
* Passion for gaming and a deep understanding of the gaming market, trends, and player preferences.
* Strong analytical and data\-driven decision\-making skills.
* Excellent communication and collaboration skills, with the ability to work effectively in cross\-functional teams. Articulate and crisp in conveying the final message
* Experience with project management tools and methodologies.
* Knowledge of monetization strategies and virtual economies in gaming.
* Ability to adapt to a fast\-paced, dynamic environment and manage multiple priorities.
* Problem\-solving mindset and a proactive approach to challenges.
**The Nice to Haves** 
* Familiarity with live operations and game development processes is a plus.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$83,300\.00 \- $154,700\.00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6">
      <c r="A6" t="inlineStr">
        <is>
          <t>li-4365331728</t>
        </is>
      </c>
      <c r="B6" t="inlineStr">
        <is>
          <t>Senior Product Manager</t>
        </is>
      </c>
      <c r="C6" t="inlineStr">
        <is>
          <t>Synack</t>
        </is>
      </c>
      <c r="D6" t="inlineStr">
        <is>
          <t>linkedin</t>
        </is>
      </c>
      <c r="E6">
        <f>HYPERLINK("https://www.linkedin.com/jobs/view/4365331728", "https://www.linkedin.com/jobs/view/4365331728")</f>
        <v/>
      </c>
      <c r="F6" t="inlineStr"/>
      <c r="G6" t="inlineStr">
        <is>
          <t>San Mateo, CA</t>
        </is>
      </c>
      <c r="H6" t="inlineStr"/>
      <c r="I6" t="inlineStr">
        <is>
          <t>Synack's Penetration Testing as a Service platform manages customers' attack surfaces by discovering new assets, pentesting for critical vulnerabilities and gaining visibility into the root causes of security risks. We are committed to making the world more secure by harnessing a talented, vetted community of security researchers to deliver continuous penetration testing and vulnerability management, with actionable results. Synack's PTaaS platform has uncovered more than 71,000 exploitable vulnerabilities to date, protecting a growing list of Global 2000 customers and U.S. agencies in a FedRAMP Moderate Authorized environment. For more information, please visit
 **www.synack.com** 
 .
 We are looking for a talented Product Manager to own and drive products in our AI powered security product suite. You will work closely with the executive team and other stakeholders across the company to strategize and execute on the product roadmap and own one of our critical products from end to end.
 Sounds interesting? Keep reading...
**Here's what you'll do**
* Lead the effort to develop clear and compelling product requirements/user stories for new AI products and security products. Develop business justification, prioritize features based on impact, estimate revenue potential, and support scalable delivery within operations teams.
* Collaborate with external customers, partners and internal sales stakeholders to craft a compelling product roadmap that aligns with business strategy and market needs.
* Partner with engineering teams, participate in scrum ceremonies, perform backlog grooming and manage priorities across multiple teams.
* Be data driven. Monitor product adoption, proactively identify opportunities and make actionable recommendations to drive product uptake and efficacy.
* Manage and communicate delivery schedules, goals, and dependencies, drive cross\-functional initiatives, and regularly represent status to senior leadership.
* Understand the security market and stay close to competitor offerings.
* Partner closely with the marketing team to present the products and offerings to the analyst community and other stakeholders to drive product awareness and adoption.
* Partner with the internal sales team to understand what is resonating with the product(s) and to gather feedback and data.
**Here's what you'll need**
* BA/BS Degree in Computer Science or a related technical field. Relevant work experience in lieu of a technical degree may be considered. MBA preferred.
* 4\+ years of experience in product management including owning a product or large feature set preferably in a B2B environment on a SaaS product.
* AI Proficiency: Hands on experience deploying AI\-driven products with the technical literacy to manage model trade\-offs and the strategic oversight to ensure secure and scalable AI adoption.
* 1\+ years on a scrappy team in a startup\-like, fast\-paced environment.
* Proven track record of setting product vision and translating vision into a product roadmap with demonstrable delivery of shipped products.
* Ability to motivate, lead and influence internal stakeholders and team members. Experienced in working with senior level stakeholders externally and internally.
* Experienced in working collaboratively with operations, sales and marketing departments and being the voice and owner of the product.
* Strong communicator and listener with both technical and non\-technical colleagues and customers.
**Ready to join us?**
 Synack is committed to embracing diversity. Our people are our strength. Each addition to our team is an opportunity to grow and diversify our ideas, experiences, and viewpoints. Synack strives to be inclusive of all people.
 As a candidate, Synack cares about your privacy. Please view our candidate privacy policy here.
**This position has responsibility to ensure Synack's security and privacy posture is maintained.**
**$150,000 \- $180,000** 
 Salary is determined by a combination of factors including location, level, relevant experience, and skills. The range displayed on each job posting reflects the minimum and maximum target for new hire salaries for the position across all US locations. The compensation package for this position may also include equity, and benefits.
 For more details about our benefits, please see here. Then for the Employer code, enter:
 **synack**</t>
        </is>
      </c>
    </row>
    <row r="7">
      <c r="A7" t="inlineStr">
        <is>
          <t>li-4362535513</t>
        </is>
      </c>
      <c r="B7" t="inlineStr">
        <is>
          <t>Product Manager</t>
        </is>
      </c>
      <c r="C7" t="inlineStr">
        <is>
          <t>Prestige Staffing</t>
        </is>
      </c>
      <c r="D7" t="inlineStr">
        <is>
          <t>linkedin</t>
        </is>
      </c>
      <c r="E7">
        <f>HYPERLINK("https://www.linkedin.com/jobs/view/4362535513", "https://www.linkedin.com/jobs/view/4362535513")</f>
        <v/>
      </c>
      <c r="F7" t="inlineStr"/>
      <c r="G7" t="inlineStr"/>
      <c r="H7" t="inlineStr"/>
      <c r="I7" t="inlineStr">
        <is>
          <t>We’re looking for a hands\-on, Technical Product Manager to help shape and scale a fast\-growing platform. This role is perfect for someone who loves turning ideas into products, thrives in close partnership with engineering, and enjoys balancing strategy with execution. You’ll own projects end\-to\-end — from uncovering opportunities and validating concepts to launching features and measuring real\-world impact.
 What You’ll Do
* Lead products and initiatives from discovery through delivery and launch
* Define clear requirements, write user stories, and partner closely with engineering on trade\-offs and technical decisions
* Collaborate with designers, engineers, and stakeholders to ship high\-quality, impactful solutions
* Use analytics, dashboards, and experiments (A/B testing, Google Analytics, etc.) to measure performance and guide decisions
* Prototype and validate new ideas before committing engineering resources
* Plan and execute go\-to\-market rollouts with cross\-functional teams (Product, Engineering, Marketing, Ops)
* Continuously gather customer feedback and iterate quickly
 What We’re Looking For
* 2–6 years of product management or related experience
* Technical background or degree (Computer Science, Engineering, or similar) preferred
* Comfortable discussing APIs and system architecture with engineers
* Experience writing detailed user stories and managing backlogs
* Strong analytical mindset with experience using data to drive decisions
* Ability to move quickly, test ideas, and adapt in a fast\-paced environment
* Strong communication and stakeholder management skills
 Nice to Have
* Experience with experimentation frameworks or A/B testing
* Prototyping skills (Figma, low/no\-code tools, etc.)
* Experience working on platform, SaaS, or data\-driven products
* Startup or high\-growth environment experience</t>
        </is>
      </c>
    </row>
    <row r="8">
      <c r="A8" t="inlineStr">
        <is>
          <t>li-4362586632</t>
        </is>
      </c>
      <c r="B8" t="inlineStr">
        <is>
          <t>Product Manager, Google Store, Growth</t>
        </is>
      </c>
      <c r="C8" t="inlineStr">
        <is>
          <t>Google</t>
        </is>
      </c>
      <c r="D8" t="inlineStr">
        <is>
          <t>linkedin</t>
        </is>
      </c>
      <c r="E8">
        <f>HYPERLINK("https://www.linkedin.com/jobs/view/4362586632", "https://www.linkedin.com/jobs/view/4362586632")</f>
        <v/>
      </c>
      <c r="F8" t="inlineStr"/>
      <c r="G8" t="inlineStr">
        <is>
          <t>Mountain View, CA</t>
        </is>
      </c>
      <c r="H8" t="inlineStr"/>
      <c r="I8" t="inlineStr">
        <is>
          <t>**Minimum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in ecommerce, hardware, or subscriptions growth.
**Preferred qualifications:**
* Master's degree in a Technology or Business related field.
* Experience building complex pricing and promotion capabilities in an ecommerce environment.
* Experience with direct profit and loss responsibility or ownership of specific sales and conversion goals.
* Experience defining product strategy across different workstreams, including presenting to executive stakeholders.
* Experience with device protection, carrier, or trade\-in programs (e.g., working with carriers, retailers, and third\-party sellers).
* Ability to execute functions within a large team, and complex global space.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Growth team is a key part of Google Store's strategy, focused on driving the overall health and expansion of our business. We are looking for an entrepreneurial product leader to help us build the future of ecommerce at Google.
 As a Product Manager for Growth, you will be the architect of how we drive sales and customer lifecycle value. You will lead the evolution of our promotional ecosystem—moving from static discounts to a dynamic promotions engine that delivers personalized growth at scale. Beyond promotions, you will own the evolution of our Global Trade\-In program, turning it into a seamless lever for customer acquisition and device upgrades.
 Google Store is our omnichannel, global retailer, leveraging the best of Google to help customers experience our award\-winning devices and services. Our team is responsible for a vast portfolio that supports the entire customer journey, from product discovery to upgrading their next device. This portfolio includes the My Pixel app distributed with every Pixel phone, the Google Store global eCommerce platform, our leading edge retail point\-of\-sale system, and AI\-driven algorithms for customer lifecycle management.
 The Store team applies Google's AI to solve complex, real\-world problems across our growing global footprint of online and brick\-and\-mortar storefronts. This ranges from AI\-enhanced site operations to agentic AI shopping assistance, ensuring a seamless and intelligent experience at every touchpoint.
 The Store team is committed to providing team members with the opportunity to build their applied AI skillset, so that we may ultimately help our customers connect with the best of Google.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product goal and roadmap for our promotion strategy, leveraging AI and agentic systems to efficiently grow the Pixel business globally.
* Own and optimize our promotional and sales\-driving levers, working cross\-functionally to define and launch strategies to improve conversion and customer experience across the store.
* Manage the expansion of our trade\-in program, continuously improving the user experience and business outcomes for growth.
* Drive the end\-to\-end product development lifecycle, from ideation to launch and iteration, for these growth initiatives.
* Collaborate with cross\-functional partners to ensure seamless integration of growth features across the entire purchase journey while maintaining brand integrity.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
      <c r="A9" t="inlineStr">
        <is>
          <t>li-4343172463</t>
        </is>
      </c>
      <c r="B9" t="inlineStr">
        <is>
          <t>Product Manager, Mapping Routing Experiences</t>
        </is>
      </c>
      <c r="C9" t="inlineStr">
        <is>
          <t>Lyft</t>
        </is>
      </c>
      <c r="D9" t="inlineStr">
        <is>
          <t>linkedin</t>
        </is>
      </c>
      <c r="E9">
        <f>HYPERLINK("https://www.linkedin.com/jobs/view/4343172463", "https://www.linkedin.com/jobs/view/4343172463")</f>
        <v/>
      </c>
      <c r="F9">
        <f>HYPERLINK("http://boards.greenhouse.io/lyft/jobs/8324437002?gh_src=dd08aaff2us&amp;source=LinkedIn&amp;urlHash=Tyxi", "http://boards.greenhouse.io/lyft/jobs/8324437002?gh_src=dd08aaff2us&amp;source=LinkedIn&amp;urlHash=Tyxi")</f>
        <v/>
      </c>
      <c r="G9" t="inlineStr">
        <is>
          <t>San Francisco County, CA</t>
        </is>
      </c>
      <c r="H9" t="inlineStr"/>
      <c r="I9" t="inlineStr">
        <is>
          <t>At Lyft, our purpose is to serve and connect. We aim to achieve this by cultivating a work environment where all team members belong and have the opportunity to thrive.
 At Lyft, our mission is to improve people’s lives with the world’s best transportation. To do this, we start with our own community by creating an open, inclusive, and diverse organization. Product Management at Lyft leads the integration of engineering, data science, and design to achieve the company’s vision for reinventing transportation.
 Lyft’s Mapping team builds and operates a global mapping platform that powers Rideshare\-specific experiences – everything from offering Riders accurate pricing and ETAs to navigating Drivers safely and efficiently from pickup to dropoff. This role is focused on the critical Mapping realtime services that power the navigation experience: Routing, Traffic, and Closures. The goal of every mapping platform is to create an accurate digital representation of the real world and then to find the “best” route using that map. At Lyft, we are constantly striving towards the “perfect route” – using all the available static and dynamic inputs to calculate the best route that drivers will follow and will get riders to their destination safely and on time. Our global Routing engine constantly balances dozens of factors including past driver behavior, safety and insurance risks of different routes, toll costs, driver and rider preferences, and any road hazards along the route including traffic congestion and road closures. Our Traffic and Closures systems process telemetry from millions of rides daily, user\-generated realtime reports from drivers on our platform, curated incidents and road closures from our in\-house data curation team, and third\-party ingested data sources to make sure our Lyft Map represents the real world as closely as possible. You will work with a talented team of engineers, ML experts, and data scientists to help us build the “perfect” routing engine which powers pickups and dropoffs for millions of rides daily on the Lyft platform.
 Responsibilities:
* Build deep customer empathy for the Rideshare experience of both riders and drivers – through user research, data analysis, and real\-world usage of the Lyft platform
* Understand Lyft's strategic and competitive position. Set your team's goals and success metrics that align with Lyft's mission and drive maximum impact based on data analysis, market research and usability studies
* Build a product roadmap to achieve your goals and lead a core team of engineers, designers, data scientists, and marketers to execute on it
* Clearly communicate roadmaps, priorities, experiments, and decisions across a wide spectrum of audiences from partner teams to executive levels
* Completely own your team’s products – existing or new – from ideation, through development, launch, growth, and maintenance
 Experience:
* 4\+ years of product management experience, ideally consumer\-facing
* Demonstrated experience using data\-driven insights and user research to build better products
* Have shipped products in deeply technical \&amp; analytical domains \- able to use data and experimentation to guide a large cross\-functional team towards a long\-term vision
* Prior experience or training in technical roles (including data science or software development) is a strong plus
* Prior experience in mapping, routing, logistics, or gig economy industries is a strong plus
* Be detail\-oriented and able to dive deep into complex technical concepts, but also abstract them to executive stakeholders
* Strong communication skills and intuition for communication strategy at every level \-\- within teams, within the company, to users; and to the company leadership
* Ability to conceptualize, manage and prioritize multiple projects for stakeholders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0">
      <c r="A10" t="inlineStr">
        <is>
          <t>li-4362526929</t>
        </is>
      </c>
      <c r="B10" t="inlineStr">
        <is>
          <t>Product Manager</t>
        </is>
      </c>
      <c r="C10" t="inlineStr">
        <is>
          <t>EllieMD</t>
        </is>
      </c>
      <c r="D10" t="inlineStr">
        <is>
          <t>linkedin</t>
        </is>
      </c>
      <c r="E10">
        <f>HYPERLINK("https://www.linkedin.com/jobs/view/4362526929", "https://www.linkedin.com/jobs/view/4362526929")</f>
        <v/>
      </c>
      <c r="F10" t="inlineStr"/>
      <c r="G10" t="inlineStr"/>
      <c r="H10" t="inlineStr"/>
      <c r="I10" t="inlineStr">
        <is>
          <t>Hybrid\- New York, New York (New York Applicants ONLY)
 Compensation: $150,000–$190,000 (based on experience)
 Contract: 1099 → Planned W2 conversion in 2026
 ⸻
 About EllieMD
 EllieMD is reimagining healthcare through pharmaceutical\-grade products and a technology platform that empowers customers and Brand Partners alike. Inspired by the wisdom, strength, and care of elephants, EllieMD is built on trust, accountability, and excellence—delivering healthcare experiences that are transparent, scalable, and human\-centered.
 ⸻
 Role Overview
 EllieMD is seeking a Technical Product Manager to build, ship, and scale core platform products at the intersection of healthcare, e\-commerce, and partner networks.
 This is a high\-impact, individual contributor role working closely with executive leadership to translate strategic vision into shipped, measurable outcomes. You will own multiple product initiatives simultaneously, drive execution across engineering and operations, and serve as a technical bridge between business and technology.
 This role is ideal for a builder who thrives in ambiguity, moves quickly, and brings both strategic thinking and hands\-on execution to deliver real results.
 ⸻
 What You’ll Do
 Product Ownership \&amp; Execution
 • Translate company strategy into clear, prioritized product initiatives
 • Own multiple product initiatives at once, from concept through launch and iteration
 • Define success metrics and ship solutions that deliver measurable business impact
 • Maintain accountability for roadmap progress, timelines, and outcomes
 Technical \&amp; Engineering Collaboration
 • Partner closely with Engineering to scope, sequence, and ship high\-quality solutions
 • Bring strong technical fluency to product decisions (systems architecture, APIs, data flows, integrations)
 • Create clear PRDs, user stories, and technical documentation engineers trust
 • Identify system gaps, dependencies, and risks early and proactively resolve them
 User, Partner \&amp; Market Understanding
 • Deeply understand the needs of customers and Brand Partners
 • Gather and analyze user research, product insights, and market data to inform prioritization
 • Balance speed, quality, scalability, and compliance in a regulated healthcare environment
 Communication \&amp; Leadership
 • Communicate clearly with executives, engineers, and cross\-functional partners
 • Provide concise updates on priorities, progress, risks, and learnings
 • Facilitate working sessions that turn ambiguity into execution
 ⸻
 Required Qualifications
 • 5\+ years of Product Management experience shipping real products
 • Strong technical background with the ability to work deeply with engineering teams
 • Coding experience or prior engineering background (you don’t need to code daily, but you must understand it)
 • Proven ability to manage multiple complex projects simultaneously
 • Data\-driven mindset with experience defining metrics and measuring impact
 • Exceptional written and verbal communication skills
 • Bachelor’s degree required
 ⸻
 Preferred Qualifications
 • Experience in healthcare, health\-tech, or wellness
 • Experience with e\-commerce, subscriptions, or marketplace platforms
 • Familiarity with direct sales, affiliate, or partner network models
 • Experience working in regulated environments (HIPAA, FDA, healthcare compliance)
 • Proficiency with product management and collaboration tools (Linear, Figma, Miro, etc.)
 • Startup experience and comfort operating in fast\-moving environments
 ⸻
 Who You Are
 • A technical, execution\-oriented Product Manager—not just a roadmap owner
 • Comfortable working directly with executive leadership and owning outcomes
 • Highly organized, decisive, and effective at balancing competing priorities
 • A systems thinker who sees how products connect across the organization
 • Motivated by impact, accountability, and shipping real products
 ⸻
 Equal Opportunity Employer
 EllieMD is an equal opportunity employer. We are committed to building an inclusive and diverse workplace and do not discriminate on the basis of race, color, religion, sex, gender identity or expression, sexual orientation, national origin, age, disability, genetic information, veteran status, or any other legally protected status.
 We believe diverse perspectives strengthen our work and welcome applicants from all backgrounds, identities, and experiences.</t>
        </is>
      </c>
    </row>
    <row r="11">
      <c r="A11" t="inlineStr">
        <is>
          <t>li-4355265614</t>
        </is>
      </c>
      <c r="B11" t="inlineStr">
        <is>
          <t>Senior Product Manager, Flagship Data Platform</t>
        </is>
      </c>
      <c r="C11" t="inlineStr">
        <is>
          <t>Pioneering Intelligence</t>
        </is>
      </c>
      <c r="D11" t="inlineStr">
        <is>
          <t>linkedin</t>
        </is>
      </c>
      <c r="E11">
        <f>HYPERLINK("https://www.linkedin.com/jobs/view/4355265614", "https://www.linkedin.com/jobs/view/4355265614")</f>
        <v/>
      </c>
      <c r="F11" t="inlineStr"/>
      <c r="G11" t="inlineStr">
        <is>
          <t>Cambridge, MA</t>
        </is>
      </c>
      <c r="H11" t="inlineStr"/>
      <c r="I11" t="inlineStr">
        <is>
          <t>**About Flagship**
 What if... we could harness science, data, and AI to create breakthroughs and accelerate the creation of new technologies?
 This is the question that Pioneering Intelligence, Flagship Pioneering's in\-house AI initiative, seeks to explore. Joining together cutting edge\-research and digital sciences, Pioneering Intelligence is dedicated to developing AI/ML\-powered platforms for transformative applications in human health, sustainability and beyond. Pioneering Intelligence builds on Flagship’s legacy of founding companies at the forefront of AI, driving advances across the ecosystem, fueling Flagship’s creation of breakthrough innovations, and pushing the boundaries of the field.
 We are a team of computational scientists and engineers from a variety of backgrounds, including applied math, nuclear physics, engineering, and computational biology. We bring together diverse skillsets to draw on the vast reservoir of knowledge from across the scientific spectrum and encourage our team to think beyond what is traditionally accepted in the field of computation.
 We are building a next generation digital foundation that integrates computational science, AI/ML, knowledge engineering, data platforms, and workflow automation. These capabilities support Flagship’s model of exploring the unknown and translating scientific insight into world\-changing companies.
**About the role**
 The Flagship Data Platform is a shared data platform that helps Flagship companies move faster by providing secure, well\-governed access to trusted data across the portfolio
 As Senior Product Manager for the Data Platform, you will own the product strategy, roadmap, and execution from early use cases through scaled adoption. You will work closely with software and ML engineers, UX, scientists, and senior stakeholders across multiple companies to turn ambiguous, high value opportunities into clear, high impact products that accelerate science and decision making.
 You are comfortable operating in a dynamic, highly interdisciplinary environment and can move fluidly between strategy, discovery, and hands\-on execution.
**Key Responsibilities**
* Own the end\-to\-end product vision and roadmap, setting metrics and priorities to maximize impact
* Rapidly drive product discovery, from user research and problem framing to prototyping and validation
* Align priorities with an empowered technical lead
* Use product analytics, qualitative feedback, and experimentation to inform decisions
* Align and communicate results to stakeholders
* Define and use metrics to ensure engagement and user value
**Qualifications**
* 7\+ years product management experience with end\-to\-end ownership
* Experience building data platforms, APIs, or infrastructure\-adjacent products
* Strong understanding of data architectures, pipelines, and governed access
* Proven ability to ship iteratively using product analytics and user research
* Deep skill in discovery, prioritization, and problem framing under ambiguity
* Experience applying LLMs or agentic systems to product definition and prototyping
* Effective collaborator across engineering, science, UX, and ML teams
* Leads through influence and communicates clearly with senior stakeholders
**Preferred Experience**
* Experience in biotech, computational biology, drug discovery, or scientific software.
* Experience taking products from 0→1 and then scaling them through high growth phases.
* Experience in startup, innovation\-intensive, or venture/incubator environments, or in building new product lines inside larger organizations.
* Hands\-on experience working with AI/ML, data platforms, or developer/platform products.
* Strength in customer discovery, storytelling, and translating complex technical or scientific concepts for varied audiences.
**Near Term Objectives and Outcomes**
 In the first 6–12 months, success looks like:
* The Data Platform is an AI\-native platform that delivers clear, differentiated value to teams across the Flagship portfolio.
* The platform integrates proprietary agentic AI systems
* Product priorities are consistently aligned to real usage, governance requirements, and demand, resulting in predictable delivery and measurable adoption
* Product success is measured and managed through a shared, user\-centered operating model with PI leadership and key sponsors.
**ABOUT FLAGSHIP PIONEERING**
 Flagship Pioneering invents and builds platform companies, each with the potential for multiple products that transform human health, sustainability and beyond. Since its launch in 2000, Flagship has originated more than 100 companies. Many of these companies have addressed humanity most urgent challenges: vaccinating billions of people against COVID\-19, curing intractable diseases, improving human health, preempting illness, and feeding the world by improving the resiliency and sustainability of agriculture.
 Flagship has been recognized twice on FORTUNE Change the World list, an annual ranking of companies that have made a positive social and environmental impact through activities that are part of their core business strategies and has been twice named to Fast Company annual list of the World Most Innovative Companies. Learn more about Flagship https://url.us.m.mimecastprotect.com/s/xLXBCqxk3LTk9pwcZf3CEkjif?domain\=flagshippioneering.com.
 At Flagship, we accept impossible missions to enable bigger leaps. Our core values guide us through uncertainty and toward lasting impact.
 We are an equal opportunity employer. All qualified applicants will be considered for employment without regard to race, color, religion, sex, sexual orientation, gender identity, national origin, disability, protected veteran status, or any other characteristic protected by law.
***Recruitment \&amp; Staffing Agencies:***
*Flagship Pioneering and its affiliated Flagship Lab companies (collectively, “FSP”) do not accept unsolicited resumes from any source other than candidates. The submission of unsolicited resumes by recruitment or staffing agencies to FSP or its employees is strictly prohibited unless contacted directly by Flagship Pioneering’s internal Talent Acquisition team. Any resume submitted by an agency in the absence of a signed agreement will automatically become the property of FSP, and FSP will not owe any referral or other fees with respect thereto.*
 The salary range for this role is $121,000 \- $175,000\. Compensation for the role will depend on a number of factors, including a candidate’s qualifications, skills, competencies, and experience. Pioneering Intelligence currently offers healthcare coverage, annual incentive program, retirement benefits and a broad range of other benefits. Compensation and benefits information is based on Pioneering Intelligence's good faith estimate as of the date of publication and may be modified in the future.</t>
        </is>
      </c>
    </row>
    <row r="12">
      <c r="A12" t="inlineStr">
        <is>
          <t>li-4365304598</t>
        </is>
      </c>
      <c r="B12" t="inlineStr">
        <is>
          <t>Senior Product Manager – North America</t>
        </is>
      </c>
      <c r="C12" t="inlineStr">
        <is>
          <t>Plotline</t>
        </is>
      </c>
      <c r="D12" t="inlineStr">
        <is>
          <t>linkedin</t>
        </is>
      </c>
      <c r="E12">
        <f>HYPERLINK("https://www.linkedin.com/jobs/view/4365304598", "https://www.linkedin.com/jobs/view/4365304598")</f>
        <v/>
      </c>
      <c r="F12" t="inlineStr"/>
      <c r="G12" t="inlineStr">
        <is>
          <t>San Francisco, CA</t>
        </is>
      </c>
      <c r="H12" t="inlineStr"/>
      <c r="I12" t="inlineStr">
        <is>
          <t>Join Plotline as our VP of Product for North America and drive the next wave of app personalization and customer success as we expand internationally. As a core member of our North American leadership team, you will own our regional product vision and execution, working cross\-functionally to turn customer insights into impactful platform innovations that fuel growth and build deeper partner relationships.
**About Plotline**
* Expanding into North America as a key growth market
* Powering leading apps such as Step, mFour, and others
* Recognized as a proven, enterprise\-grade platform for app personalization
* Opportunity to define and shape the North America product strategy and roadmap
**About This Role**
 The VP of Product – North America will set the regional product direction and orchestrate seamless collaboration between customer\-facing teams and product/engineering to address the unique needs of enterprise clients. You'll gather market intelligence, steer feature development, and partner with leadership to achieve vital business objectives. Your vision and execution will be critical to Plotline’s rapid scaling in a dynamic, tech\-forward market.
 Key Responsibilities
 Product Strategy \&amp; Vision
* Develop and champion Plotline’s product vision for North America in alignment with global strategy
* Identify and prioritize market opportunities, feature enhancements, and integrations based on evolving customer needs
* Lead competitive analysis and drive product differentiation in the region
 Go\-to\-Market Leadership
* Partner with sales, customer success, and marketing to ensure product launch excellence and successful customer adoption
* Define value propositions and create materials for sales enablement
* Build relationships with strategic customers and partners to inform platform direction
 Product Development \&amp; Execution
* Guide product requirements from discovery through delivery in collaboration with engineering
* Establish and evangelize a regional product roadmap that addresses complex enterprise and mid\-market use cases
* Implement feedback loops with customers and internal teams to continuously improve the product
 Team Leadership
* Attract, develop, and mentor top product talent as the team grows
* Foster a data\-driven, customer\-centric culture within the North American product org
**Requirements**
 Professional Experience
* 8\+ years of product management experience in SaaS, enterprise software, or a related tech environment
* 3\+ years managing or scaling regional product teams, preferably with North America focus
* Track record of shipping successful products or platform features for enterprise customers
 Core Competencies
* Visionary Leadership: Can shape and communicate an inspiring product vision grounded in customer insights
* Technical Proficiency: Familiarity with APIs, SDKs, cloud architectures, alongside the ability to translate business needs into platform solutions
* Market Acumen: Deep understanding of North American enterprise and app markets
* Cross\-Functional Collaboration: Skilled at leading across sales, engineering, and customer success
* Analytical Mindset: Data\-driven, highly organized, and comfortable making decisions in ambiguous environments
* Customer Focus: Passionate about understanding and solving real\-world user problems
 Why Plotline?
* Direct ownership of the product roadmap and customer outcomes in a high\-growth region
* Chance to collaborate with progressive, cross\-functional leaders globally
* Influence best practices, market positioning, and product innovation for North American clients
* Be a foundational leader shaping Plotline’s future in a rapidly expanding market
 Ready to Drive Plotline’s Product Innovation in North America?
 If you’re passionate about building category\-defining products and want to lead a high\-impact team in a key strategic region, we’d love to hear from you.
**Senior Product Manager – North America**
 Join Plotline as our Senior Product Manager for North America and help drive the next wave of app personalization and customer success as we expand internationally. As a core member of our North American team, you will shape our regional product strategy and execution, working cross\-functionally to turn customer insights into impactful platform innovations that fuel growth and build deeper partner relationships.
****About Plotline****
* Expanding into North America as a key growth market
* Powering leading apps such as Step, mFour, and others
* Recognized as a proven, enterprise\-grade platform for app personalization
* Opportunity to help define and shape the North America product strategy and roadmap
****About This Role****
 The Senior Product Manager – North America will inform the regional product direction and foster seamless collaboration between customer\-facing teams and product/engineering to address the unique needs of enterprise clients. You'll gather market intelligence, guide feature development, and work closely with leadership to achieve business objectives. Your vision and execution will play a critical role in Plotline’s rapid scaling in a dynamic, tech\-forward market.
****Key Responsibilities****
*Product Strategy \&amp; Vision*
* Develop and advocate for Plotline’s product vision for North America in alignment with global strategy
* Identify and prioritize market opportunities, feature enhancements, and integrations based on evolving customer needs
* Support competitive analysis and product differentiation in the region
*Go\-to\-Market Leadership*
* Collaborate with sales, customer success, and marketing to ensure product launch excellence and successful customer adoption
* Help define value propositions and create materials for sales enablement
* Build relationships with strategic customers and partners to inform platform direction
*Product Development \&amp; Execution*
* Drive product requirements from discovery through delivery in collaboration with engineering
* Support the establishment and communication of a regional product roadmap that addresses complex enterprise and mid\-market use cases
* Implement feedback loops with customers and internal teams to continuously improve the product
*Team Collaboration*
* Contribute to attracting and developing top product talent as the team grows
* Foster a data\-driven, customer\-centric culture within the North American product org
****Requirements****
*Professional Experience*
* 5\+ years of product management experience in SaaS, enterprise software, or a related tech environment
* Experience supporting or scaling regional product teams, preferably with North America focus
* Track record of shipping successful products or platform features for enterprise customers
*Core Competencies*
* Visionary: Can shape and communicate an inspiring product vision grounded in customer insights
* Technical Proficiency: Familiarity with APIs, SDKs, cloud architectures, and translating business needs into platform solutions
* Market Acumen: Deep understanding of North American enterprise and app markets
* Cross\-Functional Collaboration: Skilled at leading across sales, engineering, and customer success
* Analytical Mindset: Data\-driven, highly organized, and comfortable making decisions in ambiguous environments
* Customer Focus: Passionate about understanding and solving real\-world user problems
**Why Plotline?**
* Direct ownership of product outcomes in a high\-growth region
* Opportunity to collaborate with progressive, cross\-functional leaders globally
* Influence best practices, market positioning, and product innovation for North American clients
* Be a foundational team member shaping Plotline’s future in a rapidly expanding market
**Ready to Shape Product Innovation in North America?**
 If you’re passionate about building impactful products and want to play a key role in a high\-impact team in a strategic region, we’d love to hear from you.</t>
        </is>
      </c>
    </row>
    <row r="13">
      <c r="A13" t="inlineStr">
        <is>
          <t>li-4365299831</t>
        </is>
      </c>
      <c r="B13" t="inlineStr">
        <is>
          <t>Associate Product Manager, AI</t>
        </is>
      </c>
      <c r="C13" t="inlineStr">
        <is>
          <t>T-Mobile</t>
        </is>
      </c>
      <c r="D13" t="inlineStr">
        <is>
          <t>linkedin</t>
        </is>
      </c>
      <c r="E13">
        <f>HYPERLINK("https://www.linkedin.com/jobs/view/4365299831", "https://www.linkedin.com/jobs/view/4365299831")</f>
        <v/>
      </c>
      <c r="F13" t="inlineStr"/>
      <c r="G13" t="inlineStr">
        <is>
          <t>Bellevue, WA</t>
        </is>
      </c>
      <c r="H13" t="inlineStr"/>
      <c r="I13"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Are you excited by the opportunity to build the best digital experience as part of T\-Mobile’s super app T Life? Come build, maintain, and execute on a roadmap to expand our impact in being best at connecting people to their world. This is an opportunity to join a team of hard\-working product managers that are making the impossible possible. T\-Mobile is the most valuable telecommunications company in the world and this team is building T\-Mobile’s super app.
 The Associate Product Manager, AI is an opportunity for an entry level product visionary, analyst, customer advocate. They have an aim to get things done. You can navigate technical execution with comfort and deliver data informed, digital first, AI enabled outcomes for our customers. Every day is different, and its focused\-on learning, communicating, experimenting, problem solving, and obsessing over the customer impact and experience. You will be successful if you are motivated by barriers and are a change champion. You are comfortable with failing, excited about feedback, and curious. You will work on creating first of kind AI products that solve real customer pain points.
**Responsibilities:**
* Maintain product roadmap of quarterly deliverables to support product, platform and business strategy.
* Own delivery on your platform roadmap end to end for dedicated pod of platform and mobile app engineers. Document high level needs, then write detailed JIRA Stories. Write bug tickets and dev tasks as needed. Attend daily standup to answer questions, unblock engineers, and negotiate tradeoffs with engineering.
* Communicate update requirements with cross\-functional partners and build consensus towards an outcome driven experimentation approach.
* Dive deeply into technical troubleshooting, including reviewing operational data, when necessary, to keep the team on track.
* Dedicate time to understand customers, actively meeting with them to build deeper empathy and understand their needs and priorities.
**Qualifications** 
 :
* Growth mindset: Always learning and curious
* Deep understanding of AI, LLMs
* Ownership attitude: Strive to deliver outcomes aligned with broader team and company strategy.
* Collaborative: proven ability to work constructively with diverse skills of team members.
* Technical: Demonstrated contribution towards solving real problems through a data driven, iterative, technological solution.
* Data Driven: Past success solving customer experience problems by diving deep into data.
* 0\-2 years of experience working in technical product management or similar technical roles
* Demonstrating impact through on technical software driven projects (schoolwork, side projects, or similar are acceptable)
* Bachelor’s degree is required. Preference is Computer Science, Software Engineering, or equivalent
* At least 18 years of age
* Legally authorized to work in the United States
 Base Pay Range: $77,000 \- $138,900
 Corporate Bonus Target: 10%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https://paylookup.t\-mobile.com/paylookup?reqID\=REQ338107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14">
      <c r="A14" t="inlineStr">
        <is>
          <t>li-4343200953</t>
        </is>
      </c>
      <c r="B14" t="inlineStr">
        <is>
          <t>Senior Product Manager, Agentic AI &amp; Experience</t>
        </is>
      </c>
      <c r="C14" t="inlineStr">
        <is>
          <t>Zillow</t>
        </is>
      </c>
      <c r="D14" t="inlineStr">
        <is>
          <t>linkedin</t>
        </is>
      </c>
      <c r="E14">
        <f>HYPERLINK("https://www.linkedin.com/jobs/view/4343200953", "https://www.linkedin.com/jobs/view/4343200953")</f>
        <v/>
      </c>
      <c r="F14" t="inlineStr"/>
      <c r="G14" t="inlineStr"/>
      <c r="H14" t="inlineStr"/>
      <c r="I14" t="inlineStr">
        <is>
          <t>**About The Team**
 Eager to reinvent the way people find their next home? Zillow’s Agentic AI \&amp; Experience team is responsible for developing novel, agentic experiences and capabilities that reshape what it looks like to find and secure a home. Our goal is to reinvent home buying and renting through highly personalized, seamless journeys that are augmented with timely insights, guided actions, and rich content that help customers move forward with confidence.
 We build on a deep quantitative and qualitative understanding of our customers and the marketplace to rapidly test, iterate, and launch new experiences on the United States’ largest online real estate marketplace. Our team of applied scientists, engineers, designers, researchers, and product managers partners closely with teams across Zillow to deliver highly tailored, trusted, and increasingly agentic experiences for millions of customers.
**About The Role**
 We’re looking for a Senior Product Manager who is a full\-stack experience builder: sharp product instinct, deep technical and AI fluency, and strong design sense. You’re comfortable taking ideas from a whiteboard to a working product in weeks, not quarters \- rapidly prototyping, validating with customers and data, and then hardening the strongest bets into durable, production experiences.
 In this role, you will shape how we explore and define the ways agentic AI reshapes buying and renting. You’ll frame hypotheses about how agentic experiences should work, design experiments to test those hypotheses, and translate what we learn into new interaction patterns. You’ll use prototypes, rapid user testing, internal dogfooding, and live experiments to explore what an agentic home shopping journey looks like, then turn those learnings into coherent end\-to\-end experiences that help people explore homes, understand their options, and decide what to do next.
 Your focus will be on forward\-looking bets: exploring ambiguous problem spaces, running 0→1 experiments, and maturing them into clear patterns and requirements that other teams can scale and iterate on. You’ll stay involved as those experiences move into production to help with first launches and ensure the patterns land as intended, while keeping your center of gravity on learning, defining the patterns, and proving what good looks like. You’ll define product strategy, lead execution, and work side\-by\-side with Design, Engineering, and Applied Science to translate cutting\-edge AI capabilities into clear, intuitive, and reliable customer experiences at scale.
 You Will Get To
* Lead 0→1 AI products from ambiguity to real\-world testing – frame problems, define hypotheses, and drive fast build–measure–learn cycles, creating rapid, functional prototypes and using AI as a power tool to explore multiple experience directions, then using what you learn to sharpen product direction and move faster toward the right decisions.
* Design novel agentic experiences that transform today’s linear workflows into native, AI\-driven journeys – using planning, tool use, and memory to guide customers, not just answer questions.
* Partner deeply with engineers, designers, applied scientists, and researchers to explore solution spaces, co\-create prototypes, and iterate quickly based on real customer behavior and feedback.
* Own metrics, experimentation, and evaluation for your areas, defining success criteria, instrumenting experiences, designing A/B tests, and combining offline metrics, human\-in\-the\-loop review, and online experiments to understand quality, safety, and business impact.
* Drive productionization of successful prototypes, specifying requirements for reliability, observability, latency, cost, and failure modes in close collaboration with engineering leads.
* Lead cross\-functional alignment and responsible AI practices, pulling teams around a clear vision and roadmap, aligning executives and partner teams on priorities and tradeoffs, and addressing data privacy, bias mitigation, and fair housing considerations as we design, evaluate, and deploy AI experiences.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$160,900\.00 \- $257,100\.00 annually. This base pay range is specific to these locations and may not be applicable to other locations. In Colorado, Hawaii, Illinois, Minnesota, Nevada, Ohio, Rhode Island, and Vermont the standard base pay range for this role is $152,900\.00 \- $244,300\.00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5\+ years in a product management role leading consumer experiences end\-to\-end, including multiple new product launches and scaled iterations.
* Strong AI product fluency and curiosity about emerging, state\-of\-the\-art tech, with an understanding of modern AI capabilities (especially large language models and agentic patterns like reasoning, planning, tool use, and memory), their limitations, and how to productize them responsibly. You have a track record of using new capabilities to materially define or change product direction or strategy.
* Proven 0→1 builder who is deeply customer\-centered – comfortable moving from problem framing to live product quickly, leading ambiguous efforts, and shipping iterative prototypes that learn from real usage, while regularly using qualitative and quantitative insights to understand behavior, uncover needs, and translate them into clear product opportunities and requirements.
* Hands\-on with prototyping, AI tools, data, and experimentation, creating rapid, often functional prototypes; using AI as a power tool to explore experience directions (flows, UX copy, stress tests, lightweight comps); and defining metrics, instrumentation, A/B tests, and human\-in\-the\-loop evaluations to assess AI quality, safety, and impact.
* Strategic thinker, roadmap owner, and technically conversant cross\-functional leader, capable of defining a vision for your area, connecting it to company strategy, sequencing work to deliver value and mitigate risk, and working with APIs, data pipelines, and reliability/performance constraints while aligning engineers, scientists, designers, researchers, and partner PMs around clear plans and explaining complex ideas in plain language to both executives and technical audiences.
* Champion of responsible AI, with experience or strong interest in working through topics such as safety, privacy, bias mitigation, and compliance (ideally including or adjacent to fair housing constraints).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5">
      <c r="A15" t="inlineStr">
        <is>
          <t>li-4362662090</t>
        </is>
      </c>
      <c r="B15" t="inlineStr">
        <is>
          <t>Product Manager - USA</t>
        </is>
      </c>
      <c r="C15" t="inlineStr">
        <is>
          <t>Action1</t>
        </is>
      </c>
      <c r="D15" t="inlineStr">
        <is>
          <t>linkedin</t>
        </is>
      </c>
      <c r="E15">
        <f>HYPERLINK("https://www.linkedin.com/jobs/view/4362662090", "https://www.linkedin.com/jobs/view/4362662090")</f>
        <v/>
      </c>
      <c r="F15" t="inlineStr"/>
      <c r="G15" t="inlineStr"/>
      <c r="H15" t="inlineStr"/>
      <c r="I15" t="inlineStr">
        <is>
          <t>Action1 is an autonomous endpoint management platform trusted by many Fortune 500 companies. Cloud\-native, infinitely scalable, highly secure, and configurable in 5 minutes—it just works and is always free for the first 200 endpoints, with no functional limits. By pioneering autonomous OS and third\-party patching with peer\-to\-peer patch distribution and real\-time vulnerability assessment without needing a VPN, it eliminates routine labor, preempts ransomware and security risks, and protects the digital employee experience.
 In 2025, Action1 was recognized by Inc. 5000 as the fastest\-growing private software company in America. The company is founder\-led by Alex Vovk and Mike Walters, American entrepreneurs who previously founded Netwrix, a multi\-billion\-dollar cybersecurity company.
 We're looking for a hands\-on Product Manager who thrives in a fast\-moving SaaS environment and enjoys taking ownership from discovery through execution. You'll work directly with engineering, customers, and internal stakeholders to shape Action1's next\-generation product capabilities. This is a highly autonomous role—ideal for someone with strong foundational PM experience who is ready to step into broader ownership 
 What You'll Do 
 Product Strategy \&amp; Discovery 
* Conduct customer interviews, market analysis, and competitive research
* Identify and validate use cases, pain points, and opportunities
* Translate business needs into clear problem statements and solution hypotheses
 Product Planning \&amp; Execution 
* Own feature definitions, requirements documentation, and acceptance criteria
* Scope releases and maintain the product roadmap in alignment with leadership
* Collaborate with engineering through development, testing, and iteration
* Build simple UI mockups or wireframes in tools such as Figma/Jamboard
 Cross\-Functional Collaboration 
* Partner closely with Sales, Marketing, and Customer Success to surface feedback
* Support go\-to\-market planning for new releases
* Present product updates, roadmap changes, and insights to internal stakeholders
 Metrics \&amp; Outcomes 
* Monitor product KPIs and usage patterns
* Identify opportunities for adoption, expansion, retention, and customer satisfaction
* Contribute recommendations for continuous improvement
**Requirements**
* 4\-6 years of experience in a Product Manager role (preferably in B2B SaaS)
* Strong experience in cybersecurity, endpoint management, and patching.
* Strong analytical skills and a data\-informed decision\-making mindset
* Experience translating customer conversations into technical requirements
* Experience writing detailed specs and managing delivery with engineering
* Practical experience with agile development environments
* Ability to create lightweight mockups to communicate ideas
* Comfortable working independently with minimal support resources
* Cybersecurity, IT administration, or systems management background
* Experience in a startup or scale\-up environment
* Familiarity with UI/UX best practices
* Experience with user onboarding and lifecycle optimization
**Benefits**
* **Fully remote work, giving you the flexibility you need in the modern world**
* Exciting challenges and opportunities for continuous growth.
* Non\-stop professional development and learning of new technologies.
* A supportive, friendly, and professional team environment.</t>
        </is>
      </c>
    </row>
    <row r="16">
      <c r="A16" t="inlineStr">
        <is>
          <t>li-4365338242</t>
        </is>
      </c>
      <c r="B16" t="inlineStr">
        <is>
          <t>Product Manager</t>
        </is>
      </c>
      <c r="C16" t="inlineStr">
        <is>
          <t>ImagineSoftware™ (Technology Partners, LLC)</t>
        </is>
      </c>
      <c r="D16" t="inlineStr">
        <is>
          <t>linkedin</t>
        </is>
      </c>
      <c r="E16">
        <f>HYPERLINK("https://www.linkedin.com/jobs/view/4365338242", "https://www.linkedin.com/jobs/view/4365338242")</f>
        <v/>
      </c>
      <c r="F16" t="inlineStr"/>
      <c r="G16" t="inlineStr">
        <is>
          <t>Charlotte, NC</t>
        </is>
      </c>
      <c r="H16" t="inlineStr"/>
      <c r="I16" t="inlineStr">
        <is>
          <t>**Product Manager** 
**How this Role Makes an Impact** 
 ImagineSoftware is a growing company, and we are looking for an experienced Product Manager to join us! The Product Manager is a vital role in shaping our product strategy and driving solutions that deliver real impact for customers and the business. This position will partner with engineering, design, and cross\-functional teams to align priorities, execute high\-quality product releases, and ensure strong adoption across our client base. By combining customer insights with market expertise, the Product Manager will provide the vision and structure needed to enhance our offerings and support continued growth.
 This is an ideal position for someone who thrives in changing environments and can build the roadmap to create innovative product offerings. We are an innovative company that evolves quickly, so come ready to contribute and learn at a fast pace!
**Essential Duties** 
*Product Strategy \&amp; Vision* 
* Identify customer and market needs through research, data analysis, and stakeholder input.
* Prioritize opportunities and initiatives to maximize business and customer impact.
*Product Development \&amp; Execution* 
* Translate product strategy into detailed requirements, user stories, and acceptance criteria.
* Work closely with engineering, design, and other teams to deliver high\-quality products on time.
* Manage the product backlog, ensuring clarity, prioritization, and alignment with roadmap goals.
* Monitor product performance post\-launch, iterating and improving based on data and feedback.
*Cross\-Functional Collaboration* 
* Partner with sales, marketing, operations, and customer success teams to drive adoption and ensure customer satisfaction.
* Serve as the primary point of contact for product questions and decisions.
* Act as product SME, conducting product demonstrations and assisting revenue and concierge teams as needed.
* Align internal stakeholders around product goals and outcomes.
*Customer Advocacy \&amp; Market Insight* 
* Act as the voice of the customer, incorporating their needs and experiences into product decisions.
* Stay ahead of market trends, competitor offerings, and emerging technologies.
* Conduct user research, gather feedback, and analyze data to continuously refine the product.
* Other duties as assigned
**Education and/or Experience Needed** 
* University degree or college diploma in the field of Business or Information Technology.
* 5\+ years’ direct work experience in a product management, program management, or a related role
**Qualifications You Must Have** 
* Excellent project management, coordination, and organization skills
* Ability to work well with clients and colleagues through a variety of communication methods
* Exceptional customer service and presentation skills
* Experience demonstrating products both internally and externally
* Must be a self\-starter with the ability to solve problems
* Experience collecting feature functionality requests from clients and organizing, prioritizing and working with development teams to implement
* Basic\-to\-Intermediate level knowledge of SQL, database environments, and code trouble\-shooting preferred
* Strong analytical, problem\-solving, and strategic thinking skills.
* Excellent communication and collaboration abilities, with experience influencing stakeholders.
* Experience working with agile development teams and tools
* Comfort with data analysis and metrics\-driven decision\-making.
* Deep understanding of assigned product suite
**Employment Type** 
* Full\-Time, Exempt
**Reporting Structure** 
* Chief Product Officer
**Work Environment** 
* Working conditions are normal for an office environment. The position may require working extended hours and working during some weekends.
* Charlotte, NC preferred
*At ImagineSoftware, we have a role to play in contributing to an inclusive world. We work every day to lead with our values and beliefs that enable you to develop your potential and bring your full self to the workplace. Our culture of diversity and inclusion enables more creative thinking and better ideas for addressing a more diverse market. We hire driven people from all backgrounds because it makes us a great company, and because it’s the right thing to do. If you share these values, you will find a home at ImagineSoftware.*</t>
        </is>
      </c>
    </row>
    <row r="17">
      <c r="A17" t="inlineStr">
        <is>
          <t>li-4365326881</t>
        </is>
      </c>
      <c r="B17" t="inlineStr">
        <is>
          <t>Product Manager, Cloud Experience</t>
        </is>
      </c>
      <c r="C17" t="inlineStr">
        <is>
          <t>CelerData</t>
        </is>
      </c>
      <c r="D17" t="inlineStr">
        <is>
          <t>linkedin</t>
        </is>
      </c>
      <c r="E17">
        <f>HYPERLINK("https://www.linkedin.com/jobs/view/4365326881", "https://www.linkedin.com/jobs/view/4365326881")</f>
        <v/>
      </c>
      <c r="F17" t="inlineStr"/>
      <c r="G17" t="inlineStr"/>
      <c r="H17" t="inlineStr"/>
      <c r="I17" t="inlineStr">
        <is>
          <t>**About CelerData** 
 At CelerData, we empower organizations to unlock the full potential of their data with our next\-generation, cloud\-native, high\-performance analytical database built for modern lakehouse architecture. Challenging the status quo set by products like Snowflake, ClickHouse, and Trino, we’re driving the future of data analytics by delivering unparalleled query performance and a streamlined architecture for enterprises worldwide. Join us to help customers transform their data into actionable insights and achieve exceptional technical success.
**About the role** 
 CelerData is looking for a Product Manager to join our database platform PM team. This is a generalist PM role that spans core database features, cloud deployment and user experience. The role is designed for someone who is curious, systems\-oriented, and excited to work across the full spectrum of a modern data platform.
 You will work closely with senior PMs, engineers, designers, and customers to define, design, and deliver improvements across database functionality, operational workflows, and product UX, while also helping drive execution and delivery.
**Key Responsibilities** 
 Product Discovery \&amp; User Understanding
* Develop a strong understanding of how users interact with databases and analytics systems—from schema design and query authoring to performance tuning and operations.
* Participate in customer calls, demos, usability reviews, and feedback sessions.
* Translate customer feedback into actionable product requirements and UX improvements
* Help validate product decisions using real customer scenarios and usage patterns.
 UX \&amp; Product Experience
* Contribute to and, for some areas, own the user experience across database, cloud, and UI surfaces.
* Translate product requirements and complex database concepts into clear UX artifacts that engineers can implement.
* Create and maintain UX flows, wireframes, and high\-fidelity mockups in Figma.
* Ensure consistency, usability, and intuitive end\-to\-end experiences across the product.
* Work closely with engineering to ensure UX and product behavior align with design intent.
 Product Development and execution
* Help define and track product requirements (user stories, acceptance criteria).
* Coordinate with engineering to track sprint commitments and deliverables.
* Follow up on dependencies, open questions, and execution gaps across teams.
* Maintain Jira (or equivalent) boards: grooming tickets, tracking progress, and ensuring clarity.
**Qualifications** 
**Minimum Requirements** 
* 2–5 years of experience in Product Management, Associate PM, or UX\-heavy product roles in developer\-facing or infrastructure products.
* Demonstrable hands\-on experience with Figma (must be able to share portfolio or examples).
* Strong interest in databases, data infrastructure, or analytics systems.
* Ability to reason about technical systems and user workflows.
* Experience working with engineering teams in Agile / Scrum environments.
* Strong organizational skills and attention to detail.
* Experience with Figma or similar tools to express product and UX ideas
**Nice\-to\-Have Skills** 
* Experience with databases, SQL engines or cloud platforms
* Familiarity with tools like Jira, Confluence, Notion, Linear, or similar.
* Exposure to data platforms, analytics tools, or SQL\-based systems.
* Prior experience acting as a program manager or delivery coordinator in addition to PM work.</t>
        </is>
      </c>
    </row>
    <row r="18">
      <c r="A18" t="inlineStr">
        <is>
          <t>li-4365336279</t>
        </is>
      </c>
      <c r="B18" t="inlineStr">
        <is>
          <t>Product Manager - Story Engine</t>
        </is>
      </c>
      <c r="C18" t="inlineStr">
        <is>
          <t>Wonder Studios</t>
        </is>
      </c>
      <c r="D18" t="inlineStr">
        <is>
          <t>linkedin</t>
        </is>
      </c>
      <c r="E18">
        <f>HYPERLINK("https://www.linkedin.com/jobs/view/4365336279", "https://www.linkedin.com/jobs/view/4365336279")</f>
        <v/>
      </c>
      <c r="F18">
        <f>HYPERLINK("https://grnh.se/hxxx4y62teu&amp;urlHash=CPZp", "https://grnh.se/hxxx4y62teu&amp;urlHash=CPZp")</f>
        <v/>
      </c>
      <c r="G18" t="inlineStr">
        <is>
          <t>San Francisco, CA</t>
        </is>
      </c>
      <c r="H18" t="inlineStr"/>
      <c r="I18" t="inlineStr">
        <is>
          <t>**Product Manager – Story Engine**
**Location:** 
 West Coast, US (Hybrid / Remote\-friendly)
**Reports to:** 
 CEO
**Compensation:** 
 $150k/year \+ equity
**Our Vision**
 We’re building the creative foundation for how teams make film, animation, and AI\-generated media. The centerpiece is
 **Story Engine** 
 : a production\-grade system for turning ideas into structured story worlds then iterating collaboratively from pre\-production through post.
 Imagine the collaborative power of
 **Figma** 
 combined with the professional tooling of
 **Premiere Pro** 
 , grounded in real storytelling workflows and amplified by AI. This isn’t another one\-off AI tool. It’s an extensible platform for serious iterative storytelling.
**The Role**
 We’re looking for a
 **Product Manager** 
 to help shape the product direction, roadmap, and outcomes for
 **Story Engine** 
 \- our core creative surface and future B2B Saas. This is a foundational role: you’ll define what we build, why it matters, and how we ship it. You’ll work hands\-on across discovery and execution, partnering closely with Engineering, Design, and our creative/production teams to build software that creators genuinely rely on.
 You’ll be close to the work: scoping workflows, validating with users, shaping MVPs, and driving launches that improve real production outcomes; while aligning the product vision and tradeoffs across the
 **CEO, Head of Engineering, and CCO** 
 so strategy, craft, and execution stay tightly connected.
**What You’ll Own**
* **Story Engine strategy:** 
 articulate the product vision for how Story Engine evolves across pre\-production → production → post → transmedia
* **Roadmap \+ prioritization:** 
 turn company goals and production needs into a clear, sequenced roadmap with measurable outcomes
* **Invent the next\-generation creative workflow for AI filmmaking:** 
 Designing new product surfaces that don’t just mirror legacy tools, but unlock fundamentally faster and more expressive ways for creatives to build, iterate, and ship stories in the AI era.
* **Quality \+ reliability of the product:** 
 ensure Story Engine becomes trusted and stable as a production tool—not just exciting demos
* **Cross\-functional alignment:** 
 keep Engineering, Creative/Production, and customer\-facing stakeholders aligned on what matters
**What You’ll Do**
* Define the north star for Story Engine and communicate it simply to the team and stakeholders
* Lead product discovery: customer interviews, shadowing, rapid prototyping, and validation with real productions
* Partner with Engineering \+ Design to ship end\-to\-end features: clear specs, crisp tradeoffs, tight feedback loops, great UX
* Establish the product operating cadence: quarterly direction, monthly milestones, weekly priorities, demos, and learning loops
* Build the metrics \&amp; instrumentation plan: activation, retention, time\-to\-first\-output, iteration velocity, quality/reliability indicators
* **Define and drive** 
 the product requirements and decision framework for the core platform primitives that make Story Engine powerful—partnering with Engineering on architecture and implementation.
* Drive launches: internal rollouts with productions \+ external releases with clear positioning and narrative
* Evolve Story Engine from a beloved internal production tool into a sticky, client\-facing product—with the reliability, onboarding, permissions, and value packaging required to scale as a B2B SaaS platform.
**Who You Are**
 You’re a senior product leader who can translate messy creative reality into crisp software—and you’re comfortable being both strategic and hands\-on.
 You might be a great fit if you:
* Have 3–5\+ years in product (or equivalent) with experience owning a core surface end\-to\-end
* Have shipped products in one or more of: creative tools, collaborative software, media pipelines, developer tools, or AI\-native workflows
* Can run discovery deeply (not performatively): you care about workflows, constraints, edge cases, and what actually ships
* Have strong product craft: UX judgment, prioritization, crisp writing, and the ability to make tradeoffs without thrash
* Are technically fluent: you can partner with engineers on architecture, data models, reliability, and integration patterns
* Thrive in early\-stage environments: ambiguity, speed, directness, and high ownership
**Bonus Points For**
* Experience building tools for film/animation pipelines, game production, or serious creator workflows
* Familiarity with asset graphs, versioning/lineage, collaboration models (roles/permissions), or timeline\-based editing
* Prior experience at pre\-seed/seed or as a founding PM / early product leader
* Strong POV on how generative tools fit into real production (not just prompts, but iteration \+ review \+ reuse)
**What Success Looks Like (First 6–12 Months)**
* Story Engine has a clear product direction and a roadmap that consistently ships meaningful improvements
* The team has a reliable cadence: fewer thrash cycles, tighter scopes, clearer outcomes
* Story Engine becomes production\-trusted: measurable gains in stability, performance, and usability
* Real users can go from “idea → structured story world → iterated outputs” faster, with less friction
* We have strong feedback loops: instrumentation \+ qualitative insights inform every major bet
**Why Join Wonder**
 This is a chance to lead the product that will fundamentally change how stories are told. You’ll work directly with founders, engineers, and creators building the next generation of AI\-native filmmaking and media tools—where product decisions shape how new stories get made.
**About Wonder**
 Wonder is an AI\-native creative studio and product company building tools for high\-quality original content. Backed by leaders from OpenAI, DeepMind, ElevenLabs, and more, we exist to remove traditional production barriers and unlock a new wave of creative expression—across branded work, original IP, animation, and experimental film.</t>
        </is>
      </c>
    </row>
    <row r="19">
      <c r="A19" t="inlineStr">
        <is>
          <t>li-4362576481</t>
        </is>
      </c>
      <c r="B19" t="inlineStr">
        <is>
          <t>Senior Product Manager - USA</t>
        </is>
      </c>
      <c r="C19" t="inlineStr">
        <is>
          <t>Action1</t>
        </is>
      </c>
      <c r="D19" t="inlineStr">
        <is>
          <t>linkedin</t>
        </is>
      </c>
      <c r="E19">
        <f>HYPERLINK("https://www.linkedin.com/jobs/view/4362576481", "https://www.linkedin.com/jobs/view/4362576481")</f>
        <v/>
      </c>
      <c r="F19" t="inlineStr"/>
      <c r="G19" t="inlineStr"/>
      <c r="H19" t="inlineStr"/>
      <c r="I19" t="inlineStr">
        <is>
          <t>Action1 is an autonomous endpoint management platform trusted by many Fortune 500 companies. Cloud\-native, infinitely scalable, highly secure, and configurable in 5 minutes—it just works and is always free for the first 200 endpoints, with no functional limits. By pioneering autonomous OS and third\-party patching with peer\-to\-peer patch distribution and real\-time vulnerability assessment without needing a VPN, it eliminates routine labor, preempts ransomware and security risks, and protects the digital employee experience.
 In 2025, Action1 was recognized by Inc. 5000 as the fastest\-growing private software company in America. The company is founder\-led by Alex Vovk and Mike Walters, American entrepreneurs who previously founded Netwrix, a multi\-billion\-dollar cybersecurity company.
 Action1 is seeking an experienced Senior Product Manager who combines strategic thinking with the ability to execute hands\-on work. This role is ideal for someone who has ambitions to grow into a Head of Product / VP Product role but still enjoys creating mockups, writing detailed feature specs, and talking directly with customers. You will drive the evolution and vision of our product in close partnership with executive leadership. 
**What You'll Do** 
 Product Strategy \&amp; Vision 
* Partner directly with founders and leadership to define long\-term product strategy
* Connect high\-level vision to execution across research, prototyping, and delivery
* Conduct deep market, customer, and competitive research to inform direction
* Prioritize opportunities based on business impact, customer value, and feasibility
 Execution \&amp; Ownership 
* Own large product areas end\-to\-end: discovery, strategy, planning, specification, rollout
* Write detailed functional specifications and technical requirements
* Create UI wireframes, user flows, and mockups when needed
* Lead engineering squads by providing clarity, prioritization, and guidance
* Manage product lifecycle from incubation through scale
 Customer \&amp; Stakeholder Engagement 
* Build strong relationships with customers to continuously validate ideas
* Surface insights across sales, customer success, marketing, and support teams
* Present product updates to senior leadership, including rationale and expected outcomes
* Support go\-to\-market efforts and product launch readiness
 Product Performance \&amp; Growth 
* Monitor and interpret product metrics to drive adoption, expansion, and retention
* Recommend changes to UX, onboarding, or workflows based on customer data
* Drive experimentation and iteration to validate assumptions and improve product performance
**Requirements**
+ 7\-10\+ years of Product Management experience (B2B SaaS strongly preferred)
+ Proven record of managing complex product areas with significant impact
+ Proven experience in cybersecurity, patch management, and endpoint management
+ Ability to operate strategically while executing tactical work yourself
+ Strong comfort with customer discovery, interviews, and product validation
+ Experience writing highly detailed product specifications and user journeys
+ Ability to build mockups and collaborate with designers when needed
+ Ability to influence and align cross\-functional stakeholders, including leadership
+ Experience in fast\-paced startup environments where PMs are highly hands\-on
+ Cybersecurity or IT systems administration background
+ Experience scaling a product from early\-stage through enterprise adoption
+ Experience collaborating with Data Science, AI/ML, or advanced analytics teams
+ Any prior leadership experience (team lead, mentoring PMs, etc.)
+ Familiarity with ServiceNow, ITSM, patching, or endpoint management domains
**Benefits**
* **Fully remote work, giving you the flexibility you need in the modern world**
* Exciting challenges and opportunities for continuous growth.
* Non\-stop professional development and learning of new technologies.
* A supportive, friendly, and professional team environment.</t>
        </is>
      </c>
    </row>
    <row r="20">
      <c r="A20" t="inlineStr">
        <is>
          <t>li-4362680499</t>
        </is>
      </c>
      <c r="B20" t="inlineStr">
        <is>
          <t>Sr. Product Manager - MigrationWiz</t>
        </is>
      </c>
      <c r="C20" t="inlineStr">
        <is>
          <t>Idera, Inc.</t>
        </is>
      </c>
      <c r="D20" t="inlineStr">
        <is>
          <t>linkedin</t>
        </is>
      </c>
      <c r="E20">
        <f>HYPERLINK("https://www.linkedin.com/jobs/view/4362680499", "https://www.linkedin.com/jobs/view/4362680499")</f>
        <v/>
      </c>
      <c r="F20" t="inlineStr"/>
      <c r="G20" t="inlineStr">
        <is>
          <t>Austin, TX</t>
        </is>
      </c>
      <c r="H20" t="inlineStr"/>
      <c r="I20" t="inlineStr">
        <is>
          <t>Idera’s data tools Product Management team is looking for a talented, experienced Senior Product Manager to join our rapidly growing software company. This product role is for BitTitan's MigrationWiz, the industry’s premier SaaS solution for cloud migrations of email, collaboration environments and data.
 BitTitan's MigrationWiz is a part of Idera, a rapidly\-growing, highly\-profitable, multinational software company that is owned by premier private equity firms and is growing exponentially through organic and inorganic growth. If you are good at what you do and have the drive to grow and advance with Idera, this is the opportunity for you. We offer lots of opportunity for career advancement. Come be a part of our global team!
 Experience and knowledge in the following will all be considered valuable:
* Microsoft365
* Microsoft Teams
* Google Workspace
* Exchange
* Cloud Drives
* Driving feature improvements into Software as a Service environments
* Software as a Service feature release cadence
* Agile development methodologies
* Working with and coordinating remote development teams to deliver features on time and with quality
 If you want to build great products that improve the lives of IT teams tasked with the migration of email, collaboration environments and cloud data drives, then look no further \-\- this is the job for you! Our team is laser\-focused on our users’ needs and adept at working with engineering, sales, support and marketing to deliver the easiest to use, most valuable products in the cloud data migration market space.
**You Will Be Successful In This Role If**
* You can document feature improvement requirements and drive those feature improvements through the development process.
* You are a pragmatic visionary that enjoys interacting with customers and internal stakeholders to formulate business strategies and shape product direction.
* You are comfortable with feature and requirements definition, customer interviews and surveys, metrics analysis, and competitive analysis. You are particularly adept at synthesizing these inputs into requirements definition.
* See yourself as a problem solver, able to think creatively to remove obstacles.
* You prefer to be hands\-on with your products, able to set up and use what your target users use, putting yourself in their shoes.
* You are enthusiastic about evangelizing your products including authoring blogs, technical tutorials and delivering webinars.
* You are comfortable in a highly visible position that will interact at all levels within a fast\-growing software company.
**Preferred Experience**
* At least 5 years of Product management, product owner or software industry experience.
* Experience using software development tools such as Jira, Confluence
* Strong written and spoken communication skills
* A technical background with exposure to cloud environments, data migration and enterprise IT workflow
* Familiarity with the data tools landscape and market trends
 An Equal Opportunity Employer \- All qualified applicants will receive consideration for employment without regard to race, color, religion, sex, sexual orientation, gender identity, national origin, disability, or status as a protected veteran.
 Powered by JazzHR</t>
        </is>
      </c>
    </row>
    <row r="21">
      <c r="A21" t="inlineStr">
        <is>
          <t>li-4336813983</t>
        </is>
      </c>
      <c r="B21" t="inlineStr">
        <is>
          <t>Product Manager, Approvals Platform</t>
        </is>
      </c>
      <c r="C21" t="inlineStr">
        <is>
          <t>Zip</t>
        </is>
      </c>
      <c r="D21" t="inlineStr">
        <is>
          <t>linkedin</t>
        </is>
      </c>
      <c r="E21">
        <f>HYPERLINK("https://www.linkedin.com/jobs/view/4336813983", "https://www.linkedin.com/jobs/view/4336813983")</f>
        <v/>
      </c>
      <c r="F21" t="inlineStr"/>
      <c r="G21" t="inlineStr">
        <is>
          <t>San Francisco, CA</t>
        </is>
      </c>
      <c r="H21" t="inlineStr"/>
      <c r="I21"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**Please note we are looking for someone who is willing and able to come into our San Francisco office on a hybrid basis (3 days/week).**
**Your Role**
 As a Product Manager on the Approvals Platform team, you will shape the systems that power Zip’s most critical workflows – from approval configuration and routing logic to the most visited surfaces (dashboards, workflow diagrams, etc.) in the product.
**You Will**
* Drive development across the entire breadth of the Approvals Platform, building an enterprise\-grade core and a simple, flexible experience that teams can adopt and reuse.
* Collaborate deeply with engineering and design to define requirements, provide product direction, make tradeoffs, and deliver high\-quality platform capabilities and UX.
* Conduct structured product discovery, including stakeholder interviews, competitive research, data analysis, and usability reviews.
* Test, validate, and measure success of platform improvements using well\-defined metrics and feedback from early adopters.
**Your Qualifications**
* 2\-4\+ years of product management and 4\-8\+ years of overall professional experience; experience working with SaaS platforms is a plus.
* Ability to break down ambiguous problems into structured components and develop clear recommendations.
* Ability to lead cross\-functional initiatives, influencing without authority, and driving alignment across engineering, design, sales, customer teams, and partner teams.
* Exceptional written and verbal communication skills, with the ability to tailor messaging and level of detail to diverse technical and non\-technical audiences.
* Exceptional written and verbal communication skills, with the ability to tailor messaging to diverse technical and non\-technical audiences.
* Bias to action, comfort with ambiguity, and the ability to thrive in a fast\-paced, rapidly evolving environment.
 The salary range for this role is $160,000 \- $180,000\.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22">
      <c r="A22" t="inlineStr">
        <is>
          <t>li-4365334247</t>
        </is>
      </c>
      <c r="B22" t="inlineStr">
        <is>
          <t>Product Manager</t>
        </is>
      </c>
      <c r="C22" t="inlineStr">
        <is>
          <t>Nortek Data Center Cooling</t>
        </is>
      </c>
      <c r="D22" t="inlineStr">
        <is>
          <t>linkedin</t>
        </is>
      </c>
      <c r="E22">
        <f>HYPERLINK("https://www.linkedin.com/jobs/view/4365334247", "https://www.linkedin.com/jobs/view/4365334247")</f>
        <v/>
      </c>
      <c r="F22" t="inlineStr"/>
      <c r="G22" t="inlineStr"/>
      <c r="H22" t="inlineStr"/>
      <c r="I22" t="inlineStr">
        <is>
          <t>**Cooling the Cloud. Protecting the Planet** 
 Nortek Data Center Cooling is a part of Madison Air, one of the world’s leading privately held companies. Madison Air combines the nimble responsiveness of a startup with the sophistication and scale of an $11B enterprise. Madison Air is a leader in indoor air quality with a portfolio of 20\+ companies and manufacturing brands that help customers move air to powerful new places.
 Nortek Data Center Cooling is a leading provider of cooling solutions for data centers, a rapidly expanding market driven by the rise of AI. We serve some of the largest and most innovative companies in the world – delivering superior results, reduced operational costs and sustainable solutions that meet the growing demands of AI, IoT, Edge Computing and more.
*Nortek Data Center Cooling. is an equal employment opportunity and afﬁrmative action employer and all qualiﬁed applicants will receive consideration for employment without regard to race, color, religion, sex, national origin, age, protected veteran status, sexual orientation, gender identity, status as a qualiﬁed individual with a disability or any other characteristic protected by law.* 
*Nortek Air Management and its divisions offer a comprehensive compensation and benefits package. Our benefits package includes Health, Dental, Vision, Life, STD, LTD, FSA, HAS and 401(k) Plan with company contributions. To apply, please visit our career site at* 
***www.nortekair.com/careers***
*.* 
**Job Summary** 
 Our Product Manager will be responsible for developing, launching, and managing the lifecycle of a diverse product portfolio within the data center cooling space. This person will lead, plan, and track all phases of the product’s life cycle, from inception through introduction into the marketplace. They will develop design briefs for new product ideas, including product requirements documents, specifications, sketches and/or models to present clear, focused concepts that will attract customers and create marketing campaigns for products.
**Job Responsibilities:** 
* Lead product development cycle from conception to sunset.
* Keep up with market and industry trends to understand current and future customer needs for assigned product(s).
* Create and maintain PRDs (Product Requirements Documents) and user stories.
* Break down requirements into clear acceptance criteria for cross functional team.
* Conduct market research and competitor analysis.
* Track industry standards and ensure product(s) adherence.
* Prioritize product backlog and effectively lead cross functional team for timely releases.
* Collect and interpret Voice of Industry and Voice of Customer data.
* Develop and maintain DCC product strategy. Communicate often and clearly using product roadmap(s) that encompass complete product lifecycle(s) and product specifications that direct product development activities.
* Develop business case(s) for VAVE, product feature additions, and new product development.
* Participate in populating an innovation funnel based on market and industry trends, customer feedback, lessons learnt, etc.
* Actively engage in priority setting for product additions or improvements and in bid decisions for existing products or new product development.
* Lead product commercialization activities and engage resources for the completion of key tasks such as creation of product literature, tools and pricing.
* Post launch, continue to own and action the product roadmap and establish activity schedule accordingly (e.g. Case Studies, VAVE, Catalog Expansion, Feature Additions, etc.).
* Create product metrics, measure product success, define follow up actions, etc.
**Knowledge, Skills, Abilities:** 
* Ability to work collaboratively and effectively with cross functional teams and be comfortable in leading through influence.
* Proven ability to work well independently as well as part of a team.
* Interpreting industry standards (i.e. ASHRAE, UL).
* Ability to review and interpret data from multiple varying sources to make decisions and recommendations.
* Effectively communicate to leadership team in the form of reports, presentations, working sessions, etc.
* Risk management expertise at all stages of a product life cycle and the ability to identify and, if necessary, drive process improvement initiatives to address identified gaps.
* Excellent communication skills to efficiently share the product strategy to all stakeholders.
* Effective at prioritizing setting and time management.
* Results oriented with proven ability to accomplish goals.
**Job Qualifications:** 
* Bachelor's degree in engineering or a related field.
* 3\+ years of relevant work experience, with experience in the Data Center and HVAC industry preferred.
* Demonstrated experience with product development product management practices.
* Experience in a start\-up environment a plus.</t>
        </is>
      </c>
    </row>
    <row r="23">
      <c r="A23" t="inlineStr">
        <is>
          <t>li-4283827681</t>
        </is>
      </c>
      <c r="B23" t="inlineStr">
        <is>
          <t>Product Manager</t>
        </is>
      </c>
      <c r="C23" t="inlineStr">
        <is>
          <t>BuildOps</t>
        </is>
      </c>
      <c r="D23" t="inlineStr">
        <is>
          <t>linkedin</t>
        </is>
      </c>
      <c r="E23">
        <f>HYPERLINK("https://www.linkedin.com/jobs/view/4283827681", "https://www.linkedin.com/jobs/view/4283827681")</f>
        <v/>
      </c>
      <c r="F23" t="inlineStr"/>
      <c r="G23" t="inlineStr"/>
      <c r="H23" t="inlineStr"/>
      <c r="I23" t="inlineStr">
        <is>
          <t>**About The Job**
 At BuildOps, we’re building a groundbreaking software solution, purpose\-built to support today’s commercial contractors. From helping our customers manage their service department all the way to project management, we’re breaking the mold and building a team that invests in our mission statement. We love driven, self\-motivated folks experienced in tech start\-ups and thrive in fast\-paced environments. Could you be our next hire?
 This candidate will join a well\-funded, fast\-growing technology startup with the unique opportunity to help build out a critical function for the company.
 As a Product Manager, you will have the opportunity to build industry leading solutions for the commercial subcontracting industry including field service, maintenance management. You will learn about our customers \- their people, organization structures, processes, and what they need from their operations platform. You will work closely with other Product Managers to understand common needs and patterns to create innovative solutions and workflows that solve for multiple use cases across personas. You will be expected to meet KPIs metrics that are customer driven.
**What You'll Do:**
* Drive the product vision and roadmap for your domain, working closely with a team of engineers, designers, QA, and data engineers for execution
* Engage with customers of various types and sizes to understand their needs and validate solutions
* Challenge traditional approaches and conceptualize cutting edge solutions with AI and ML
* Work closely with other Product Managers, Customer Success, and Sales team members to understand priorities and align the roadmap with business objectives
* Communicate priorities and feature releases company wide for visibility. Work directly with early adopter customers for Beta Testing and feedback, and work closely with the Customer Success team for wider rollouts
* Own CSAT and feature adoption KPIs, as well as KPIs that measure efficiency gained for our customers
**What We Look For:**
* 3\+ years of product management experience, ideally B2B SaaS.
* Strong technical skills \- engineering, SQL, analytics.
* Strong communication skills \- collaborating with GTM and EPD teams; and directly with customers.
* Strong customer research skill \- working closely with customers to elicit their needs
* Strong product management skills \- demonstrated ability to ship 0 to 1; and scale.
* Familiarity with contractor workflows \- incl. Project management and Maintenance agreements.
* Strong understanding of agile development methodologies and experience working in an agile environment.
* Mission driven individuals, who are motivated by complex challenges.
**Bonus:**
* You have experience in and around the speciality contractor or construction world
* You have experience with products that manage equipment, equipment maintenance
* Knowledge of Accounting concepts and systems
* Familiarity with Salesforce, JIRA, Slack, Confluence
**Compensation:**
* $120,000 \- $160,000 base \+ annual bonus
**What we offer:**
* Generous equity grant, become an owner in our company!
* Macbook computer provided
* A comprehensive benefits package
* Flexible PTO and hybrid work schedules
* Work from home stipend
* Hubs in Los Angeles,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t>
        </is>
      </c>
    </row>
    <row r="24">
      <c r="A24" t="inlineStr">
        <is>
          <t>li-4362614499</t>
        </is>
      </c>
      <c r="B24" t="inlineStr">
        <is>
          <t>Product Manager II, Kids Content ML, YouTube</t>
        </is>
      </c>
      <c r="C24" t="inlineStr">
        <is>
          <t>Google</t>
        </is>
      </c>
      <c r="D24" t="inlineStr">
        <is>
          <t>linkedin</t>
        </is>
      </c>
      <c r="E24">
        <f>HYPERLINK("https://www.linkedin.com/jobs/view/4362614499", "https://www.linkedin.com/jobs/view/4362614499")</f>
        <v/>
      </c>
      <c r="F24">
        <f>HYPERLINK("https://careers.google.com/jobs/results/85332162961646278-product-manager-ii/?src=Online/LinkedIn/linkedin_us&amp;utm_source=linkedin&amp;utm_medium=jobposting&amp;utm_campaign=contract&amp;urlHash=9cis", "https://careers.google.com/jobs/results/85332162961646278-product-manager-ii/?src=Online/LinkedIn/linkedin_us&amp;utm_source=linkedin&amp;utm_medium=jobposting&amp;utm_campaign=contract&amp;urlHash=9cis")</f>
        <v/>
      </c>
      <c r="G24" t="inlineStr">
        <is>
          <t>San Bruno, CA</t>
        </is>
      </c>
      <c r="H24" t="inlineStr"/>
      <c r="I24" t="inlineStr">
        <is>
          <t>**Minimum qualifications:**
* Bachelor's degree or equivalent practical experience.
* 5 years of experience in product management or related technical roles.
* 3 years of experience developing and iterating on Machine Learning or LLM classifiers.
* 3 years of experience taking technical consumer products from conception to launch.
**Preferred qualifications:**
* Master's degree in a technology or business related field.
* 2 years of experience working cross\-functionally with engineering, UX/UXR, partnerships, marketing, and other stakeholders.
* 2 years of experience in a role preparing and delivering product strategy presentations to executive leadership.
* Experience in driving the roadmap for ML models in search or recommendation systems.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shaping the future of YouTube’s trusted ecosystem. You will leverage exceptional Large Language Model (LLM) and Machine Learning (ML) techniques to set the bar for safety and quality, directly impacting the viewing experience of families worldwide.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roadmap and drive execution for content classifiers and signal applications in Search and Discovery on the YouTube main app and YouTube Kids app.
* Identify new areas of content, creation, or interactive features that warrant responsibility treatments for kids and families.
* Develop classifiers and LLM autoraters from start to finish including golden set creation, template definition, prompt creation, and iteration on performance.
* Define treatments to apply these signals in Search and Discovery across short form and long form content types.
* Serve as the domain expert for kids quality ML across YouTube, leading alignment between youth and Search and Discovery surface owners as well as other collaborators in Product, Engineering, User Experience Researcher (UXR), Partnerships, Marketing, Government Affairs and Public Policy (GAPP) and Legal.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
      <c r="A25" t="inlineStr">
        <is>
          <t>li-4283827680</t>
        </is>
      </c>
      <c r="B25" t="inlineStr">
        <is>
          <t>Product Manager</t>
        </is>
      </c>
      <c r="C25" t="inlineStr">
        <is>
          <t>BuildOps</t>
        </is>
      </c>
      <c r="D25" t="inlineStr">
        <is>
          <t>linkedin</t>
        </is>
      </c>
      <c r="E25">
        <f>HYPERLINK("https://www.linkedin.com/jobs/view/4283827680", "https://www.linkedin.com/jobs/view/4283827680")</f>
        <v/>
      </c>
      <c r="F25" t="inlineStr"/>
      <c r="G25" t="inlineStr"/>
      <c r="H25" t="inlineStr"/>
      <c r="I25" t="inlineStr">
        <is>
          <t>**About The Job**
 At BuildOps, we’re building a groundbreaking software solution, purpose\-built to support today’s commercial contractors. From helping our customers manage their service department all the way to project management, we’re breaking the mold and building a team that invests in our mission statement. We love driven, self\-motivated folks experienced in tech start\-ups and thrive in fast\-paced environments. Could you be our next hire?
 This candidate will join a well\-funded, fast\-growing technology startup with the unique opportunity to help build out a critical function for the company.
 As a Product Manager, you will have the opportunity to build industry leading solutions for the commercial subcontracting industry including field service, maintenance management. You will learn about our customers \- their people, organization structures, processes, and what they need from their operations platform. You will work closely with other Product Managers to understand common needs and patterns to create innovative solutions and workflows that solve for multiple use cases across personas. You will be expected to meet KPIs metrics that are customer driven.
**What You'll Do:**
* Drive the product vision and roadmap for your domain, working closely with a team of engineers, designers, QA, and data engineers for execution
* Engage with customers of various types and sizes to understand their needs and validate solutions
* Challenge traditional approaches and conceptualize cutting edge solutions with AI and ML
* Work closely with other Product Managers, Customer Success, and Sales team members to understand priorities and align the roadmap with business objectives
* Communicate priorities and feature releases company wide for visibility. Work directly with early adopter customers for Beta Testing and feedback, and work closely with the Customer Success team for wider rollouts
* Own CSAT and feature adoption KPIs, as well as KPIs that measure efficiency gained for our customers
**What We Look For:**
* 3\+ years of product management experience, ideally B2B SaaS.
* Strong technical skills \- engineering, SQL, analytics.
* Strong communication skills \- collaborating with GTM and EPD teams; and directly with customers.
* Strong customer research skill \- working closely with customers to elicit their needs
* Strong product management skills \- demonstrated ability to ship 0 to 1; and scale.
* Familiarity with contractor workflows \- incl. Project management and Maintenance agreements.
* Strong understanding of agile development methodologies and experience working in an agile environment.
* Mission driven individuals, who are motivated by complex challenges.
**Bonus:**
* You have experience in and around the speciality contractor or construction world
* You have experience with products that manage equipment, equipment maintenance
* Knowledge of Accounting concepts and systems
* Familiarity with Salesforce, JIRA, Slack, Confluence
**Compensation:**
* $105,000 \- $135,000 base \+ annual bonus
**What we offer:**
* Generous equity grant, become an owner in our company!
* Macbook computer provided
* A comprehensive benefits package
* Flexible PTO and hybrid work schedules
* Work from home stipend
* Hubs in Los Angeles,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t>
        </is>
      </c>
    </row>
    <row r="26">
      <c r="A26" t="inlineStr">
        <is>
          <t>li-4359071246</t>
        </is>
      </c>
      <c r="B26" t="inlineStr">
        <is>
          <t>Product Owner</t>
        </is>
      </c>
      <c r="C26" t="inlineStr">
        <is>
          <t>L&amp;T Technology Services</t>
        </is>
      </c>
      <c r="D26" t="inlineStr">
        <is>
          <t>linkedin</t>
        </is>
      </c>
      <c r="E26">
        <f>HYPERLINK("https://www.linkedin.com/jobs/view/4359071246", "https://www.linkedin.com/jobs/view/4359071246")</f>
        <v/>
      </c>
      <c r="F26" t="inlineStr"/>
      <c r="G26" t="inlineStr">
        <is>
          <t>Portland, OR</t>
        </is>
      </c>
      <c r="H26" t="inlineStr"/>
      <c r="I26" t="inlineStr">
        <is>
          <t>Job ID \- 517006
 Title \- Product Owner \- Automation Framework
 Location \- Portland, Oregon
 Experience \- 7 to 10 years
**Keywords:**
**Automation Framework, Virtualized Android, Linux/QNX, Qualcomm SOM, IFE Systems** 
**(all these are must to have)** 
**Job Description:**
* **7 to 10 years relevant** 
 mandatory experience.
* Automation Framework
 **(Virtualized Android Environment, Linux/QNX, Qualcomm SOM)**
* Team: Automation Scrum Team –
 **In\-Flight Entertainment (IFE)**
* Work closely with
 **Android platform engineers, QNX/Linux teams, Qualcomm chipset specialists, and virtualization architects.**
* Understand the automation framework architecture (hardware abstraction, virtualized interfaces, DUT orchestration, reporting pipelines).
* Write clear, well\-structured epics, features, and user stories for automation tooling, framework improvements, APIs, and test execution workflows.
* Refine backlog items with engineering teams to ensure clarity, feasibility, and alignment with the automation strategy.
* Collaborate with Scrum Master and Engineering Lead to drive predictable, sprint\-based delivery.
**Key Responsibilities:**
 Product Leadership \&amp; Strategy
* Own the vision, roadmap, and backlog for the Automation Framework for virtualized Android\- and Linux\-based IFE systems.
* Prioritize automation features and capabilities based on business value, technical feasibility, team capacity, and program timelines.
* Define KPIs for automation coverage, stability, efficiency, and adoption across multiple platform teams.
 Guide the team on automation needs for:
* Virtualized Android environments
* Linux and QNX subsystems
* Qualcomm SOM\-based hardware
* IFE system integration and certification workflows
 The expected salary range for this position is between $100 K \- $120 K annually. The actual salary may vary based upon several factors including, but not limited to, relevant skills/experience, time in role, base salary of internal peers, prior performance, business line, and geographic/office location.
 Paid Leave, Health Insurance, Group life Insurance, Disability, 401(K).</t>
        </is>
      </c>
    </row>
    <row r="27">
      <c r="A27" t="inlineStr">
        <is>
          <t>li-4365242711</t>
        </is>
      </c>
      <c r="B27" t="inlineStr">
        <is>
          <t>Principal Product Manager - Data Fabric</t>
        </is>
      </c>
      <c r="C27" t="inlineStr">
        <is>
          <t>GE HealthCare</t>
        </is>
      </c>
      <c r="D27" t="inlineStr">
        <is>
          <t>linkedin</t>
        </is>
      </c>
      <c r="E27">
        <f>HYPERLINK("https://www.linkedin.com/jobs/view/4365242711", "https://www.linkedin.com/jobs/view/4365242711")</f>
        <v/>
      </c>
      <c r="F27" t="inlineStr"/>
      <c r="G27" t="inlineStr">
        <is>
          <t>California, United States</t>
        </is>
      </c>
      <c r="H27" t="inlineStr"/>
      <c r="I27" t="inlineStr">
        <is>
          <t>**Job Description Summary**
 As part of the Science and Technology Organization, we develop the common data fabric that drives the next generation of clinical and operational healthcare applications that seamlessly connect with clinical devices \&amp; sensors from Imaging, Monitoring and U/S scanners, and Enterprise health IT systems such as EMRs and PACS. We are looking for a talented and creative expert to help define, create and evolve a new generation of world\-class cloud\-based healthcare solutions \&amp; AI applications across our business portfolios powered by hundreds of existing and new purpose\-built services.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 Work backwards from customer use\-cases to define the product strategy and requirements for the connectivity and enrichment capabilities of the Data fabric.
* Develop and align product roadmap with internal stakeholders, and drive execution partnering with engineering.
* Lead the development of the data fabric connectivity and enrichment capabilities, ensuring that it is user\-friendly, intuitive, and meets the needs of our developers.
* Work closely with customers, data integration teams, architects, engineers, and external vendors to prioritize deliverables and ensure releases meet roadmap content and timelines.
* Conduct market research and stay up\-to\-date with the latest trends and best practices in health data and digital health technologies enabling precision and personalized care
* Work with cross\-functional teams to innovate and change the way software is deployed and commercialized to rapidly bring to market new solutions that help unlock, correlate, and analyze the clinical data that powers todays intelligent, precision healthcare.
* Be equally comfortable digging into business and commercial requirements and digging into operational and deployment strategies with service, architecture and design teams
* Be flexible, excel when faced with ambiguity and thrive in a fast\-paced environment. Have a bias for acting now \- then iterate point of view.
**Required Qualifications**
* Bachelor's degree in Engineering, Computer Science or related field
* Minimum 8 years of industry experience, 5 years of product management experience
* Expertise in healthcare workflows, data, interoperability standards (HL7, FHIR, DICOM) and care protocols
* Proven experience in leading cross\-functional teams and managing the development process for complex software products.
**Desired Characteristics**
* Master’s Degree in Engineering, Computer Science or related field
* 3\+ years of hands\-on software engineering experience
* Experience leading and/or managing efforts in a distributed systems environment
* Hands\-on experience building cloud\-scale applications
* Strong written and verbal communication skills
* Ability to excel in a fast\-paced, startup\-like environment
 For U.S. based positions only, the pay range for this position is $164,000\.00\-$246,000\.00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28">
      <c r="A28" t="inlineStr">
        <is>
          <t>li-4365311827</t>
        </is>
      </c>
      <c r="B28" t="inlineStr">
        <is>
          <t>Product Manager</t>
        </is>
      </c>
      <c r="C28" t="inlineStr">
        <is>
          <t>Swooped</t>
        </is>
      </c>
      <c r="D28" t="inlineStr">
        <is>
          <t>linkedin</t>
        </is>
      </c>
      <c r="E28">
        <f>HYPERLINK("https://www.linkedin.com/jobs/view/4365311827", "https://www.linkedin.com/jobs/view/4365311827")</f>
        <v/>
      </c>
      <c r="F28" t="inlineStr"/>
      <c r="G28" t="inlineStr"/>
      <c r="H28" t="inlineStr"/>
      <c r="I28" t="inlineStr">
        <is>
          <t>**About Our Client** 
 Our client is the only pure\-play, direct\-to\-consumer digital insurer focused on the growing home insurance market. It makes policies convenient and affordable through a technology platform that delivers a seamless user experience, customized options for coverage, and fast, high\-quality claims service. Our client is a fully licensed carrier that offers coverage through its reciprocal exchanges which are owned by its policyholders.
**About The Role** 
 Our client is redesigning insurance to be smarter, faster, and centered on the customer. It uses intelligent pricing, offers seamless bundling, and makes every step (from purchasing, servicing to claims) simple and friction\-free, especially in the places traditional insurers often ignore.
 Our client empowers people to protect what matters most, starting with their homes and expanding to all they value, in a world where climate risks, rising costs, and outdated systems leave too many behind. The company's approach has fostered amazing growth, attracted marquee investors, and earned it accolades, including being named to:
* Built In Chicago's Best Places to Work, Midsize Companies.
* Forbes' America's Best Startup Employers.
* Inc. 5000 Fastest\-Growing Private Companies.
* Forbes’ Fintech 50\.
**So, what’s the role?** 
 An ambitious
 **Product Manager** 
 is sought to drive key strategic initiatives, particularly in the areas of insurance policy administration platforms, accounting ledger systems, and billing systems. In this role, the individual will collaborate closely with cross\-functional teams, including marketing, sales, operations, finance, insurance, design, and customer research. The Product Manager will partner with stakeholders and technology colleagues to research, validate, and present proposals, then execute on those approved and prioritized.
 The objective in this role is to lead entire projects or parts of larger projects. The
 **Product Manager** 
 will develop a solid understanding of the company’s business, its customers, and its operations. There will be an opportunity to hone product management skills by working across the robust platform and leading a development team. Success and career growth will hinge on the ability to build effective working relationships with colleagues and the internal stakeholder team in order to identify areas to improve the business, products, and processes. The role involves solving problems and often taking the initiative to build a case and start a project.
**A day in the life could include:** 
* Working closely with the Product Director to define and communicate the product vision.
* Assisting in creating and managing product roadmaps that address the biggest needs in the business and meaningfully impact OKRs, while delighting customers and other end users.
* Digging deep into data and product experience to understand the most significant problems that users face, and working with design and engineering to develop and test solutions.
* Collaborating with the user research team and sharing key learnings with the development team, the product team, and the company.
* Partnering closely with the development team to socialize product plans, and collaborating to size the work and find ways to make it better through team feedback.
* Writing user stories that provide all of the details needed by development teams to develop key features.
* Ensuring the successful rollout, growth, and success of features via communications and training to appropriate users/stakeholders across the business.
* Defining, evangelizing, and monitoring the metrics that demonstrate product success.
* Coordinating and leading regular team and stakeholder meetings to both gather feedback on projects and share important updates.
* Motivating the development team and connecting the team’s daily work with the bigger goals of the organization.
**Required Qualifications** 
* 2\-5 years of professional experience.
* 3\+ years of software or technology product management experience; preferably working with insurance policy administration systems.
* Vendor management experience; preferably in payments.
* Extensive experience working with agile product and engineering teams in startup and/or rapid\-growth environments.
* Demonstrated expertise working in big data and BI tools.
**Preferred Qualifications** 
* Experience working for an InsurTech or Fintech company.
* Basic wireframing and design prototyping.
* Experience leveraging data science to develop new products.
**Additional Information** 
 For Sales Agents and Customer Service Agents, these roles can be located in AL, AZ, CO, FL, ID, IL, IN, KS, KY, MA, MD, ME, MI, MO, MT, NC, NE, NM, NV, NY, OH, OK, PA, SC, TN, TX, UT, VT, VA, WA, and WI.
 For all other positions, these roles can be located in AL, AR, CA (exempt only), CO, CT, FL, GA, ID, IL, IN, IA, KS, KY, MA, ME, MD, MI, MN, MO, MT, NC, NE, NJ, NM, NV, NY, OH, OK, OR, PA, SC, SD, TN, TX, UT, VT, VA, WA, and WI. Applicants must be able to live and work full\-time in one of the states listed above.
 State locations and specifics are subject to change as hiring requirements shift.
**Compensation** 
 $98K – $135K • Offers Equity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29">
      <c r="A29" t="inlineStr">
        <is>
          <t>li-4362516582</t>
        </is>
      </c>
      <c r="B29" t="inlineStr">
        <is>
          <t>Senior Technical Product Manager</t>
        </is>
      </c>
      <c r="C29" t="inlineStr">
        <is>
          <t>Cypress HCM</t>
        </is>
      </c>
      <c r="D29" t="inlineStr">
        <is>
          <t>linkedin</t>
        </is>
      </c>
      <c r="E29">
        <f>HYPERLINK("https://www.linkedin.com/jobs/view/4362516582", "https://www.linkedin.com/jobs/view/4362516582")</f>
        <v/>
      </c>
      <c r="F29" t="inlineStr"/>
      <c r="G29" t="inlineStr"/>
      <c r="H29" t="inlineStr"/>
      <c r="I29" t="inlineStr">
        <is>
          <t>**Senior Technical Product Manager** 
**Location** 
 : Remote (Eastern Time Zone, United States or Canada) \|
 **Travel** 
 : None
**Employees** 
 : 20 \|
 **Industry** 
 : SaaS, eCommerce, MarTech \|
 **Team Size** 
 : 20 \|
 **Reporting to** 
 : CTO
 Exciting opportunity to join a fast\-pasted, remote\-first startup that has a 4 day work week.
**Responsibilities** 
* Owning the product roadmap from ideation to launch, aligning with company goals
* Working closely with engineering, product design, and QA teams to define requirements, help manage sprints, and ensure timely, high\-quality releases
* Writing detailed product specs, user stories, and acceptance criteria (APIs, analytics, data models)
* Analyzing product data, designing experiments, and using insights to prioritize features and improve business performance
* Leading discovery efforts with users, stakeholders, and market research to validate opportunities
* Monitoring post\-launch performance, gathering feedback, iterating on product improvements
**Requirements** 
* 5\+ years of experience in product management – ideally in startup environments
* 2\+ years of previous experience in software engineering, data science, or data engineering
* Strong understanding of data models, data platforms, SQL querying, APIs, and integrations
* Experience managing data\-driven, highly technical software/SaaS products
* Excellent communication skills and experience working closely with software engineers
**Compensation** 
* $150K \- $225K</t>
        </is>
      </c>
    </row>
    <row r="30">
      <c r="A30" t="inlineStr">
        <is>
          <t>li-4365296757</t>
        </is>
      </c>
      <c r="B30" t="inlineStr">
        <is>
          <t>Lead Product Manager - Credit</t>
        </is>
      </c>
      <c r="C30" t="inlineStr">
        <is>
          <t>Cleo</t>
        </is>
      </c>
      <c r="D30" t="inlineStr">
        <is>
          <t>linkedin</t>
        </is>
      </c>
      <c r="E30">
        <f>HYPERLINK("https://www.linkedin.com/jobs/view/4365296757", "https://www.linkedin.com/jobs/view/4365296757")</f>
        <v/>
      </c>
      <c r="F30">
        <f>HYPERLINK("https://revolutpeople.com/cleo/public/careers/position/lead-product-manager-credit-c089ffbe-42dc-49ae-9b6f-6a028b075325?src=LinkedIn&amp;urlHash=n5Gx", "https://revolutpeople.com/cleo/public/careers/position/lead-product-manager-credit-c089ffbe-42dc-49ae-9b6f-6a028b075325?src=LinkedIn&amp;urlHash=n5Gx")</f>
        <v/>
      </c>
      <c r="G30" t="inlineStr">
        <is>
          <t>New York, NY</t>
        </is>
      </c>
      <c r="H30" t="inlineStr"/>
      <c r="I30" t="inlineStr">
        <is>
          <t>**About The Company**
**About Cleo**
 At Cleo, we're not just building another fintech app. We're embarking on a mission to fundamentally change humanity's relationship with money. Imagine a world where everyone, regardless of background or income, has access to a hyper\-intelligent financial advisor in their pocket. That's the future we're creating.
 Cleo is a rare success story: a profitable, fast\-growing unicorn with over $200 million in ARR and growing over 2x year\-over\-year. This isn't just a job; it's a chance to join a team of brilliant, driven individuals who are passionate about making a real difference. We have an exceptionally high bar for talent, seeking individuals who are not only at the top of their field but also embody our culture of collaboration and positive impact.
 If you’re driven by complex challenges that push your expertise, the chance to shape something truly transformative, and the potential to share in Cleo’s success as we scale, while growing alongside a company that’s scaling fast, this might be your perfect fit.
 Follow us on LinkedIn to keep up to date with new product features and insights from the team.
**About The Role**
**About the company**
****About The Role****
 We are hiring for multiple product roles within our Credit pillar, to launch modern credit products from scratch. As a Lead Product Manager, you'll work closely with a cross\-functional squad of engineers, designers, data scientists, analysts and writers on the user experience for our credit products.
****Key Responsibilities****
* Leading on product strategy for Cleo’s Credit experiences
* Collaborating closely with engineers, data scientists and analysts to launch key new products with a global focus
* Defining and track success metrics related to customer engagement, retention, and financial well\-being
* Prioritising high\-impact opportunities and ruthlessly focus your squad on what matters most
* Ensuring your squad is aligned and involved in product direction and key decisions
* Continuously iterating on the product based on user insights, data, and testing outcomes
****What We’re Looking For****
* You should ideally have several years of relevant experience and passion for growth focused work at a senior level
* Experience in consumer\-facing credit for the US market
* You can share mobile app focused work that shows a proven track record of high quality execution in high\-growth, fast\-paced and product\-led businesses
* You are a strongly outcome\-focused designer motivated by balancing business goals and user experience via small, quick, incremental experiment led impact
* You thrive on getting deep into the data and the details to optimise existing features and journeys
* You are a proactive problem solver who can effectively bring structure to large or ambiguous problems to generate buy\-in from stakeholders
* You are a strong cross\-functional collaborator who can partner successfully with tech and marketing stakeholders to deliver bottom line impact on growth
**What do you get for all your hard work?**
* A competitive compensation package (base \+ equity) with bi\-annual reviews, aligned to our quarterly OKR planning cycles.
* Work at one of the fastest\-growing tech startups, backed by top VC firms, Balderton \&amp; EQT Ventures
* A clear progression plan. We want you to keep growing. That means trying new things, leading others, challenging the status quo and owning your impact. Always with our complete support.
* Flexibility. We can’t fight for the world’s financial health if we’re not healthy ourselves. We work with everyone to make sure they have the balance they need to do their best work
* Work where you work best. We’re a globally distributed team. If you live in London we have a hybrid approach, we’d love you to spend one day a week or more in our beautiful office. If you’re outside of London, we’ll encourage you to spend a couple of days with us a few times per year. And we’ll cover your travel costs, naturally
****Other Benefits****
* Company\-wide performance reviews every 6 months
* Generous pay increases for high\-performing team members
* Equity top\-ups for team members getting promoted
* 15 days annual leave a year \+ public holidays (\+ an additional day for every year you spend at Cleo)
* 401k matching
* Medical Insurance, Dental and Vision care
* Generous Parental Leave
* 1 month paid sabbatical after 4 years at Cleo
* Regular socials and activities, online and in\-person
* We'll pay for your OpenAI subscription
* Online mental health support via Spill
* And many more!
**Welcoming Everyone**
 We strongly encourage applications from people of colour, the LGBTQ\+ community, people with disabilities, neurodivergent people, parents, carers, and people from lower socio\-economic backgrounds.
 If there’s anything we can do to accommodate your specific situation, please let us know.
**Download the Test Flight**
 App access for people in the UK \&amp; Europe: If you are an iOS user, please use this link to sign up to our TestFlight version of the app, so you can have a play around with the functionality and features: https://testflight.apple.com/join/fDG9hWn
 Compensation range
* United States: $160,000 \- $200,000 gross annually\*
* Other locations: Compensation will be discussed during the interview process
* Final compensation will be determined based on the candidate's qualifications, skills, and previous experience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Cleo AI. I accept that if any of the information given by me in this application is in any way false or incorrect, my application may be rejected, any offer of employment may be withdrawn or my employment with Cleo AI may be terminated summarily or I may be dismissed. By submitting this application, I agree that my personal data will be processed in accordance with Cleo AI's* 
*Candidate Privacy Notice*
 Compensation range
* United States: $160,000 \- $200,000 gross annually\*
* Other locations: Compensation will be discussed during the interview process
* Final compensation will be determined based on the candidate's qualifications, skills, and previous experience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Cleo AI. I accept that if any of the information given by me in this application is in any way false or incorrect, my application may be rejected, any offer of employment may be withdrawn or my employment with Cleo AI may be terminated summarily or I may be dismissed. By submitting this application, I agree that my personal data will be processed in accordance with Cleo AI's Candidate Privacy Notice</t>
        </is>
      </c>
    </row>
    <row r="31">
      <c r="A31" t="inlineStr">
        <is>
          <t>li-4365300253</t>
        </is>
      </c>
      <c r="B31" t="inlineStr">
        <is>
          <t>Product Manager, Data Platform</t>
        </is>
      </c>
      <c r="C31" t="inlineStr">
        <is>
          <t>JPMorganChase</t>
        </is>
      </c>
      <c r="D31" t="inlineStr">
        <is>
          <t>linkedin</t>
        </is>
      </c>
      <c r="E31">
        <f>HYPERLINK("https://www.linkedin.com/jobs/view/4365300253", "https://www.linkedin.com/jobs/view/4365300253")</f>
        <v/>
      </c>
      <c r="F31" t="inlineStr"/>
      <c r="G31" t="inlineStr">
        <is>
          <t>New York, NY</t>
        </is>
      </c>
      <c r="H31" t="inlineStr"/>
      <c r="I31" t="inlineStr">
        <is>
          <t>**Job Description**
 The Chief Data \&amp; Analytics Office at JPMorgan Chase is at the forefront of shaping the firm's artificial intelligence strategy and driving its adoption across the organization. As the largest bank in America, we recognize that AI as a transformative force essential for maintaining our competitive edge
 As a Senior Entitlements Product Manager within the Chief Data \&amp; Analytics Office (CDAO) Product and Platform team at JPMorgan Chase, you will own the end\-to\-end strategy, roadmap and delivery of firm wide data entitlements for AI/ML use cases. You will define policy models, enforce industry standards, and partner with architecture, engineering, security, legal and business stakeholders to enable governed, low\-friction access to data across the bank. Your deep expertise in RBAC, ABAC, policy authoring and entitlement technologies will ensure our platform scales securely while controlling risk and compliance exposure.
**Job Responsibilities**
* Develop and socialize a cohesive product strategy and roadmap for firm wide data entitlements in support of AI/ML, analytics and data science initiatives
* Define and author entitlement policies using RBAC, ABAC and hybrid models, aligned to industry standards (e.g., ORDL) for machine readability/processing
* Partner with Identity \&amp; Access Management, Security, Architecture and Engineering teams to integrate policy engines, SSO/LDAP directories and entitlement services
* Collaborate with Legal, Compliance and Privacy to embed governance controls and audit capabilities into product releases
* Drive end\-user and stakeholder engagement—conduct working sessions, demos and training to ensure adoption of entitlement best practices
* Monitor usage metrics, entitlement violations and risk indicators; iterate on policy and tooling to reduce over\-provisioning and insider threat
* Maintain awareness of emerging standards, competitor offerings and regulatory changes to continuously evolve the entitlement platform
**Required Qualifications, Capabilities, And Skills**
* 5\+ years of product management experience, focusing on entitlements, access control or identity governance
* Deep understanding of entitlement paradigms, including Role\-Based Access Control (RBAC), Attribute\-Based Access Control (ABAC) and policy\-driven models
* Hands\-on experience with policy authoring frameworks and entitlement enforcement engines
* Technical fluency in integrating entitlement services via APIs, micro\-service architectures and cloud IAM (AWS IAM, Azure AD, GCP IAM)
* Strong stakeholder management and communication skills, with a track record of influencing senior executives and cross\-functional teams
* Analytical mindset, capable of translating risk and compliance requirements into scalable product features
* Familiarity with audit, logging and monitoring tools to demonstrate entitlement compliance and drive continuous improvement
**Preferred Qualifications, Capabilities, And Skills**
* Recognized thought leader within a related field
* Degree in Computer Science, Information Security, Business or related field
* Prior experience in financial services or highly regulated environments
* Prior experience leading Product in financial / data platforms
* Certifications in Identity Governance (e.g., Certified Identity and Access Manager), Product Management or Agile/Scrum
* Exposure to emerging technologies such as Model Context Protocol (MCP) and Explainable AI (EAI)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2">
      <c r="A32" t="inlineStr">
        <is>
          <t>li-4355331047</t>
        </is>
      </c>
      <c r="B32" t="inlineStr">
        <is>
          <t>Principal/ Sr. Consultant - Product Owner</t>
        </is>
      </c>
      <c r="C32" t="inlineStr">
        <is>
          <t>Infosys Consulting</t>
        </is>
      </c>
      <c r="D32" t="inlineStr">
        <is>
          <t>linkedin</t>
        </is>
      </c>
      <c r="E32">
        <f>HYPERLINK("https://www.linkedin.com/jobs/view/4355331047", "https://www.linkedin.com/jobs/view/4355331047")</f>
        <v/>
      </c>
      <c r="F32" t="inlineStr"/>
      <c r="G32" t="inlineStr"/>
      <c r="H32" t="inlineStr"/>
      <c r="I32" t="inlineStr">
        <is>
          <t>**Job Title: Product Owner** 
**The Role** 
 The Product Owner will lead the definition and delivery of product capabilities within the Risk and Controls domain, with a strong focus on Risk Control Self\-Assessment (RCSA) and monitoring and testing platforms. The role requires hands\-on experience working in Agile environments, partnering closely with business, risk, compliance, and technology teams to translate control and regulatory requirements into scalable, well\-designed product solutions.
 This role operates across multiple Scrum teams, requiring strong dependency management, early identification of risks, and effective coordination across platforms and stakeholders. Experience with AI\-enabled capabilities is a strong plus, though not a mandatory requirement.
**Responsibilities:**
* Own the product / value stream vision which will be the north star for driving strategic outcomes for the Scrum Team(s) supported.
* Own and manage the product backlog for risk and control capabilities
* Inspire the team to deliver upon the goals.
* Lead the product functional design process and story mapping, backlog refinement, sprint planning, and prioritization activities.
* Work in an agile environment by continuously reviewing the business needs, refining priorities, outlining milestones and deliverables, and identifying opportunities and risks.
* Create features and functionalities which enable achieving business goals by collaborating with stakeholders.
* Create and own the product backlog prioritizing features which enable maximizing the business value.
* Facilitate backlog decomposition sessions with the technology teams to clearly define requirements from a user perspective, inclusive of acceptance criteria breaking down large stories for the team to consume in one sprint.
* Partner with the technology team to break down large stories based on estimation.
* Participate in the testing /review sessions and provide support for release.
* Accept work completed by the team prior to release to production.
* Identify and manage cross\-team and cross\-platform dependencies early in the delivery lifecycle.
* Proactively highlight delivery risks, data dependencies, and integration challenges, and work with stakeholders to drive timely resolution.
* Collaborate with engineering and architecture teams to ensure alignment with enterprise standards and target\-state platforms.
* Track and report product performance post\-launch to evaluate / request future investment.
* Create strong feedback loops by leading the agile events seeking continuous feedback from stakeholders and incorporate in the backlog to achieve the desired outcomes.
* Develop the culture of using OKRs to ensure team members align on the purpose of the work and cascade feedback related to risk and dependencies.
* Participate in Scrum events representing the Product, and alignment with the Product Manager vision.
* Communicate priorities, dependencies, risks, and delivery status clearly to stakeholders and leadership.
* Support informed decision\-making by articulating trade\-offs and impacts across teams and timelines.
**Qualifications**
* Bachelor’s degree or equivalent with customer centric mindset to focus on client needs.
* **7–10 years of experience in Product Ownership, Business Analysis, or related roles in Agile environments in Technology Risk and control domain**
* **Strong hands\-on experience with user story writing, story mapping, backlog management, and Scrum ceremonies.**
* **Solid understanding of Risk \&amp; Controls frameworks, including RCSA.**
* Demonstrated ability to prioritize the items that maximize business value while receiving requests from multiple stakeholders at the same times.
* Possess excellent communication skills with the ability to engage stakeholders and team members to drive collaboration and alignment.
* Excellent problem solving and decision\-making skills.
* In depth analytical skills with the ability to synthesize findings.
* Successful track record of developing products within deadlines and commitments.
* Demonstrated experience facilitating collaborative sessions, managing customer expectations, and ensuring work is aligned with the enterprise goals and objectives.
* Expertise with agile tools suites including Atlassian, MS Teams or similar agile management tooling.
* Experience with agile testing and technical engineering techniques (TDD, BDD) tools a plus.
* Advanced Product Owner certifications.
* Exposure to AI, machine learning, or advanced analytics in a product or platform context (hands\-on experience preferred but not mandatory).
**Preferred Qualifications** 
* Contribute to initiatives involving AI\-enabled or data\-driven capabilities, such as intelligent monitoring, automation, or insights generation.
* Partner with data, engineering, and platform teams to support integration of AI capabilities into risk and control platforms.
* Ensure solutions align with risk, governance, and explainability expectations.</t>
        </is>
      </c>
    </row>
    <row r="33">
      <c r="A33" t="inlineStr">
        <is>
          <t>li-4355350159</t>
        </is>
      </c>
      <c r="B33" t="inlineStr">
        <is>
          <t>Principal/ Sr. Consultant - Product Owner</t>
        </is>
      </c>
      <c r="C33" t="inlineStr">
        <is>
          <t>Infosys Consulting</t>
        </is>
      </c>
      <c r="D33" t="inlineStr">
        <is>
          <t>linkedin</t>
        </is>
      </c>
      <c r="E33">
        <f>HYPERLINK("https://www.linkedin.com/jobs/view/4355350159", "https://www.linkedin.com/jobs/view/4355350159")</f>
        <v/>
      </c>
      <c r="F33" t="inlineStr"/>
      <c r="G33" t="inlineStr"/>
      <c r="H33" t="inlineStr"/>
      <c r="I33" t="inlineStr">
        <is>
          <t>**Job Title: Product Owner** 
**The Role** 
 The Product Owner will lead the definition and delivery of product capabilities within the Risk and Controls domain, with a strong focus on Risk Control Self\-Assessment (RCSA) and monitoring and testing platforms. The role requires hands\-on experience working in Agile environments, partnering closely with business, risk, compliance, and technology teams to translate control and regulatory requirements into scalable, well\-designed product solutions.
 This role operates across multiple Scrum teams, requiring strong dependency management, early identification of risks, and effective coordination across platforms and stakeholders. Experience with AI\-enabled capabilities is a strong plus, though not a mandatory requirement.
**Responsibilities:**
* Own the product / value stream vision which will be the north star for driving strategic outcomes for the Scrum Team(s) supported.
* Own and manage the product backlog for risk and control capabilities
* Inspire the team to deliver upon the goals.
* Lead the product functional design process and story mapping, backlog refinement, sprint planning, and prioritization activities.
* Work in an agile environment by continuously reviewing the business needs, refining priorities, outlining milestones and deliverables, and identifying opportunities and risks.
* Create features and functionalities which enable achieving business goals by collaborating with stakeholders.
* Create and own the product backlog prioritizing features which enable maximizing the business value.
* Facilitate backlog decomposition sessions with the technology teams to clearly define requirements from a user perspective, inclusive of acceptance criteria breaking down large stories for the team to consume in one sprint.
* Partner with the technology team to break down large stories based on estimation.
* Participate in the testing /review sessions and provide support for release.
* Accept work completed by the team prior to release to production.
* Identify and manage cross\-team and cross\-platform dependencies early in the delivery lifecycle.
* Proactively highlight delivery risks, data dependencies, and integration challenges, and work with stakeholders to drive timely resolution.
* Collaborate with engineering and architecture teams to ensure alignment with enterprise standards and target\-state platforms.
* Track and report product performance post\-launch to evaluate / request future investment.
* Create strong feedback loops by leading the agile events seeking continuous feedback from stakeholders and incorporate in the backlog to achieve the desired outcomes.
* Develop the culture of using OKRs to ensure team members align on the purpose of the work and cascade feedback related to risk and dependencies.
* Participate in Scrum events representing the Product, and alignment with the Product Manager vision.
* Communicate priorities, dependencies, risks, and delivery status clearly to stakeholders and leadership.
* Support informed decision\-making by articulating trade\-offs and impacts across teams and timelines.
**Qualifications**
* Bachelor’s degree or equivalent with customer centric mindset to focus on client needs.
* **7–10 years of experience in Product Ownership, Business Analysis, or related roles in Agile environments in Technology Risk and control domain**
* **Strong hands\-on experience with user story writing, story mapping, backlog management, and Scrum ceremonies.**
* **Solid understanding of Risk \&amp; Controls frameworks, including RCSA.**
* Demonstrated ability to prioritize the items that maximize business value while receiving requests from multiple stakeholders at the same times.
* Possess excellent communication skills with the ability to engage stakeholders and team members to drive collaboration and alignment.
* Excellent problem solving and decision\-making skills.
* In depth analytical skills with the ability to synthesize findings.
* Successful track record of developing products within deadlines and commitments.
* Demonstrated experience facilitating collaborative sessions, managing customer expectations, and ensuring work is aligned with the enterprise goals and objectives.
* Expertise with agile tools suites including Atlassian, MS Teams or similar agile management tooling.
* Experience with agile testing and technical engineering techniques (TDD, BDD) tools a plus.
* Advanced Product Owner certifications.
* Exposure to AI, machine learning, or advanced analytics in a product or platform context (hands\-on experience preferred but not mandatory).
**Preferred Qualifications** 
* Contribute to initiatives involving AI\-enabled or data\-driven capabilities, such as intelligent monitoring, automation, or insights generation.
* Partner with data, engineering, and platform teams to support integration of AI capabilities into risk and control platforms.
* Ensure solutions align with risk, governance, and explainability expectations.</t>
        </is>
      </c>
    </row>
    <row r="34">
      <c r="A34" t="inlineStr">
        <is>
          <t>li-4355331036</t>
        </is>
      </c>
      <c r="B34" t="inlineStr">
        <is>
          <t>Principal/ Sr. Consultant - Product Owner</t>
        </is>
      </c>
      <c r="C34" t="inlineStr">
        <is>
          <t>Infosys Consulting</t>
        </is>
      </c>
      <c r="D34" t="inlineStr">
        <is>
          <t>linkedin</t>
        </is>
      </c>
      <c r="E34">
        <f>HYPERLINK("https://www.linkedin.com/jobs/view/4355331036", "https://www.linkedin.com/jobs/view/4355331036")</f>
        <v/>
      </c>
      <c r="F34" t="inlineStr"/>
      <c r="G34" t="inlineStr"/>
      <c r="H34" t="inlineStr"/>
      <c r="I34" t="inlineStr">
        <is>
          <t>**Job Title: Product Owner** 
**The Role** 
 The Product Owner will lead the definition and delivery of product capabilities within the Risk and Controls domain, with a strong focus on Risk Control Self\-Assessment (RCSA) and monitoring and testing platforms. The role requires hands\-on experience working in Agile environments, partnering closely with business, risk, compliance, and technology teams to translate control and regulatory requirements into scalable, well\-designed product solutions.
 This role operates across multiple Scrum teams, requiring strong dependency management, early identification of risks, and effective coordination across platforms and stakeholders. Experience with AI\-enabled capabilities is a strong plus, though not a mandatory requirement.
**Responsibilities:**
* Own the product / value stream vision which will be the north star for driving strategic outcomes for the Scrum Team(s) supported.
* Own and manage the product backlog for risk and control capabilities
* Inspire the team to deliver upon the goals.
* Lead the product functional design process and story mapping, backlog refinement, sprint planning, and prioritization activities.
* Work in an agile environment by continuously reviewing the business needs, refining priorities, outlining milestones and deliverables, and identifying opportunities and risks.
* Create features and functionalities which enable achieving business goals by collaborating with stakeholders.
* Create and own the product backlog prioritizing features which enable maximizing the business value.
* Facilitate backlog decomposition sessions with the technology teams to clearly define requirements from a user perspective, inclusive of acceptance criteria breaking down large stories for the team to consume in one sprint.
* Partner with the technology team to break down large stories based on estimation.
* Participate in the testing /review sessions and provide support for release.
* Accept work completed by the team prior to release to production.
* Identify and manage cross\-team and cross\-platform dependencies early in the delivery lifecycle.
* Proactively highlight delivery risks, data dependencies, and integration challenges, and work with stakeholders to drive timely resolution.
* Collaborate with engineering and architecture teams to ensure alignment with enterprise standards and target\-state platforms.
* Track and report product performance post\-launch to evaluate / request future investment.
* Create strong feedback loops by leading the agile events seeking continuous feedback from stakeholders and incorporate in the backlog to achieve the desired outcomes.
* Develop the culture of using OKRs to ensure team members align on the purpose of the work and cascade feedback related to risk and dependencies.
* Participate in Scrum events representing the Product, and alignment with the Product Manager vision.
* Communicate priorities, dependencies, risks, and delivery status clearly to stakeholders and leadership.
* Support informed decision\-making by articulating trade\-offs and impacts across teams and timelines.
**Qualifications**
* Bachelor’s degree or equivalent with customer centric mindset to focus on client needs.
* **7–10 years of experience in Product Ownership, Business Analysis, or related roles in Agile environments in Technology Risk and control domain**
* **Strong hands\-on experience with user story writing, story mapping, backlog management, and Scrum ceremonies.**
* **Solid understanding of Risk \&amp; Controls frameworks, including RCSA.**
* Demonstrated ability to prioritize the items that maximize business value while receiving requests from multiple stakeholders at the same times.
* Possess excellent communication skills with the ability to engage stakeholders and team members to drive collaboration and alignment.
* Excellent problem solving and decision\-making skills.
* In depth analytical skills with the ability to synthesize findings.
* Successful track record of developing products within deadlines and commitments.
* Demonstrated experience facilitating collaborative sessions, managing customer expectations, and ensuring work is aligned with the enterprise goals and objectives.
* Expertise with agile tools suites including Atlassian, MS Teams or similar agile management tooling.
* Experience with agile testing and technical engineering techniques (TDD, BDD) tools a plus.
* Advanced Product Owner certifications.
* Exposure to AI, machine learning, or advanced analytics in a product or platform context (hands\-on experience preferred but not mandatory).
**Preferred Qualifications** 
* Contribute to initiatives involving AI\-enabled or data\-driven capabilities, such as intelligent monitoring, automation, or insights generation.
* Partner with data, engineering, and platform teams to support integration of AI capabilities into risk and control platforms.
* Ensure solutions align with risk, governance, and explainability expectations.</t>
        </is>
      </c>
    </row>
    <row r="35">
      <c r="A35" t="inlineStr">
        <is>
          <t>li-4362507182</t>
        </is>
      </c>
      <c r="B35" t="inlineStr">
        <is>
          <t>Sr Product Manager</t>
        </is>
      </c>
      <c r="C35" t="inlineStr">
        <is>
          <t>RemoteHunter</t>
        </is>
      </c>
      <c r="D35" t="inlineStr">
        <is>
          <t>linkedin</t>
        </is>
      </c>
      <c r="E35">
        <f>HYPERLINK("https://www.linkedin.com/jobs/view/4362507182", "https://www.linkedin.com/jobs/view/4362507182")</f>
        <v/>
      </c>
      <c r="F35" t="inlineStr"/>
      <c r="G35" t="inlineStr"/>
      <c r="H35" t="inlineStr"/>
      <c r="I35" t="inlineStr">
        <is>
          <t>About the Opportunity:
 A rapidly growing SaaS company is transforming how Durable Medical Equipment (DME) and Home Medical Equipment (HME) providers operate through an all\-in\-one platform that streamlines business operations. The Sr Product Manager will lead and expand the product team, driving product vision, roadmap, and execution to support clients’ goals and maintain the platform’s market leadership.
 Responsibilities:
 • Develop and own the product vision and roadmap aligned with business goals and customer needs
 • Collaborate with internal teams to deliver products on time and within scope
 • Identify opportunities to improve and expand the platform using market research, customer feedback, and emerging technologies
 • Assess and prioritize product initiatives based on market demand, customer feedback, and ROI
 • Communicate the vision and roadmap to internal teams, customers, and executives
 • Define and track key performance indicators (KPIs) to evaluate product success
 • Partner with Customer Success and Sales teams to understand user pain points and refine the product
 • Develop processes and frameworks to support efficient product development and delivery in a fast\-paced environment
 Requirements:
 • 5\+ years of product development experience with at least 3 years in a leadership role in a SaaS environment
 • Solid understanding of AI/ML tools, frameworks, and practical applications
 • Ability to interpret complex data and translate it into actionable product insights
 • Proven ability to bring new products and features to market with measurable business outcomes
 • Experience engaging with stakeholders at all levels and clearly articulating product vision
 • Deep knowledge of Agile and iterative development processes
 • Proficiency with product tools such as Jira and Confluence
 • Strong focus on understanding customer needs and delivering exceptional user experiences
 Bonus Points:
 Experience working with SaaS solutions in the healthcare industry
 Benefits \&amp; Perks:
 • Fully remote role
 • Must be based in the U.S. or Canada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6">
      <c r="A36" t="inlineStr">
        <is>
          <t>li-4365327088</t>
        </is>
      </c>
      <c r="B36" t="inlineStr">
        <is>
          <t>Senior Product Manager, Grocery and Retail Discovery</t>
        </is>
      </c>
      <c r="C36" t="inlineStr">
        <is>
          <t>Uber</t>
        </is>
      </c>
      <c r="D36" t="inlineStr">
        <is>
          <t>linkedin</t>
        </is>
      </c>
      <c r="E36">
        <f>HYPERLINK("https://www.linkedin.com/jobs/view/4365327088", "https://www.linkedin.com/jobs/view/4365327088")</f>
        <v/>
      </c>
      <c r="F36" t="inlineStr"/>
      <c r="G36" t="inlineStr">
        <is>
          <t>Seattle, WA</t>
        </is>
      </c>
      <c r="H36" t="inlineStr"/>
      <c r="I36" t="inlineStr">
        <is>
          <t>**About The Role**
 Whether it's a late\-night sandwich, the weekly grocery haul, or a last\-minute makeup restock, Uber Eats delivers anything, anywhere. As a Sr. Product Manager for Grocery \&amp; Retail Discovery, you won't just build local discovery experiences\-you'll architect the future of how people shop their neighborhoods.
 Uber is making a big bet to enable Grocery and Retail commerce in the app. You'll partner with world\-class scientists and engineers to turn "shopping from local stores" into a seamless, inspiring and hyper\-personalized experience. The Discovery and Browsing landscape is also undergoing a paradigm shift. You will need to think beyond traditional grids and filters and pave the way towards building more generative AI forward experiences.
**What The Candidate Will Do**
* Define a product vision and strategy for the team; identify near and long\-term initiatives to execute an effective product roadmap.
* Translate user needs into product requirements by distilling user problems, writing hypotheses, and describing desired outcomes.
* Clearly communicate product plans, tradeoffs and results to a wide audience, including internal partner teams, executives, end users and external partners.
* Launch experiments to test changes and analyze results, tradeoffs to drive launch decisions.
* Build, launch and drive usage of brand new, innovative features and experiences.
* Work closely with a team of world\-class engineers, designers, data scientists, and user researchers, setting team deliverables, roadmap and driving execution.
* Build and foster a strong team culture with a focus on collaboration, execution and results.
**Basic Qualifications**
* Computer science undergraduate (or other engineering degree equivalent) or business/management undergraduate degree.
* Minimum 5 years Product Management experience delivering highly successful and innovative technology products.
* Passion for working on machine learning, personalization based products.
* Experience with running experiments and data\-driven decision\-making ability.
* High standards across the board \- from your own contributions to the people you work with to the products you work on.
**Preferred Qualifications**
* Experience building customer facing products, iterating on iOS and Android user experience through A/B tests and leading design sprints to deliver a world\-class UX.
* Finger\-tippiness with data: you just go get the data you need with no muss/fuss and can whip it into an insightful story with no help.
* Experience running experiments to assess the effectiveness of releases
* Stellar design instincts and product taste.
* Experience utilizing machine learning to develop world\-class products.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7">
      <c r="A37" t="inlineStr">
        <is>
          <t>li-4290879555</t>
        </is>
      </c>
      <c r="B37" t="inlineStr">
        <is>
          <t>Sr. Product Manager, AI Search</t>
        </is>
      </c>
      <c r="C37" t="inlineStr">
        <is>
          <t>ZipRecruiter</t>
        </is>
      </c>
      <c r="D37" t="inlineStr">
        <is>
          <t>linkedin</t>
        </is>
      </c>
      <c r="E37">
        <f>HYPERLINK("https://www.linkedin.com/jobs/view/4290879555", "https://www.linkedin.com/jobs/view/4290879555")</f>
        <v/>
      </c>
      <c r="F37" t="inlineStr"/>
      <c r="G37" t="inlineStr"/>
      <c r="H37" t="inlineStr"/>
      <c r="I37" t="inlineStr">
        <is>
          <t>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millions of all\-sized businesses and job seekers through innovative mobile, web, and email services, as well as through partnerships with the best job boards on the web. ZipRecruiter has the \#1 rated job search app on iOS \&amp; Android.
**Summary:**
 ZipRecruiter is on a mission to help people find great jobs, and, in the new era of AI\-driven user experiences, we’re looking for a
 **Senior Product Manager** 
 to lead one of the most exciting and critical parts of that journey:
 **Search** 
 . You’ll own the end\-to\-end search experience for job seekers, whether they come to us via ZipRecruiter, Google, or even ChatGPT. This is an opportunity to shape how
 **millions** 
 discover their next job and directly drive our company’s growth.
**Key Focuses:**
* Relevancy that delivers: Evolve our search experience with cutting\-edge semantic search and AI, helping job seekers find the right roles faster.
* Seamless discovery: Create a smooth, high\-performing search journey across all entry points—onsite, search engines, and conversational AI.
* Features that matter: Build and prioritize impactful new tools and features that make job searching simpler, smarter, and more human.
* SEO synergy: Partner with our SEO team to identify untapped opportunities and amplify our visibility.
* From strategy to pixels: Own the roadmap while staying close to the details—from data deep\-dives to UI polish.
* Test, learn, repeat: Champion a culture of experimentation, using data to drive decisions and unlock insights.
**Minimum Qualifications:**
* 5\+ years of proven success in product management, with a record of delivering results
* 2\+ years focused on ML, or AI\-powered products; with search specific experience a bonus
* Data\-driven thinker with strong analytical chops and prioritization skills
* Excellent communication skills with a strong ability to collaborate across technical and non\-technical stakeholders
* Passion for delivering measurable impact and improving user outcomes
**Preferred Qualifications:**
* Technical fluency: Comfortable with SQL, large data sets, and web tech basics
* Deep understanding of ML and NLP
* Unique balance of UI sensibility and ML intuition
**As Part of Our Team You’ll Enjoy:**
* Competitive salary
* Exceptional benefits package
* Flexible vacation \&amp; paid time off
* Employer\-matched 401(k) plan
 The US base salary range for this full\-time position is $180,000\-$220,000\.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ZipRecruiter is proud to be an equal opportunity employer and provides equal employment opportunities (EEO) to all employees and applicants without regard to race, color, religion, sex, national origin, age, disability, veteran status, sexual orientation, gender identity or genetics.
**Privacy Notice:** 
 For information about ZipRecruiter's collection and processing of job applicant personal data for this job, please see our Privacy Notice at: https://www.ziprecruiter.com/careers/job\-applicant\-privacy\-notice</t>
        </is>
      </c>
    </row>
    <row r="38">
      <c r="A38" t="inlineStr">
        <is>
          <t>li-4302784077</t>
        </is>
      </c>
      <c r="B38" t="inlineStr">
        <is>
          <t>Mobile Product Manager</t>
        </is>
      </c>
      <c r="C38" t="inlineStr">
        <is>
          <t>BuildOps</t>
        </is>
      </c>
      <c r="D38" t="inlineStr">
        <is>
          <t>linkedin</t>
        </is>
      </c>
      <c r="E38">
        <f>HYPERLINK("https://www.linkedin.com/jobs/view/4302784077", "https://www.linkedin.com/jobs/view/4302784077")</f>
        <v/>
      </c>
      <c r="F38">
        <f>HYPERLINK("https://buildops.com/careers/job-application?gh_jid=5653546004&amp;urlHash=SOzb", "https://buildops.com/careers/job-application?gh_jid=5653546004&amp;urlHash=SOzb")</f>
        <v/>
      </c>
      <c r="G38" t="inlineStr"/>
      <c r="H38" t="inlineStr"/>
      <c r="I38" t="inlineStr">
        <is>
          <t>**About The Job**
 At BuildOps, we’re building a groundbreaking software solution, purpose\-built to support today’s commercial contractors. From helping our customers manage their service department all the way to project management, we’re breaking the mold and building a team that invests in our mission statement. We love driven, self\-motivated folks experienced in tech start\-ups and thrive in fast\-paced environments. Could you be our next hire?
 This candidate will join a very high performing team on a well\-funded, fast\-growing technology startup with the unique opportunity to help lead a critical area of focus for the company.
 As a Mobile Product Manager, you will have the opportunity to build industry leading mobile solutions that empower technicians to complete work efficiently, deliver world\-class customer service, and stay connected with their teams. You’ll gain deep knowledge of our users \- their workflows, challenges, and priorities \- and partner with engineering, design, and customer\-facing teams to create intuitive mobile\-first experiences that scale across the industries we serve. You will work closely with other Product Managers to define common needs in order to create innovative solutions that solve problems in a reusable and scalable manner. You will be expected to meet KPIs and metrics that are customer driven.
**What You’ll Do**
* Drive the product vision and roadmap for your domain, working closely with a team of engineers, designers, QA, and data teams to deliver high\-quality mobile features on time.
* Engage directly with technicians, project managers, and contractors to understand mobile\-specific workflows and validate solutions.
* Champion mobile UX best practices, ensuring ease of use in field conditions (offline support, speed, accessibility, etc).
* Leverage AI/ML opportunities to simplify mobile workflows and improve technician productivity.
* Work closely with other Product Managers, Customer Success, and Sales team members to understand priorities and align the roadmap with business objectives
* Communicate priorities and feature releases company wide for visibility. Work directly with early adopter customers for Beta Testing and feedback, and work closely with the Customer Success team for wider rollouts.
* Own KPIs related to mobile adoption, CSAT, feature utilization, and customer efficiency gains.
**What We Look For**
* 3\-5 years of product management experience, with at least 3\-4 years focused on mobile products (B2B SaaS preferred).
* Strong technical fluency—comfortable working with engineering, APIs, and analytics (SQL a plus).
* Deep understanding of mobile ecosystems (App Store/Play Store distribution, native frameworks, mobile performance, push notifications).
* Excellent communication skills \- collaborating with go\-to\-market, Engineering, Product, and Design teams; and directly with customers.
* Strong product management skills \- demonstrated ability to ship 0 to 1; and scale.
* Strong customer research and user empathy \- comfortable shadowing technicians in the field, running interviews, and working closely with customers to translate their needs into mobile\-first solutions.
* Strong understanding of agile development methodologies and experience working in an agile environment.
* Mission\-driven individuals, motivated by solving complex real\-world challenges.
**Bonus**
* Experience with contractor, construction, or field service workflows.
* Background in mobile apps supporting field service, project management, equipment tracking, or maintenance workflows.
* Firsthand knowledge of operating or working as part of a mechanical, plumbing, electrical, or similar shop, or other similar experience.
* Familiarity with Confluence, JIRA, Slack, FigmaMake
**Who You Are**
* A strategic thinker who thrives in a high\-growth startup environment
* Comfortable navigating ambiguity and solving complex problems
* A self\-starter who takes ownership and delivers results
* Collaborative, curious, and eager to learn from others
* A team player with integrity, grit, and a strong work ethic
**What We Offer**
* $120k \- $160/year (for LA office) salary \+ bonus.
* Generous equity grant, become an owner in our company!
* A comprehensive benefits package.
* Flexible paid time off.
* Work from Home Stipend.
* MacBook computer provided
* Hubs in Los Angeles, Toronto, and Raleigh with hybrid work schedules and daily lunch stipends for in\-office days.
* Company events like BBQs and team\-building activities, both in\-person and virtual.
* Talented and motivated team members who care deeply about one another (seriously, everyone is rooting for your success!).
* Growth Opportunity: Be part of a company transforming an industry and accelerating at an extraordinary pace.
**What we offer:**
* Generous equity grant, become an owner in our company!
* Macbook computer provided
* A comprehensive benefits package
* Flexible PTO and hybrid work schedules
* Work from home stipend
* Hubs in Los Angeles,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t>
        </is>
      </c>
    </row>
    <row r="39">
      <c r="A39" t="inlineStr">
        <is>
          <t>li-4354295679</t>
        </is>
      </c>
      <c r="B39" t="inlineStr">
        <is>
          <t>Principal/ Sr. Consultant - Product Owner</t>
        </is>
      </c>
      <c r="C39" t="inlineStr">
        <is>
          <t>Infosys Consulting</t>
        </is>
      </c>
      <c r="D39" t="inlineStr">
        <is>
          <t>linkedin</t>
        </is>
      </c>
      <c r="E39">
        <f>HYPERLINK("https://www.linkedin.com/jobs/view/4354295679", "https://www.linkedin.com/jobs/view/4354295679")</f>
        <v/>
      </c>
      <c r="F39" t="inlineStr"/>
      <c r="G39" t="inlineStr"/>
      <c r="H39" t="inlineStr"/>
      <c r="I39" t="inlineStr">
        <is>
          <t>**Job Title: Product Owner** 
**The Role** 
 The Product Owner will lead the definition and delivery of product capabilities within the Risk and Controls domain, with a strong focus on Risk Control Self\-Assessment (RCSA) and monitoring and testing platforms. The role requires hands\-on experience working in Agile environments, partnering closely with business, risk, compliance, and technology teams to translate control and regulatory requirements into scalable, well\-designed product solutions.
 This role operates across multiple Scrum teams, requiring strong dependency management, early identification of risks, and effective coordination across platforms and stakeholders. Experience with AI\-enabled capabilities is a strong plus, though not a mandatory requirement.
**Responsibilities:**
* Own the product / value stream vision which will be the north star for driving strategic outcomes for the Scrum Team(s) supported.
* Own and manage the product backlog for risk and control capabilities
* Inspire the team to deliver upon the goals.
* Lead the product functional design process and story mapping, backlog refinement, sprint planning, and prioritization activities.
* Work in an agile environment by continuously reviewing the business needs, refining priorities, outlining milestones and deliverables, and identifying opportunities and risks.
* Create features and functionalities which enable achieving business goals by collaborating with stakeholders.
* Create and own the product backlog prioritizing features which enable maximizing the business value.
* Facilitate backlog decomposition sessions with the technology teams to clearly define requirements from a user perspective, inclusive of acceptance criteria breaking down large stories for the team to consume in one sprint.
* Partner with the technology team to break down large stories based on estimation.
* Participate in the testing /review sessions and provide support for release.
* Accept work completed by the team prior to release to production.
* Identify and manage cross\-team and cross\-platform dependencies early in the delivery lifecycle.
* Proactively highlight delivery risks, data dependencies, and integration challenges, and work with stakeholders to drive timely resolution.
* Collaborate with engineering and architecture teams to ensure alignment with enterprise standards and target\-state platforms.
* Track and report product performance post\-launch to evaluate / request future investment.
* Create strong feedback loops by leading the agile events seeking continuous feedback from stakeholders and incorporate in the backlog to achieve the desired outcomes.
* Develop the culture of using OKRs to ensure team members align on the purpose of the work and cascade feedback related to risk and dependencies.
* Participate in Scrum events representing the Product, and alignment with the Product Manager vision.
* Communicate priorities, dependencies, risks, and delivery status clearly to stakeholders and leadership.
* Support informed decision\-making by articulating trade\-offs and impacts across teams and timelines.
**Qualifications**
* Bachelor’s degree or equivalent with customer centric mindset to focus on client needs.
* **7–10 years of experience in Product Ownership, Business Analysis, or related roles in Agile environments in Technology Risk and control domain**
* **Strong hands\-on experience with user story writing, story mapping, backlog management, and Scrum ceremonies.**
* **Solid understanding of Risk \&amp; Controls frameworks, including RCSA.**
* Demonstrated ability to prioritize the items that maximize business value while receiving requests from multiple stakeholders at the same times.
* Possess excellent communication skills with the ability to engage stakeholders and team members to drive collaboration and alignment.
* Excellent problem solving and decision\-making skills.
* In depth analytical skills with the ability to synthesize findings.
* Successful track record of developing products within deadlines and commitments.
* Demonstrated experience facilitating collaborative sessions, managing customer expectations, and ensuring work is aligned with the enterprise goals and objectives.
* Expertise with agile tools suites including Atlassian, MS Teams or similar agile management tooling.
* Experience with agile testing and technical engineering techniques (TDD, BDD) tools a plus.
* Advanced Product Owner certifications.
* Exposure to AI, machine learning, or advanced analytics in a product or platform context (hands\-on experience preferred but not mandatory).
**Preferred Qualifications** 
* Contribute to initiatives involving AI\-enabled or data\-driven capabilities, such as intelligent monitoring, automation, or insights generation.
* Partner with data, engineering, and platform teams to support integration of AI capabilities into risk and control platforms.
* Ensure solutions align with risk, governance, and explainability expectations.</t>
        </is>
      </c>
    </row>
    <row r="40">
      <c r="A40" t="inlineStr">
        <is>
          <t>li-4362651773</t>
        </is>
      </c>
      <c r="B40" t="inlineStr">
        <is>
          <t>Product Manager</t>
        </is>
      </c>
      <c r="C40" t="inlineStr">
        <is>
          <t>Visa</t>
        </is>
      </c>
      <c r="D40" t="inlineStr">
        <is>
          <t>linkedin</t>
        </is>
      </c>
      <c r="E40">
        <f>HYPERLINK("https://www.linkedin.com/jobs/view/4362651773", "https://www.linkedin.com/jobs/view/4362651773")</f>
        <v/>
      </c>
      <c r="F40" t="inlineStr"/>
      <c r="G40" t="inlineStr">
        <is>
          <t>Foster City, CA</t>
        </is>
      </c>
      <c r="H40" t="inlineStr"/>
      <c r="I40"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Intelligent Commerce team is building a next\-generation platform that enables AI\-powered agents to autonomously manage the shopping journey—from discovery to payment and post\-purchase. This platform leverages tokenization, programmable controls, and agentic APIs to deliver secure, seamless, and intelligent commerce experiences.
 The Product Manager will focus on defining and implementing Trusted Agent Protocol requirements, ensuring secure and compliant interactions between AI agents and commerce systems. This role emphasizes technical integration, compliance, and operational excellence.
**Key Responsibilities:**
**Trusted Agent Protocol Development**
* Define functional and technical requirements for Trusted Agent Protocol.
* Collaborate with engineering teams to implement secure agent\-to\-agent communication.
**Technical Integration \&amp; Enablement:**
* Support integration workflows for tokenization, authentication, and API\-based solutions.
* Create client\-facing implementation guides and onboarding playbooks.
**Compliance \&amp; Risk Management:**
* Ensure adherence to security and regulatory standards for Trusted Agent Protocol.
* Coordinate legal and risk reviews for protocol\-related features.
**Cross\-Functional Collaboration:**
* Partner with Engineering, GTM, and Operations teams to deliver protocol capabilities.
* Facilitate stakeholder workshops and provide status updates.
**Operational Excellence** 
 :
* Monitor adoption and performance of Trusted Agent Protocol.
* Identify process improvements and automation opportunities.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4\+ years in product management, preferably in payments or fintech.
* Strong understanding of tokenization, authentication, and API ecosystems.
* Familiarity with compliance frameworks and risk management.
* Excellent communication and stakeholder engagement skills.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146,200\.00 to 233,700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41">
      <c r="A41" t="inlineStr">
        <is>
          <t>li-4336862598</t>
        </is>
      </c>
      <c r="B41" t="inlineStr">
        <is>
          <t>Principal Product Manager 764</t>
        </is>
      </c>
      <c r="C41" t="inlineStr">
        <is>
          <t>Protegrity</t>
        </is>
      </c>
      <c r="D41" t="inlineStr">
        <is>
          <t>linkedin</t>
        </is>
      </c>
      <c r="E41">
        <f>HYPERLINK("https://www.linkedin.com/jobs/view/4336862598", "https://www.linkedin.com/jobs/view/4336862598")</f>
        <v/>
      </c>
      <c r="F41" t="inlineStr"/>
      <c r="G41" t="inlineStr">
        <is>
          <t>Palo Alto, CA</t>
        </is>
      </c>
      <c r="H41" t="inlineStr"/>
      <c r="I41" t="inlineStr">
        <is>
          <t>At Protegrity, we lead innovation by using AI and quantum\-resistant cryptography to transform data protection across cloud\-native, hybrid, on\-premises, and open source environments. We leverage advanced cryptographic methods such as tokenization, format\-preserving encryption, and quantum\-resilient techniques to protect sensitive data. As a global leader in data security, our mission is to ensure that data isn’t just valuable but also usable, trusted, and safe.
 Protegrity offers the opportunity to work at the intersection of innovation and collaboration, with the ability to make a meaningful impact on the industry while working alongside some of the brightest minds. Together, we are redefining how the world safeguards data, enabling organizations to thrive in a GenAI era where data is the ultimate currency. If you're ready to shape the future of data security, Protegrity is the place for you.
 As a global leader in data security, our mission is to ensure that data isn’t just valuable but also usable, trusted, and safe. We offer the opportunity to work at the intersection of innovation and collaboration, enabling organizations to thrive in a GenAI era where data is the ultimate currency.
 We are seeking a seasoned Principal Product Manager to lead the evolution of our flagship data protection platform and drive the development of a next\-generation architecture. This role is central to our mission of securing enterprise data across AWS, Azure, GCP, and on\-prem environments.
 You will be the go\-to expert for internal teams and external stakeholders, customers and prospects, guiding product decisions, solving real\-world customer problems, and shaping the future of data security.
**Responsibilities**
* Collaboration with other product managers to own strategy and roadmap for both the current flagship platform and its evolution through the Protegrity North Star encompassing frictionless, automation and quantum Data Centric Security.
* Each product manager will be responsible for a specific part of the platform, but they all must know the end\-to\-end technology stack and functionality supporting Data Centric Security.
* This Product manager will be focused on the component called Insight. Insight is a key platform component that is the interface for everything performed by the Protegrity solution. It has exposure in usage, troubleshooting, pricing and other aspects of customer interactions. This component will also be integrated with AI agents.
* The Insight components for audit logging, reporting, and observability use AWS OpenSearch and OpenSearch Dashboards.
* The product manager serves along with other PMs as the central hub for technical inquiries from internal teams and external clients. Collectively, the PM team are experts on everything having to do with Data Centric Security.
* Collaborate cross\-functionally with engineering, field teams, and customers to define and prioritize product features.
* Drive adoption of cloud\-native technologies and ensure compatibility across AWS, Azure, and GCP.
* Champion customer\-centric problem solving and product thinking.
* Travel occasionally to meet with customers and field teams.
**Qualifications**
* 10\+ years of experience in product management, preferably in cybersecurity or data protection, and data privacy.
* Deep understanding of data security, including key management, symmetric/asymmetric encryption, certificates, TLS/network protocols.
* Proven experience with cloud\-managed databases and cloud security across AWS, Azure, and GCP. This includes IAM and KMS technologies.
* Strong technical acumen and ability to navigate complex tech stacks.
* Autonomous, proactive, and highly collaborative.
* Excellent communication skills with a product mindset and customer\-first approach.
**Why Choose Protegrity**
* Become a member of a leading Data Protection, Privacy and Security company during one of the best market opportunities to come along in a generation.
* Competitive Compensation/Total Reward Packages that include:
* Health Benefits (Health/Dental/Vision)
* Paid Time Off (PTO)
* 401K
* Annual Bonus Incentives
* Short and Long Term Disability
* Work on global projects with diverse, energetic, team members who respect each other and celebrate differences
* Talent First Workforce
 Should you accept this position, you will be required to consent to and successfully complete a background investigation. This may include, subject to local laws, verification of extended education and additional criminal and civil checks.
 We offer a competitive salary and comprehensive benefits with generous vacation and holiday time off. All employees are also provided access to ongoing learning \&amp; development.
 Ensuring a diverse and inclusive workplace is our priority. We are committed to an environment of acceptance where you are free to bring your full self to work. All qualified applicants and current employees will not be discriminated against on the basis of race, color, religion, sex, sexual orientation, gender identity, age, national origin, disability or veteran status.
 Please reference Section 12: Supplemental Notice for Job Applicants in our Privacy Policy to inform you of the categories of personal information that we collect from individuals who inquire about and/or apply to work for Protegrity USA, Inc., or its parent company, subsidiaries or affiliates, and the purposes for which we use such personal information.
 Compensation Range: $150K \- $194\.5K</t>
        </is>
      </c>
    </row>
    <row r="42">
      <c r="A42" t="inlineStr">
        <is>
          <t>li-4362196045</t>
        </is>
      </c>
      <c r="B42" t="inlineStr">
        <is>
          <t>Sr. Product Manager</t>
        </is>
      </c>
      <c r="C42" t="inlineStr">
        <is>
          <t>Visa</t>
        </is>
      </c>
      <c r="D42" t="inlineStr">
        <is>
          <t>linkedin</t>
        </is>
      </c>
      <c r="E42">
        <f>HYPERLINK("https://www.linkedin.com/jobs/view/4362196045", "https://www.linkedin.com/jobs/view/4362196045")</f>
        <v/>
      </c>
      <c r="F42" t="inlineStr"/>
      <c r="G42" t="inlineStr">
        <is>
          <t>San Francisco, CA</t>
        </is>
      </c>
      <c r="H42" t="inlineStr"/>
      <c r="I42"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Intelligent Commerce team is building a next\-generation platform that enables AI\-powered agents to autonomously manage the shopping journey—from discovery to payment and post\-purchase. This platform leverages tokenization, programmable controls, and agentic APIs to deliver secure, seamless, and intelligent commerce experiences.
 The Senior Manager will lead Visa’s standards strategy, driving alignment across internal teams and influencing external standards bodies to ensure interoperability and compliance for Agentic Commerce.
 Key Responsibilities:
 Standards Leadership:
* Define Visa’s position on Agentic Commerce standards and interoperability.
* Represent Visa in standards bodies and industry workgroups.
 Product Strategy \&amp; Roadmap:
* Align standardization efforts with product vision and business objectives.
* Prioritize initiatives based on market trends and regulatory requirements.
 Cross\-Functional Leadership:
* Collaborate with Engineering, Legal, and Compliance teams to ensure standards adoption.
* Lead stakeholder communications and workshops on standardization topics.
 Compliance \&amp; Risk Management:
* Ensure standards meet security and regulatory requirements globally.
 Operational Excellence:
* Track progress of standardization initiatives and report on industry developments.
 This is a hybrid position. Expectation of days in office will be confirmed by your hiring manager.
**Qualifications**
 Basic Qualifications:
 8 or more years of relevant work experience with a Bachelor Degree or at least 5 years of experience with an Advanced Degree (e.g. Masters, MBA, JD, MD) or 2 years of work experience with a PhD
 Preferred Qualifications:
 9 or more years of relevant work experience with a Bachelor Degree or 7 or more relevant years of experience with an Advanced Degree (e.g. Masters, MBA, JD, MD) or 3 or more years of experience with a PhD
 6\+ years in product management or standards development in payments/fintech.
 Deep understanding of payment technologies, tokenization, and API ecosystems.
 Experience engaging with standards bodies and regulatory frameworks.
 Strong leadership and communication skills.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169,100\.00 to 270,800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43">
      <c r="A43" t="inlineStr">
        <is>
          <t>li-4323330448</t>
        </is>
      </c>
      <c r="B43" t="inlineStr">
        <is>
          <t>Technical Product Manager - Investment Technology</t>
        </is>
      </c>
      <c r="C43" t="inlineStr">
        <is>
          <t>Neuberger Berman</t>
        </is>
      </c>
      <c r="D43" t="inlineStr">
        <is>
          <t>linkedin</t>
        </is>
      </c>
      <c r="E43">
        <f>HYPERLINK("https://www.linkedin.com/jobs/view/4323330448", "https://www.linkedin.com/jobs/view/4323330448")</f>
        <v/>
      </c>
      <c r="F43" t="inlineStr"/>
      <c r="G43" t="inlineStr">
        <is>
          <t>New York, NY</t>
        </is>
      </c>
      <c r="H43" t="inlineStr"/>
      <c r="I43" t="inlineStr">
        <is>
          <t>Neuberger Berman’s Investment Technology team is seeking a technically strong, self\-directed Technical Product Manager to build and scale products that serve portfolio managers and research analysts. You will translate investment workflows into robust, data\-driven solutions, partnering closely with engineers, data teams, and strategic vendors. You’ll drive the product lifecycle end\-to\-end, from discovery and design through delivery and adoption, grounded in measurable impact for the investment platform.
**Responsibilities**
* Serve as the principal liaison between investment stakeholders (PMs, analysts, risk, trading) and engineering, translating needs into clear product requirements and roadmaps.
* Run structured discovery (interviews, journey mapping, prototyping) to validate problems, scope solutions, and de\-risk delivery.
* Manage key vendors, prioritize deliverables, and handle escalations.
* Lead solution architecture in partnership with engineering and data, producing high\-quality PRDs, sequence diagrams, data contracts, and acceptance criteria.
* Oversee product timelines, dependencies, and tradeoffs; escalate and resolve blockers proactively.
* Support live platforms: triage issues and drive continuous improvement.
* Monitor and measure the success of implemented solutions, using data\-driven insights to iterate and improve the platform.
* Prioritize backlogs and manage releases; drive ceremonies across the SDLC with modern DevOps practices.
**Requirements**
* 4\+ years of experience in product management, business analysis, and solution design.
* Proven experience in product management or equivalent, particularly in financial services
* Strong data fluency: data modeling concepts, market/reference/pricing data, and integration patterns (files, APIs, streaming).
* Hands\-on with SQL and Snowflake; proficiency with Python for analysis/prototyping and Tableau (or similar BI) for visualization.
* Exposure to generative AI/agentic frameworks and their practical application in research and investment workflows is a plus (prompt engineering, RAG, orchestration, evaluation).
* Familiarity with portfolio management workflows (e.g., idea generation, research management, PM workflows, portfolio construction, performance/attribution, risk, compliance) and how data flows across them.
* Experience with modern SDLC and DevOps (agile practices, CI/CD, testing strategies, observability).
* Bachelor’s degree in a technical or quantitative field (CS, Engineering, Finance, or related) or equivalent experience.
 Neuberger Berman is unable to offer visa sponsorship for this position. Applicants must be authorized to work in the United States without the need for current or future sponsorship.
 Compensation Details
 The salary range for this role is $115,000\-$130,000\. This is the lowest to highest salary we in good faith believe we would pay for this role at the time of this posting. We may ultimately pay more or less than the posted range, and the range may be modified in the future. This range is only applicable for jobs to be performed in the job posting location. An employee’s pay position within the salary range will be based on several factors including, but limited to, relevant education, qualifications, certifications, experience, skills, seniority, geographic location, business sector, performance, shift, travel requirements, sales or revenue\-based metrics, market benchmarking data, any collective bargaining agreements, and business or organizational needs. This job is also eligible for a discretionary bonus, which, along with base salary and retirement contributions, is part of our total comprehensive package. We offer a comprehensive package of benefits including paid time off, medical/dental/vision insurance, retirement, life insurance and other benefits to eligible employees.
 Note: No amount of pay is considered to be wages or compensation until such amount is earned, vested, and determinable. The amount and availability of any bonus, commission, production, or any other form of compensation that are allocable to a particular employee remains in the Company's sole discretion unless and until paid and may be modified at the Company’s sole discretion, consistent with the law.
*Neuberger Berman is an equal opportunity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is>
      </c>
    </row>
    <row r="44">
      <c r="A44" t="inlineStr">
        <is>
          <t>li-4362651853</t>
        </is>
      </c>
      <c r="B44" t="inlineStr">
        <is>
          <t>Product Manager, Digital Issuing Solutions</t>
        </is>
      </c>
      <c r="C44" t="inlineStr">
        <is>
          <t>Visa</t>
        </is>
      </c>
      <c r="D44" t="inlineStr">
        <is>
          <t>linkedin</t>
        </is>
      </c>
      <c r="E44">
        <f>HYPERLINK("https://www.linkedin.com/jobs/view/4362651853", "https://www.linkedin.com/jobs/view/4362651853")</f>
        <v/>
      </c>
      <c r="F44">
        <f>HYPERLINK("https://jobs.smartrecruiters.com/Visa/744000104927394-product-manager-digital-issuing-solutions?source=LinkedIn&amp;urlHash=MFKG", "https://jobs.smartrecruiters.com/Visa/744000104927394-product-manager-digital-issuing-solutions?source=LinkedIn&amp;urlHash=MFKG")</f>
        <v/>
      </c>
      <c r="G44" t="inlineStr">
        <is>
          <t>Austin, TX</t>
        </is>
      </c>
      <c r="H44" t="inlineStr"/>
      <c r="I44"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The
 **Visa Digital Issuer Solutions Product Management** 
 team is seeking an outstanding Product Manager with the vision, passion, and commitment to drive Visa's global mobile enablement strategy.
**Key Responsibilities:**
* Reporting into a Product Management Senior Director, this is a global role that will be tasked with working closely with clients, regional product team members, and Visa technology partners across the globe and will require time zone flexibility when completing tasks and collaborating with cross functional teams.
* You will collaborate cross functionally and be responsible for the global product strategy, requirement definition, execution, and client enablement of numerous mobile and digital initiatives. This role will contribute to the product development of multiple digital products:
 *Visa Digital Commerce App, Visa Digital Enablement SDK, Visa In\-app Provisioning API and more.*
* The ideal candidate filling this role must possess a unique blend of creative, strategic, analytical, digital, payment skills. In addition, this individual must understand business, technical, and operational aspects of product management, development, and an understanding of cards, payment network processing, e\-commerce, mobile technology, digital payments.
* This individual will be a subject matter expert for assigned aspects of digital processing and enablement solutions related to mobile, payment, and commerce capabilities within the Mobile Enablement Platform which includes at a minimum the Visa mobile app, API, SDK, web, and tool capabilities across multiple development methodologies, operating systems, consumer facing channels, devices solutioning multiple geographies.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Prior work experience in product management and ownership, 0\-1 end to end.
* Experience in mobile/digital banking, payments and/or financial services industry is a strong plus.
* Strong interpersonal skills and professional presence to build credibility at executive levels within Visa and with clients.
* Team oriented, collaborative, diplomatic, and flexible style, with the ability to tailor delivery of complex topics to various audience levels.
* Ability to translate product complexities, strategic insights, and analytical findings related to digital into actionable recommendations and practical business solutions.
* Superior verbal, written, and presentation skills are required. Including the ability to author and contribute to detailed user stories, acceptance criteria, user experience wire frames, technical and business level flow diagrams, presentations, functional specifications, and client facing documentation.
* Strong business acumen, negotiation, and decision\-making skills along with a global, customer\-oriented mindset required.
* Strong ability to multi\-task and balance between multiple priorities.
* Comfort with high\-level, strategic thinking, including willingness to be an active and outspoken participant in decision\-making
* Self\-starter with a demonstrated ability to work independently as well as collaborate with cross\-functional teams around the world and across different time zones
* Demonstrated ability to collaborate and build consensus across stakeholders.
* Ability to identify, navigate, and resolve obstacles across multiple teams.
* Effective ownership, accountability, and application of problem\-solving and creative skills to manage deliverables.
* Work closely with the UI/UX design teams to create prototypes, demos, and materials to support assigned features.
* Proven experience in the area of managing multiple and competing priorities with experience planning, organizing, and managing multiple initiatives with diverse cross\-functional teams.
* Flexible and creative thinker with the ability to effectively incorporate new techniques to define business alternatives, generate out\-of\-the\-box solutions, and manage uncertainty
* Key contributor to go\-to\-market and commercialization tasks associated with assigned initiatives.
* Thrives in an environment that is fast\-paced, rapidly changing, and customer service\-oriented.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131,600\.00 to 210,300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45">
      <c r="A45" t="inlineStr">
        <is>
          <t>li-4365282655</t>
        </is>
      </c>
      <c r="B45" t="inlineStr">
        <is>
          <t>Principal Product Manager</t>
        </is>
      </c>
      <c r="C45" t="inlineStr">
        <is>
          <t>Microsoft</t>
        </is>
      </c>
      <c r="D45" t="inlineStr">
        <is>
          <t>linkedin</t>
        </is>
      </c>
      <c r="E45">
        <f>HYPERLINK("https://www.linkedin.com/jobs/view/4365282655", "https://www.linkedin.com/jobs/view/4365282655")</f>
        <v/>
      </c>
      <c r="F45" t="inlineStr"/>
      <c r="G45" t="inlineStr"/>
      <c r="H45" t="inlineStr"/>
      <c r="I45" t="inlineStr">
        <is>
          <t>**Overview**
 Azure Core is at the forefront of innovation for Microsoft’s Cloud and Artificial Intelligence (AI) mission. We are responsible for designing and building the foundational primitives, platforms, hardware and services that power the current and next generation of applications including Generative AI. Our work expands the Azure Cloud (AI Regions, Region Expansions, New Clouds, Change Management Safety), scales out new hardware product introduction, enables the safe, scalable, and efficient evolution of Azure and improves the foundations of platform quality for every developer and enterprise.
 We are seeking a Principal Product Manager with a bias for action to design developer tools and platforms that help accelerate Change\-Management safety efforts, with a strong focus on driving safe changes into production across complex, large\-scale services. You will be working with a team of technical product managers working with engineering leaders across Microsoft to drive ongoing innovation in this area meeting increasing customer demands while improving engineering velocity. This role is central to Microsoft’s success.
 This is an opportunity to shape the future of cloud infrastructure at one of the world’s largest cloud providers. You will work across engineering, operations, and compliance teams to define strategy, drive innovation (including AI\-powered capabilities), and deliver measurable impact on Azure’s business and customer trust.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Secure executive support for the company\-wide initiatives needed to succeed, maintaining the highest levels of trust and integrity with all stakeholders.
* You will provide strategic help to cross\-divisional teams as they work with Software and Hardware Engineering to design technical solutions. You will also work with teams as they identify risks and propose data\-based mitigations.
* You’ll drive cross\-divisional teams to define success criteria and provide strategic knowledge to help them understand return on investment. You’ll also oversee team collaboration and ensure alignment on product management and release.
* You will work with cross\-divisional teams as they deliver on feature roadmap, track project schedules, develop staging and implementation, and hold teams accountable for leading governance programs.
* You will work with teams driving continuous improvements by using industry expertise to teach them to validate use cases and helping them partner with other departments to collect performance metrics. You’ll also work with teams that own customer support and ensure cross\-divisional participation in direct customer engagements.
* Innovate product management practices across Azure services and champion the adoption of generative AI tools to streamline planning, feedback\-loop synthesis, and engineering system efficiency, setting a new standard for scalable, data\-informed decision\-making across the platform.
* Stay abreast of industry trends in cloud infrastructure and advancements in product management, ensuring our approach and practices remain cutting\-edge.
**Qualifications**
 Required/minimum qualifications
 Bachelor's Degree AND 8\+ years experience in product/service/program management or software development OR equivalent experience.
**Additional Or Preferred Qualifications**
 Bachelor's Degree AND 12\+ years experience in product/service/program management or software development OR equivalent experience.
 4\+ years experience taking a product, feature, or experience to market (e.g., design, addressing product market fit, and launch, internal tool/framework).
 6\+ years experience improving product metrics for a product, feature, or experience in a market (e.g., growing customer base, expanding customer usage, avoiding customer churn).
 6\+ years experience disrupting a market for a product, feature, or experience (e.g., competitive disruption, taking the place of an established competing product).
 \#azurecorejobs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6">
      <c r="A46" t="inlineStr">
        <is>
          <t>li-4362634698</t>
        </is>
      </c>
      <c r="B46" t="inlineStr">
        <is>
          <t>Senior Product Manager II - Growth</t>
        </is>
      </c>
      <c r="C46" t="inlineStr">
        <is>
          <t>RemoteHunter</t>
        </is>
      </c>
      <c r="D46" t="inlineStr">
        <is>
          <t>linkedin</t>
        </is>
      </c>
      <c r="E46">
        <f>HYPERLINK("https://www.linkedin.com/jobs/view/4362634698", "https://www.linkedin.com/jobs/view/4362634698")</f>
        <v/>
      </c>
      <c r="F46" t="inlineStr"/>
      <c r="G46" t="inlineStr"/>
      <c r="H46" t="inlineStr"/>
      <c r="I46" t="inlineStr">
        <is>
          <t>About the Opportunity:
 A holistic financial health company helps everyday Americans build a brighter financial future by creating transparent, fair, and simple financial products. The flagship product provides fast access to funds with no interest, late fees, or credit checks, supporting over 9 million users with credit building, budgeting, and deals. The Growth pod focuses on converting free users into paying subscribers by optimizing the early user journey. The Senior Product Manager II will own key parts of the activation funnel and drive improvements through experimentation and collaboration.
 Responsibilities:
 • Own and improve onboarding and activation funnel to increase activation rate
 • Drive improvements in bank and payroll connection and approval\-to\-activation conversion
 • Design and run experiments focused on early lifecycle impact with consideration for long\-term outcomes
 • Own growth\-related features including bank connect, payroll connect, non\-activated user experiences, and referral UX
 • Support referral and promotional initiatives that increase low\-CAC activations
 • Collaborate with Design, Engineering, Analytics, Marketing, and adjacent product teams to deliver growth initiatives
 Requirements:
 • 6\+ years of consumer product management experience focused on growth and/or retention
 • Experience with funnels, conversion metrics, and experimentation
 • Strong analytical skills using qualitative and quantitative insights
 • Ability to execute independently within a defined problem space
 • Clear, effective communicator and collaborator across teams
 • Mobile app experience required; experience in a highly regulated industry is a plus
 Compensation:
 • The anticipated annual base salary for this position is $180,000 \- $210,000
 • Salary depends on factors such as qualifications, experience, skills, education, certifications, and location
 Benefits \&amp; Perks:
 • Medical, dental, and vision insurance
 • Flexible PTO policy
 • 401k plan
 • Paid parental leave
 • Physical and mental wellbeing benefits including virtual workouts, discounted gym memberships, virtual therapy sessions, and unlimited on\-demand health support
 • Monthly reimbursements for wifi and cell phone bills
 • Annual reimbursement for Learning \&amp; Development
 • Dynamic, flexible, and collaborative start\-up work environment with a talented team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7">
      <c r="A47" t="inlineStr">
        <is>
          <t>li-4365250441</t>
        </is>
      </c>
      <c r="B47" t="inlineStr">
        <is>
          <t>Product Manager, Metabolic Health - Stelo</t>
        </is>
      </c>
      <c r="C47" t="inlineStr">
        <is>
          <t>Dexcom</t>
        </is>
      </c>
      <c r="D47" t="inlineStr">
        <is>
          <t>linkedin</t>
        </is>
      </c>
      <c r="E47">
        <f>HYPERLINK("https://www.linkedin.com/jobs/view/4365250441", "https://www.linkedin.com/jobs/view/4365250441")</f>
        <v/>
      </c>
      <c r="F47" t="inlineStr"/>
      <c r="G47" t="inlineStr"/>
      <c r="H47" t="inlineStr"/>
      <c r="I47"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Join our dynamic and innovative consumer team at the crux of innovation, technology, and consumer products! We are dedicated to empowering individuals to take control of their metabolic health through cutting\-edge biosensor technology and intuitive app experiences. If you're passionate about pushing the boundaries of what's possible and thrive in fast\-moving environments, we want you on our team.
 As Product Manager for the Stelo app, you’ll lead the development of in\-app features that help users monitor, understand, and improve their metabolic health. You’ll work cross\-functionally with design, engineering, clinical, and marketing teams to deliver experiences that are evidence\-based, engaging, and impactful.
**Where You Come In**
* Contribute to the product strategy and roadmap for metabolic health features within the Stelo app, and take ownership of driving execution from concept to launch.
* Translate user needs, clinical insights, and business goals into clear product requirements
* Collaborate with UX/UI designers to craft intuitive and motivating user experiences
* Partner with engineering to prioritize and deliver high\-quality mobile features
* Monitor product performance, user feedback, and health outcomes to iterate and improve
* Stay current on trends in metabolic health, digital therapeutics, and mobile health innovation
**What Makes You Successful**
* 3\+ years of product management experience, ideally in digital health or wellness
* Strong understanding of metabolic health (e.g., glucose, insulin sensitivity, nutrition, fitness)
* Proven success building and launching mobile apps (iOS/Android)
* Experience with wearable tech, CGM, and/or health data platforms
* Familiarity with regulatory considerations in consumer health apps
* Experience working with cross\-functional teams in agile environments
* Excellent communication, prioritization, and stakeholder management skills
* Passion for empowering people to live healthier lives through technology
**What You’ll Get**
* A front row seat to life changing CGM technology. Learn about our brave \#dexcomwarriors community.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5\-15%
**Experience And Education Requirements**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$122,500\.00 \- $204,100\.00</t>
        </is>
      </c>
    </row>
    <row r="48">
      <c r="A48" t="inlineStr">
        <is>
          <t>li-4365278687</t>
        </is>
      </c>
      <c r="B48" t="inlineStr">
        <is>
          <t>Senior Product Manager</t>
        </is>
      </c>
      <c r="C48" t="inlineStr">
        <is>
          <t>Microsoft</t>
        </is>
      </c>
      <c r="D48" t="inlineStr">
        <is>
          <t>linkedin</t>
        </is>
      </c>
      <c r="E48">
        <f>HYPERLINK("https://www.linkedin.com/jobs/view/4365278687", "https://www.linkedin.com/jobs/view/4365278687")</f>
        <v/>
      </c>
      <c r="F48" t="inlineStr"/>
      <c r="G48" t="inlineStr">
        <is>
          <t>Redmond, WA</t>
        </is>
      </c>
      <c r="H48" t="inlineStr"/>
      <c r="I48"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Are you committed to defending customers from cyber threats and advancing security research at Microsoft? The Microsoft Threat Protection (MTP) Engine powers core protection, detection, and disruption capabilities across cloud, devices, identity, email and beyond. Our mission is to enable Microsoft’s best of breed security research and response capabilities through our platform and accelerate AI first transformation throughout research workflows.
 As part of this mission, we power advanced protection, detection, and response capabilities across cloud, devices, identity, email, and more. Our platform lays the foundation for Microsoft's premier security research and response functions, leveraging AI, agents, and automation to transform research workflows and operational processes for productivity, accuracy, and speed of response.
 We are looking for a Senior Product Manager to join our team. In this role, you’ll have the opportunity to design, build, and deliver a unified, intelligent, and scalable system that transforms the way security research and SOC operations are conducted. You will define how AI and automation can be used to support fast and safe experimentation, in\-depth threat analysis, rapid research iteration, and end\-to\-end security insights to enhance global protection. Our diverse team values curiosity, continuous learning, engineering excellence, and a deep commitment to delivering customer\-obsessed security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Define and evolve the product vision and roadmap for Research Enablement and tooling within the MTP Engine ecosystem.
* Own feature backlog and ensure clarity, urgency, and accountability in delivery.
* Drive experimentation plans and data\-driven decision\-making to validate hypotheses and measure impact.
* Collaborate with engineering, design, research, and partner teams to deliver end\-to\-end solutions.
* Derive insights from customer feedback, telemetry, and competitive analysis to inform product decisions.
* Establish and run rhythm of business processes to ensure close coordination and collaboration with parters and customers.
* Embody our culture and values
**Qualifications**
**Required Qualifications:**
* Bachelor's Degree AND 5\+ years of experience in product/service/program management or software development OR equivalent experience.
* 4\+ years designing and implementing large scale, distributed, cloud\-based commercial services.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 Bachelor's Degree AND 8\+ years experience in product/service/program management or software development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\#MSFTSecurity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9">
      <c r="A49" t="inlineStr">
        <is>
          <t>li-4355331475</t>
        </is>
      </c>
      <c r="B49" t="inlineStr">
        <is>
          <t>Senior Product Manager (AI Provider Solutions)</t>
        </is>
      </c>
      <c r="C49" t="inlineStr">
        <is>
          <t>Inovalon</t>
        </is>
      </c>
      <c r="D49" t="inlineStr">
        <is>
          <t>linkedin</t>
        </is>
      </c>
      <c r="E49">
        <f>HYPERLINK("https://www.linkedin.com/jobs/view/4355331475", "https://www.linkedin.com/jobs/view/4355331475")</f>
        <v/>
      </c>
      <c r="F49" t="inlineStr"/>
      <c r="G49" t="inlineStr">
        <is>
          <t>Minneapolis, MN</t>
        </is>
      </c>
      <c r="H49" t="inlineStr"/>
      <c r="I49"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Senior** 
**Product Manager** 
 is responsible for driving the
 **commercialization and go to market of AI across products in Provider Solutions\-** 
 with a near term focus on
 **generative AI** 
 features within the business unit product portfolio
 **.** 
 This role is responsible for managing inputs from external and internal stakeholders, product planning, managing platform dependencies, leading cross functional teams for release and go\-to\-market plans and activities, enhancing and differentiating product within our core markets to best position the products within our markets and the competitive landscape. Interfaces with engineering, operations and sales to develop new products and enhance existing products.
**Duties and Responsibilities:**
* Develop business cases to justify investment required to build, partner or buy.
* Own the go to market and productization of AI capabilities that materially help providers (mid\-market health systems, ambulatory, post\-acute, specialties) and RCM vendors
* Be the trusted thought leader for your product area; being the ‘voice of the market/customer’ within Provider and externally with customer interactions and events.
* Build and maintain roadmap for products and work with cross\-functional teams to deliver a unified product plan to the market.
* Collaborate with go\-to\-market teams (such as Marketing, Sales, Legal, Operations, Finance) strategy, positioning, and pricing, and serve as the product evangelist to ensure organizational alignment on the vision, roadmap, and best practices.
* Develop, drive and coordinate complex product priorities in a fast\-paced environment with intra\-team and inter\-team dependencies.
* Develop and implement a company\-wide commercialization and launch plan for the products within the product line, working with all departments and the Product PMO to execute.
* Translate product strategy into requirements and prototypes, and then work with architects, developers and customers to implement these features.
* Analyze and manage to product metrics/KPI’s that inform the success of your products in the market.
* Architect and manage strong delivery plans to provide clear, timely updates to leadership and stakeholders that communicate the progress of projects.
* Stay updated on AI advancements and methodologies.
* Maintain compliance with Inovalon’s policies, procedures and mission statement.
* Ensure compliance with ethical guidelines and data privacy regulations.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Minimum of 8 years of Software Product Management experience managing platform or integration products.
* Minimum of 5 years of healthcare information technology experience with a focus on partner integration products.
* Minimum of 2\-3 years of experience launching and managing AI capabilities within a product, including ML and Generative/Agentic AI.
* Experience with Pragmatic Marketing or Certified in Pragmatic Marketing.
* Proven to perform strategically and execute operationally.
* Proven track record of leading cross\-functional teams from product concept to reference customers.
* Proven track record of creating and launching new products.
* Minimum of 3 years’ experience in Agile development methodologies.
* SaaS or cloud software experience.
* Proficient in Microsoft Office suite including Word, Excel, Visio and PowerPoint.
* Self\-motivated with strong organizational/prioritization skills and ability to multi\-task with close attention to detail.
* Excellent written and oral presentation skills.
* Ability to work in a fast\- paced environment.
**Education:**
* BA/BS Degree.
**Travel May Be Required**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$112,600—$150,000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50">
      <c r="A50" t="inlineStr">
        <is>
          <t>li-4343132706</t>
        </is>
      </c>
      <c r="B50" t="inlineStr">
        <is>
          <t>Product Manager (Hybrid)</t>
        </is>
      </c>
      <c r="C50" t="inlineStr">
        <is>
          <t>Broadridge</t>
        </is>
      </c>
      <c r="D50" t="inlineStr">
        <is>
          <t>linkedin</t>
        </is>
      </c>
      <c r="E50">
        <f>HYPERLINK("https://www.linkedin.com/jobs/view/4343132706", "https://www.linkedin.com/jobs/view/4343132706")</f>
        <v/>
      </c>
      <c r="F50" t="inlineStr"/>
      <c r="G50" t="inlineStr">
        <is>
          <t>Newark, NJ</t>
        </is>
      </c>
      <c r="H50" t="inlineStr"/>
      <c r="I50" t="inlineStr">
        <is>
          <t>At Broadridge, we've built a culture where the highest goal is to empower others to accomplish more. If you’re passionate about developing your career, while helping others along the way, come join the Broadridge team.
 Broadridge is hiring! Our Wealth Aggregation and Insights Team is looking for a highly motivated and skilled Product Manager to join our data aggregation team. This position will involve working with both product and development teams to help lead, author, coordinate, execute and complete complex internal and external projects.
**Responsibilities:**
* Assist in various applications story discovery and scoping throughout the life cycle of each code release. This would include, but not limited to, Broadridge’s Wealth Aggregation and Insights application, financial reports, API’s \&amp; ETL processes.
* Aid in the design of detailed data mapping and report designs that are specifically linked to defined business requirements ensuring coverage of all relevant business and system functionality.
* Act as liaison between development and testing teams to ensure proper hand\-off documentation meets all necessary standards ensuring defects/issues are clarified, understood and resolved.
* Analyze, design, and document new or modified procedures and standards and assist in the development and implementation of metrics for assessing the quality of delivered applications.
* Manage risks and issues and take corrective measurements with the appropriate sense of urgency.
* Deliver accurate effort estimates for work you're leading and adhere to strict project milestones.
* Daily management of duties throughout the agile project life cycle and provide proactive updates to project leads.
**Qualifications:**
* Bachelor’s degree in Financial Services, Information Technology or other related fields
* 5\+ years of software product design and management within an agile environment
* 5\+ years of Financial/Brokerage Services Industry experience is preferred.
* Excellent oral and written communications skills are a must.
* Ability to understand new concepts and ramp up on new technologies quickly.
* Ability to work under pressure and be highly adaptable in a fast\-paced environment with competing priorities.
* Ability to deliver under tight deadlines and manage time appropriately.
* Knowledge of SaaS applications
* Optional proficiency in Microsoft SQL queries to research, analyze and troubleshoot data.
* Previous experience with Atlassian’s Jira \&amp; Confluence products is preferred.
 Compensation Range: The salary range for this position is between $110k \-$115k . Broadridge considers various factors when evaluating a candidate's final salary including, but not limited to, relevant experience, skills, and education.
 Bonus Eligibility: Bonus Eligible
 Benefits Information: Please visit www.broadridgebenefits.com for more information on our comprehensive benefit offerings.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
 US applicants: Click here to view the EEOC "Know Your Rights" poster.
***Disability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If you need assistance or would like to request reasonable accommodations during the application and/or hiring process, please contact us at 888\-237\-7769 or by sending an email to BRcareers@broadridge.com.</t>
        </is>
      </c>
    </row>
    <row r="51">
      <c r="A51" t="inlineStr">
        <is>
          <t>li-4355235905</t>
        </is>
      </c>
      <c r="B51" t="inlineStr">
        <is>
          <t>Senior Product Manager - Data Platform</t>
        </is>
      </c>
      <c r="C51" t="inlineStr">
        <is>
          <t>Cargill</t>
        </is>
      </c>
      <c r="D51" t="inlineStr">
        <is>
          <t>linkedin</t>
        </is>
      </c>
      <c r="E51">
        <f>HYPERLINK("https://www.linkedin.com/jobs/view/4355235905", "https://www.linkedin.com/jobs/view/4355235905")</f>
        <v/>
      </c>
      <c r="F51" t="inlineStr"/>
      <c r="G51" t="inlineStr">
        <is>
          <t>Atlanta, GA</t>
        </is>
      </c>
      <c r="H51" t="inlineStr"/>
      <c r="I51"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The Senior Professional, Product Management role is responsible for owning highly complex technology and data platforms that enable enterprise\-scale capabilities. This role drives customer and developer value by co\-owning technical product vision and strategy for a modern data engineering and data product framework, identifying opportunities to solve complex platform and data problems, and translating that vision into clear product strategy and roadmaps. This position requires a highly technical Product Manager who partners closely with engineering leadership to influence architectural direction, platform standards, and long\-term technical strategy for internal platforms used across the organization.
 Key Accountabilities
* PRODUCT STRATEGY \&amp; DELIVERY: Owns product strategy and solution from discovery to delivery, and identifies business value and end user outcomes including key performance indicators and financial return on investment.
* BACKLOG MANAGEMENT: Maintains prioritization and refinement of the product backlog, deciding what to build and when, partnering with teams to estimate features, define requirements and collaborate on a product roadmap based on the team's capacity.
* PRODUCT DEVELOPMENT: Serves as a product functional owner, bringing new technology and data products to market by analyzing proposed product requirements and product development programs, preparing return on investment analyses and addressing product team questions.
* MARKET INSIGHTS: Analyzes market and competitive conditions to pave a clear path toward the business value of the product and make that clear to the team that serves the customer.
* PRODUCT VIABILITY ASSESSMENT: Analyzes and addresses the critical product risks including value, usability, feasibility and business viability.
* PRODUCT PERFORMANCE OPTIMIZATION: Uses quantitative and qualitative data for detailed analysis to identify what to build or optimize.
* ENVIRONMENTAL \&amp; SUSTAINABILITY CONTRIBUTIONS: Adheres to environmental contributions and sustainability goals of the organization while supporting the implementation and visibility of standard methodologies, processes and continuous improvement related to the product across the enterprise or group.
**Qualifications**
* 4 \+ years of relevant work experience
* Experience supporting technology or data products, including applications, services, or platforms
* Ability to partner with cross\-functional teams, including engineering and business stakeholders
* Strong communication skills with both technical and non\-technical audiences
* Ability to operate independently in ambiguous and complex problem spaces
**Preferred Requirements:**
* Experience owning or contributing to data engineering platforms or frameworks for analytics or data products
* Strong technical fluency with the ability to:
+ Understand system architecture and data flows
+ Participate in technical strategy and design discussions
+ Influence architectural and platform decisions
* Experience partnering closely with senior engineers, architects, or platform tech leads
* Familiarity with:
+ Data pipelines and orchestration concepts
+ Data modeling and transformation workflows
+ Cloud\-native platform patterns
* Experience supporting internal developer or engineering customers
 Equal Opportunity Employer, including Disability/Vet.</t>
        </is>
      </c>
    </row>
    <row r="52">
      <c r="A52" t="inlineStr">
        <is>
          <t>li-4331201373</t>
        </is>
      </c>
      <c r="B52" t="inlineStr">
        <is>
          <t>Product Manager for Cyber Products</t>
        </is>
      </c>
      <c r="C52" t="inlineStr">
        <is>
          <t>Visa</t>
        </is>
      </c>
      <c r="D52" t="inlineStr">
        <is>
          <t>linkedin</t>
        </is>
      </c>
      <c r="E52">
        <f>HYPERLINK("https://www.linkedin.com/jobs/view/4331201373", "https://www.linkedin.com/jobs/view/4331201373")</f>
        <v/>
      </c>
      <c r="F52" t="inlineStr"/>
      <c r="G52" t="inlineStr">
        <is>
          <t>Austin, TX</t>
        </is>
      </c>
      <c r="H52" t="inlineStr"/>
      <c r="I52"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Product Manager is a key product\-focused role responsible for coordinating the development and commercialization of specific cyber products and solutions in the cyber domain. This role will partner with stakeholders across and outside Visa to develop thoroughly vetted requirements, drive product development, and guide market positioning of Visa's cyber products, ensuring alignment with the company's overall business objectives and customer needs.
 Key Responsibilities:
* Product and solution delivery:  Contribute to the development and delivery of innovative products and capabilities that are future\-proof and accessible.
* Cross\-functional collaboration:  Liaise with multiple teams across Visa to launch, commercialize, and scale cyber solutions innovatively and serve as a bridge between business and technology.
* Requirements management:  Translate customer and regional needs into comprehensive requirements, synthesize those requirements into a common set of platform and service capabilities with detailed user stories, and debate their rationale for roadmap prioritization.
* Product development:  Oversee product execution through all phases of development through implementation and user adoption, representing customer points of view in planning and technical discussions.
* Issue management:  Identify potential issues early, determine resolutions, communicate status, and track and resolve issues promptly.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Knowledge of cybersecurity operations and the challenges faced by security leaders.
* Deep understanding of product management principles with experience taking cybersecurity offerings to market preferred.
* Strong communicator with excellent interpersonal skills and emotional intelligence.
* Strong analytical and problem\-solving skills, with demonstrated intellectual and analytical rigor.
* Ability to adapt to a dynamic, rapidly changing business environment.
* Strong interpersonal and leadership skills to influence and build credibility as a peer among internal and external stakeholders.
* Team oriented, collaborative, diplomatic, and flexible, with excellent presentation skills.
**Additional Information**
**Work Authorization**
 : Permanent Authorization to work in the U.S. is a precondition of employment for this position. Visa will not sponsor applicants for work visas in connection with this position.
**Relocation:** 
 This role does not provide relocation assistance.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131,600\.00 to 190,650\.00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53">
      <c r="A53" t="inlineStr">
        <is>
          <t>li-4365267929</t>
        </is>
      </c>
      <c r="B53" t="inlineStr">
        <is>
          <t>Principal Product Manager - Microsoft Foundry (CoreAI)</t>
        </is>
      </c>
      <c r="C53" t="inlineStr">
        <is>
          <t>Microsoft</t>
        </is>
      </c>
      <c r="D53" t="inlineStr">
        <is>
          <t>linkedin</t>
        </is>
      </c>
      <c r="E53">
        <f>HYPERLINK("https://www.linkedin.com/jobs/view/4365267929", "https://www.linkedin.com/jobs/view/4365267929")</f>
        <v/>
      </c>
      <c r="F53" t="inlineStr"/>
      <c r="G53" t="inlineStr">
        <is>
          <t>Redmond, WA</t>
        </is>
      </c>
      <c r="H53" t="inlineStr"/>
      <c r="I53" t="inlineStr">
        <is>
          <t>**Overview**
 We are building the industry’s leading AI\-first application stack with enhanced reliability, performance and scale. Microsoft Foundry is redefining model\-forward development with new UI/UX patterns, runtimes to build agents, orchestrating across multiple agents, and a reimagined management and observability layer.
 We are a small, friendly, fast\-moving team, we support each other to do the best work of our lives, always looking to break new ground, fast. We are proud of what we build, how we build it and that our products will define the AI agent era. We run lean, obsess about customers, and always make our decisions based on the evidence. We ship regularly, so your work will have real and immediate impact. It’s a time of huge change in the AI landscape, and this role will put you right in the heart of it
**Responsibilities**
 Join the Microsoft Foundry team as we redefine model\-forward development and unlock the next wave of innovation in generative AI. We are building the industry’s leading model serving platform, empowering customer applications and agents with unmatched reliability, performance, and flexibility.
 We are looking to hire a Principal Product Manager to join our group and help us lead the next generation of Azure Direct models offerings. As a Principal Product Manager, you will lead the integration and onboarding of OpenAI Models to Foundry Models, ensuring customers can access the latest OpenAI IP from day 0\.
**In This Role, You Will**
* Lead the model launch program for OpenAI models, ensuring technical excellence at unmatched scale and velocity.
* Drive the model release backlog and roadmap, prioritizing across the needs of our customers and partners for Foundry Direct on Azure Models to drive the highest customer impact.
* Ensure Microsoft Engineering teams can release with the newest models on the same day, with clear executive alignment and communications.
* OpenAI Knowledge Transfer program owner: As point of contact for model releases with OpenAI, you will work across all our internal partners to ensure we have a smooth knowledge transfer program.
* Improve the launch program investing in clear metrics, automation, and operating models.
* Collaborate with engineering, marketing, sales, and support to delivery successful launches.
* Provide clarity in ambiguous environments, influence stakeholders, and foster a culture of innovation and accountability.
**Qualifications**
***Required Qualifications***
* Bachelor's Degree AND 8\+ years experience in product/service/program management or software development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10\+ years of experience in product development. Including delivering one or more AI, cloud services, enterprise grade solutions, and mobile apps
* Proven success in launching and scaling multi\-million dollar revenue products, ideally in AI, ML, or platform domains.
* Technical fluency in model performance evaluation, usability, and integration strategies.
* Release management proficiency across multiple back end \&amp; front end engineering teams.
* Identifying and automating opportunities in processes to enable team to scale faster.
* Stakeholder management capabilities, you’ll be working across a spectrum of teams in hyperscaling platform through to marketing and comms.
* Experience leading cross\-functional teams and managing complex dependencies.
* Ability to thrive in fast\-paced dynamic environments with a bias for action.
* Agility as circumstances change rapidly.
* Growing and investing in team culture and developing TPM skills in others.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li-4336951833</t>
        </is>
      </c>
      <c r="B54" t="inlineStr">
        <is>
          <t>Senior Product Manager, Growth &amp; Developer Experience</t>
        </is>
      </c>
      <c r="C54" t="inlineStr">
        <is>
          <t>MongoDB</t>
        </is>
      </c>
      <c r="D54" t="inlineStr">
        <is>
          <t>linkedin</t>
        </is>
      </c>
      <c r="E54">
        <f>HYPERLINK("https://www.linkedin.com/jobs/view/4336951833", "https://www.linkedin.com/jobs/view/4336951833")</f>
        <v/>
      </c>
      <c r="F54">
        <f>HYPERLINK("http://boards.greenhouse.io/mongodb/jobs/7280325?gh_src=ircv7l&amp;urlHash=n79n", "http://boards.greenhouse.io/mongodb/jobs/7280325?gh_src=ircv7l&amp;urlHash=n79n")</f>
        <v/>
      </c>
      <c r="G54" t="inlineStr">
        <is>
          <t>Miami, FL</t>
        </is>
      </c>
      <c r="H54" t="inlineStr"/>
      <c r="I54" t="inlineStr">
        <is>
          <t>You’ll own the Expansion Squad \- our digital growth engine for mid\-market customers. Your mission: guide existing Atlas customers to grow their usage of MongoDB across new environments, new applications, and larger workloads. You’ll turn ambiguous “growth potential” into crisp product bets, human experiences, and set the standard for how we scale Atlas upmarket with and without a human in the loop.
 You’ll partner closely with Design, Engineering, Data, Marketing, Sales, and Marketing Ops, and you’ll be accountable for moving a single, unflinching number.
 This role follows a hybrid working model in our New York City office, or can be performed remotely from central to the east United States.
 What you'll do
* Own the Expansion product strategy and roadmap \- define segments, journeys, and experiments to drive account growth
* Ship friction\-killing features for multi\-app and multi\-team orgs (e.g., project cloning, streamlined user invites and roles, org\-to\-project patterns, workload templates)
* Build and iterate digital nudges: smart prompts, upgrade paths, in\-app moments, email triggers, and journey orchestration that keep MongoDB top of mind for the next workload
* Partner with Marketing on lifecycle campaigns and with Data Science on targeting models (propensity to expand, workload detection, cohort health)
* Instrument the journey end\-to\-end—set clear events, funnels, and cohort views; deliver weekly insights on what moves conversion
* Collaborate with Sales \&amp; CS and Lead Flow to align digital\-led expansion with enterprise motions; ensure clean handoffs for truly “sales\-worthy” accounts while keeping most growth self\-serve
* Champion quality and scale: build for reliability, permissions, compliance, and org hygiene so larger customers trust Atlas for every new app
 What we look for
* 3\-5\+ years in product management for B2B SaaS (ideally PLG), with a track record of driving expansion, monetization, or retention
* Background in engineering (computer science, electrical, software)
* Know your way around data: cohorts, revenue metrics (MRR, GRR), funnels, experimentation; you can separate correlation from causation
* Comfortable with platform and infrastructure products and developer experiences
* Write clean, concise docs; align teams; and make decisions with incomplete data
* Data\-driven and business\-minded \- you understand why products resonate with customers and know how to measure long\-term impact
* Strong research and analytical skills with the ability to identify insights, uncover opportunities, and translate findings into actionable strategies
 Nice to have
* Experience with developer platforms, data infrastructure, or cloud services
* Familiarity with lifecycle marketing, journey orchestration, and in\-app messaging systems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3263258253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55">
      <c r="A55" t="inlineStr">
        <is>
          <t>li-4362623064</t>
        </is>
      </c>
      <c r="B55" t="inlineStr">
        <is>
          <t>Senior Outbound Product Manager, Generative AI</t>
        </is>
      </c>
      <c r="C55" t="inlineStr">
        <is>
          <t>Google</t>
        </is>
      </c>
      <c r="D55" t="inlineStr">
        <is>
          <t>linkedin</t>
        </is>
      </c>
      <c r="E55">
        <f>HYPERLINK("https://www.linkedin.com/jobs/view/4362623064", "https://www.linkedin.com/jobs/view/4362623064")</f>
        <v/>
      </c>
      <c r="F55">
        <f>HYPERLINK("https://careers.google.com/jobs/results/124488525100786374-senior-outbound-product-manager/?src=Online/LinkedIn/linkedin_us&amp;utm_source=linkedin&amp;utm_medium=jobposting&amp;utm_campaign=contract&amp;urlHash=sHgM", "https://careers.google.com/jobs/results/124488525100786374-senior-outbound-product-manager/?src=Online/LinkedIn/linkedin_us&amp;utm_source=linkedin&amp;utm_medium=jobposting&amp;utm_campaign=contract&amp;urlHash=sHgM")</f>
        <v/>
      </c>
      <c r="G55" t="inlineStr">
        <is>
          <t>Kirkland, WA</t>
        </is>
      </c>
      <c r="H55" t="inlineStr"/>
      <c r="I55" t="inlineStr">
        <is>
          <t>Note: By applying to this position you will have an opportunity to share your preferred working location from the following:
 **Sunnyvale, CA, USA; Kirkland, WA, USA** 
 .
 **Minimum qualifications:**
* Bachelor's degree or equivalent practical experience.
* 8 years of experience in product management or related technical role.
* 3 years of experience taking technical products from conception to launch (e.g., ideation to execution, 0 to 1, etc.).
* Experience with the domain area of Generative AI or Large Language Models.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5 years of experience building Cloud products, with 3 years of experience working with AI.
* Excellent cross\-functional or cross\-organizational relationship\-building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Cloud AI Outbound Product Management (OPM) organization's mission is to scale business growth and adoption of the Cloud AI portfolio by designing and executing with cross\-functional go\-to\-market teams.
 The portfolio includes the Vertex AI platform for AI developers and data scientists, as well as the Gemini Enterprise and Google Search for enterprises.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Shape the direction of the Cloud AI product roadmap and go\-to\-market strategy.
* Partner with Product Management, Engineering, Product Marketing, AI Sales Specialists, and key GTM cross\-functional teams. Provide user and market insights to help product teams make more informed roadmap decisions.
* Develop differentiated product positioning and messaging, and define and drive go\-to\-market activities that accelerate business performance and customer satisfaction.
* Engage with customers and partners, gathering feedback and infusing insights back into the organization, influencing product strategy, advocating differentiated features, and ensuring effective product launches.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6">
      <c r="A56" t="inlineStr">
        <is>
          <t>li-4365269839</t>
        </is>
      </c>
      <c r="B56" t="inlineStr">
        <is>
          <t>Principal Product Manager - Competitive Strategist</t>
        </is>
      </c>
      <c r="C56" t="inlineStr">
        <is>
          <t>Microsoft</t>
        </is>
      </c>
      <c r="D56" t="inlineStr">
        <is>
          <t>linkedin</t>
        </is>
      </c>
      <c r="E56">
        <f>HYPERLINK("https://www.linkedin.com/jobs/view/4365269839", "https://www.linkedin.com/jobs/view/4365269839")</f>
        <v/>
      </c>
      <c r="F56" t="inlineStr"/>
      <c r="G56" t="inlineStr">
        <is>
          <t>Redmond, WA</t>
        </is>
      </c>
      <c r="H56" t="inlineStr"/>
      <c r="I56" t="inlineStr">
        <is>
          <t>**Overview**
 Windows powers over 1\.4 billion devices globally and anchors the commercial PC ecosystem—spanning OEM (Original Equipment Manufacture) partners, enterprise customers, education, public sector, MSPs, ISVs, and silicon providers. The Windows organization drives innovation across client platforms, commercial strategy, and ecosystem partnerships. We are looking for a Principal Product Manager \- Competitive Strategist to lead competitive intelligence and signal routing for competitors ecosystem. This role ensures Microsoft has a real\-time, data\-backed understanding of how and where competive hardware is gaining ground—and turns that awareness into targeted action across product, OEM, and commercial teams. This is a high\-impact, horizontal role reporting to the CVP of Windows Ecosystem \&amp; Engagement, operating across engineering, commercial insights, and partner strategy. What Success Looks Like:
* Microsoft knows where competition is gaining ground—before it shows in market share.
* OEM, engineering, and commercial leaders have actionable clarity, not just reports.
* Competitive insight informs roadmaps, device portfolio decisions, and partner motions. This role is ideal for someone who thrives on ambiguity, seeks patterns in complex data, and drives impact through insight. If you’re ready to shape how Microsoft competes in a rapidly evolving ecosystem, we’d love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Track competitive device adoption, attach, pricing, and deployment trends across segments (EDU, SMB, Enterprise, Consumer). \- Aggregate competitive intelligence from field teams, customer accounts, and market signals. \- Monitor competive momentum across hardware, silicon, OS, ecosystem, and services. \- Partner with data science and BI teams to surface telemetry and share erosion signals. \- Identify early signs of displacement and competitive creep. \- Build narratives around customer preference for competive over Windows. \- Translate qualitative and quantitative signals into structured risks and directional asks. \- Route insights to action owners across Product, Engineering, and OEM teams. \- Define “so what?” and “what must change?” scenarios to drive roadmap influence. \- Create sharp, data\-backed briefs and red alerts for executive audiences. \- Support share\-defense, GTM, and OEM strategy with competitive intelligence.
**Qualifications**
**Required Qualifications:**
* Bachelor's Degree AND 8\+ years experience in product/service/program management or software development
+ OR equivalent experience.
* 5\+ years in competitive intelligence, strategy, market insights, or product planning.
* Experience with device/OS ecosystems, enterprise IT trends, or hardware OEMs.
**Preferred Qualifications**
* Familiarity with Windows quality metrics and enterprise customer needs.
* Experience with tools like Kusto, Power BI, or Azure ML.
* Ability to influence without authority and operate across cross\-functional teams.
* Solid analytical skills with the ability to synthesize incomplete signals.
* Proven ability in storytelling and communication skills, especially with executive audiences.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li-4346825052</t>
        </is>
      </c>
      <c r="B57" t="inlineStr">
        <is>
          <t>Staff Product Manager, Managed Inference (SF/Sunnyvale/New York)</t>
        </is>
      </c>
      <c r="C57" t="inlineStr">
        <is>
          <t>Crusoe</t>
        </is>
      </c>
      <c r="D57" t="inlineStr">
        <is>
          <t>linkedin</t>
        </is>
      </c>
      <c r="E57">
        <f>HYPERLINK("https://www.linkedin.com/jobs/view/4346825052", "https://www.linkedin.com/jobs/view/4346825052")</f>
        <v/>
      </c>
      <c r="F57" t="inlineStr"/>
      <c r="G57" t="inlineStr"/>
      <c r="H57" t="inlineStr"/>
      <c r="I57"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the Role:**
 As a core member of the Crusoe Managed AI Services team, you will own the complete product lifecycle for our Managed Inference offerings, from initial concept and strategic roadmap to successful execution and market adoption. You will be the champion for our inference service offerings, translating market needs and technical complexities into clear product specifications, compelling narratives, and product decisions that drive business growth for Crusoe Cloud.
 This is a Staff\-level individual contributor role with significant autonomy and impact. You will operate as a senior product owner for a critical area of the platform, partnering closely with engineering, infrastructure, and go\-to\-market teams to shape and scale Crusoe’s inference capabilities as the company grows.
 This is a unique opportunity to build and evolve a foundational product area within a rapidly expanding and innovative company.
**What You'll Be Working On:**
* Own the end\-to\-end product lifecycle for Crusoe’s Managed Inference services, including roadmap definition, execution, and iteration.
* Translate customer needs, market signals, and technical constraints into clear product requirements and prioritization.
* Partner closely with Engineering, Infrastructure, and Platform teams to deliver scalable, reliable inference services.
* Drive product decisions across performance, reliability, cost efficiency, and developer experience.
* Define and track success metrics for inference services in production environments.
* Collaborate with go\-to\-market teams to support product launches, positioning, and customer adoption.
* Communicate product strategy and tradeoffs clearly to cross\-functional partners and leadership.
**What You'll Bring to the Team:**
* 6\+ years of experience in technical product management or engineering roles with product responsibilities.
* Experience building and launching cloud infrastructure, platform, or AI/ML services used in production.
* Strong understanding of cloud infrastructure (e.g., AWS, GCP, Azure) and modern compute architectures.
* Familiarity with the machine learning lifecycle, particularly model deployment, inference, and monitoring.
* Strong communication and collaboration skills, with experience working across engineering, product, and business teams.
* Demonstrated ability to operate independently with strong product judgment and a bias for action.
* Bachelor’s degree in Computer Science or a related technical field (or equivalent experience).
**Bonus Points**
* Experience building developer\-facing platforms or services.
* Exposure to inference\-as\-a\-service, model serving frameworks, or ML infrastructure tooling.
* Participation in developer communities or open\-source projects.
* Strong interest in trends across AI infrastructure and inference at scale.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$300/month
**Compensation Range**
 Compensation will be paid in the range of up to $204,000\-$247,000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58">
      <c r="A58" t="inlineStr">
        <is>
          <t>li-4326528411</t>
        </is>
      </c>
      <c r="B58" t="inlineStr">
        <is>
          <t>Services Product Manager DRN, MVTrac &amp; SCM</t>
        </is>
      </c>
      <c r="C58" t="inlineStr">
        <is>
          <t>Motorola Solutions</t>
        </is>
      </c>
      <c r="D58" t="inlineStr">
        <is>
          <t>linkedin</t>
        </is>
      </c>
      <c r="E58">
        <f>HYPERLINK("https://www.linkedin.com/jobs/view/4326528411", "https://www.linkedin.com/jobs/view/4326528411")</f>
        <v/>
      </c>
      <c r="F58">
        <f>HYPERLINK("https://motorolasolutions.wd5.myworkdayjobs.com/en-US/Careers/job/Chicago-IL/Services-Product-Manager-DRN\u002d\u002dMVTrac\u002d\u002d-SCM_R59789/apply/autofillWithResume&amp;urlHash=aodW", "https://motorolasolutions.wd5.myworkdayjobs.com/en-US/Careers/job/Chicago-IL/Services-Product-Manager-DRN\u002d\u002dMVTrac\u002d\u002d-SCM_R59789/apply/autofillWithResume&amp;urlHash=aodW")</f>
        <v/>
      </c>
      <c r="G58" t="inlineStr">
        <is>
          <t>Chicago, IL</t>
        </is>
      </c>
      <c r="H58" t="inlineStr"/>
      <c r="I58"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Services Offer Management team is a part of Motorola's Global Services segment responsible for the strategy, creation, and maintenance of Motorola Solutions' Managed, Support \&amp; Professional services offerings across all our portfolios. These individuals who are located globally are tasked with growing Motorola's business by creating services that go along with the Company's products to create solutions. This particular role is focused on the Video and Command Centre Software segment of Motorola Solutions.
**Job Description**
 Responsibilities of the Services Product Manager DRN, MVTrac \&amp; SCM include :
* Develop and execute strategies to increase the value of solutions sold
* Collaborate with Sales and Account Management to present and demonstrate the operational value of our integrated solutions to prospective and current clients.
* Collaborate with internal departments such as finance, operations, and customer support to ensure smooth delivery of services
* Be the voice of the customer for repossession agencies, translating their operational challenges and technological needs into clear requirements for the Product Development teams.
* Become the internal expert on how our hardware (e.g., GPS trackers, ALPR, mobile devices) and software (e.g., case management, dispatch, compliance platforms) interact and are used in the field.
* Serve as the top\-tier liaison for complex, recurring hardware/software integration and operational issues reported by repossession agencies.
* Analyze data on service usage and trends to inform product development and go\-to\-market strategies
* Conduct competitive analysis and market research to stay abreast of industry trends and emerging technologies
* Manage relationships with key partners and vendors related to services offerings Track and report on key performance indicators (KPIs) related to services revenue and profitability
* Provide regular updates and insights to senior management on the state of the services business.
* Travel periodically to client sites to observe and analyze their operations, identifying opportunities to enhance efficiency through our solutions.
 Recommended Qualifications:
* Must have a Bachelor's degree or higher in business or a technical discipline such as engineering or computer science, MBA is preferred
* Strong understanding of integrated hardware and software solutions (e.g., mobile apps, SaaS platforms, telematics, IoT devices).
* Minimum of 3\+ years of Services relevant work experience, preferably in product management or marketing within a technology or telecommunications industry
* Proven track record of successfully launching new products or services
* Strong analytical and problem\-solving skills with ability to synthesize complex information into actionable insights
* Excellent written and verbal communication skills with ability to articulate ideas clearly and persuasively at all organizational levels
* Ability to collaborate effectively with cross\-functional teams and stakeholders
* Highly organized and detail\-oriented with ability to manage multiple projects simultaneously
* Strong project management skills with ability to prioritize tasks and meet deadlines
* Ability to travel up to 25% of the time
* Desirable: Deep, demonstrable knowledge of the repossession industry and field operations (e.g., assignment processing, skip tracing, collateral tracking, compliance requirements, agent workflows).
 Target Base Salary Range: $120,000 \- $140,000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Must have a Bachelor's degree or higher in business or a technical discipline such as engineering or computer science, MBA is preferred
* Must have 3\+ years of Services Product Management Or Business Development experience
* Legal authorization to work in the U.S. indefinitely is required. Employer work permit sponsorship is not available for this position.
**Travel Requirements**
 Under 10%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59">
      <c r="A59" t="inlineStr">
        <is>
          <t>li-4319204673</t>
        </is>
      </c>
      <c r="B59" t="inlineStr">
        <is>
          <t>Division Product Manager</t>
        </is>
      </c>
      <c r="C59" t="inlineStr">
        <is>
          <t>PulteGroup</t>
        </is>
      </c>
      <c r="D59" t="inlineStr">
        <is>
          <t>linkedin</t>
        </is>
      </c>
      <c r="E59">
        <f>HYPERLINK("https://www.linkedin.com/jobs/view/4319204673", "https://www.linkedin.com/jobs/view/4319204673")</f>
        <v/>
      </c>
      <c r="F59" t="inlineStr"/>
      <c r="G59" t="inlineStr">
        <is>
          <t>West Palm Beach, FL</t>
        </is>
      </c>
      <c r="H59" t="inlineStr"/>
      <c r="I59" t="inlineStr">
        <is>
          <t>Build a Career That Builds Your Future — with PulteGroup!
 Welcome to PulteGroup where we believe in building more than just homes—we believe in building inspired employees, meaningful careers, and a legacy of excellence. If you're looking for work that moves you, a team that values your ideas, and a company that brings you pride, you’ve come to the right place.
 As one of the nation’s largest and most respected homebuilders, PulteGroup offers opportunities to grow within a Fortune 500 company that’s consistently recognized as a Fortune 100 Best Company to Work For and a certified Great Place to Work. We’re driven by the bold purpose of Building Incredible Places for People to Live Their Dreams.
 For over 70 years, we’ve been building more than homes—we’ve been building trust, innovation, and a culture where every team member is empowered to thrive. Join a company that champions inclusion, celebrates diversity, and supports your personal and professional journey.
 Headquartered in vibrant Atlanta, Georgia, and operating in over 45 markets nationwide, we’re proud to build homes through our trusted family of brands—including Innovative Construction Group, Centex, Pulte Homes, Del Webb, DiVosta Homes, American West, and John Wieland Homes and Neighborhoods, Pulte Mortgage, PGP Title, Pulte Insurance Agency —all united under the PulteGroup name.
 Apply now and discover a career where your contributions are valued, your growth is supported, and your work makes a lasting impact
**JOB SUMMARY:**
 Primary responsibility for the management of all Architectural needs to support Division operations
**Primary Responsibilities**
* Collects, maintains and is responsible for all information needed to draw and construct plans in all communities in a division
* Assists the Director of Product in ensuring all plans are aligned with division needs
* Manages the execution of all Non\-core plans through outsource drafting or other drafting resources
* In coordination with the Director of Product, provides guidance to the division on product selection for new communities
* Adheres to established quality control processes
* Provides clear and useful visibility into status of all projects to division operating teams and Director of Product
* Guards for the ongoing integrity of consumer inspired plans
* Forecasts drafting work and durations for all projects
* Maintains accurate architectural and structural details for the division in coordination with the Director of Product
* Coordinates HVAC and Fire Suppression Engineering needs as required by municipal requirements
* Manages the delivery of all collateral needed for the marketing department
* Provides product analysis to land acquisition team as needed
* Supports Value Engineering efforts for all plans in division
* This role MAY perform drafting services.
**MANAGEMENT RESPONSIBILITIES** 
 LEVEL: MENTOR / COACH / FEEDBACK
* Ensures appropriate staffing to meet department needs
* Utilizes recruiting and selection tools/processes to build organizational talent
* Delegates work according to employee’s abilities and skills
* Evaluates employee’s performance and plans for compensation actions in accordance with that performance
* Provides developmental opportunities through identification of internal and external training opportunities
* Creates opportunities for employee growth
* Provides continuous coaching with regard to functional and leadership standards (technical skills and behaviors)
**SCOPE:** 
 (decision making, size of organization, budgetary etc.)
* Decision Impact: Department
* Department Responsibility: Single
* Budgetary Responsibility: Yes
* Direct Reports: Yes
* Indirect Reports: No
**REQUIRED EDUCATION:**
* Minimum High School diploma or equivalent
* Bachelor’s degree in Architecture, Engineering, Construction preferred
**REQUIRED EXPERIENCE:**
* Related Functional Experience: Minimum 5 or more years Architectural or Construction experience
* CD development and construction expertise
* Project management expertise
* Outsource management expertise
* Understanding of Federal \&amp; State codes related to residential product
* Comprehensive knowledge of residential construction techniques, construction documents, building codes as well as technical and procedural knowledge of activities related to home building construction, including understanding plans \&amp; specs.
* Knowledge of structural elements and product installation means and methods
* Knowledge of lean, value engineering and costing principles and practices a plus
* Effective communication and organization skills
* General understanding of AutoCad is required, drafting experience is preferred
**PulteGroup, Inc. and its affiliates do not accept unsolicited resumes from individual recruiters or third party recruiting agencies (collectively, “Recruiters”) in response to job postings. If Recruiters nevertheless submit one or more unsolicited resumes to any employee at PulteGroup, Inc. or its affiliates without a valid written agreement in place for this position, it will be deemed the sole property of PulteGroup, Inc. and its affiliates. No fee will be owing or paid to Recruiters who submit unsolicited candidates, in the event the candidate is hired by
 *PulteGroup, Inc. or its affiliates as a result of the referral, without a written agreement between PulteGroup, Inc.* 
 and through any means other than via our Applicant Tracking System.**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We will provide a reasonable accommodation to a qualified applicant with a disability that will enable the individual to have an equal opportunity to participate in the application process and to be considered for a job.*
 This Organization Participates in e\-Verify
*Pulte Homes of Minnesota is an equal employment opportunity/affirmative action employer.*
 California Privacy Policy</t>
        </is>
      </c>
    </row>
    <row r="60">
      <c r="A60" t="inlineStr">
        <is>
          <t>li-4365278689</t>
        </is>
      </c>
      <c r="B60" t="inlineStr">
        <is>
          <t>Senior Product Manager - PowerPoint Agent</t>
        </is>
      </c>
      <c r="C60" t="inlineStr">
        <is>
          <t>Microsoft</t>
        </is>
      </c>
      <c r="D60" t="inlineStr">
        <is>
          <t>linkedin</t>
        </is>
      </c>
      <c r="E60">
        <f>HYPERLINK("https://www.linkedin.com/jobs/view/4365278689", "https://www.linkedin.com/jobs/view/4365278689")</f>
        <v/>
      </c>
      <c r="F60">
        <f>HYPERLINK("https://apply.careers.microsoft.com/careers/job/1970393556745429?utm_source=linkedin&amp;domain=microsoft.com&amp;src=LinkedIn&amp;urlHash=NE-X", "https://apply.careers.microsoft.com/careers/job/1970393556745429?utm_source=linkedin&amp;domain=microsoft.com&amp;src=LinkedIn&amp;urlHash=NE-X")</f>
        <v/>
      </c>
      <c r="G60" t="inlineStr">
        <is>
          <t>Redmond, WA</t>
        </is>
      </c>
      <c r="H60" t="inlineStr"/>
      <c r="I60" t="inlineStr">
        <is>
          <t>**Overview**
 We are seeking a
 **Senior Product Manager** 
 equipped with the skills to navigate the intersection of AI and presentation design. We’re building an agent that is your Copilot in crafting your next presentation or updating slides in preparation for a monthly review. A strong background in crafting visual content is critical to a successful PM in this role. As a product manager working on AI at Microsoft, the expectation is that you’re able to quickly define success, iterate, and rapidly develop insights from customer feedback and behavior. You will collaborate with cross\-functional teams including engineering, applied science, and design to conceptualize, spec, and build a truly capable agent that’s helpful at every step of your PowerPoint journey.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execute the strategy and feature iteration roadmap for core tools and capabilities of the PowerPoint Agent.
* Identify user pain points and opportunities by conducting market research, analyzing customer feedback, and engaging with users.
* Partner with engineering, design, applied science, and marketing teams to build, test, and refine innovative AI\-driven features.
* Translate complex AI concepts and capabilities into intuitive, user\-friendly experiences that empower PowerPoint users.
* Monitor product performance, set success metrics, and iterate rapidly based on user data and business goals.
* Ensure compliance with privacy, security, and ethical guidelines for AI in productivity tools.
* Advocate for the user and promote a culture of continuous improvement and experimentation.
**Qualifications**
**Required Qualifications:**
* Bachelor's Degree in Computer Science or related technical field AND 4\+ years technical engineering experience with coding in languages including, but not limited to, C, C\+\+, C\#, Java, JavaScript, or Python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collaborating across cross\-functional teams and managing stakeholders to deliver customer\-driven decisions.
* 5\+ years of data driven product development and decision making with experience defining success and metrics throughout the feature development lifecycle.
* 5\+ years of developing features based on interaction design principles and user research, translating insights into effective, practical design solutions.
* Proven track record of successfully launching AI or machine learning features or products, with specialized expertise in large language models or conversational agents. Strong understanding of AI technologies, including natural language processing, generative AI, and computer vision.
* Expertise in communication, analytical, and organizational skills, along with extensive experience with Microsoft PowerPoint or similar presentation software.
* Exceptional eye for layout, typography, and visual storytelling; able to turn complex information into beautiful, engaging slides and documents.
* A thorough understanding of usability testing techniques, which drive an iterative design process, will significantly enhance the user's experience.
 \#PPG \#PowerPointProductGroup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1">
      <c r="A61" t="inlineStr">
        <is>
          <t>li-4330707093</t>
        </is>
      </c>
      <c r="B61" t="inlineStr">
        <is>
          <t>Program Manager, Digital Customer Success</t>
        </is>
      </c>
      <c r="C61" t="inlineStr">
        <is>
          <t>Auctane</t>
        </is>
      </c>
      <c r="D61" t="inlineStr">
        <is>
          <t>linkedin</t>
        </is>
      </c>
      <c r="E61">
        <f>HYPERLINK("https://www.linkedin.com/jobs/view/4330707093", "https://www.linkedin.com/jobs/view/4330707093")</f>
        <v/>
      </c>
      <c r="F61" t="inlineStr"/>
      <c r="G61" t="inlineStr">
        <is>
          <t>New York, NY</t>
        </is>
      </c>
      <c r="H61" t="inlineStr"/>
      <c r="I61" t="inlineStr">
        <is>
          <t>**About Us**
 At Auctane, we are united by a passion to help businesses deliver — whatever their size, wherever they are, and however they operate. We make it possible for businesses to meet the ever\-changing requirements of their industry and customer expectations. Auctane products enable hundreds of thousands of businesses to annually mail and ship billions of items — over $200 billion worth — to recipients around the globe.
 The Auctane family of mailing and shipping software products includes ShipStation, Stamps.com, ShipStation API, Metapack, GlobalPost, and Packlink. Our partners include Amazon, UPS, USPS, eBay, BigCommerce, Shopify, WooCommerce, and Walmart.
 Our values
 Win as One. Delight Customers. Deliver Great Outcomes.
**About The Role**
 The
 **Program Manager, Digital Customer Success** 
 owns the design, execution, and continuous improvement of Auctane's customer success lifecycle and digital programs. This role connects people, process, and platforms to scale customer engagement and retention efficiently, turning lifecycle data into action through automation, playbooks, and enablement.
 This role involves operationalizing lifecycle orchestration, defining triggers, workflows, systems, and metrics that guide when and how customers are engaged. This person reports directly to the Sr. Director of Digital Success at Auctane.
 This hybrid role can be based in
 **Austin, Texas** 
 and follows an in\-office schedule (Tuesday through Thursday) with Monday and Friday being flex days OR remote.
 What will you be doing?
* Define, lead, and track strategic and operational digital programs to successful completion
* Deliver CS GTM initiatives that improve the effectiveness and efficiency of sales and customer success adoption capabilities, which include:
+ Customer journey development
+ Process and playbook development for customer success in collaboration with GTM partners, such as sales and partnerships
+ Processes and playbooks for Customer Success Associates, CSMs, and Professional Services
+ Continued partnership with enablement to codify CS playbooks
+ Increase efficiency of current customer interventions through call tracking, intervention optimization and workflow automation
* Represent CS in cross\-function programs / workstreams focused on customer experience initiatives
* Collect and translate customer feedback through various CS touchpoints into program insights that drive new lifecycle initiatives or interventions
* Support CS leadership in developing and and executing against lifecycle KPIs and reporting against them
* Partner closely with Customer Marketing to sequence and personalize customer campaigns within lifecycle context.
* Ensure systems (Salesforce, Looker, Pendo, etc.) are configured to deliver triggered actions and reporting tied to lifecycle stage.
* Develop a governance model for interacting with scaled customer success programs
* Build and maintain the Digital Playbook Library, codifying interventions for activation, adoption, and risk mitigation.
 What are we looking for?
* 5\+ years of progressive experience in Customer Success Operations, Lifecycle Management, or Digital Programs in a SaaS environment.
* Bachelor's degree preferred.
* Excellent verbal and written communication skills.
* Ability to demonstrate critical thinking.
* Demonstrated success leading cross\-functional initiatives that improve adoption, retention, and scalability.
* Strong experience with CRM and analytics platforms (Salesforce, Looker, Gainsight, HubSpot, Pendo, etc.).
* Proven ability to translate data into business insights and to operationalize workflows across teams.
* Excellent program management and stakeholder communication skills — able to drive clarity in complex, cross\-functional environments.
* Experience with customer health scoring, automation rules, or signal\-based engagement is a strong plus.
* Comfortable working in a fast\-paced, matrixed environment where structure and clarity must be built from ambiguity.
* You share our values and are passionate about enabling customers to realize value at scale.
 What will make you stand out?
* Top performance in prior role(s).
* eCommerce or shipping experience.
 The Tech
* Working knowledge of G\-suite applications
* Slack
* Zoom
 What do we offer?
* 🏠 We are a hybrid company. All team members at Auctane in Austin come into the office Tuesdays, Wednesdays and Thursdays.
* 🛬Take the reins of your time off with our Flex Time Off policy – because work\-life balance should always be in your hands!
* 🌅 We offer 12 paid holidays for all of our US employees!
* 💰401k employer matching program – because your future deserves a friendly boost!
* ⭐️We conduct annual merit reviews to recognize and reward your hard work and achievements.
* 🏟️ Company events, we work hard, play hard! We do our best every day, even at our regular team\-building events.
* 🏢 Attractive office space in the heart of central Austin, Texas (free drinks, snacks…).
* 🍽Indulge in weekly catered lunches at our office – a delicious perk to fuel your work.
* 🏐 Health and Wellness: The well\-being of our team is super important to us. Choose from different options that include medical, dental, and vision plans.
* 🏋🏾‍♀️Fitness center in the office with Tonal Mirrors, Pelotons, free weights, etc.
* 🧠Employee Assistance Program. We offer up to 8 free mental health sessions.
* 💪🏽We offer gym discounts to help you stay fit and healthy!
* 📚We offer education reimbursement to all employees, ensuring that you can pursue your educational goals while excelling in your career with us. Invest in your future and let us support your growth every step of the way.
* 🔗 Employee Referral Program! We reward employees helping us find top talent!
* 💜 An inclusive, casual and upbeat work environment. The personality and opinions of each of our team members are important and valid; we aim to offer all employees a safe environment where they can be themselves and thrive.
**Additional Position Duties:** 
 (The following is a list of what all employees, except those with medical accommodation, may be regularly required to do.)
* Sit for prolonged periods of time
* Utilize wrist and hands for a prolonged period of time
* Walk short distances
* Stand for short periods
* Speaking and conversing with others
* Lift up to 25lbs without assistance up to chest height
**Equal Opportunity Employer/Veterans/Disabled**
 If you are based in California, we encourage you to read this important information about the ShipStation Privacy Policy for California residents linked here.</t>
        </is>
      </c>
    </row>
    <row r="62">
      <c r="A62" t="inlineStr">
        <is>
          <t>li-4365323254</t>
        </is>
      </c>
      <c r="B62" t="inlineStr">
        <is>
          <t>Staff Product Manager, Multi-omics</t>
        </is>
      </c>
      <c r="C62" t="inlineStr">
        <is>
          <t>BioSpace</t>
        </is>
      </c>
      <c r="D62" t="inlineStr">
        <is>
          <t>linkedin</t>
        </is>
      </c>
      <c r="E62">
        <f>HYPERLINK("https://www.linkedin.com/jobs/view/4365323254", "https://www.linkedin.com/jobs/view/4365323254")</f>
        <v/>
      </c>
      <c r="F62" t="inlineStr"/>
      <c r="G62" t="inlineStr">
        <is>
          <t>Salt Lake City, UT</t>
        </is>
      </c>
      <c r="H62" t="inlineStr"/>
      <c r="I62" t="inlineStr">
        <is>
          <t>Your work will change lives. Including your own.
**The Impact You’ll Make**
 As a Staff Product Manager for Multi\-omics, you’ll play a critical role in the evolution of our multi\-omics platform. One of Recursion’s key differentiators in the TechBio space is our ability to decode biology through massive, relatable datasets. We have amassed over 65 petabytes of proprietary data – spanning phenomics, transcriptomics, and ADME – generated by our automated labs at a scale of up to 2\.2 million experiments per week. Unlike traditional drug discovery that relies on limited hypotheses based on known biology, this high\-throughput, multi\-modal engine allows us to train machine learning models that construct an atlas of biology, revealing novel relationships and inferring mechanisms of action that human bias might miss.
 You will be responsible for the evolution of this engine alongside a strong team of cross\-functional collaborators. You will partner with leaders to build concrete plans to shift our focus from ultra high\-throughput data generation to
 **autonomous science** 
 – enabling a system where AI agents not only consume our maps but actively request the specific experiments needed to expand them and prosecute drug discovery programs.
**In This Role, You Will** 
* Build and execute the product strategy that will usher our multi\-omics capabilities into the next era of autonomous science. This could include:
+ Defining the digital interfaces necessary for AI agents to request multi\-modal experiments and reason across the resulting data
+ Defining and prioritizing operational changes to enable our labs to more efficiently and seamlessly execute increasingly complex experiments
+ Shifting the definition of success from the scale of data generation to a measure of decisional data generated, partnering with AI/ML teams and drug discovery teams to build tight feedback loops between our physical labs and the next wave of cutting\-edge models.
* Bridge science and technology: Act as the translator between high\-throughput operations, drug discovery program leaders, software engineering, and AI/ML scientists and engineers to ensure our multi\-omics roadmap directly enables the discovery of novel biology and de\-risks clinical programs while realizing our autonomous science vision
* Shepherd coordinated delivery of solutions across interdisciplinary teams
* Evangelize high\-dimensional multi\-modal data capabilities internally to Recursion and to external partners
**The Team You’ll Join**
 You will join the
 **Multi\-omic Insights** 
 component, a cross\-disciplinary team responsible for Recursion's core data layers: Phenomics, Transcriptomics, and ADME. This team sits at the intersection of the physical and digital worlds, combining lab operations (including tissue culture, compound management, phenomics, transcriptomics, and ADME), automation engineering, software engineering, and data science to generate high quality, relatable data that feeds into our machine learning models to identify and prosecute novel drug discovery targets.
**The Experience You’ll Need**
* Fluency in genomics or other high\-dimensional biological data types. Bonus if you’ve spent time in a lab and understand what it takes to execute successful experiments.
* 5\+ years product management experience with a proven track record of delivering complex solutions across multidisciplinary teams in the genomics, diagnostics, pharma, or healthcare space
* Strong written and oral communication skills with the ability to distill complex concepts and use data to tell a story
* An ability and passion to connect day\-to\-day lab operations to higher level product and company strategy
**Working Location \&amp; Compensation:**
 This is an office\-based, hybrid position at our US headquarters located in
 **Salt Lake City, Utah** 
 . Employees are expected to work in the office at least 50% of the time.
 At Recursion, we believe that every employee should be compensated fairly. Based on the skill and level of experience required for this role, the estimated current annual base range for this role is
 **$141,400 \- $191,100** 
 . You will also be eligible for an annual bonus and equity compensation, as well as a comprehensive benefits package.
**The Values We Hope You Share**
* We act boldly with integrity. We are unconstrained in our thinking, take calculated risks, and push boundaries, but never at the expense of ethics, science, or trust.
* We care deeply and engage directly. Caring means holding a deep sense of responsibility and respect \- showing up, speaking honestly, and taking action.
* We learn actively and adapt rapidly. Progress comes from doing. We experiment, test, and refine, embracing iteration over perfection.
* We move with urgency because patients are waiting. Speed isn’t about rushing but about moving the needle every day.
* We take ownership and accountability. Through ownership and accountability, we enable trust and autonomy—leaders take accountability for decisive action, and teams own outcomes together.
* We are One Recursion. True cross\-functional collaboration is about trust, clarity, humility, and impact. Through sharing, we can be greater than the sum of our individual capabilities.
 Our values underpin the employee experience at Recursion. They are the character and personality of the company demonstrated through how we communicate, support one another, spend our time, make decisions, and celebrate collectively.
**More About Recursion**
 Recursion (NASDAQ: RXRX) is a clinical stage TechBio company leading the space by decoding biology to radically improve lives. Enabling its mission is the Recursion OS, a platform built across diverse technologies that continuously generate one of the world’s largest proprietary biological and chemical datasets. Recursion leverages sophisticated machine\-learning algorithms to distill from its dataset a collection of trillions of searchable relationships across biology and chemistry unconstrained by human bias. By commanding massive experimental scale — up to millions of wet lab experiments weekly — and massive computational scale — owning and operating one of the most powerful supercomputers in the world, Recursion is uniting technology, biology and chemistry to advance the future of medicine.
 Recursion is headquartered in Salt Lake City, where it is a founding member of BioHive, the Utah life sciences industry collective. Recursion also has offices in Toronto, Montréal, New York, London, Oxford area, and the San Francisco Bay area. Learn more at www.Recursion.com, or connect onX (formerly Twitter)andLinkedIn.
 Recursion is an Equal Opportunity Employer. All qualified applicants will receive consideration for employment without regard to race, color, religion, sex, sexual orientation, gender identity, national origin, age, disability, veteran status, or any other characteristic protected under applicable federal, state, local, or provincial human rights legislation.
 Accommodations are available on request for candidates taking part in all aspects of the selection process.
 Recruitment \&amp; Staffing Agencies: Recursion Pharmaceuticals and its affiliate companies do not accept resumes from any source other than candidates. The submission of resumes by recruitment or staffing agencies to Recursion or its employees is strictly prohibited unless contacted directly by Recursion’s internal Talent Acquisition team. Any resume submitted by an agency in the absence of a signed agreement will automatically become the property of Recursion, and Recursion will not owe any referral or other fees. Our team will communicate directly with candidates who are not represented by an agent or intermediary unless otherwise agreed to prior to interviewing for the job.</t>
        </is>
      </c>
    </row>
    <row r="63">
      <c r="A63" t="inlineStr">
        <is>
          <t>li-4365308120</t>
        </is>
      </c>
      <c r="B63" t="inlineStr">
        <is>
          <t>Data Management Lead - Product Owner</t>
        </is>
      </c>
      <c r="C63" t="inlineStr">
        <is>
          <t>JPMorganChase</t>
        </is>
      </c>
      <c r="D63" t="inlineStr">
        <is>
          <t>linkedin</t>
        </is>
      </c>
      <c r="E63">
        <f>HYPERLINK("https://www.linkedin.com/jobs/view/4365308120", "https://www.linkedin.com/jobs/view/4365308120")</f>
        <v/>
      </c>
      <c r="F63" t="inlineStr"/>
      <c r="G63" t="inlineStr">
        <is>
          <t>Newark, DE</t>
        </is>
      </c>
      <c r="H63" t="inlineStr"/>
      <c r="I63" t="inlineStr">
        <is>
          <t>**Job Description**
 Job Description
 Unlock business potential with the Corporate \&amp; Investment Bank (CIB) Chief Data Office, delivering high\-quality, compliant data solutions. Our Reference Data Product team partners with Technology to provide innovative reference data products tailored to your needs. Lead the future of data\-driven success with our Wholesale External Party Product Team's seamless Master Data Management implementation. Contributing to the broader Chief Data Office agenda, the Reference Data Product (RDP) organization is entrusted to provide reference data products which support and enhance the needs of our business consumers. Reference Data Product’s core functions are Business Relationship Management, Product Solutions, and Portfolio Management.
 As a Data Management Lead \- Product owner within the Commercial and Investment banking line of business, you will be responsible for delivery of product features for various projects including product enhancements, regulatory changes, production fixes and product adoptions. The Wholesale External Party Product Team is responsible for end to end product implementation for the Master Data Management (MDM) system, supporting our overall product strategy.
**Job Responsibilities**
* Engage with stakeholders to understand \&amp; document business requirements
* Understand business problems and opportunities in the context of the requirements and recommend solutions that enable the organization to achieve business goals
* Partner with product delivery leads and technology to identify and design solutions that satisfy requirements
* Conduct data analysis to support product solution recommendations
* Manage Jira backlog, including creating Jira stories, backlog prioritization, product testing, defect tracking and release management activities
* Serve as a primary point of contact to stakeholders and technology to drive prioritization, development phases, sprint, and agile lifecycle of a project
* Independently lead and direct initiatives to completion and manage risks/issues
* Lead a product owner team comprised of both onshore and offshore resource
**Required Qualifications, Skills And Capabilities**
* People management experience
* 5\+ years product owner experience
* 5\+ years experience working in an Agile environment
* 5\+ years experience in a financial services organization
* Strong communication, presentation skills, relationship building and leadership skills
* Attention to detail and ability to work independently
* Problem solving and decision\-making skills
* Ability to perform in a fast\-paced, changing, environment with tight deadlines
**Preferred Qualifications, Skills And Capabilities**
* Experience in a regulatory/compliance environment is beneficial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4">
      <c r="A64" t="inlineStr">
        <is>
          <t>li-4362501646</t>
        </is>
      </c>
      <c r="B64" t="inlineStr">
        <is>
          <t>Program Manager</t>
        </is>
      </c>
      <c r="C64" t="inlineStr">
        <is>
          <t>Adrenaline Consulting</t>
        </is>
      </c>
      <c r="D64" t="inlineStr">
        <is>
          <t>linkedin</t>
        </is>
      </c>
      <c r="E64">
        <f>HYPERLINK("https://www.linkedin.com/jobs/view/4362501646", "https://www.linkedin.com/jobs/view/4362501646")</f>
        <v/>
      </c>
      <c r="F64" t="inlineStr"/>
      <c r="G64" t="inlineStr">
        <is>
          <t>Washington, United States</t>
        </is>
      </c>
      <c r="H64" t="inlineStr"/>
      <c r="I64" t="inlineStr">
        <is>
          <t>**Description** 
 : Adrenaline Consulting is looking for a dynamic, marketing\-savvy individual to drive change among Microsoft Worldwide field sellers by managing global and area sales incentives! Offering a work\-from\-home environment, flexible hours, and the opportunity to interface across a wide variety of clients, Adrenaline Consulting has served Microsoft since 2006 and provides a team\-oriented environment offering flexible working opportunities. This role requires flexibility to scale work hours and workload up or down in response to changing workload demands. This is a fully remote position with regular collaboration across a distributed team.
 Please send your resume to Info@AdrenalineConsulting.com.
 The Sales Contest Manager role supports Adrenaline by contributing to the strategy, launch, and ongoing management of Incentive Programs, Bonus Programs, Sales Contests, and related marketing activities, under the governance of the Worldwide Incentive Compensation team.
**Position roles and responsibilities:** 
* Use your prior marketing and program management background with Microsoft in either an FTE or v\- capacity to manage the launch, evangelism, management and Insights and Learnings (ROI) for Incentive Programs, Bonus Programs and Sales Contests. Previous experience working for Microsoft in either FTE or Supplier capacity is required.
* Manage the development of initiatives from inception to launch and serve as the point of contact to the FTE budget owner and the subject matter expert who owns and drives performance of these programs.
* Coordinate with other Adrenaline team members to create validation reports, communications, and evangelism materials to enable field sellers worldwide to participate in the incentive and add to their paycheck.
* Manage overall budget, submit payroll reports, create Learnings and Insights (ROI) reports using templates and procedures defined by Microsoft's Worldwide Incentive Compensation governance.
* Cultivate and build on best practices within the cross\-functional teams in terms of design standards, best practices, operations processes, etc. Lead calls with stakeholders; driving action items to obtain sign\-off from clients.
**Qualifications:** 
* Previous experience at Microsoft in an FTE or v\- role is required. Experience working in a Business Group (BG) or field role especially helpful.
* Self\-motivated, self\-starter – able to work independently but in a team environment with mutual dependencies and within a defined process.
* Sense of humor; empathy for field sellers; good teamwork skills.
* Conscientious; extreme attention to detail; focus on patterns of experience or knowledge of execution/marketing with a strong understanding of players. Microsoft Sales Eco Systems and keyways to impact to grow share.
* Familiarity with MSX, MS Sales, MSC, AHR, etc., monthly Rhythm of Business (ROB) dashboards and scorecards is helpful.
* Experience with Excel Pivot Tables, Power BI and Power Apps is required.
 ·        AI Agents experience a plus.
* Very high attention to detail; Proven track record – working effectively with partners. field and internal teams to build and execute marketing strategies.
* Ability to work through complex organization structure to drive results.
* Ability to build relationships and influence.
* Excellent written and verbal communication skills.
* Analytically strong.
* Must be legally authorized to work in the United States and not require employer sponsorship now or in the future.
* Position located in WA state.</t>
        </is>
      </c>
    </row>
    <row r="65">
      <c r="A65" t="inlineStr">
        <is>
          <t>li-4362681008</t>
        </is>
      </c>
      <c r="B65" t="inlineStr">
        <is>
          <t>Data Scientist- Product Owner</t>
        </is>
      </c>
      <c r="C65" t="inlineStr">
        <is>
          <t>Tata Consultancy Services</t>
        </is>
      </c>
      <c r="D65" t="inlineStr">
        <is>
          <t>linkedin</t>
        </is>
      </c>
      <c r="E65">
        <f>HYPERLINK("https://www.linkedin.com/jobs/view/4362681008", "https://www.linkedin.com/jobs/view/4362681008")</f>
        <v/>
      </c>
      <c r="F65" t="inlineStr"/>
      <c r="G65" t="inlineStr">
        <is>
          <t>Long Beach, CA</t>
        </is>
      </c>
      <c r="H65" t="inlineStr"/>
      <c r="I65"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66">
      <c r="A66" t="inlineStr">
        <is>
          <t>li-4365325672</t>
        </is>
      </c>
      <c r="B66" t="inlineStr">
        <is>
          <t>OCO Product Manager, Senior</t>
        </is>
      </c>
      <c r="C66" t="inlineStr">
        <is>
          <t>Parsons Corporation</t>
        </is>
      </c>
      <c r="D66" t="inlineStr">
        <is>
          <t>linkedin</t>
        </is>
      </c>
      <c r="E66">
        <f>HYPERLINK("https://www.linkedin.com/jobs/view/4365325672", "https://www.linkedin.com/jobs/view/4365325672")</f>
        <v/>
      </c>
      <c r="F66" t="inlineStr"/>
      <c r="G66" t="inlineStr">
        <is>
          <t>Baltimore, MD</t>
        </is>
      </c>
      <c r="H66" t="inlineStr"/>
      <c r="I66"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seasoned
 **Cyber Product Manager** 
 with strong background in Offensive Cyber Operations to join our growing team!
 USCC Offensive Cyber Operations (OCO) Program Management Office (PMO) is seeking an experienced Cyber Product Manager to drive the development, delivery, and sustainment of mission critical cyber capabilities. The ideal candidate will possess a deep understanding of SAFe Agile principles, thrives in highly dynamic environments, and has a strong track record of working with Product Owners, cyber operators, and cross\-functional delivery teams to shape complex technical solutions into fielded capabilities that support national defense missions.
**What You'll Be Doing**
* Define and communicate the product vision and roadmap for cyber mission systems in support of OCO.
* Provide thought leadership and work with key stakeholders to understand requirements, build partnerships, and provide technology solutions
* Lead Product backlog refinement, ensuring features and capabilities are well defined, prioritized, and decomposed into actionable user stories.
* Collaborate with other Product Managers, Release Train Engineers, and Scrum Masters to drive Program Increment (PI) execution, risk mitigation, and cross team collaboration.
* Engage with Joint Cyber Warfare stakeholders, NSA, Services and CCMDs to gather feedback and align capability delivery.
* Participate in technical exchange meetings (TEMs) operational working groups, and other OCO forums.
* Partner with clients to understand business objectives, user behaviors, and product vision, develop product concepts, roadmaps, test plans, and functional specifications
* Collaborate with designers and engineers to conceptualize, design, and deliver multi\-platform applications
* Lead engagements alongside company partners as well as the top designers and technologists in the industry
**What Required Skills You'll Bring**
* Bachelors degree in a STEM discipline and 12\+ years of industry experience, to include 5\+ years of experience in offensive cyber operations, exploitation, and or a related field.
* Active TS/SCI with Polygraph
* In\-depth knowledge of exploitation frameworks, reverse engineering tools, and offensive cyber techniques (e.g., Metasploit, Cobalt Strike, IDA Pro, Ghidra).
* Strong verbal and written communication skills, with the ability to clearly articulate complex technical concepts to non\-technical stakeholders.
* Ability to work effectively in a team environment, with a strong focus on collaboration and knowledge sharing.
* Familiar with SAFe.
* Facilitate interactions between all stakeholders and understand team needs.
* Hands on personality that gets entrenched with product and constant engagement with stakeholders.
* Monitor and control schedules and their dependencies.
* Strong leadership, communication and analytical skills, along with experience with Agile methodologies and cloud services.
* Strong background in Human Intelligence (HUMINT) with demonstrated experience in sensitive activities, with specific focus on Cyber Personas.
* Familiarity with Agile methodologies and Atlassian tools, such as Jira and Confluence.
* Build and implement product strategies aligned with the OCO PMOs vision, develop roadmaps, and prioritize features.
* Work with various stakeholders, including clients, senior management, and other teams, to gather feedback and shape product requirements.
**What Desired Skills You May Bring**
* 10\+ years' experience and Master's degree in computer science, Cybersecurity, or a related technical field.
* Experience with APTs: Demonstrated experience in tracking, analyzing, and mitigating Advanced Persistent Threats.
* Programming Skills: Proficiency in programming/scripting languages commonly used in exploitation (e.g., Python, C/C\+\+, Assembly).
**Security Clearance Requirement**
 An active Top Secret SCI w/Polygraph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$167,400\.00 \- $314,500\.00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row>
    <row r="67">
      <c r="A67" t="inlineStr">
        <is>
          <t>li-4365299577</t>
        </is>
      </c>
      <c r="B67" t="inlineStr">
        <is>
          <t>Revenue Program Manager</t>
        </is>
      </c>
      <c r="C67" t="inlineStr">
        <is>
          <t>Jobgether</t>
        </is>
      </c>
      <c r="D67" t="inlineStr">
        <is>
          <t>linkedin</t>
        </is>
      </c>
      <c r="E67">
        <f>HYPERLINK("https://www.linkedin.com/jobs/view/4365299577", "https://www.linkedin.com/jobs/view/4365299577")</f>
        <v/>
      </c>
      <c r="F67" t="inlineStr"/>
      <c r="G67" t="inlineStr"/>
      <c r="H67" t="inlineStr"/>
      <c r="I67" t="inlineStr">
        <is>
          <t>**This position is posted by Jobgether on behalf of a partner company. We are currently looking for a Revenue Program Manager in United States.**
 This role drives strategic, cross\-functional revenue programs that directly support business growth and operational scalability. The Revenue Program Manager will serve as a Subject Matter Expert (SME), owning both overarching programs and their component projects, ensuring alignment with organizational priorities and long\-term objectives. This position requires balancing tactical execution with strategic planning, documenting processes, and analyzing outcomes to improve efficiency. The ideal candidate will bring a track record of managing complex initiatives, exceptional organizational skills, and the ability to influence stakeholders at all levels. You will work closely with diverse teams to identify gaps, implement scalable solutions, and ensure successful program delivery. This role is ideal for someone who thrives in fast\-paced, high\-growth environments and wants to make a measurable impact on revenue operations.
**Accountabilities**
* Own the full lifecycle of multiple, complex revenue programs, from strategy to deployment and ongoing maintenance
* Serve as a Subject Matter Expert (SME) for assigned functional areas, providing deep insight and guidance
* Define long\-term program roadmaps, manage interdependencies, and lead program\-specific meetings
* Develop and maintain process documentation and standard operating procedures (SOPs) for programs
* Analyze business problems, identify risks, and implement solutions to ensure program success
* Implement KPI reporting and governance processes, providing leadership visibility into program performance
* Collaborate cross\-functionally to align projects with broader business objectives and drive program adoption
**Requirements**
* Bachelor’s degree in business, operations, human resources, adult education, organizational development, or a related field
* 7\+ years of program management experience with proven ability to manage both overarching programs and component projects
* Strong organizational, project, and time management skills, capable of juggling multiple initiatives and stakeholders
* Expert knowledge of Agile methodologies and experience leveraging data to measure program outcomes
* Exceptional ability to document and simplify complex processes for clarity and alignment
* Experience as a Subject Matter Expert (SME), able to make informed decisions beyond standard project management
* Strong communication skills and ability to influence cross\-functional teams and senior leadership
* Technical proficiency with Google Suite, MS Office, and web\-based collaboration tools (Zoom, Google Meet, MS Teams)
* Self\-starter mindset with adaptability to fast\-paced, high\-growth environments
**Nice\-to\-Have**
* PMP certification (completed or in progress)
* Experience in financial services, fintech, or SaaS industries
* Experience leading virtual, cross\-functional teams
**Benefits**
* Competitive 401(k) plan with employer match
* Top\-tier health, dental, and vision insurance
* Flexible PTO and parental leave programs
* Access to financial wellness tools and resources
* Mental health support programs and family\-forming benefits
* Home office and lifestyle stipends
* Team\-building events and opportunities for professional growth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8">
      <c r="A68" t="inlineStr">
        <is>
          <t>li-4362586394</t>
        </is>
      </c>
      <c r="B68" t="inlineStr">
        <is>
          <t>Economic Development Program Manager</t>
        </is>
      </c>
      <c r="C68" t="inlineStr">
        <is>
          <t>Churchill</t>
        </is>
      </c>
      <c r="D68" t="inlineStr">
        <is>
          <t>linkedin</t>
        </is>
      </c>
      <c r="E68">
        <f>HYPERLINK("https://www.linkedin.com/jobs/view/4362586394", "https://www.linkedin.com/jobs/view/4362586394")</f>
        <v/>
      </c>
      <c r="F68" t="inlineStr"/>
      <c r="G68" t="inlineStr"/>
      <c r="H68" t="inlineStr"/>
      <c r="I68" t="inlineStr">
        <is>
          <t>The Economic Development Program Manager role is responsible for the planning, development, implementation, management, and evaluation of key programs designed to stimulate economic growth and support location strategy. You will manage internal scheduling and coordination for events and communications across teams, including bi\-weekly reports for leadership. This role requires strong project management skills, excellent communication abilities, data analysis capabilities, and a proven track record of building effective partnerships with diverse stakeholders.
 Tasks may include oversight of a broad range of tax and incentive issues including site and infrastructure development and milestone tracking. You will work closely with the Energy and Location Strategy and Energy Market Development Team to support business discussions with key stakeholders in the US.
 Responsibilities
* Experience in government affairs and public policy is highly recommended.
* Highly skilled in creating effective presentations
* Experience with one or more of the following: large colocation, site selection for high\-technology, industrial\-scale projects, real estate evaluation, acquisition, development, and construction, utility agreements, energy\-related issues, or clean energy initiatives.
* Ability to have high business, ethics, discretion, and confidentiality capabilities.
* Ability to innovate and come up with commercially and technically creative solutions, work independently, think dynamically, while still coordinating and synchronizing efforts with other team members and internal leadership and external development stakeholders.
* Build and align cross functional stakeholder schedules to meet critical development deadlines.
* Coordinate government and public relation events.
* Develop and maintain team records, metrics reporting, performance and OKR tracking.
* Preparation of team newsletters, reports, policy changes and strategic organization of documents.
* Regular creation of weekly and monthly and quarterly progress reports for leadership.
* Handle sensitive information with confidentiality and discretion.
* May assist in research for special projects.
 Minimum qualifications
* Bachelor's degree or equivalent practical experience.
* 5\-6 years of experience in Economic Development or Land Development related experience</t>
        </is>
      </c>
    </row>
    <row r="69">
      <c r="A69" t="inlineStr">
        <is>
          <t>li-4343173393</t>
        </is>
      </c>
      <c r="B69" t="inlineStr">
        <is>
          <t>Senior Staff Program Manager</t>
        </is>
      </c>
      <c r="C69" t="inlineStr">
        <is>
          <t>Warner Bros. Discovery</t>
        </is>
      </c>
      <c r="D69" t="inlineStr">
        <is>
          <t>linkedin</t>
        </is>
      </c>
      <c r="E69">
        <f>HYPERLINK("https://www.linkedin.com/jobs/view/4343173393", "https://www.linkedin.com/jobs/view/4343173393")</f>
        <v/>
      </c>
      <c r="F69" t="inlineStr"/>
      <c r="G69" t="inlineStr">
        <is>
          <t>Bellevue, WA</t>
        </is>
      </c>
      <c r="H69" t="inlineStr"/>
      <c r="I69"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**The Role:**
 Warner Bros. Discovery (WBD) is seeking a forward\-thinking Program Manager to drive innovation and efficiency by improving the way we use tools and automating processes through our existing tooling ecosystem and AI. This role will collaborate closely with cross\-functional teams, including Product, Design, and Engineering, to streamline workflows, enhance productivity, and unlock new capabilities that scale with WBD's global operations.
 The ideal candidate will thrive in a dynamic environment, be comfortable autonomously identifying opportunities for automation and partnering across business groups to adapt to evolving technological and operational needs. With strong communication skills and a proactive approach to problem\-solving, you will leverage influence and build relationships to provide actionable insights to cross\-functional teams and leadership. Your efforts will be instrumental in advancing automation initiatives and optimizing tools for Global Product \&amp; Design.
**Key Responsibilities** 
**:** 
 ·      
 Partner with Product, Design, and Engineering teams to identify opportunities to optimize tooling and processes. Focus on key results driving efficiency and reduction of manual effort through delivery of automation initiatives.
 ·      
 Lead initiatives to integrate automation solutions into existing tools, driving and operational efficiency. Initially this will include leveraging existing Data Analysts within GP\&amp;D and Engineering resources to help with execution.
 ·      
 Develop and execute strategies for improving tool adoption and utilization across teams.
 ·      
 Create and maintain a roadmap for tooling enhancements, ensuring alignment with business priorities and scalability needs.
 ·      
 Own end\-to\-end project lifecycles, including requirements gathering, timeline management, execution, stakeholder communication, rollout, and driving adoption.
 ·      
 Track and report on the impact of process improvements by establishing clear metrics, collecting and analyzing relevant data, and providing detailed insights into efficiency gains and ROI.
 ·      
 Identify, define and drive dashboard and/or report development to visualize progress and trends, enabling teams and leadership to make data\-driven decisions.
 ·      
 Regularly review, recommend and influence process improvements across Product Operations to drive efficiency in alignment with strategic goals.
 ·      
 Act as the primary liaison between Product and Engineering teams on joint automation, AI, ML and Tooling initiatives to ensure a seamless and collaborative approach to problem\-solving.
 ·      
 Product Operations representative for IT\-led enterprise tooling initiatives.
**Qualifications \&amp; Experience:** 
 ·      
 10\+ years of program management experience in a tech\-focused organization, preferably in the Product, Design, or Engineering space.
 ·      
 Proven ability to operate independently and effectively in fast\-paced, ambiguous, and cross\-functional environments, excelling in project execution, tooling implementation or process automation.
 ·      
 Strong understanding of AI and/or automation technologies and their application to process optimization.
 ·      
 Excellent storytelling and stakeholder management skills, with the ability to bridge technical and non\-technical audiences.
 ·      
 Analytical mindset with the ability to measure project impact and present data\-driven insights.
 ·      
 Proficiency in modern tooling platforms (e.g., Jira, Confluence, Figma, Asana) and familiarity with defining requirements and leading teams to integrate AI and/or automation tools.
 ·      
 A proactive, solution\-oriented approach to overcoming challenges and delivering results.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$126,350\.00 \- $234,650\.00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70">
      <c r="A70" t="inlineStr">
        <is>
          <t>li-4362635030</t>
        </is>
      </c>
      <c r="B70" t="inlineStr">
        <is>
          <t>Technical Program Manager II, Systems and Tooling, Cloud Supply Chain</t>
        </is>
      </c>
      <c r="C70" t="inlineStr">
        <is>
          <t>Google</t>
        </is>
      </c>
      <c r="D70" t="inlineStr">
        <is>
          <t>linkedin</t>
        </is>
      </c>
      <c r="E70">
        <f>HYPERLINK("https://www.linkedin.com/jobs/view/4362635030", "https://www.linkedin.com/jobs/view/4362635030")</f>
        <v/>
      </c>
      <c r="F70">
        <f>HYPERLINK("https://careers.google.com/jobs/results/87525119575892678-technical-program-manager-ii/?src=Online/LinkedIn/linkedin_us&amp;utm_source=linkedin&amp;utm_medium=jobposting&amp;utm_campaign=contract&amp;urlHash=FPWH", "https://careers.google.com/jobs/results/87525119575892678-technical-program-manager-ii/?src=Online/LinkedIn/linkedin_us&amp;utm_source=linkedin&amp;utm_medium=jobposting&amp;utm_campaign=contract&amp;urlHash=FPWH")</f>
        <v/>
      </c>
      <c r="G70" t="inlineStr">
        <is>
          <t>Sunnyvale, CA</t>
        </is>
      </c>
      <c r="H70" t="inlineStr"/>
      <c r="I70" t="inlineStr">
        <is>
          <t>**Minimum qualifications:**
* Bachelor's degree in a technical field, or equivalent practical experience.
* 2 years of experience in program management.
* Experience with supply chain management.
* Experience working with the software development lifecycle (SDLC).
**Preferred qualifications:**
* 2 years of experience managing cross\-functional or cross\-team projects.
* Experience in supply chain systems or processes.
* Experience with managing AI/ML engineering initiatives, especially within Cloud or Supply Chain.
* Experience with the software development lifecycle (SDLC), agile methodologies, CI/CD, and engineering productivity metrics.
* Experience in supply/demand planning with end\-to\-end supply chain management (e.g. forecasting, supplier management, manufacturing, warehousing, fulfillment, reverse logistics).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With the huge success of Google's products comes a huge growth in demand for compute capacity. Google invests billions of dollars in computers, networks, and data centers.
 In this role, you will build the supply chain systems that empower that growth. You will work on complex multivariable problems by building exceptional, highly reliable and available systems that help optimize cost, availability and reduce human involvement in the alphabet supply chain solutions space. You will work across several groups, and the efforts have a wide cross\-organizational impact. The end\-goal is to build a closed\-loop, self\-learning system that covers the entire business lifecycle of supply planning and fulfillment.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strong relationships with key stakeholders in both internal and external partner organizations, work cross\-functionally to achieve project goals.
* Manage a large portfolio of supply chain software development programs, spanning supply planning, execution, and asset management, work across numerous internal teams and external partners.
* Scope, plan, and manage projects, including financial and human resources, quality of software development, risks, schedules, communication plans, and deliverables.
* Initiate new software development programs, identify and deliver features that drive performance, scale, functionality, security, quality, and efficiency.
* Engage with engineering directors, product leaders, and other TPM groups to streamline processes, simplify execution, and drive efficiencies.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1">
      <c r="A71" t="inlineStr">
        <is>
          <t>li-4326557125</t>
        </is>
      </c>
      <c r="B71" t="inlineStr">
        <is>
          <t>Senior Healthcare Treasury Management Product Manager</t>
        </is>
      </c>
      <c r="C71" t="inlineStr">
        <is>
          <t>Fifth Third Bank</t>
        </is>
      </c>
      <c r="D71" t="inlineStr">
        <is>
          <t>linkedin</t>
        </is>
      </c>
      <c r="E71">
        <f>HYPERLINK("https://www.linkedin.com/jobs/view/4326557125", "https://www.linkedin.com/jobs/view/4326557125")</f>
        <v/>
      </c>
      <c r="F71" t="inlineStr"/>
      <c r="G71" t="inlineStr">
        <is>
          <t>Charlotte, NC</t>
        </is>
      </c>
      <c r="H71" t="inlineStr"/>
      <c r="I71" t="inlineStr">
        <is>
          <t>**Make banking a Fifth Third better®**
 We connect great people to great opportunities. Are you ready to take the next step? Discover a career in banking at Fifth Third Bank.
**General Function**
 Seeking a visionary Senior Healthcare Product Manager to lead the development of next\-generation healthcare payment solutions within our Treasury Management group. This is not just a product role—it’s an opportunity to reshape how healthcare organizations manage payments and revenue cycles in a rapidly evolving financial ecosystem.
**Essential Duties \&amp; Responsibilities**
* Drive innovation by introducing cutting\-edge capabilities, including AI, machine learning, and advanced analytics, to optimize payment workflows and revenue cycle management.
* Serve as a strategic connector between the banking industry and the healthcare fintech ecosystem, leveraging your network to identify partnerships, emerging trends, and disruptive opportunities.
* Champion solutions that simplify complex payer\-provider interactions, improve interoperability, and deliver seamless payment experiences for healthcare organizations.
* Influence the future of healthcare payments by anticipating regulatory changes, market dynamics, and customer needs, ensuring our offerings remain ahead of the curve.
* Define and execute product strategy for healthcare payment solutions.
* Collaborate with internal teams and external stakeholders (payers, providers) to identify market needs.
* Manage the product lifecycle from ideation to launch and ongoing optimization.
* Drive sales for product(s) within designated product line.
* Develop and enhance products.
* Develop strategy plan and product plan to meet revenue and market share goals.
* Pricing, profitability, packaging, promotion and margin management
* Vendor selection and relations; contract negotiations
* Develop and distribute sales tools
* Develop customer education and customer focus programs for new and existing product initiatives.
* Act as liaison between several areas of the bank, including Sales, Operations, IT, Legal, Audit, Legal, and Risk.
* Identify risk associated with product lines and contribution to process development and management to minimize risk. Works under minimal supervision.
**Minimum Knowledge, Skills And Abilities Required**
* Undergraduate degree in business or finance required. MBA or advanced degree preferred.
* 7\+ years experience in related healthcare product management, which includes product development, sales or operations
* Experience working in matrix management and multi\-site environments
* Collaboration and relationship management skills required
* Understanding of related current industry trends and issues
* Priority management and time management skills
* Extensive experience/ability to influence and negotiate with individuals outside span of control
* Excellent interpersonal, written and verbal skills as individual interfaces with all levels of management
* Strong analytical, financial and strategic skills
 Senior Healthcare Treasury Management Product Manager
 Total Base Pay Range 94,500\.00 \- 203,200\.00 USD Annual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72">
      <c r="A72" t="inlineStr">
        <is>
          <t>li-4362188478</t>
        </is>
      </c>
      <c r="B72" t="inlineStr">
        <is>
          <t>Program Manager III, Vendor Operations Management, Search</t>
        </is>
      </c>
      <c r="C72" t="inlineStr">
        <is>
          <t>Google</t>
        </is>
      </c>
      <c r="D72" t="inlineStr">
        <is>
          <t>linkedin</t>
        </is>
      </c>
      <c r="E72">
        <f>HYPERLINK("https://www.linkedin.com/jobs/view/4362188478", "https://www.linkedin.com/jobs/view/4362188478")</f>
        <v/>
      </c>
      <c r="F72" t="inlineStr"/>
      <c r="G72" t="inlineStr">
        <is>
          <t>Mountain View, CA</t>
        </is>
      </c>
      <c r="H72" t="inlineStr"/>
      <c r="I72" t="inlineStr">
        <is>
          <t>**Minimum qualifications:**
* Bachelor's degree or equivalent practical experience.
* 5 years of experience in program or project management.
* Experience with vendor operations, vendor management, agreement negotiation, supplier sourcing, procurement, and extended workforce.
* Experience managing technical programs with engineering or software teams.
**Preferred qualifications:**
* 8 years of experience in technical program/operations management in a changing consumer software environment.
* 5 years of experience managing cross\-functional or cross\-team projects.
* Experience bridging the gap between Operations and Engineering, specifically regarding User Experience (UX) for internal tools.
* Experience managing operations with supplier landscapes.
* Experience with Internationalization (i18n) or Localization (l10n) workflows and understanding the unique operational issues of non\-english markets.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Human Rating Group (HRG) team in Search Engineering Operations wears many hats: vendor management, rater quality, rater guidelines, rating queue management, budget planning, and much more. A major goal of the HRG team is to balance the need for high quality human ratings with practical issues such as costs, in terms of both finances and queue throughput.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with Engineering to identify friction points in the evaluation tooling landscape. Drive functional requirements for tool enhancements to ensure a seamless, efficient user experience for human rater workforce.
* Define, establish, and monitor Key Performance Indicators (KPIs) and Service Level Agreements (SLAs) specific to human evaluation (e.g., rater throughput, quality accuracy).
* Manage the incoming support queue for vendor\-raised issues; triage and resolve blocking bugs, access rights issues, and rating tool failures to minimize downtime.
* Lead vendor governance programs including contractual compliance and operational health checks, ensuring consistent execution across regions and languages.
* Lead cross\-functional operational projects to reduce rating task backlogs, optimize rating workflows, and drive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3">
      <c r="A73" t="inlineStr">
        <is>
          <t>li-4362178290</t>
        </is>
      </c>
      <c r="B73" t="inlineStr">
        <is>
          <t>Program Manager (IAM &amp; Cyber Security)</t>
        </is>
      </c>
      <c r="C73" t="inlineStr">
        <is>
          <t>Simeio</t>
        </is>
      </c>
      <c r="D73" t="inlineStr">
        <is>
          <t>linkedin</t>
        </is>
      </c>
      <c r="E73">
        <f>HYPERLINK("https://www.linkedin.com/jobs/view/4362178290", "https://www.linkedin.com/jobs/view/4362178290")</f>
        <v/>
      </c>
      <c r="F73">
        <f>HYPERLINK("https://www.adzuna.com/details/5594744958?v=E111918F3DF34A5DC53987E61339BAF19E7DC50A&amp;r=21112293&amp;frd=dca730e789adb7d1bfd4d6db22ee132e&amp;ccd=54841c0508a2b236595b9bdcf7d78202&amp;utm_source=linkedin6&amp;utm_medium=organic&amp;partnerb=1&amp;chnlid=1098&amp;title=Program%20Manager%20%28IAM%20%26%20Cyber%20Security%29&amp;a=e&amp;urlHash=Vwhv", "https://www.adzuna.com/details/5594744958?v=E111918F3DF34A5DC53987E61339BAF19E7DC50A&amp;r=21112293&amp;frd=dca730e789adb7d1bfd4d6db22ee132e&amp;ccd=54841c0508a2b236595b9bdcf7d78202&amp;utm_source=linkedin6&amp;utm_medium=organic&amp;partnerb=1&amp;chnlid=1098&amp;title=Program%20Manager%20%28IAM%20%26%20Cyber%20Security%29&amp;a=e&amp;urlHash=Vwhv")</f>
        <v/>
      </c>
      <c r="G73" t="inlineStr">
        <is>
          <t>Smyrna, GA</t>
        </is>
      </c>
      <c r="H73" t="inlineStr"/>
      <c r="I73" t="inlineStr">
        <is>
          <t>**Program Manager – IAM \&amp; Cybersecurity**
**Onsite in Smyrna, GA – 4 days/week**
 Simeio is seeking an experienced
 **Program Manager – IAM \&amp; Cybersecurity** 
 to lead the delivery of complex security and IAM initiatives across the organization. This role is responsible for driving program governance, cross‑functional coordination, and delivery excellence while translating technical concepts into clear business outcomes. Strong
 **IAM domain knowledge** 
 is essential, along with experience operating within a
 **PMO framework** 
 .
**Key Responsibilities**
* Provide program management and governance for Cyber and IAM program delivery teams.
* Lead program reporting, communications, and executive updates.
* Translate cybersecurity and IAM technical concepts into business language for stakeholders.
* Collaborate with technical and business partners to align program goals and deliverables.
* Oversee risk, issue, and dependency tracking across all assigned programs.
* Drive proactive mitigation, escalation handling, and cross\-functional coordination.
* Manage and lead Cyber/IAM programs and projects across multiple business units.
**Required Experience \&amp; Skills**
* IAM Domain Knowledge (most important): Strong understanding of Identity \&amp; Access Management principles, models, and security concepts.
* 10\+ years of experience in IT or cybersecurity.
* 5\+ years of program/project management or program delivery experience.
* Strong familiarity with cybersecurity concepts and frameworks such as NIST CSF, ISO 27001, MITRE ATT\&amp;CK.
* Experience working within or alongside a PMO, with a solid understanding of delivery methodologies.
* Proven track record delivering enterprise\-scale cybersecurity programs in hybrid environments.
* Excellent leadership, communication, stakeholder management, and problem‑solving skills.
* Experience with JIRA and Microsoft 365 tools.
* Preferred certifications: PMP, CSM, or relevant cybersecurity/technical certifications.
 Simeio is an equal opportunity employer. If you require assistance with completing this application, interviewing, completing any pre\-employment testing, or otherwise participating in the employee selection process, please direct your inquiries to any of the recruitment team at recruitment@simeio.com or \+1 404\-882\-3700\.
 Powered by JazzHR</t>
        </is>
      </c>
    </row>
    <row r="74">
      <c r="A74" t="inlineStr">
        <is>
          <t>li-4355284057</t>
        </is>
      </c>
      <c r="B74" t="inlineStr">
        <is>
          <t>Program Manager</t>
        </is>
      </c>
      <c r="C74" t="inlineStr">
        <is>
          <t>PrideNow</t>
        </is>
      </c>
      <c r="D74" t="inlineStr">
        <is>
          <t>linkedin</t>
        </is>
      </c>
      <c r="E74">
        <f>HYPERLINK("https://www.linkedin.com/jobs/view/4355284057", "https://www.linkedin.com/jobs/view/4355284057")</f>
        <v/>
      </c>
      <c r="F74" t="inlineStr"/>
      <c r="G74" t="inlineStr">
        <is>
          <t>Tualatin, OR</t>
        </is>
      </c>
      <c r="H74" t="inlineStr"/>
      <c r="I74" t="inlineStr">
        <is>
          <t>**Management Systems Assessment – ISO Assessor** 
**Location:** 
 Tualatin, OR
**Job Type:** 
 Contract \| On\-Site
**Pay:** 
 Competitive (Based on Experience)
**Schedule:** 
 Standard Business Hours (Monday–Friday)
 PrideNow, the light industrial and professional staffing division of Pride Global, is hiring a Management Systems Assessment – ISO Assessor to support and drive ISO management systems compliance across a global manufacturing organization.
 This role is critical to maintaining and improving integrated Quality, Environmental, Health \&amp; Safety (Q/EHS) management systems and supporting ISO certification objectives. The ideal candidate is a self\-directed professional who can work independently while collaborating effectively across cross\-functional and global teams.
**What You’ll Be Doing** 
* Develop and implement ISO\-compliant processes and workflows to support global compliance initiatives.
* Partner with business groups to support organizational objectives related to ISO certifications.
* Provide training on management system controls, including quality, environmental, health \&amp; safety compliance fundamentals.
* Collaborate with Quality, EHS, and technical teams to implement and sustain ISO\-compliant management systems.
* Document business processes and workflows and address discrepancies critical to ISO certification.
* Establish systems to monitor quality performance and drive continuous improvement.
* Support and participate in internal and external audits for
 **ISO 9001, ISO 14001, and ISO 45001** 
 .
* Ensure audit results are properly documented, reported, and corrective/preventive actions are tracked.
* Follow up on audit findings to ensure timely and effective corrective actions.
* Evaluate corrective and preventive action responses for adequacy and escalate issues as needed.
* Assist in developing management system metrics.
* Drive continuous improvement across integrated Quality and EHS management systems.
**What We’re Looking For** 
**Minimum Qualifications:** 
* Bachelor’s degree required.
* Excellent written and verbal communication skills in English.
* Demonstrated expertise in environmental compliance and quality conformance.
* Strong skills in data collection, verification, and analysis.
* Exceptional organizational, time\-management, and attention\-to\-detail skills.
* Ability to work independently with minimal supervision.
* Strong influence, advocacy, and negotiation skills across teams and cultures.
**Preferred Qualifications:** 
* Project Management certification (PMP or Agile) is a plus.
* ISO Lead Auditor certification strongly preferred.
**Why Join Us** 
* Play a key role in maintaining and advancing ISO\-certified management systems.
* Work cross\-functionally with Quality, EHS, Engineering, and Operations teams.
* Contribute directly to compliance, audit readiness, and continuous improvement initiatives.
* Gain valuable experience supporting global management systems in a complex organization.
**About Us** 
 PrideNow is Pride Global’s light industrial and professional staffing organization, part of the Pride Global network. We deliver high\-quality workforce solutions across manufacturing, operations, and technical environments while empowering diversity, ensuring compliance, and supporting long\-term success.
**EEO Statement** 
 As a certified minority\-owned business, Pride Global and its affiliates are proud to be equal opportunity employers. All qualified applicants will receive consideration without regard to race, color, religion, gender, sexual orientation, national origin, disability, or veteran status.</t>
        </is>
      </c>
    </row>
    <row r="75">
      <c r="A75" t="inlineStr">
        <is>
          <t>li-4365328064</t>
        </is>
      </c>
      <c r="B75" t="inlineStr">
        <is>
          <t>Program Manager</t>
        </is>
      </c>
      <c r="C75" t="inlineStr">
        <is>
          <t>Virginia Transformer Corp</t>
        </is>
      </c>
      <c r="D75" t="inlineStr">
        <is>
          <t>linkedin</t>
        </is>
      </c>
      <c r="E75">
        <f>HYPERLINK("https://www.linkedin.com/jobs/view/4365328064", "https://www.linkedin.com/jobs/view/4365328064")</f>
        <v/>
      </c>
      <c r="F75" t="inlineStr"/>
      <c r="G75" t="inlineStr">
        <is>
          <t>Roanoke, VA</t>
        </is>
      </c>
      <c r="H75" t="inlineStr"/>
      <c r="I75" t="inlineStr">
        <is>
          <t>On the heels of achieving
 **3X growth** 
 , Virginia Transformer is hiring to do it
 **again!** 
 We’re strategically building our team for the next 3X growth cycle — a phase that is both
 **intense and incredibly rewarding** 
 . We’re highly selective about who joins us, because this journey isn’t for everyone.
 If you have the
 **drive, grit, and expertise** 
 to perform at a high level — and you want to grow your
 **career 3X alongside the Company’s growth** 
 — we’d love to talk.
 Apply below and let’s start the conversation.
**Who We Are**
**Virginia Transformer is** 
 the largest
 U.S.\-owned producer of power transformers in North America, and we’ve been able to grow the past 50\-plus years through an unwavering focus on delivering for our customers. We’re more than 5,400 people strong and are known throughout the industry for being an engineering company that makes premium quality transformers in the shortest lead times.
 As a
 **privately held, organically growing company** 
 , we thrive on nimbleness, innovation, and tenacity.
**Join Our Team**
 If you love the thrill of securing the U.S. electric grid, enabling all manufacturing in the country, and the energy of a fast\-moving train — this is the place for you. We train hard, grow together, and lead with purpose. Every transformer we build is custom, every challenge unique, and every team member essential.
 We’re looking for those ready to lead, fueled by commitment, and driven by impact. We are growing so fast that all our available roles are not yet posted, so let us know if you are interested and we will follow\-up.
**Position Title: Program Manager – Projects Team** 
**Location:** 
 Roanoke, VA (with travel to manufacturing facilities)
**Reports To:** 
 Director of Projects / Senior Program Leadership
**Employment Type:** 
 Full\-Time
**Position Summary** 
 The
 **Program Manager – Projects Team** 
 is responsible for leading and coordinating complex, cross\-functional projects within Virginia Transformer Corp’s custom transformer manufacturing environment. This role ensures projects are executed on time, within scope, and aligned with customer requirements, operational capabilities, and business objectives.
 The Program Manager serves as the central point of accountability across engineering, manufacturing, supply chain, quality, logistics, and commercial teams, driving disciplined execution and proactive risk management for high\-value, customer\-critical programs.
**Key Responsibilities** 
**Program \&amp; Project Leadership** 
* Own end\-to\-end program execution for assigned transformer projects, from order handoff through delivery and closeout.
* Develop and manage integrated project plans, schedules, milestones, and deliverables.
* Serve as the primary internal point of contact coordinating across engineering, operations, procurement, quality, and logistics.
**Cross\-Functional Coordination** 
* Lead regular project reviews and cross\-functional meetings to track progress, resolve issues, and manage dependencies.
* Align internal teams on scope, timelines, resource requirements, and customer expectations.
* Escalate risks and constraints early with clear mitigation plans.
**Schedule, Cost \&amp; Risk Management** 
* Monitor project schedules, production timelines, and critical path activities.
* Track program\-level costs, change orders, and scope adjustments in coordination with commercial and finance teams.
* Identify, assess, and manage program risks related to materials, capacity, engineering changes, and customer requirements.
**Customer \&amp; Stakeholder Interface** 
* Partner with sales, project management, and customer\-facing teams to support clear communication and expectation management.
* Support customer meetings, progress updates, and issue resolution as needed.
* Ensure customer requirements are clearly documented, communicated, and executed internally.
**Process Improvement \&amp; Standardization** 
* Support continuous improvement initiatives across the Projects team.
* Help define and standardize program management tools, templates, and best practices.
* Contribute to lessons learned and post\-project reviews to improve future execution.
**Reporting \&amp; Metrics** 
* Maintain accurate program status reporting, dashboards, and documentation.
* Track KPIs related to on\-time delivery, execution quality, and program performance.
* Provide regular updates to project leadership and senior stakeholders.
**Qualifications** 
**Required** 
* Bachelor’s degree in Engineering, Project Management, Business, or related field.
* 5–10\+ years of experience managing complex projects or programs in
 **manufacturing, industrial, or engineered\-to\-order environments** 
 .
* Strong experience coordinating cross\-functional teams in fast\-paced operations.
* Proven ability to manage schedules, risks, and competing priorities.
* Excellent communication and organizational skills.
**Preferred** 
* Experience in
 **power transformers, electrical equipment, heavy manufacturing, or custom\-engineered products** 
 .
* PMP or other project/program management certification.
* Experience working across multiple plants or distributed manufacturing environments.
* Familiarity with ERP systems and production planning processes.
**Key Competencies** 
* Strong ownership mindset and accountability
* Ability to influence without authority
* Structured problem\-solving and risk management
* Clear, concise communication with technical and non\-technical teams
* Comfort operating in ambiguity and change
**Why Virginia Transformer Corp** 
 Virginia Transformer Corp is a rapidly growing, privately held manufacturer of custom\-engineered power transformers serving utilities, industrial, renewable, and critical infrastructure markets. This role offers exposure to high\-impact, customer\-critical projects and the opportunity to shape execution excellence across a complex manufacturing organization.</t>
        </is>
      </c>
    </row>
    <row r="76">
      <c r="A76" t="inlineStr">
        <is>
          <t>li-4365281342</t>
        </is>
      </c>
      <c r="B76" t="inlineStr">
        <is>
          <t>Program Manager, Medical Affairs</t>
        </is>
      </c>
      <c r="C76" t="inlineStr">
        <is>
          <t>Mass General Brigham</t>
        </is>
      </c>
      <c r="D76" t="inlineStr">
        <is>
          <t>linkedin</t>
        </is>
      </c>
      <c r="E76">
        <f>HYPERLINK("https://www.linkedin.com/jobs/view/4365281342", "https://www.linkedin.com/jobs/view/4365281342")</f>
        <v/>
      </c>
      <c r="F76">
        <f>HYPERLINK("https://massgeneralbrigham.wd1.myworkdayjobs.com/MGBExternal/job/Boston-MA/Program-Manager\u002d\u002dMedical-Affairs_RQ4049114?source=LinkedIn&amp;urlHash=MSga", "https://massgeneralbrigham.wd1.myworkdayjobs.com/MGBExternal/job/Boston-MA/Program-Manager\u002d\u002dMedical-Affairs_RQ4049114?source=LinkedIn&amp;urlHash=MSga")</f>
        <v/>
      </c>
      <c r="G76" t="inlineStr">
        <is>
          <t>Boston, MA</t>
        </is>
      </c>
      <c r="H76" t="inlineStr"/>
      <c r="I76" t="inlineStr">
        <is>
          <t>Site: The General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**General Summary/ Overview Statement**
 Under the direction of the Executive Director of the Academic Medical Center (AMC) Office of the Chief Medical Officer (OCMO) Program Manager for Medical Affairs will be responsible for project management of day\-to\-day activities related to the work of the MGH/BWH Physician Incentive Program, Medical Staff Executive Committee/Medical Policy Committee across the AMCs, as well as other OCMO\-related initiatives. S/he will collaborate with key leaders in numerous departments, such as VPs, Administrative Directors, Chairs of clinical services and other physician leaders, and members of OCMO at MGH and across Mass General Brigham (MGB) in order to meet program requirements and standards. This position requires excellent project management and communication skills. The Program Manager will be responsible for maintaining the timeliness and thoroughness of projects, continuously assessing and making effective recommendations to address any barriers or obstacles to achieving project goals.
**Job Summary**
 PRINCIPAL DUTIES AND RESPONSIBILITIES:
 Medical Policy Committee/Medical Staff Executive Committee (MPC/MSEC)
* Responsible for project managing day\-to\-day activities related to the work of the MPC and MSEC at MGH, BWH, MEE and FH, managing the flow of both new and renewal of clinical policies, protocols, guidance documents, and forms through the committees
* Oversees an open comments process for new policies, as needed, which includes distributing policies via appropriate communications and receiving and organizing comments for the committee’s review.
* Responsible for maintaining current policies in the site designated policy system e.g. Ellucid.
* Continuous tracking of all document expiration and approval dates.
* Communicating with document owners for updated versions.
* Shepherding the drafts and owners through the committee approval process.
* Reporting and troubleshooting policy platform system issues or concerns.
* Tracking all document and form requests from owners and communicating items to the appropriate Executive Committee Chairs for follow up until resolved.
* Assisting with development of agendas and topic prioritization.
* Supporting the committees with other administrative tasks, communication and system support.
 Physician Incentive Program
* Coordinate the implementation and process improvement of the AMC Physician Incentive Program at Massachusetts General Hospital and Brigham and Women’s Hospital.
* Manage and maintain the Incentive Program inbox.
* Serve as central resource for all issues related to the Incentive Program.
* Responsible for ongoing communication with Vice Chairs of Quality and Administrative Directors to ensure program standards are met.
* Leads the iterative process of new measure development for the departments. Encourages development of rigorous, meaningful measures. Evaluates potential data sources, including specific variables to facilitate measure calculations. Writes detailed measure specifications when necessary.
* Coordinates the appeals process at the end of the term, including making preliminary decisions to grant or deny appeals, presenting appeals to Incentive steering committee, and communicating appeals decisions and payments with physicians.
* Perform quality checks of data and create quality check lists to ensure accuracy of data.
* Facilitate communications with various departments to promote programs’ efficacy.
* Maintain the program forms, materials, and contact list of key administrators and physicians for routine distributions.
* Manage and help grow the Salesforce database for the program.
* Download data and distribute reports to departments.
**Additional Responsibilities**
* Provide project management for the annual meetings and other initiatives related to medical affairs as needed.
* Project management and implementation of a variety of initiatives for the OCMO as needed, including but not limited to the Baker Initiative for Patient Experience, the AMC special events and awards, and other engagement events and programming
* Evaluates the scope of a project and identifies critical factors to ensure successful completion.
* Develop workflows, processes, and procedures to improve operational efficiency and effectiveness of this initiative.
* Other duties, as assigned by the AMCO CMO and Executive Director of the AMC CMO.
**Qualifications**
 SKILLS/ABILITIES/COMPETENCIES REQUIRED
* Excellent interpersonal/communications skills.
* Must be able to work independently and exercise appropriate judgment as necessary.
* Ability to interact with individuals at all levels of the organization.
* Requires attention to detail to accomplish critical tasks and understand the impact of results on departments, current systems and the organization as a whole.
* Requires the ability to assess all assigned work and manage time appropriately to meet deadlines, must be highly organized and be able to juggle multiple priorities effectively.
* Enjoy and thrive in a fast\-paced environment
* Experience with Microsoft applications (Access, Outlook, Word, PowerPoint, Excel) and other web\-based applications.
* Strong organizational and analytical skills.
**Education**
 Master’s degree in public health, healthcare management or related field or related work experience preferred. Bachelor’s degree in a related field required.
**Experience**
* Minimum of 3 years’ relevant experience with demonstrated competency in an academic medical center or similar environment.
* Demonstrated ability to work independently with a minimum amount of supervision.
* Demonstrated experience in project management.
* Demonstrated expertise in managing working relationships in a matrix structure.
* Solid knowledge of project management strategies and techniques and track record of successful project management.
 WORKING CONDITIONS: Hybrid work model. When in office normal working conditions; office setting.
**Additional Job Details (if Applicable)**
**Remote Type**
 Hybrid
**Work Location**
 125 Nashua Street
**Scheduled Weekly Hours**
 40
**Employee Type**
 Regular
**Work Shift**
 Day (United States of America)
**Pay Range**
 $62,400\.00 \- $90,750\.40/Annual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1200 The General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77">
      <c r="A77" t="inlineStr">
        <is>
          <t>li-4362169411</t>
        </is>
      </c>
      <c r="B77" t="inlineStr">
        <is>
          <t>EverCommerce - Program Manager</t>
        </is>
      </c>
      <c r="C77" t="inlineStr">
        <is>
          <t>RemoteHunter</t>
        </is>
      </c>
      <c r="D77" t="inlineStr">
        <is>
          <t>linkedin</t>
        </is>
      </c>
      <c r="E77">
        <f>HYPERLINK("https://www.linkedin.com/jobs/view/4362169411", "https://www.linkedin.com/jobs/view/4362169411")</f>
        <v/>
      </c>
      <c r="F77" t="inlineStr"/>
      <c r="G77" t="inlineStr"/>
      <c r="H77" t="inlineStr"/>
      <c r="I77" t="inlineStr">
        <is>
          <t>About the Opportunity:
 The program focuses on digitally transforming the service economy with comprehensive SaaS solutions that enhance interactions between customers and service professionals across Home \&amp; Field Services, Health Services, and Fitness \&amp; Wellness industries. The Program Manager in the Enterprise PMO will support the planning and execution of strategic transformation programs and projects, working closely with leadership to implement large\-scale changes impacting Configure Price Quote (CPQ), Billing, and Revenue operations.
 Responsibilities:
 • Lead large\-scale technology transformation programs through all phases from discovery to stabilization.
 • Drive lead\-to\-quote and quote\-to\-revenue programs across multiple business units focusing on CPQ, billing, fulfillment/provisioning, and revenue recognition.
 • Design program plans integrating cross\-functional workstreams with focus on collaboration, risk management, communication, and change control.
 • Set program goals aligned with enterprise and business\-unit strategies.
 • Build partnerships with workflow owners, product leads, engineering, systems integrators, business SMEs, and external stakeholders for cohesive delivery.
 • Oversee project and program outputs to ensure successful outcomes in partnership with project managers.
 • Support project managers by removing blockers, facilitating decisions, and addressing upstream/downstream impacts.
 • Collaborate across teams to gather requirements and define success criteria.
 • Identify risks, assist in mitigation strategies, and escalate issues to senior leadership as needed.
 • Maintain program documentation including RAID logs, communication plans, and governance materials.
 • Report progress, risks, and outcomes to executive leadership through structured updates and steering committee materials.
 • Drive change control by evaluating impacts of scope, timeline, or architectural changes and partnering with stakeholders for decisions.
 • Manage contractor delivery and performance ensuring quality and timeliness.
 • Partner with enterprise teams, business units, and consultants to optimize operations and ensure alignment on business rules and downstream accounting impacts.
 • Collaborate with executive leadership and stakeholders through regular check\-ins and structured reporting to maintain alignment.
 • Translate complex technical and architectural tradeoffs into clear decision options for leadership.
 • Drive cross\-functional alignment on critical business processes and ensure documentation and communication of decisions.
 • Communicate expectations, decisions, and next steps clearly, translating technical and financial concepts into accessible information.
 • Partner with Sales/CX, Billing, Accounting, Finance, Product, Engineering, and others to prioritize requirements and sequence work.
 • Use strong communication skills to manage stakeholder expectations, facilitate alignment, and resolve conflicts or ambiguities.
 • Foster transparent communication among project teams, business functions, senior leadership, and external partners.
 Requirements:
 • Bachelor’s degree in Business Administration, Management, Project Management, or related field.
 • Certifications such as PMP, PMI\-ACP, or Prosci are a plus.
 • 6\+ years of experience in project and program management with success leading complex, cross\-functional SaaS or enterprise systems programs.
 • Experience supporting change management initiatives including stakeholder adoption, communication planning, and operational readiness.
 • Experience delivering quote\-to\-revenue or billing technology implementations, including integration design and business process reengineering, is a major plus.
 • Ability to manage and prioritize multiple complex projects and program workstreams.
 • Strong understanding of change management and communication practices in enterprise systems and process transformation.
 • Excellent communication skills with technical and non\-technical stakeholders; ability to translate business needs and system capabilities.
 • Strong problem\-solving and risk management skills.
 • Proficiency in building presentations and writing decision documentation.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8">
      <c r="A78" t="inlineStr">
        <is>
          <t>li-4362169721</t>
        </is>
      </c>
      <c r="B78" t="inlineStr">
        <is>
          <t>Program Manager, Regional Data Center Delivery</t>
        </is>
      </c>
      <c r="C78" t="inlineStr">
        <is>
          <t>Google</t>
        </is>
      </c>
      <c r="D78" t="inlineStr">
        <is>
          <t>linkedin</t>
        </is>
      </c>
      <c r="E78">
        <f>HYPERLINK("https://www.linkedin.com/jobs/view/4362169721", "https://www.linkedin.com/jobs/view/4362169721")</f>
        <v/>
      </c>
      <c r="F78" t="inlineStr"/>
      <c r="G78" t="inlineStr">
        <is>
          <t>Atlanta, GA</t>
        </is>
      </c>
      <c r="H78" t="inlineStr"/>
      <c r="I78" t="inlineStr">
        <is>
          <t>The application window will be open until at least January 29, 2026\. This opportunity will remain online based on business needs which may be before or after the specified date.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**Reston, VA, USA; Atlanta, GA, USA; Austin, TX, USA; Addison, TX, USA; Kirkland, WA, USA; Thornton, CO, USA** 
 .
 **Minimum qualifications:**
* Bachelor’s degree in Real Estate, Engineering, Construction Management or a related field, or equivalent practical experience.
* 2 years of experience in managing cross\-functional programs.
* 2 years of experience in program management or planning for data center infrastructure and real estate development or a similar industry.
**Preferred qualifications:**
* Experience maintaining complex project trackers or dashboards, and proficiency in using data to identify trends.
* Familiarity with data center infrastructure components (Power, Cooling, Shell/Core) or construction lifecycles.
* Ability to drive outcomes and manage dependencies in a complex environment.
* Ability to tailor communications to different audiences, ensuring technical details are understood by non\-technical partners.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the Delivery Program Manager, you will be responsible for managing the lifecycle and tracking of infrastructure assets (Land, Power, Network, and Construction) for an assigned region. You will bridge the gap between strategic planning and on\-the\-ground execution.
 You will manage the tracking of milestones against the Plan of Record for a specific set of sites. You will be responsible for maintaining data accuracy to ensure leadership has visibility into progress, risks, and constraints. You will require close collaboration with cross\-functional partner teams in a matrixed environment to resolve operational issues and ensure projects progress according to schedule.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Track critical milestones and lead times, adjusting schedules to ensure all assets are delivered on time against the approved plan.
* Identify constraints and plan deviations, communicating risks to stakeholders before they impact the critical path or project timelines.
* Maintain high data accuracy through regular system updates and deliver standardized status reports for executive and partner reviews.
* Define and collect key data points to measure program health, providing full transparency into progress, changes, or potential delays.
* Serve as the primary point of contact to resolve daily blockers and build stakeholder relationships that facilitate faster decision\-making and role clarity.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9">
      <c r="A79" t="inlineStr">
        <is>
          <t>li-4365293524</t>
        </is>
      </c>
      <c r="B79" t="inlineStr">
        <is>
          <t>Program Manager, Strategic Partnerships and Development &amp;amp; Executive Office</t>
        </is>
      </c>
      <c r="C79" t="inlineStr">
        <is>
          <t>A Hiring Company</t>
        </is>
      </c>
      <c r="D79" t="inlineStr">
        <is>
          <t>linkedin</t>
        </is>
      </c>
      <c r="E79">
        <f>HYPERLINK("https://www.linkedin.com/jobs/view/4365293524", "https://www.linkedin.com/jobs/view/4365293524")</f>
        <v/>
      </c>
      <c r="F79" t="inlineStr"/>
      <c r="G79" t="inlineStr">
        <is>
          <t>Washington, DC</t>
        </is>
      </c>
      <c r="H79" t="inlineStr"/>
      <c r="I79" t="inlineStr">
        <is>
          <t>**ABOUT NAFSA: Association of International Educators** 
 With more than 10,000 members, NAFSA: Association of International Educators is the largest and most comprehensive association of professionals committed to advancing international higher education. Based in the United States, we provide programs, products, services, and a physical and virtual meeting space for the worldwide community of international educators. The association provides leadership to its varied constituencies through establishing principles of good practice and providing professional development opportunities. NAFSA encourages networking among professionals, convenes conferences and collaborative dialogues, and promotes research and knowledge creation to strengthen and serve the field. We lead the way in advocating for a better world through international education.
 NAFSA believes that international education advances learning and scholarship, fosters understanding and respect among people of diverse backgrounds and perspectives, is essential for developing globally competent individuals, and builds leadership for the global community. We believe that international education lies at the core of an interconnected world characterized by peace, security, and well\-being for all.
**POSITION SUMMARY** 
 The Program Manager, Strategic Partnerships and Development \&amp; Executive Office managers the operational, financial, and programmatic functions of the Strategic Partnerships and Development (SP\&amp;D) portfolio while also supporting the Executive Office with administrative and project management responsibilities.
 This cross\-functional role focuses on partnership tracking, donor engagement, conference logistics, and executive support to ensure seamless alignment between NAFSA’s fundraising, partnership, and organizational leadership priorities.
**ESSENTIAL FUNCTIONS** 
**Program \&amp; Partnership Operations (30%)** 
* Manage partnership logistics for the Annual Conference and year\-round engagement. This includes the Global Partnership Program (GPP) Annual Conference exhibitors, and sponsor and marketing deliverables
* Collaborate on partner communications, monthly newsletters, and stewardship materials.
* Oversee SP\&amp;D team operations, including shared drives, CRM updates, and dashboards
* Track partner benefits and ensure delivery of commitments across NAFSA programs.
**Financial \&amp; Administrative Coordination (15%)** 
* Process and reconcile invoices, deposits, and payments related to partnerships, sponsorships, and exhibits
* Maintain accurate financial and contractual records within NAFSA’s CRM and finance systems
* Generate regular reports and analytics to track revenue, partner activity, and engagement outcomes
* Support SP\&amp;D and Finance teams in ensuring data integrity and audit readiness.
**Donor Engagement \&amp; New Century Circle (NCC) Coordination (15%)** 
* Serve as the primary liaison for the NCC giving circle, managing renewals, acknowledgements, and member communications
* Lead NCC events and recognition activities, including conference receptions and donor briefings
* Oversee NCC’s annual giving calendar and help steward relationships with major donors and board\-affiliated contributors
* Maintain donor records and engagement tracking in the CRM
* Represent NAFSA at meetings and various events as needed
**Executive Office \&amp; Board Support (30%)** 
* Provide project management and administrative support to the Executive Office, including initiatives related to the CEO and Board of Directors
* Collaborate with Executive Office for board meetings and executive engagements through milestone tracking, deliverables coordination, logistics management, and day\-of execution support.
* Develop and maintain standard operating procedures for executive processes
* Conduct research and draft background materials for briefings, speeches and others as needed
* Support the integration of ex\-officio board members into NCC giving initiatives
* Uphold the highest level of discretion and confidentiality across all work products, assignments, communications and scheduling data.
* Provide back\-up support for the Executive Assistant as needed
**Cross\-Departmental Projects \&amp; Innovation (5%)** 
* Assist with implementation of key organizational initiatives such as OGSP 2\.0, and other strategic projects
* Explore and apply AI tools and digital systems to enhance workflow and scheduling efficiency
* Support organizational knowledge management and process improvement efforts
**Other duties as assigned (5%)**</t>
        </is>
      </c>
    </row>
    <row r="80">
      <c r="A80" t="inlineStr">
        <is>
          <t>li-4345979235</t>
        </is>
      </c>
      <c r="B80" t="inlineStr">
        <is>
          <t>Senior Product Owner, Human Capital Management (HCM) Services</t>
        </is>
      </c>
      <c r="C80" t="inlineStr">
        <is>
          <t>American Society of Clinical Oncology (ASCO)</t>
        </is>
      </c>
      <c r="D80" t="inlineStr">
        <is>
          <t>linkedin</t>
        </is>
      </c>
      <c r="E80">
        <f>HYPERLINK("https://www.linkedin.com/jobs/view/4345979235", "https://www.linkedin.com/jobs/view/4345979235")</f>
        <v/>
      </c>
      <c r="F80" t="inlineStr"/>
      <c r="G80" t="inlineStr">
        <is>
          <t>Alexandria, VA</t>
        </is>
      </c>
      <c r="H80" t="inlineStr"/>
      <c r="I80" t="inlineStr">
        <is>
          <t>**Are you interested in making a world of difference in cancer care?** 
 Cancer strikes more than 10 million people worldwide each year. As the leading medical society representing doctors who care for people with cancer, the American Society of Clinical Oncology (ASCO) is committed to conquering cancer through research, education, and promotion of the highest quality care.
**Who we are:** 
 ASCO is a flexible, high\-performance membership organization where employees collaborate to support our mission through evidence, care, and impact. Together with Conquer Cancer, the ASCO Foundation, we foster a culture that prioritizes customer\-centricity, emphasizes teamwork, and commits to quality. Our culture, ASCO Works – Our Way of Working, has long enabled workplace flexibility and embraced technology to help us achieve balance.
 ASCO offers competitive salaries, an excellent benefits package, and opportunities to participate in professional development programs. To learn what it’s like to work at ASCO, click here.
**Who we are looking for:** 
 ASCO is in search of a Senior Product Owner to lead product definition and delivery, acting as the voice of the customer for the ASCO’s workforce, talent, and transactional management systems. This role is responsible for partnering with the HCM business stakeholders, Enterprise Business System (EBS) squad, and the Portfolio Leader to define and execute on the product roadmap for Workday HCM and other potential systems supporting HCM.
 The successful candidate will possess strong domain expertise in modern HCM practices, SAFe principles, and effectively collaborate with HR, Finance, and Legal teams to drive operational efficiencies and improve employee experience.
 Remote candidates welcome or at primary location in Alexandria, VA.
**Responsibilities**
* Act as the voice of the customer to prioritize product backlog epics, features, and stories for Workday HCM (or equivalent HCM systems) focusing on Core HR functions, Recruiting, Learning, Talent Management, Benefits, Payroll, and Employee Time and Expense modules. This includes owning stories related to system configuration, security role management, and functional reporting capabilities.
* Partner with the business analysts to draft concise epics, features, stories and ensure all required metadata is captured to enable an accurate product roadmap and reporting.
* Ensure the operational integrity and compliance of Payroll and Time Tracking processes, translating complex legislative and regulatory changes into actionable backlog items for the squad.
* Draft well defined user stories and work with the engineering team to create acceptance criteria, definitions of done and failures.
* Manage the technical integrity and interoperability of the HCM platform within the enterprise ecosystem. This includes owning and prioritizing technical stories necessary for seamless and secure data exchange with the Oracle Financial Cloud and Enterprise Performance Planning platforms, external payroll and benefits vendors, and OKTA user provisioning.
* Actively participate in delivery squad ceremonies (Sprint Planning, Daily Stand\-ups, Sprint Review, Sprint Retrospective), and portfolio\-level events (quarterly planning, enterprise\-level retrospective and innovation ceremonies, system demos).
* Work with the Portfolio Leader and HR and Finance stakeholders to measure and track the value delivered to the customers, focusing on user adoption and operational efficiencies.
* Contribute to the portfolio\-level product roadmap by drafting “Ideas” in the lean business case format in the Jira Product Discovery board for roadmap consideration based on customer insights.
* Partner with the Portfolio Leader, Finance product owners, business stakeholders, and squad to prepare for the quarterly planning events as well as enterprise\-level retrospective ceremonies.
* Define, validate and support user acceptance testing, particularly for new Workday release and Oracle HCM updates,
* Participate in release planning, coordinating with relevant teams, including the HR and Finance functional teams to ensure successful product launches and iterations.
**Required Education and Experience**
* Bachelor’s degree or equivalent years of experience as a Product Owner, Functional Consultant, or Business Analyst supporting Workday HCM or Oracle Cloud HCM
* 5 years of hands\-on experience in Workday HCM, Oracle HCM, or a comparable tier\-one HCM commercial\-off\-the\-shelf platform, including system configuration, implementation, and support, with proven knowledge of payroll and time and expense
* Experience in Agile ways of working, SAFe, Scrum, Disciplined Agile Delivery (DAD), project management, and process improvement
* Strong ability to articulate concepts, plans and facilitate working sessions with cross functional teams
* 5 \+ years of experience in working with cross functional global teams
* Hands on experience with product management tools such as Jira, Jira Product Discovery, Confluence and other similar platforms
**Preferred Education and Experience**
* SAFe Product Owner/Product Manager (POPM) certification
* Experience ensuring data compliance and security standards, especially concerning sensitive HR and PHI data
* Experience with SAAS, PAAS, mobile apps, back\-office systems, hardware, and services and various product categories a plus
* Experience building custom reports and integrations and supporting the growth and development of data analytics tools
**Competencies**
* Strong facilitation, communication and presentation skills
* Ability to manage competing priorities and deliver value in complex environments
* General knowledge of privacy compliance
* Strong analytical, troubleshooting, and technical understanding
* Passion for creating best\-in\-class products and experiences, driving proven customer value
* Ability to lead without direct authority and influence stakeholders to align on the product vision and objectives
* Ability to synthesize business needs and communicate requirements effectively across technical and non\-technical audiences
* Ability to think critically and solve multifaceted challenges/opportunities, analyze and solve complex problems
* Understand business goals, market trends, and customer needs
* Excellent time management and prioritization skills
* Strong interpersonal and customer service skills
**ADA/Physical Requirements**
 Must lift up to 30 lbs.
 Extended periods seated or standing at a desk
 High use of computer and other office technology equipment
**Travel**
 11\-20 days/yr
**Generous Benefits Package:** 
* Hybrid Work Environment
* Open Leave Policy
* Paid Family Leave
* 13 Paid Holidays per Calendar Year
* Staff Appreciation Days
* 401(k): 7\.5% Employer Contribution
* Medical/Dental/Vision
* Employee Assistance Program
* Fertility and Family Forming
* Healthcare Concierge
* Flexible Spending Account(s)
* Healthcare Savings Account
* Disability and Life Insurance
 Applications are accepted and reviewed on a rolling basis. The job posting will remain active throughout the candidate application evaluation process.
 The American Society of Clinical Oncology (ASCO) is an Equal Employment Opportunity (EEO) employer. It is the policy of the Company to provide equal employment opportunities to all qualified applicants without regard to race, color, national origin, sex, and religion.</t>
        </is>
      </c>
    </row>
    <row r="81">
      <c r="A81" t="inlineStr">
        <is>
          <t>li-4362546871</t>
        </is>
      </c>
      <c r="B81" t="inlineStr">
        <is>
          <t>Technical Program Manager III, Software Engineering, Cloud Business Platform</t>
        </is>
      </c>
      <c r="C81" t="inlineStr">
        <is>
          <t>Google</t>
        </is>
      </c>
      <c r="D81" t="inlineStr">
        <is>
          <t>linkedin</t>
        </is>
      </c>
      <c r="E81">
        <f>HYPERLINK("https://www.linkedin.com/jobs/view/4362546871", "https://www.linkedin.com/jobs/view/4362546871")</f>
        <v/>
      </c>
      <c r="F81">
        <f>HYPERLINK("https://careers.google.com/jobs/results/74163612683248326-technical-program-manager-iii/?src=Online/LinkedIn/linkedin_us&amp;utm_source=linkedin&amp;utm_medium=jobposting&amp;utm_campaign=contract&amp;urlHash=wRkO", "https://careers.google.com/jobs/results/74163612683248326-technical-program-manager-iii/?src=Online/LinkedIn/linkedin_us&amp;utm_source=linkedin&amp;utm_medium=jobposting&amp;utm_campaign=contract&amp;urlHash=wRkO")</f>
        <v/>
      </c>
      <c r="G81" t="inlineStr">
        <is>
          <t>Sunnyvale, CA</t>
        </is>
      </c>
      <c r="H81" t="inlineStr"/>
      <c r="I81" t="inlineStr">
        <is>
          <t>**Minimum qualifications:**
* Bachelor's degree or equivalent practical experience.
* 5 years of experience in program management.
* Experience leading software development programs.
**Preferred qualifications:**
* 5 years of experience managing cross\-functional or cross\-team projects.
* Experience with enterprise sales and compensation motions.
* Experience in helping teams measure and improve operational excellence, product excellence, and accessibility.
* Experience in Agile methodology.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Google Cloud Business Platform teams are responsible for building and maintaining the engagement platforms that ensure information is consumed and processed in timely and efficient manners. The team leverages technologies that deliver a scalable, reliable, and extensible platform for direct, resellers, and marketplace users that can be easily adapted to the fast\-changing landscape of Google Cloud.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cross\-functional teams (e.g., Business Platform Product Management and Engineering) to shape the goals, strategy, and roadmap for Google Cloud.
* Analyze processes, identify opportunities for improvement, and define requirements through global cross\-functional partnerships.
* Assist product and engineering teams to measure and improve product excellence.
* Identify areas of opportunity for process improvement and solutions, encourage best practices with global stakeholders to deliver a positive experience to customers.
* Drive improvements to the technical programs by capturing and sharing best practices learned from customer engagements.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2">
      <c r="A82" t="inlineStr">
        <is>
          <t>li-4362624656</t>
        </is>
      </c>
      <c r="B82" t="inlineStr">
        <is>
          <t>Program Manager</t>
        </is>
      </c>
      <c r="C82" t="inlineStr">
        <is>
          <t>Schneider Electric</t>
        </is>
      </c>
      <c r="D82" t="inlineStr">
        <is>
          <t>linkedin</t>
        </is>
      </c>
      <c r="E82">
        <f>HYPERLINK("https://www.linkedin.com/jobs/view/4362624656", "https://www.linkedin.com/jobs/view/4362624656")</f>
        <v/>
      </c>
      <c r="F82" t="inlineStr"/>
      <c r="G82" t="inlineStr">
        <is>
          <t>Louisville, KY</t>
        </is>
      </c>
      <c r="H82" t="inlineStr"/>
      <c r="I82" t="inlineStr">
        <is>
          <t>For this U.S. based position, the expected compensation range is $96,000 \- $144,000 per year, which includes base pay and short\-term incentive.
 The compensation range for this full\-time position applies to candidates located within the United States. Our salary ranges are determined by reviewing roles of similar responsibility and level. Within the salary range, individual pay is determined by several factors including performance, knowledge, job\-related skills, experience, and relevant education or training. Schneider Electric also offers a comprehensive benefits package to support our employees, inclusive of medical (with member reward points), dental, vision, and basic life insurance, Benefit Bucks (credits to apply towards your benefits) flexible work arrangements, paid family leaves, 401(k) \+ match, well\-being and recognition (including service anniversary) programs, 12 holidays per year, XX days of paid time off per year (pro\-rated in the first year of employment based on start date), opportunity to purchase company stock (eligibility depends on start date), and military leave benefits.
 You must submit an online application to be considered for the position. The Company will accept applications on an ongoing basis until the position is filled.
 Join our dynamic Client Management team as a
 **Program Manager** 
 , a senior client\-facing leader driving strategic alignment, executive partnership, program governance, and cross\-functional coordination across complex, high‑impact accounts. While our preferred location is our Louisville, KY Center of Excellence, we also welcome candidates for consideration in other SE Hub locations including Boston, MA; Dallas, TX; Boulder, CO; and Nashville, TN.
**What will you do:** 
* Lead strategic engagement on high\-priority accounts and strengthen executive\-level relationships
* Oversee complex program delivery and ensure strong cross\-functional alignment
* Drive renewal strategy and identify targeted up\-sell/cross\-sell opportunities
* Anticipate risks, resolve escalations, and ensure a best\-in\-class client experience
* Monitor financial performance and program health while mentoring supporting team members
**What will make you successful:** 
* Proven track record in field sales and account management, particularly in energy services
* Project management capabilities, including the use of Gantt Charts
* Ability to work collaboratively across departments and to delegate tasks to team members
* A proven history of delivering outstanding customer service, both internally and externally
* Sharp analytical skills and meticulous attention to detail
* Excellent verbal and written communication skills
**Qualifications:** 
* A bachelor's degree and at least 5 years of experience with direct customer interaction in sales or client relations
* A minimum of 2 years experience managing energy supply or sustainability services with a customer
* Proven experience working with C\-suite executives
* Digital proficiency, including Word, Excel, and PowerPoint, as well as the ability to employ AI tools for enhanced efficiency
* A strong alignment with our company's mission and values
**Let us learn about you!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83">
      <c r="A83" t="inlineStr">
        <is>
          <t>li-4318087258</t>
        </is>
      </c>
      <c r="B83" t="inlineStr">
        <is>
          <t>Security Technical Program Manager</t>
        </is>
      </c>
      <c r="C83" t="inlineStr">
        <is>
          <t>Snap Inc.</t>
        </is>
      </c>
      <c r="D83" t="inlineStr">
        <is>
          <t>linkedin</t>
        </is>
      </c>
      <c r="E83">
        <f>HYPERLINK("https://www.linkedin.com/jobs/view/4318087258", "https://www.linkedin.com/jobs/view/4318087258")</f>
        <v/>
      </c>
      <c r="F83" t="inlineStr"/>
      <c r="G83" t="inlineStr">
        <is>
          <t>Seattle, WA</t>
        </is>
      </c>
      <c r="H83" t="inlineStr"/>
      <c r="I8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an experienced and driven Senior Security Technical Program Manager to join Snap's Security Governance, Risk, and Compliance (GRC) Team. This pivotal role is focused on establishing a mature, enterprise\-wide cybersecurity framework essential for protecting our global user base, employees, and partners. You'll be instrumental in driving high\-impact security initiatives and building the next generation of GRC technology at Snap.
 What you’ll do:
* Make security and privacy the default: build processes that simplify compliance and embed essential safeguards into every product decision, release cycle, and workflow.
* Partner with teams across the company to drive adoption of security best\-practices, tools, services, or architectures, in a measurable and reportable fashion
* Build clearly defined company wide security and privacy centric programs with high degrees of adoption
* Develop and generate metrics to drive actionable insights into those programs
* Deliver on opportunities to optimize/automate manual or inefficient processes
* Take on major projects with no direction or oversight, removing ambiguity and ensuring the program or project is successful
* Collaborate with multiple internal security teams and product groups
 Knowledge, skills, \&amp; abilities:
* Depth of security experience and familiarity with a broad range of information security concepts and principles.
* Proven experience of running critical programs within a security field
* Experience working with engineers, driving large security projects that have had a proven impact
* Exceptional verbal and written communication skills, with mastery in the ability to tailor the message to the audience
* Experience influencing teams and other cross\-functional stakeholders to drive security programs
 Minimum qualifications:
* Bachelor's degree in computer science or a related technical field or equivalent experience
* 6\+ years of experience in security advisory space, technical program management or security solution delivery
 Preferred Qualifications:
* Experience with with NIST CSF 2\.0, NIS2, or ISO 27001
* Experience with CISSP, CISM, CCSP or similar certifications a plus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$190,000\-$284,000 annually.
 Zone B:
 The base salary range for this position is $181,000\-$270,000 annually.
 Zone C:
 The base salary range for this position is $162,000\-$241,000 annually.
 This position is eligible for equity in the form of RSUs.</t>
        </is>
      </c>
    </row>
    <row r="84">
      <c r="A84" t="inlineStr">
        <is>
          <t>li-4362690460</t>
        </is>
      </c>
      <c r="B84" t="inlineStr">
        <is>
          <t>Program Manager I, Maintenance Planner, Data Center Operations</t>
        </is>
      </c>
      <c r="C84" t="inlineStr">
        <is>
          <t>Google</t>
        </is>
      </c>
      <c r="D84" t="inlineStr">
        <is>
          <t>linkedin</t>
        </is>
      </c>
      <c r="E84">
        <f>HYPERLINK("https://www.linkedin.com/jobs/view/4362690460", "https://www.linkedin.com/jobs/view/4362690460")</f>
        <v/>
      </c>
      <c r="F84">
        <f>HYPERLINK("https://careers.google.com/jobs/results/104014330101408454-program-manager-i/?src=Online/LinkedIn/linkedin_us&amp;utm_source=linkedin&amp;utm_medium=jobposting&amp;utm_campaign=contract&amp;urlHash=gP-e", "https://careers.google.com/jobs/results/104014330101408454-program-manager-i/?src=Online/LinkedIn/linkedin_us&amp;utm_source=linkedin&amp;utm_medium=jobposting&amp;utm_campaign=contract&amp;urlHash=gP-e")</f>
        <v/>
      </c>
      <c r="G84" t="inlineStr">
        <is>
          <t>Columbus, OH</t>
        </is>
      </c>
      <c r="H84" t="inlineStr"/>
      <c r="I84" t="inlineStr">
        <is>
          <t>Note: By applying to this position you will have an opportunity to share your preferred working location from the following:
 **Kansas City, MO, USA; Columbus, OH, USA; Muskogee, OK, USA; West Memphis, AR, USA** 
 .
 **Minimum qualifications:**
* Bachelor's degree or equivalent practical experience.
* 1 year of program management experience.
* Experience in maintenance planning and scheduling.
* Experience working with a CMMS (Computerized Maintenance Management System).
**Preferred qualifications:**
* Knowledge of facility electrical, mechanical, and HVAC systems.
* Ability to develop long\-term strategic maintenance plans and forecasts.
* Ability to communicate with internal customers and external parties, and address any issues.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Data Center Maintenance Planner Program Manager, you will be responsible for the effective execution of all planning and scheduling of maintenance work and control processes. You will work with the site supervisors and technicians to manage work priority, develop job plans, define parts and material, define trades and skills, and engage the proper resources to develop a safe, effective, and efficient work control plan. In addition, you will provide the equipment related expertise and technical guidance on improving preventive maintenance activities. In this role, you will be responsible for the use and administration of the Computerized Maintenance Management System (CMMS) program at a site level.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the flow of all maintenance work orders by working with Data Center Operations teams and vendors.
* Be responsible for the planning and scheduling of technicians and parts needed to perform maintenance activities.
* Collaborate with facility management in the development and maintenance of schedules and resource leveling by utilizing the site CMMS program.
* Establish and maintain CMMS equipment files, parts inventory, equipment bill of materials, and program manager schedules.
* Manage the process of launching a CMMS solution at the site level used in the daily operation of our data centers.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5">
      <c r="A85" t="inlineStr">
        <is>
          <t>li-4362660935</t>
        </is>
      </c>
      <c r="B85" t="inlineStr">
        <is>
          <t>Program Manager</t>
        </is>
      </c>
      <c r="C85" t="inlineStr">
        <is>
          <t>Ascension</t>
        </is>
      </c>
      <c r="D85" t="inlineStr">
        <is>
          <t>linkedin</t>
        </is>
      </c>
      <c r="E85">
        <f>HYPERLINK("https://www.linkedin.com/jobs/view/4362660935", "https://www.linkedin.com/jobs/view/4362660935")</f>
        <v/>
      </c>
      <c r="F85" t="inlineStr"/>
      <c r="G85" t="inlineStr">
        <is>
          <t>Indianapolis, IN</t>
        </is>
      </c>
      <c r="H85" t="inlineStr"/>
      <c r="I85" t="inlineStr">
        <is>
          <t>Details
* Department: Maternal Medicine
* Schedule: Monday \- Friday day shift
* Hospital: AMG Township Line
* Location: Indianapolis, IN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*Benefit options and eligibility vary by position. Compensation varies based on factors including, but not limited to, experience, skills, education, performance, location and salary range at the time of the offer.*
**Responsibilities**
 Manage assigned program(s) to meet business objectives.
* Manage program team to achieve goals.
* Develop program goals and infrastructure to align with defined business development strategies and partnerships.
* Manage program through creating program plans, management tools and reporting capabilities.
* Recommend program budget and monitor and adjust plan as resource requirements change.
* Communicate and document program quality outcomes and progress metrics.
* Serve as liaison between programs, other internal departments and external partners.
* Provide orientation, training, coaching, and mentoring to staff.
* Complete performance evaluations and handle disciplinary actions.
**Requirements**
 Education:
* High School diploma equivalency with 3 years of cumulative experience OR Associate's degree/Bachelor's degree with 2 years of cumulative experience OR 7 years of applicable cumulative job specific experience required.
* 3 years of leadership or management experience preferred.
 Additional Preferences
 Managerial experience; Team Building experience; Customer service experience; 3 years Medical Office experience; Staffing, Day to day operations of fast pace medical offices; Multiple site
 Why Join Our Team
 Ascension St. Vincent in Indiana has been providing rewarding careers in healthcare for over 148 years. With 24 hospitals throughout the greater Indianapolis and Evansville areas, Ascension St. Vincent offers careers in a wide range of services including acute and long\-term care, bariatrics, cancer care, cardiovascular services, emergency services, neuroscience, orthopedics, pediatric services, primary and urgent care, women's health services and more.
 Ascension is a leading non\-profit, faith\-based national health system made up of over 134,000 associates and 2,600 sites of care, including more than 140 hospitals and 40 senior living communities in 19 states.
 Our Mission, Vision and Values encompass everything we do at Ascension. Every associate is empowered to give back, volunteer and make a positive impact in their community. Ascension careers are more than jobs; they are opportunities to enhance your life and the lives of the people around you.
 Equal Employment Opportunity Employer
 Ascension provides Equal Employment Opportunities (EEO) to all associates and applicants for employment without regard to race, color, religion, sex/gender, sexual orientation, gender identity or expression, pregnancy, childbirth, and related medical conditions, lactation, breastfeeding, national origin, citizenship, age, disability, genetic information, veteran status, marital status, all as defined by applicable law, and any other legally protected status or characteristic in accordance with applicable federal, state and local laws.
 For further information, view the EEO Know Your Rights (English) poster or EEO Know Your Rights (Spanish) poster.
 As a military friendly organization, Ascension promotes career flexibility and offers many benefits to help support the well\-being of our military families, spouses, veterans and reservists. Our associates are empowered to apply their military experience and unique perspective to their civilian career with Ascension.
 Please note that Ascension will make an offer of employment only to individuals who have applied for a position using our official application. Be on alert for possible fraudulent offers of employment. Ascension will not solicit money or banking information from applicants.
 E\-Verify Statement
 This employer participates in the Electronic Employment Verification Program. Please click the E\-Verify link below for more information.
 E\-Verify</t>
        </is>
      </c>
    </row>
    <row r="86">
      <c r="A86" t="inlineStr">
        <is>
          <t>li-4358580117</t>
        </is>
      </c>
      <c r="B86" t="inlineStr">
        <is>
          <t>U.S. Benefits Program Manager</t>
        </is>
      </c>
      <c r="C86" t="inlineStr">
        <is>
          <t>AngloGold Ashanti North America</t>
        </is>
      </c>
      <c r="D86" t="inlineStr">
        <is>
          <t>linkedin</t>
        </is>
      </c>
      <c r="E86">
        <f>HYPERLINK("https://www.linkedin.com/jobs/view/4358580117", "https://www.linkedin.com/jobs/view/4358580117")</f>
        <v/>
      </c>
      <c r="F86" t="inlineStr"/>
      <c r="G86" t="inlineStr">
        <is>
          <t>Englewood, CO</t>
        </is>
      </c>
      <c r="H86" t="inlineStr"/>
      <c r="I86" t="inlineStr">
        <is>
          <t>Website: www.anglogoldashanti.com
**Summary / Objective Of Role**
 The U.S. Benefits Program Manager is responsible for the strategic design, implementation, and administration of U.S. employee benefits programs. This role provides end\-to\-end ownership of health, life, disability, and retirement plans, including vendor management, regulatory compliance, and employee communications. The position ensures benefits programs are competitive, cost\-effective, compliant, and clearly understood across the U.S. employee population, while supporting broader total rewards and organizational objectives.
**Core Responsibilities**
* Lead the design, implementation, and ongoing management of U.S. benefits programs in alignment with organizational strategy and regulatory requirements.
* Provide program\-level oversight of benefits vendors and partners, ensuring service excellence, cost efficiency, and compliance with contractual and regulatory standards.
* Develop and execute comprehensive benefits communication strategies, including educational content, enrollment materials, and training sessions to enhance employee understanding and engagement.
* Manage the full benefits program lifecycle, including annual open enrollment, qualifying life events, eligibility changes, and escalated employee inquiries.
* Analyze benefits utilization, cost trends, and benchmarking data; deliver insights and recommendations to inform plan design, budgeting, and vendor strategy.
* Oversee benefits compliance activities, including plan audits, Form 5500 filings, ACA reporting, and ongoing monitoring of federal and state regulatory changes.
* Ensure accuracy and integrity of benefits data within HRIS and benefits administration platforms; resolve complex benefit issues with a customer\-focused approach.
* Partner cross\-functionally with HR, Payroll, Finance, Legal, and external consultants to support total rewards initiatives, well\-being programs, and HR technology enhancements.
**Key Competencies \&amp; Skills**
* Strategic \&amp; Analytical Thinking – Leverages data, benchmarking, and trend analysis to drive program improvements and informed decision\-making.
* Attention to Detail – Ensures accuracy in plan documentation, compliance filings, and vendor deliverables.
* Collaboration \&amp; Influence – Builds strong partnerships with internal stakeholders and external vendors to advance program goals.
* Clear Communication – Effectively translates complex benefits information for employees, leaders, and business partners.
* Adaptability – Thrives in evolving environments with changing regulations, priorities, and technologies.
* Problem\-Solving – Identifies issues proactively and implements scalable, sustainable solutions.
* Employee\-Centric Mindset – Delivers a high\-quality benefits experience through responsive, knowledgeable support.
**Education \&amp; Qualifications**
* Bachelor’s degree in Human Resources, Business Administration, Finance, or a related field.
* Minimum of 5 years of progressive experience managing U.S. benefits programs.
* Demonstrated experience overseeing multiple benefit plans and vendor relationships with a high degree of accuracy and accountability.
* Strong record of maintaining confidentiality and exercising sound judgment.
* Proven ability to collaborate and influence across functions and levels.
**Required General Knowledge \&amp; Experience**
* Experience within mining, natural resources, or similarly structured global or field\-based industries.
* CEBS or other benefits\-related certification preferred.
* Proficiency with HRIS platforms (e.g., SuccessFactors) and benefits administration systems.
* Experience supporting benefits compliance within a publicly traded or highly regulated environment.
 CONDITIONS OF EMPLOYMENT
 This is a full\-time position. Standard work hours are Monday through Friday, 8:00 a.m. to 5:00 p.m. Evening or weekend work may be required based on business or operational needs.
**Compensation**
 Base Salary Range: $120,000 – $150,000
**Benefits**
 Bonus Program; Medical, Dental, Vision, and Prescription Insurance; Flexible Spending Accounts; 401(k) with company match; Employee Assistance Program; Disability Insurance; Paid Time Off; Paid Holidays.
**AngloGold Ashanti Limited**
 Reg No: 1944/017354/06
**EQUAL OPPORTUNITY STATEMENT**
 AngloGold Ashanti North America Inc. provides equal employment opportunities to all employees and applicants for employment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87">
      <c r="A87" t="inlineStr">
        <is>
          <t>li-4362507399</t>
        </is>
      </c>
      <c r="B87" t="inlineStr">
        <is>
          <t>Program Manager III, Investment Governance and Analytics, Cloud Networking</t>
        </is>
      </c>
      <c r="C87" t="inlineStr">
        <is>
          <t>Google</t>
        </is>
      </c>
      <c r="D87" t="inlineStr">
        <is>
          <t>linkedin</t>
        </is>
      </c>
      <c r="E87">
        <f>HYPERLINK("https://www.linkedin.com/jobs/view/4362507399", "https://www.linkedin.com/jobs/view/4362507399")</f>
        <v/>
      </c>
      <c r="F87" t="inlineStr"/>
      <c r="G87" t="inlineStr">
        <is>
          <t>Thornton, CO</t>
        </is>
      </c>
      <c r="H87" t="inlineStr"/>
      <c r="I87" t="inlineStr">
        <is>
          <t>The application window will be open until at least January 29th, 2026\. This opportunity will remain online based on business needs which may be before or after the specified date.
 Note: By applying to this position you will have an opportunity to share your preferred working location from the following:
 **New York, NY, USA; Atlanta, GA, USA; Thornton, CO, USA** 
 .
 **Minimum qualifications:**
* Bachelor's degree or equivalent practical experience.
* 5 years of experience in program or project management.
* Experience with performing financial governance and analysis (ex. budget variance analysis, spend\-to\-plan reporting, investment governance, etc.).
* Experience with network infrastructure programs (ex. fiber optic deployment, submarine cable systems, or terrestrial network construction).
**Preferred qualifications:**
* 5 years of experience managing cross\-functional or cross\-team projects.
* Experience leading, motivating, and influencing various teams effectively, even without direct authority.
* Knowledge of technical infrastructure concepts, system design, and the software/hardware development lifecycle.
* Excellent organizational skills, including the ability to use project artifacts (e.g., RAID logs, RACI matrices) and productivity tools.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within the Global Infrastructure and Energy Investment Governance team, you will be instrumental in managing the planning, acquisition, and delivery of critical infrastructure assets that enable and connect Google's Data Centers to users worldwide. This role involves strategic business planning, budgeting, and investment analysis for a global infrastructure portfolio. You will collaborate with various teams to establish robust governance processes, optimize resource allocation, ensure tax compliance, and provide data\-driven insights for financial decisions.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financial governance across the global infrastructure and energy investment governance organization, including analysis of subsea and terrestrial network assets, energy, and land strategy.
* Deliver forecasts of capital and operating expenses on quarterly intervals in partnership with business leads, budget owners, and the finance organization.
* Analyze and organize large data sets and reports into clear and succinct summaries that drive critical business decisions.
* Identify high\-impact opportunities and address system/workflow gaps to foster continuous improvement and optimization.
* Implement and maintain a robust governance framework to support effective executive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8">
      <c r="A88" t="inlineStr">
        <is>
          <t>li-4365339141</t>
        </is>
      </c>
      <c r="B88" t="inlineStr">
        <is>
          <t>Program Manager</t>
        </is>
      </c>
      <c r="C88" t="inlineStr">
        <is>
          <t>L3Harris Technologies</t>
        </is>
      </c>
      <c r="D88" t="inlineStr">
        <is>
          <t>linkedin</t>
        </is>
      </c>
      <c r="E88">
        <f>HYPERLINK("https://www.linkedin.com/jobs/view/4365339141", "https://www.linkedin.com/jobs/view/4365339141")</f>
        <v/>
      </c>
      <c r="F88" t="inlineStr"/>
      <c r="G88" t="inlineStr">
        <is>
          <t>Clifton, NJ</t>
        </is>
      </c>
      <c r="H88" t="inlineStr"/>
      <c r="I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Program Management**
**Job Code: 30730**
**Job Location: Clifton, NJ**
**Job Description:**
 This Program Manager is responsible for directing the daily tasks and ongoing administrative functions of the program initiatives adhering to contractual obligations and subsequent reporting.
**Essential Functions:**
* Direct all phases of programs from inception through completion
* Drive program execution to achieve key business and financial objectives for orders, revenue recognition, operating income, and free cash flow for new, continuing, or current programs
* Responsible for the cost, schedule and technical performance of program
* Participate in the negotiation of contract and contract changes
* Responsible for analyzing bids and assisting in the development of WBS/Deliverables/Schedule/Cashflow forecast
* Coordinate the preparation of proposals, business plans, and performance Statement of Work (SOW) and specifications, operating budgets, and financial terms/conditions of contract
* Act as primary customer contact for program activities
* Lead program review sessions with customer to discuss cost, schedule, and technical performance to ensure seamless execution
* Effectively communicates with all levels of co\-workers, senior management, and customer
* Work with Functions assigned to the program from technical, manufacturing, and administrative areas to identify and assist in areas of improvement for systems and processes
* Travel up to 10% as needed
**Qualifications:**
* Bachelor’s Degree and a minimum of 4 years of prior relevant experience; Or, Graduate Degree and a minimum of 2 years of prior related experience; Or, in lieu of a degree, a minimum of 8 years of prior related experience
* Ability to obtain US Government security clearance
**Preferred Additional Skills:**
* Active DoD Secret (or greater) security clearance
* PMP (Program Management Professional) certified
* Aircraft Modification, Engineering/Sustainment, Planning, Procurement, Material Program Management, or Finance background is beneficial
* Proficiency in Microsoft Excel, Word, and Project
* Proficiency in Microsoft Office and SAP
* Strong and effective verbal, written and interpersonal communication skills
* Excellent time management skills and ability to generate and support pragmatic solutions while maintaining high quality standards
* Ability to present to internal and external leadership
 In compliance with pay transparency requirements, the salary range for this role in New Jersey state is $90,500\-$168,500\.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December 15, 2025\.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89">
      <c r="A89" t="inlineStr">
        <is>
          <t>li-4362515526</t>
        </is>
      </c>
      <c r="B89" t="inlineStr">
        <is>
          <t>Technical Program Manager</t>
        </is>
      </c>
      <c r="C89" t="inlineStr">
        <is>
          <t>Jobs via Dice</t>
        </is>
      </c>
      <c r="D89" t="inlineStr">
        <is>
          <t>linkedin</t>
        </is>
      </c>
      <c r="E89">
        <f>HYPERLINK("https://www.linkedin.com/jobs/view/4362515526", "https://www.linkedin.com/jobs/view/4362515526")</f>
        <v/>
      </c>
      <c r="F89" t="inlineStr"/>
      <c r="G89" t="inlineStr">
        <is>
          <t>Austin, TX</t>
        </is>
      </c>
      <c r="H89" t="inlineStr"/>
      <c r="I89" t="inlineStr">
        <is>
          <t>Dice is the leading career destination for tech experts at every stage of their careers. Our client, Andersen, Inc., is seeking the following. Apply via Dice today!
 Andersen is hiring a
 **Technical Program Manager** 
 to lead the development of a scalable insurance platform, coordinating teams and delivery to support policy issuance, management, and core insurance processes.
**The customer** 
 is an international insurance company operating across multiple countries, known for expertise in niche markets and commitment to high\-quality service. With strong governance and transparent practices, it promotes a culture of innovation, diversity, and continuous learning. Recent achievements, including record financial results and recognition for customer service, highlight its resilience and long\-term value creation.
**The project** 
 is focused on developing and enhancing an insurance platform that enables the customer to issue and manage insurance policies, supporting core insurance processes, and ensuring a reliable, scalable digital solution.
**Responsibilities:**
* Leading and governing large\-scale digital programmes across multiple workstreams (product, technology, operations, vendors).
* Owning programme planning, milestones, dependencies, budget, risks and delivery governance.
* Coordinating multiple delivery teams (product, engineering, architecture, UX, QA, vendors)
* Driving delivery of digital insurance brokerage and servicing platforms (customer and broker portals).
* Managing senior stakeholders across business, IT, architecture and operations.
* Ensuring alignment between business objectives, customer experience strategy and technical delivery.
* Overseeing transformation initiatives across the insurance lifecycle (quote, bind, policy servicing, renewals, claims).
* Establishing programme\-level KPIs, reporting and continuous improvement.
* Supporting vendor and third\-party platform integrations (policy admin systems, underwriting, claims).
**Must\-haves:**
* Experience in Programme or Senior Project Management roles for 5\+ years.
* Proven experience delivering digital customer experience platforms within insurance brokerage or insurance servicing.
* Strong knowledge of P\&amp;C (Property \&amp; Casualty) insurance products and processes.
* Experience managing complex, multi\-vendor and multi\-team programmes.
* Solid understanding of Agile/hybrid delivery models at scale.
* Strong stakeholder management skills, including executive\-level communication.
* Experience with insurance core systems and digital platforms.
* Excellent risk management, planning and governance skills.
* Level of English – from Upper\-Intermediate and above.
**Nice\-to\-haves:**
* Experience working with insurance policy administration systems (e.g. OneShield or similar).
* Background in insurance technology transformation programmes.
* Experience in regulated environments and financial services.
**Reasons why this job would be interesting to you:**
* Andersen cooperates with such companies as Siemens, Johnson \&amp; Johnson, AstraZeneca, BNP Paribas, Allianz, Ryanair, TUI, Verivox, Media Markt, etc..
* For the past four years, our company has been growing annually by 60–100%, and we constantly involve top\-notch specialists in our team.
* Andersen has mentoring and adaptation systems for new employees, and transparent performance review and assessment systems will allow you to determine your development path and plan your growth.
* The most important thing that we value in our employees is a commitment to continuous learning. The company supports them in this and gives them access to the best educational platforms, seminars, and practices. In addition, for over 19 years, Andersen has assembled a huge knowledge base and established a robust resource management institution.
* We have been strengthening our expertise since 2007\. During this time, we have formed excellent teams with streamlined processes, where you can learn something new from your colleagues every day and enjoy your work.
* We are a cool young team of like\-minded people communicating informally.
* You'll have a stable and competitive salary and an extensive benefits package.
* At Andersen, we have many different ways to grow. You can improve as a specialist or a manager, and all your activities will be decently rewarded.
 Join us!</t>
        </is>
      </c>
    </row>
    <row r="90">
      <c r="A90" t="inlineStr">
        <is>
          <t>li-4311355233</t>
        </is>
      </c>
      <c r="B90" t="inlineStr">
        <is>
          <t>Program Manager, Defense</t>
        </is>
      </c>
      <c r="C90" t="inlineStr">
        <is>
          <t>Bombardier</t>
        </is>
      </c>
      <c r="D90" t="inlineStr">
        <is>
          <t>linkedin</t>
        </is>
      </c>
      <c r="E90">
        <f>HYPERLINK("https://www.linkedin.com/jobs/view/4311355233", "https://www.linkedin.com/jobs/view/4311355233")</f>
        <v/>
      </c>
      <c r="F90" t="inlineStr"/>
      <c r="G90" t="inlineStr">
        <is>
          <t>Wichita, KS</t>
        </is>
      </c>
      <c r="H90" t="inlineStr"/>
      <c r="I90" t="inlineStr">
        <is>
          <t>*When applicable, Bombardier promotes flexible and hybrid work policies.*
**Why join us?**
 At Bombardier, we design, build and maintain the world’s peak\-performing aircraft for the world’s most discerning people and businesses, governments and militaries. We have been successful in setting the highest standards by putting our people at the heart of it all, and defining excellence, together.
 Working at Bombardier means operating at the highest level. Every day, you are part of a team that delivers superior experiences and products, pushing the boundaries of what's possible in our industry and beyond. By prioritizing employee growth and development, we empower everyone to reach their full potential on their own terms, because the best work happens when you are free to be yourself and share your unique expertise.
**Bombardier’s Benefits Program**
 With our employees’ well\-being top of mind, we offer a comprehensive and competitive Benefits Program, which includes the following:
* Insurance plans (Dental, medical, life insurance, disability, and more)
* Competitive base salary
* Retirement savings plan
* Employee Assistance Program
* Tele Health Program
**What are your contributions to the team?**
 At Bombardier, our employees work together to evolve mobility worldwide \- one good idea at a time. If you have a good idea, we will provide the environment where it will thrive and grow into a great product or customer experience. Your ideas are our fuel.
 This role is key to support Bombardier Defense Programs out of Toronto, Ontario, Montreal, Quebec or Wichita, Kansas. Reporting to the Manager, Bombardier Defense Programs \- the candidate will have the following responsibilities (but not limited to):
* Leads negotiations, proposal and commercial impact phases for contractual change management throughout the program execution
* Support the overall program execution of assigned accounts:
* Develop and track the detailed program schedule and milestones
* Track program requirements, scope, budget
* Perform continuous risk management
* Track and support Flight Test and aircraft modification;
* Track and support aircraft deliveries as required;
* Act as the face of the organization to external customers;
* Holds P\&amp;L oversight for assigned program and accountable for overall customer satisfaction;
* Ensure milestones are achieved per committed schedule and budget – ensuring proactive risk assessment and contingency management;
* Has intimate knowledge of contractual requirements for assigned program and ensures timely execution and administration to remain in compliance with such requirements;
* Prepare and lead weekly Program reviews; including internal executive reviews and external customer reviews;
* Coordinate with internal resources/stakeholders such as engineering, contracts, finance and logistics during program execution;
* Coordinate payment/invoicing;
* Manage program performance using appropriate systems, tools and techniques. Establish and manage program key performance indices.
**How to thrive in this role?**
* You hold a Bachelor's Degree in Engineering (or equivalent);
* You have a minimum of five (5\) years of experience in program management; or equivalent experience;
* You are team player with initiative and excellent communication skills;
* You have excellent customer\-facing skills and experience are required;
* You have the ability to effectively negotiate in\-line with business objectives;
* You are able to manage time and prioritize tasks effectively while working toward aggressive deadlines;
* You have a strong working knowledge of Bombardier's policies and processes;
* You have experience interfacing with operations.
* You have a strong technical knowledge of aircraft, aircraft systems and special mission equipment;
* You have knowledge of CGR, ITAR and previous experience in government and military flight operations exposure would be considered an asset;
* You may be required to travel and work extended hours when required;
* You are eligible to view and handle CGR material as well as be able to obtain a NATO Secret security clearance (as required).
**Now that you can see yourself in this role, apply and join the Bombardier Team!**
 Bombardier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age, disability status, veteran status, or any other characteristic protected by Federal, National, or Local Laws.
**Job** 
 Program Manager, Defense
**Primary Location** 
 Wichita, ADMN / MFG, Learjet
**Organization** 
 Learjet Inc
**Shift**
**Employee Status** 
 Regular
**Requisition** 
 9561 Program Manager, Defense</t>
        </is>
      </c>
    </row>
    <row r="91">
      <c r="A91" t="inlineStr">
        <is>
          <t>li-4362585433</t>
        </is>
      </c>
      <c r="B91" t="inlineStr">
        <is>
          <t>Sustainability Program Manager</t>
        </is>
      </c>
      <c r="C91" t="inlineStr">
        <is>
          <t>Crayola</t>
        </is>
      </c>
      <c r="D91" t="inlineStr">
        <is>
          <t>linkedin</t>
        </is>
      </c>
      <c r="E91">
        <f>HYPERLINK("https://www.linkedin.com/jobs/view/4362585433", "https://www.linkedin.com/jobs/view/4362585433")</f>
        <v/>
      </c>
      <c r="F91" t="inlineStr"/>
      <c r="G91" t="inlineStr">
        <is>
          <t>Easton, PA</t>
        </is>
      </c>
      <c r="H91" t="inlineStr"/>
      <c r="I91" t="inlineStr">
        <is>
          <t>**Sustainability Program Manager, Easton, PA**
**General Summary**
 Provides support for Crayola Global Sustainability initiative. This includes responsibilities around ongoing programs and specific projects related to sustainability. This role is critical in Crayola meeting our sustainability goals of GHG reduction, brand measures This role is cross\-discipline and will require work across product, packaging, supplier, research, and supplier disciplines.
**Principal Duties \&amp; Responsibilities**
* \*Create and execution of broader sustainability projects throughout the company. For example, initiatives around waste reduction, renewable energy, factory efficiency programs, etc.… Also the management of specific projects related to more sustainable products (e.g. plastic swaps, recyclability, etc..) Time: 25%
* \*Supports and executes the collection, measurement, and analysis of sustainability related data for programs like SBTi, CDP, Walmart Project Gigaton and Project Thesis. Creating ad hoc reports to support the request of Crayola global retailers and licensees. 20%
* \*Learning and execution of corporate systems for measuring sustainability impact of products and suppliers. Tools such as Trayak / Compass LCA, Eccoinvent and SupplyShift. Manages and documents Crayola’s Sustainability Dashboard. Time: 10%
* \*Manages cross functional teams to deliver upon approved sustainability improvement projects. Works with technical leaders in operations engineering, packaging \&amp; product engineering, R\&amp;D / QA and sourcing. Time: 20%
 Rest of Duties Time: 25%
* Support the creation and implementation of corporate wide sustainability strategy.
* Work with outside companies, suppliers, technical experts, and academia to improve Crayola's long\-term, sustainability positioning.
* Provide organizational thought\-leadership in the field of “design for sustainability.”
* Possibility of procurement support or responsibilities
**Job Specifications**
* Bachelor of Science degree in technical field (e.g. engineering, R\&amp;D, etc..)
* 3\+ years’ relevant experience.
* Proficient in Excel with ability to learn more advance approaches
* Basic materials knowledge with ability and desire to advanced topics (e.g. plastics, paper, etc..)
* Working knowledge of enterprise software (SAP, Project Management Software, Spec systems, MS Office/365, MS Teams.
* Experience with self\-directed work teams pertaining to continuous improvement and employee involvement.
* Excellent communication skills both written and oral. Effective and productive in both in\-person and virtual settings. Effective communication to international suppliers and Crayola employees
* A demonstrated record of creativity, innovation and productivity in a technical capacity
* Some experience with direct or indirect procurement
* Ability to travel up to 5% of the time for brief vendor/manufacturing visits
**Physical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talk and hear. The employee is occasionally required to walk; use hands and fingers to operate, handle, or feel objects, tools, or controls; and reach with hands and arms. The employee must occasionally lift and/or move up to 35 pounds. Specific vision abilities required by this job include close vision and the ability to adjust focus.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**WHY CRAYOLA?**
* Kid Inspired Culture
* Free Admission to Crayola Experience for Employees
* Community Volunteerism Opportunities
* Annual Bonus Potential for all Full\-Time Employees
* Company Matched 401k \&amp; Employee Value Sharing Plan
* Comprehensive Healthcare Benefits for Eligible Employees
* Education Assistance Program
* Wellness Programs
* Employee Resource Groups
* Generous Product Discounts Onsite \&amp; Online
* Company Sponsored Employee Events
* Discounts on a wide variety of products and services – automotive, electronics, fitness, travel and entertainment
**Green is our favorite color!**
 Crayola cares about the environment and responsibly makes the products you love. Learn more about Crayola’s creative solutions for greener tomorrows: https://www.crayola.com/about\-us/sustainability
 We offer competitive salary, outstanding benefits and the potential for advancement through the use of creative abilities. No phone calls please.
**Search Firm Representatives \- Please Read Carefully**
 Crayola LLC is not seeking assistance or accepting unsolicited resumes from search firms for this employment opportunity. Regardless of past practice, all resumes submitted by search firms to any employee at Crayola LLC via e\-mail, the Internet, or directly to hiring managers at Crayola LLC in any form without valid written search agreement in place for that position will be deemed the sole property of Crayola LLC, and no fee will be paid in the event the candidate is hired by Crayola LLC as a result of the referral or through other means.
 Search firms are essential to the recruitment and staffing efforts at Crayola LLC, and we value the partnerships we have built with our vendors. For this reason, Crayola LLC has established and regularly maintains a preferred vendor list. Please note that even preferred vendors need to have a written search agreement signed by Human Resources at Crayola LLC in place for the specific position in order for a fee to be paid for any candidate referra</t>
        </is>
      </c>
    </row>
    <row r="92">
      <c r="A92" t="inlineStr">
        <is>
          <t>li-4362546879</t>
        </is>
      </c>
      <c r="B92" t="inlineStr">
        <is>
          <t>Program Manager I, Maintenance Planner, Data Center Operations</t>
        </is>
      </c>
      <c r="C92" t="inlineStr">
        <is>
          <t>Google</t>
        </is>
      </c>
      <c r="D92" t="inlineStr">
        <is>
          <t>linkedin</t>
        </is>
      </c>
      <c r="E92">
        <f>HYPERLINK("https://www.linkedin.com/jobs/view/4362546879", "https://www.linkedin.com/jobs/view/4362546879")</f>
        <v/>
      </c>
      <c r="F92" t="inlineStr"/>
      <c r="G92" t="inlineStr">
        <is>
          <t>Muskogee, OK</t>
        </is>
      </c>
      <c r="H92" t="inlineStr"/>
      <c r="I92" t="inlineStr">
        <is>
          <t>Note: By applying to this position you will have an opportunity to share your preferred working location from the following:
 **Kansas City, MO, USA; Columbus, OH, USA; Muskogee, OK, USA; West Memphis, AR, USA** 
 .
 **Minimum qualifications:**
* Bachelor's degree or equivalent practical experience.
* 1 year of program management experience.
* Experience in maintenance planning and scheduling.
* Experience working with a CMMS (Computerized Maintenance Management System).
**Preferred qualifications:**
* Knowledge of facility electrical, mechanical, and HVAC systems.
* Ability to develop long\-term strategic maintenance plans and forecasts.
* Ability to communicate with internal customers and external parties, and address any issues.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Data Center Maintenance Planner Program Manager, you will be responsible for the effective execution of all planning and scheduling of maintenance work and control processes. You will work with the site supervisors and technicians to manage work priority, develop job plans, define parts and material, define trades and skills, and engage the proper resources to develop a safe, effective, and efficient work control plan. In addition, you will provide the equipment related expertise and technical guidance on improving preventive maintenance activities. In this role, you will be responsible for the use and administration of the Computerized Maintenance Management System (CMMS) program at a site level.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the flow of all maintenance work orders by working with Data Center Operations teams and vendors.
* Be responsible for the planning and scheduling of technicians and parts needed to perform maintenance activities.
* Collaborate with facility management in the development and maintenance of schedules and resource leveling by utilizing the site CMMS program.
* Establish and maintain CMMS equipment files, parts inventory, equipment bill of materials, and program manager schedules.
* Manage the process of launching a CMMS solution at the site level used in the daily operation of our data centers.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3">
      <c r="A93" t="inlineStr">
        <is>
          <t>li-4362507074</t>
        </is>
      </c>
      <c r="B93" t="inlineStr">
        <is>
          <t>SAP S/4HANA Program Manager</t>
        </is>
      </c>
      <c r="C93" t="inlineStr">
        <is>
          <t>Tata Consultancy Services</t>
        </is>
      </c>
      <c r="D93" t="inlineStr">
        <is>
          <t>linkedin</t>
        </is>
      </c>
      <c r="E93">
        <f>HYPERLINK("https://www.linkedin.com/jobs/view/4362507074", "https://www.linkedin.com/jobs/view/4362507074")</f>
        <v/>
      </c>
      <c r="F93" t="inlineStr"/>
      <c r="G93" t="inlineStr">
        <is>
          <t>Seattle, WA</t>
        </is>
      </c>
      <c r="H93" t="inlineStr"/>
      <c r="I93" t="inlineStr">
        <is>
          <t>**Job Description**
 Job Description:
* Coordinate project timeline with her/his team(s) to ensure checkpoints and goals are met to the client’s satisfaction
* Manage overall resource allocation and capacity planning for the project
* Report project level status, metrics, issues and risks and manage overall completion and sign\-off on project deliverables
* Lead and manage small teams conducting transformational projects, implementing business process improvements, or implementing ERP systems for our clients
* Conduct workshops (e.g. requirements gathering, solution architecting) with business managers. Work with client staff and end\-users to determine the business and functional requirements for the system within an ERP solution
* Create detailed systems documentation, test scripts, and presentations
* Leverage business and technical expertise to address technology architecture, blueprinting, data analysis, business modeling, technical design, application development, integration, and enablement
* Configure the SAP system to meet the business requirements
* Provide leadership and guidance to other analysts and client personnel assigned to the projects
* Collaborate in scoping prospective engagements and developing proposals
**Qualifications**
* Demonstrates knowledge on leading large global business transformation program delivery with proven track record and a deep understanding of business values of transformation programs/objectives
* Demonstrates ability to speak business language, guide business counterparts towards the right SAP solution and translate business requirements into technical requirements
* Understanding of business values of transformation programs/objectives.
* Demonstrated experience in managing transformational initiatives.
* Excellent interpersonal and teamwork abilities, capable of building and maintaining strong client relationships
* At least three (3\) full life cycle implementations as an ERP Project Manager with multi\-module implementations (Finance, Sales, Production, Purchasing, Warehouse)
* A minimum of eight (8\) years prior transformational ERP consulting or equivalent industry experience
* At least three (3\) years’ experience in proposal and business case development
* Ability to articulate the businesses enabled by SAP S/4HANA
* Best practice understanding on how to develop detailed program plan, develop and monitor risk/issues, present status to internal and external stakeholders
* Participate in steering committee meetings, lead team meetings, lead business meetings, and lead project management team
* Participate in business workshops with key stakeholders and derive outcomes.
* Ability to self\-direct and mentor/manage teams and client.
* Understanding of industry specific KPI’s and benefits of S/4HANA functionality to enable the business
* Prior working knowledge of configuration and features of key S/4 HANA
* Ability to be hands on if required and mentor junior team members
* Ability to leverage and build assets/accelerators and thought leadership
* Experience managing 5 to 10 resources
* Willingness to travel up to 100%
* Bachelors degree or equivalent required
 \&amp;
* Ability to work in the country without current or future visa sponsorship
 Base Salary Range: $160,000 \- $195,000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94">
      <c r="A94" t="inlineStr">
        <is>
          <t>li-4362195941</t>
        </is>
      </c>
      <c r="B94" t="inlineStr">
        <is>
          <t>IT Program Manager III</t>
        </is>
      </c>
      <c r="C94" t="inlineStr">
        <is>
          <t>Jobs via Dice</t>
        </is>
      </c>
      <c r="D94" t="inlineStr">
        <is>
          <t>linkedin</t>
        </is>
      </c>
      <c r="E94">
        <f>HYPERLINK("https://www.linkedin.com/jobs/view/4362195941", "https://www.linkedin.com/jobs/view/4362195941")</f>
        <v/>
      </c>
      <c r="F94" t="inlineStr"/>
      <c r="G94" t="inlineStr">
        <is>
          <t>Addison, TX</t>
        </is>
      </c>
      <c r="H94" t="inlineStr"/>
      <c r="I94" t="inlineStr">
        <is>
          <t>Dice is the leading career destination for tech experts at every stage of their careers. Our client, Apex Systems, is seeking the following. Apply via Dice today!
**Job\#: 3019140**
**Job Description:**
**Title: IT Program Manager**
**Location: Addison TX**
**Duration: 12 months**
**Payrate: $65\.00 \- 67\.70/hr**
**Position Summary**
 Looking for a Technology Delivery Lead with at least five years of experience in a software development team that was diligently applying Agile principles, practices, and theory.
**Responsibilities**
 Lead JAD Sessions for the Project as needed \-\- Set the context and summarize and follow up on next steps (Collaborate with LOB/FL/Architects to set agenda)
 Coordinate with Business (Product Manager/Product Owner) on Requirements and road map
 Coordinate with Architect on designs for the Project
 Lead the design review sessions with tech and business
 Lead the PI activities by coordinating the Breakout sessions with all the teams involved for the Project
 Engagement of all Service providers for the Project by going through the respective Intake forums
 Track and Manage the Financials for the Project (including Negotiations as needed), raise any funding risks to the leadership and plan for mitigation
 Lead various Tech workgroup meetings for the Project with all the stakeholders to track the Project throughout SDLC phases
 Plan and drive End to End Testing for the Project
 Plan and drive the Production Certification for the project including all stakeholders
 Track and Lead any triages needed for the Project during LLE or Post Production with stakeholders
 Lead and Track all the MRA activities for the Project \- partner with change coordinator
 Timely Communication of Project Status to the Leadership and LOB \- Partner with PMO delivery lead
 For every release, partner with the PMO delivery lead and team members to determine Significance of the release. If Significant, coordinate gathering all necessary documentation and review sessions with PMO delivery Lead
**Required Qualifications**
 Good skills and knowledge of servant leadership, facilitation, situational awareness, conflict resolution, continual improvement, empowerment, and increasing transparency.
 Knowledge of various well\-documented patterns and techniques for filling in the intentional gaps left in the Scrum approach (example: numerous Burn\-down technologies, various Retrospective formats, handling bugs, etc.).
 Excellent communication and mentoring skills.
 Jira
 MS office
**Desired Qualifications**
 Knowledge of other Agile approaches: XP, Kanban, Crystal, FDD, etc.
 Experience in managing IT project finances
 Awareness and experience with widely successful Agile techniques: User Stories, ATDD, TDD, Continuous Integration, Continuous Testing, Pairing, Automated Testing, Agile Games.
 Applicable knowledge of the technologies used by the team.
 The experience in applying a wide variety of well\-documented patterns and techniques for filling in the intentional gaps left in the Scrum approach (example: various Burn\-down technologies, many Retrospective formats, handling bugs,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2026-01-22T18:25:32Z</dcterms:created>
  <dcterms:modified xsi:type="dcterms:W3CDTF">2026-01-22T18:25:33Z</dcterms:modified>
</cp:coreProperties>
</file>