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in-44e651125ceeecd3</t>
        </is>
      </c>
      <c r="B2" t="inlineStr">
        <is>
          <t>Senior Machine Learning Engineer, AdTech</t>
        </is>
      </c>
      <c r="C2" t="inlineStr">
        <is>
          <t>Nexxen</t>
        </is>
      </c>
      <c r="D2" t="inlineStr">
        <is>
          <t>indeed</t>
        </is>
      </c>
      <c r="E2">
        <f>HYPERLINK("https://www.indeed.com/viewjob?jk=44e651125ceeecd3", "https://www.indeed.com/viewjob?jk=44e651125ceeecd3")</f>
        <v/>
      </c>
      <c r="F2">
        <f>HYPERLINK("https://jobs.ashbyhq.com/nexxen/e42cb0a4-e44c-4305-970b-6260ad466c6a?utm_source=MYkAlZAYv9", "https://jobs.ashbyhq.com/nexxen/e42cb0a4-e44c-4305-970b-6260ad466c6a?utm_source=MYkAlZAYv9")</f>
        <v/>
      </c>
      <c r="G2" t="inlineStr">
        <is>
          <t>New York, NY, US</t>
        </is>
      </c>
      <c r="H2" s="2" t="n">
        <v>46043</v>
      </c>
      <c r="I2"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will be based in our local office **Locations****.** Our team follows a hybrid schedule, **working in the office three days** a week and remotely for the rest.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3">
      <c r="A3" t="inlineStr">
        <is>
          <t>in-56ec7081cfd19076</t>
        </is>
      </c>
      <c r="B3" t="inlineStr">
        <is>
          <t>Senior Machine Learning Engineer</t>
        </is>
      </c>
      <c r="C3" t="inlineStr">
        <is>
          <t>Nexxen</t>
        </is>
      </c>
      <c r="D3" t="inlineStr">
        <is>
          <t>indeed</t>
        </is>
      </c>
      <c r="E3">
        <f>HYPERLINK("https://www.indeed.com/viewjob?jk=56ec7081cfd19076", "https://www.indeed.com/viewjob?jk=56ec7081cfd19076")</f>
        <v/>
      </c>
      <c r="F3">
        <f>HYPERLINK("https://jobs.ashbyhq.com/nexxen/dd7a0e3e-6b73-44ae-b64a-06bc44bcb028?utm_source=MYkAlZAYv9", "https://jobs.ashbyhq.com/nexxen/dd7a0e3e-6b73-44ae-b64a-06bc44bcb028?utm_source=MYkAlZAYv9")</f>
        <v/>
      </c>
      <c r="G3" t="inlineStr">
        <is>
          <t>New York, NY, US</t>
        </is>
      </c>
      <c r="H3" s="2" t="n">
        <v>46043</v>
      </c>
      <c r="I3" t="inlineStr">
        <is>
          <t>**Who is Nexxen?**
Flexible advertising, unified by data. Nexxen empowers advertisers, agencies, publishers and broadcasters around the world to utilize data and advanced TV in the ways that are most meaningful to them. Our flexible and unified technology stack comprises a demand\-side platform (“DSP”) and supply\-side platform (“SSP”), with the Nexxen Data Platform at its core.
**Why join the Nexxen team?**
With a global footprint, you can be part of a team that is transforming advertising through our creative, flexible and unified solutions. Employees hustle, commit and dedicate themselves to pillars that make up the Nexxen Way – the 3Cs \- Customer Centric, Curious Mindset, Collaborative with No Ego.
**Important Notice from Nexxen: Your Safety Matters**
At Nexxen, we care about the well\-being of our current and future employees. We are aware of the growing number of online scams and fraudulent job postings, and we urge all job seekers to remain vigilant. Please be advised that Nexxen will never request payment (whether in cash, cryptocurrency, or any other form) as a condition of employment, offer positions that require you to invest in vague or dubious financial schemes, or promote roles that resemble get\-rich\-quick opportunities. If you receive a suspicious message claiming to be from Nexxen or encounter a questionable job posting associated with our name, please contact us at infosec@nexxen.com to verify its legitimacy. Your trust is important to us. Stay safe and informed.
Nexxen Fraud Alert and Notice: Protect Yourself from Impersonation and Fraudulent Activity
The Sr. Machine Learning Engineer will join our Applied Data Science group, part of Nexxen DSP Software Development. In this hands\-on role, you will work in close collaboration with data scientists to build the next generation of applied data science infrastructure for real\-time performance optimization and machine learning solutions. The right person for this role should be experienced in crafting implementations for either machine learning technologies or data\-driven algorithms. If you are proactive and innovative in these domains, this is a phenomenal role for you!
This role will be based in our local office **Locations****.** Our team follows a hybrid schedule, **working in the office three days** a week and remotely for the rest.
**What You’ll Do:**
* Develop critical high\-performance, large\-scale services for Nexxen DSP Programmatic integrations and Platform product
* Drive ground\-breaking innovation and apply state\-of\-the\-art AI and machine learning in a variety of areas to enhance a real\-time ad scoring and ranking system for bid optimization
* Invent and iterate novel solutions for complex ad challenges with fast turnaround.
* Lead the ad algorithm architecture design and iteration of the advertising system.
* Develop scalable and efficient approaches for large\-scale data analysis and model development.
* Build and experiment with new algorithms and models end\-to\-end, from production rollout to continuous optimization.
* Collaborate with data scientists, engineering teams, product managers, and program managers in an open and creative environment.
* Help troubleshoot production and customer issues.
* Follow agile methodologies and work in a fast\-paced environment where one can quickly see the results of the work being performed.
**What You’ll Bring:**
* Bachelor's in Computer Science or a related field of study
* 5\+ years of engineering experience working at leading technology companies.
* A history of successfully taking ownership of features/functionality and delivering end\-to\-end project
* Strong knowledge of and experience implementing AI/ML technologies, mathematics, and statistics.
* Expertise in Java, Python, and Scala.
* In\-depth knowledge of data structures and algorithms.
* Practical experience working with large NoSQL databases like Aerospike and Cassandra.
* Interest in ad campaign optimization and iterative model updates.
* Experience building applications on top of large\-scale ML/DL frameworks (TensorFlow, PyTorch).
* Expertise working with data processing tech stack (Spark, MapReduce).
* Expertise in building data\-driven services and applications (ETL).
* Experienced with interdisciplinary collaborations with Data Science, Product, and Business stakeholders.
* A proven track record of thriving in a fast\-paced, data\-driven, and collaborative work environment is required.
* Strong communication skills with an ability to communicate complex concepts to non\-technical stakeholders.
*Desired Qualifications:*
* MS or PhD in computer science or equivalent experience.
* Experience within AdTech industry.
* Experience in LLM and GenAI.
In support of pay transparency and equity, the minimum and maximum full\-time annual base salary for this role in New York is $180,000 \- $220,000 at the time of posting. While this is our reasonable expectation this is not a guarantee of compensation or salary, actual compensation is influenced by a wide range of factors including but not limited to skill set, level of experience, education, certifications, responsibility, and geographic location. Candidates hired to work in other locations will be subject to the pay range associated with that location. We offer a variety of benefits including medical, dental, vision, disability insurance, 401(k), EAP, parental leave, discretionary time off, and company\-paid holidays. The specific programs and options available will vary depending on the state, start date, and employment type. Our Talent Acquisition team will be happy to answer any questions you may have.
\#LI\-KN1
\#LI\-HYBRID
*For information about how we handle your personal information please view our* *Applicant and Candidate Privacy Notice*</t>
        </is>
      </c>
    </row>
    <row r="4">
      <c r="A4" t="inlineStr">
        <is>
          <t>in-098d43034a565be3</t>
        </is>
      </c>
      <c r="B4" t="inlineStr">
        <is>
          <t>ML Engineer/Data Engineer-5</t>
        </is>
      </c>
      <c r="C4" t="inlineStr">
        <is>
          <t>Realign</t>
        </is>
      </c>
      <c r="D4" t="inlineStr">
        <is>
          <t>indeed</t>
        </is>
      </c>
      <c r="E4">
        <f>HYPERLINK("https://www.indeed.com/viewjob?jk=098d43034a565be3", "https://www.indeed.com/viewjob?jk=098d43034a565be3")</f>
        <v/>
      </c>
      <c r="F4">
        <f>HYPERLINK("https://realign-llc.com/careers/job-details/IT80938ML-5", "https://realign-llc.com/careers/job-details/IT80938ML-5")</f>
        <v/>
      </c>
      <c r="G4" t="inlineStr">
        <is>
          <t>McLean, VA, US</t>
        </is>
      </c>
      <c r="H4" s="2" t="n">
        <v>46043</v>
      </c>
      <c r="I4" t="inlineStr">
        <is>
          <t>Job Type: Contract
Job Category: IT
Job Description
**Role: ML Engineer/Data Engineer****Location: Mclean, VA (Hybrid 3 days onsite a week)** **Project overview**
This position is for ML decisioning team that own a platform does which does ML decision for mobile /web properties , does Campaign Arbitration through PV(present value ) to measure the ML scoring and show to UI partners. This team comprises of DE/ SE owns date pipeline /API , feature development of these properties .They are increasing the scope of this project by increasing the team to take on ML engineering hence the need to onboard ML engineer. The team is taking over the existing ML data pipeline own by the data science team/model training pipeline. Team is widespread in NY /Mclean .The team would be responsible to own end to end ML infrastructure. They are moving from Reno fast models to transformers models in later this year  
This role will be responsible for operation \&amp; maintenance of pipelines/built on Quickflow /heads down work on optimization/automation , scaling the infrastructure for additional customer to move discover back to customers /releasing ML models everyweek. They already have 1 Data engineer so this role will be focus on ML engineering side who will be partnering with the DE
Required Skills
DEVOPS ENGINEER
 SENIOR EMAIL SECURITY ENGINEER</t>
        </is>
      </c>
    </row>
    <row r="5">
      <c r="A5" t="inlineStr">
        <is>
          <t>in-364d45591b5c8889</t>
        </is>
      </c>
      <c r="B5" t="inlineStr">
        <is>
          <t>Applied Scientist, AGI</t>
        </is>
      </c>
      <c r="C5" t="inlineStr">
        <is>
          <t>Amazon.com</t>
        </is>
      </c>
      <c r="D5" t="inlineStr">
        <is>
          <t>indeed</t>
        </is>
      </c>
      <c r="E5">
        <f>HYPERLINK("https://www.indeed.com/viewjob?jk=364d45591b5c8889", "https://www.indeed.com/viewjob?jk=364d45591b5c8889")</f>
        <v/>
      </c>
      <c r="F5">
        <f>HYPERLINK("https://www.amazon.jobs/jobs/3139033/applied-scientist-agi?cmpid=DA_INAD200785B", "https://www.amazon.jobs/jobs/3139033/applied-scientist-agi?cmpid=DA_INAD200785B")</f>
        <v/>
      </c>
      <c r="G5" t="inlineStr">
        <is>
          <t>Sunnyvale, CA, US</t>
        </is>
      </c>
      <c r="H5" s="2" t="n">
        <v>45998</v>
      </c>
      <c r="I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in-7f078ce6105af140</t>
        </is>
      </c>
      <c r="B6" t="inlineStr">
        <is>
          <t>Applied Scientist, AGI</t>
        </is>
      </c>
      <c r="C6" t="inlineStr">
        <is>
          <t>Amazon.com</t>
        </is>
      </c>
      <c r="D6" t="inlineStr">
        <is>
          <t>indeed</t>
        </is>
      </c>
      <c r="E6">
        <f>HYPERLINK("https://www.indeed.com/viewjob?jk=7f078ce6105af140", "https://www.indeed.com/viewjob?jk=7f078ce6105af140")</f>
        <v/>
      </c>
      <c r="F6">
        <f>HYPERLINK("https://www.amazon.jobs/jobs/3139033/applied-scientist-agi?cmpid=DA_INAD200785B", "https://www.amazon.jobs/jobs/3139033/applied-scientist-agi?cmpid=DA_INAD200785B")</f>
        <v/>
      </c>
      <c r="G6" t="inlineStr">
        <is>
          <t>New York, NY, US</t>
        </is>
      </c>
      <c r="H6" s="2" t="n">
        <v>45998</v>
      </c>
      <c r="I6"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in-cf0fe1cd2d4e3f4e</t>
        </is>
      </c>
      <c r="B7" t="inlineStr">
        <is>
          <t>Applied Scientist, AGI</t>
        </is>
      </c>
      <c r="C7" t="inlineStr">
        <is>
          <t>Amazon.com</t>
        </is>
      </c>
      <c r="D7" t="inlineStr">
        <is>
          <t>indeed</t>
        </is>
      </c>
      <c r="E7">
        <f>HYPERLINK("https://www.indeed.com/viewjob?jk=cf0fe1cd2d4e3f4e", "https://www.indeed.com/viewjob?jk=cf0fe1cd2d4e3f4e")</f>
        <v/>
      </c>
      <c r="F7">
        <f>HYPERLINK("https://www.amazon.jobs/jobs/3139033/applied-scientist-agi?cmpid=DA_INAD200785B", "https://www.amazon.jobs/jobs/3139033/applied-scientist-agi?cmpid=DA_INAD200785B")</f>
        <v/>
      </c>
      <c r="G7" t="inlineStr">
        <is>
          <t>Bellevue, WA, US</t>
        </is>
      </c>
      <c r="H7" s="2" t="n">
        <v>45998</v>
      </c>
      <c r="I7"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in-4bcf8e15afe8f9dc</t>
        </is>
      </c>
      <c r="B8" t="inlineStr">
        <is>
          <t>Applied Scientist, AGI</t>
        </is>
      </c>
      <c r="C8" t="inlineStr">
        <is>
          <t>Amazon.com</t>
        </is>
      </c>
      <c r="D8" t="inlineStr">
        <is>
          <t>indeed</t>
        </is>
      </c>
      <c r="E8">
        <f>HYPERLINK("https://www.indeed.com/viewjob?jk=4bcf8e15afe8f9dc", "https://www.indeed.com/viewjob?jk=4bcf8e15afe8f9dc")</f>
        <v/>
      </c>
      <c r="F8">
        <f>HYPERLINK("https://www.amazon.jobs/jobs/3139033/applied-scientist-agi?cmpid=DA_INAD200785B", "https://www.amazon.jobs/jobs/3139033/applied-scientist-agi?cmpid=DA_INAD200785B")</f>
        <v/>
      </c>
      <c r="G8" t="inlineStr">
        <is>
          <t>Cambridge, MA, US</t>
        </is>
      </c>
      <c r="H8" s="2" t="n">
        <v>45998</v>
      </c>
      <c r="I8"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 Collaborate with cross\-functional teams of engineers, product managers, and scientists to identify and solve complex problems in Gen AI
* Design and execute experiments to evaluate the performance of different algorithms and models, and iterate quickly to improve results
* Think big about the arc of development of Gen AI over a multi\-year horizon, and identify new opportunities to apply these technologies to solve real\-world problems
* Communicate results and insights to both technical and non\-technical audiences, including through presentations and written reports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PhD in computer science, machine learning, engineering, or related fields
* Experience or publications related to Agentic AI applications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in-61274add645626b4</t>
        </is>
      </c>
      <c r="B9" t="inlineStr">
        <is>
          <t>Sr. Applied Scientist, Amazon Ads</t>
        </is>
      </c>
      <c r="C9" t="inlineStr">
        <is>
          <t>Amazon.com</t>
        </is>
      </c>
      <c r="D9" t="inlineStr">
        <is>
          <t>indeed</t>
        </is>
      </c>
      <c r="E9">
        <f>HYPERLINK("https://www.indeed.com/viewjob?jk=61274add645626b4", "https://www.indeed.com/viewjob?jk=61274add645626b4")</f>
        <v/>
      </c>
      <c r="F9">
        <f>HYPERLINK("https://www.amazon.jobs/jobs/3139328/sr-applied-scientist-amazon-ads?cmpid=DA_INAD200785B", "https://www.amazon.jobs/jobs/3139328/sr-applied-scientist-amazon-ads?cmpid=DA_INAD200785B")</f>
        <v/>
      </c>
      <c r="G9" t="inlineStr">
        <is>
          <t>New York, NY,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in-7c4ad440dfe375a7</t>
        </is>
      </c>
      <c r="B10" t="inlineStr">
        <is>
          <t>Sr. Applied Scientist, Amazon Ads</t>
        </is>
      </c>
      <c r="C10" t="inlineStr">
        <is>
          <t>Amazon.com</t>
        </is>
      </c>
      <c r="D10" t="inlineStr">
        <is>
          <t>indeed</t>
        </is>
      </c>
      <c r="E10">
        <f>HYPERLINK("https://www.indeed.com/viewjob?jk=7c4ad440dfe375a7", "https://www.indeed.com/viewjob?jk=7c4ad440dfe375a7")</f>
        <v/>
      </c>
      <c r="F10">
        <f>HYPERLINK("https://www.amazon.jobs/jobs/3139328/sr-applied-scientist-amazon-ads?cmpid=DA_INAD200785B", "https://www.amazon.jobs/jobs/3139328/sr-applied-scientist-amazon-ads?cmpid=DA_INAD200785B")</f>
        <v/>
      </c>
      <c r="G10" t="inlineStr">
        <is>
          <t>Brooklyn, NY,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in-d795071f4d1b90ce</t>
        </is>
      </c>
      <c r="B11" t="inlineStr">
        <is>
          <t>Sr. Applied Scientist, Amazon Ads</t>
        </is>
      </c>
      <c r="C11" t="inlineStr">
        <is>
          <t>Amazon.com</t>
        </is>
      </c>
      <c r="D11" t="inlineStr">
        <is>
          <t>indeed</t>
        </is>
      </c>
      <c r="E11">
        <f>HYPERLINK("https://www.indeed.com/viewjob?jk=d795071f4d1b90ce", "https://www.indeed.com/viewjob?jk=d795071f4d1b90ce")</f>
        <v/>
      </c>
      <c r="F11">
        <f>HYPERLINK("https://www.amazon.jobs/jobs/3139328/sr-applied-scientist-amazon-ads?cmpid=DA_INAD200785B", "https://www.amazon.jobs/jobs/3139328/sr-applied-scientist-amazon-ads?cmpid=DA_INAD200785B")</f>
        <v/>
      </c>
      <c r="G11" t="inlineStr">
        <is>
          <t>Palo Alto,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in-3c49d7d6f6cbd312</t>
        </is>
      </c>
      <c r="B12" t="inlineStr">
        <is>
          <t>Sr. Applied Scientist, Amazon Ads</t>
        </is>
      </c>
      <c r="C12" t="inlineStr">
        <is>
          <t>Amazon.com</t>
        </is>
      </c>
      <c r="D12" t="inlineStr">
        <is>
          <t>indeed</t>
        </is>
      </c>
      <c r="E12">
        <f>HYPERLINK("https://www.indeed.com/viewjob?jk=3c49d7d6f6cbd312", "https://www.indeed.com/viewjob?jk=3c49d7d6f6cbd312")</f>
        <v/>
      </c>
      <c r="F12">
        <f>HYPERLINK("https://www.amazon.jobs/jobs/3139328/sr-applied-scientist-amazon-ads?cmpid=DA_INAD200785B", "https://www.amazon.jobs/jobs/3139328/sr-applied-scientist-amazon-ads?cmpid=DA_INAD200785B")</f>
        <v/>
      </c>
      <c r="G12" t="inlineStr">
        <is>
          <t>Santa Monica, CA, US</t>
        </is>
      </c>
      <c r="H12" s="2" t="n">
        <v>45998</v>
      </c>
      <c r="I1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
      <c r="A13" t="inlineStr">
        <is>
          <t>in-0bf3f444819a0c88</t>
        </is>
      </c>
      <c r="B13" t="inlineStr">
        <is>
          <t>Sr. Applied Scientist, Amazon Ads</t>
        </is>
      </c>
      <c r="C13" t="inlineStr">
        <is>
          <t>Amazon.com</t>
        </is>
      </c>
      <c r="D13" t="inlineStr">
        <is>
          <t>indeed</t>
        </is>
      </c>
      <c r="E13">
        <f>HYPERLINK("https://www.indeed.com/viewjob?jk=0bf3f444819a0c88", "https://www.indeed.com/viewjob?jk=0bf3f444819a0c88")</f>
        <v/>
      </c>
      <c r="F13">
        <f>HYPERLINK("https://www.amazon.jobs/jobs/3139328/sr-applied-scientist-amazon-ads?cmpid=DA_INAD200785B", "https://www.amazon.jobs/jobs/3139328/sr-applied-scientist-amazon-ads?cmpid=DA_INAD200785B")</f>
        <v/>
      </c>
      <c r="G13" t="inlineStr">
        <is>
          <t>Sunnyvale, CA, US</t>
        </is>
      </c>
      <c r="H13" s="2" t="n">
        <v>45998</v>
      </c>
      <c r="I1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
      <c r="A14" t="inlineStr">
        <is>
          <t>in-da0a66f68bd9b4ce</t>
        </is>
      </c>
      <c r="B14" t="inlineStr">
        <is>
          <t>Sr. Applied Scientist, Amazon Ads</t>
        </is>
      </c>
      <c r="C14" t="inlineStr">
        <is>
          <t>Amazon.com</t>
        </is>
      </c>
      <c r="D14" t="inlineStr">
        <is>
          <t>indeed</t>
        </is>
      </c>
      <c r="E14">
        <f>HYPERLINK("https://www.indeed.com/viewjob?jk=da0a66f68bd9b4ce", "https://www.indeed.com/viewjob?jk=da0a66f68bd9b4ce")</f>
        <v/>
      </c>
      <c r="F14">
        <f>HYPERLINK("https://www.amazon.jobs/jobs/3139328/sr-applied-scientist-amazon-ads?cmpid=DA_INAD200785B", "https://www.amazon.jobs/jobs/3139328/sr-applied-scientist-amazon-ads?cmpid=DA_INAD200785B")</f>
        <v/>
      </c>
      <c r="G14" t="inlineStr">
        <is>
          <t>Boulder, CO, US</t>
        </is>
      </c>
      <c r="H14" s="2" t="n">
        <v>45998</v>
      </c>
      <c r="I1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5">
      <c r="A15" t="inlineStr">
        <is>
          <t>in-81f9895cf43ecf7e</t>
        </is>
      </c>
      <c r="B15" t="inlineStr">
        <is>
          <t>Sr. Applied Scientist, Amazon Ads</t>
        </is>
      </c>
      <c r="C15" t="inlineStr">
        <is>
          <t>Amazon.com</t>
        </is>
      </c>
      <c r="D15" t="inlineStr">
        <is>
          <t>indeed</t>
        </is>
      </c>
      <c r="E15">
        <f>HYPERLINK("https://www.indeed.com/viewjob?jk=81f9895cf43ecf7e", "https://www.indeed.com/viewjob?jk=81f9895cf43ecf7e")</f>
        <v/>
      </c>
      <c r="F15">
        <f>HYPERLINK("https://www.amazon.jobs/jobs/3139328/sr-applied-scientist-amazon-ads?cmpid=DA_INAD200785B", "https://www.amazon.jobs/jobs/3139328/sr-applied-scientist-amazon-ads?cmpid=DA_INAD200785B")</f>
        <v/>
      </c>
      <c r="G15" t="inlineStr">
        <is>
          <t>Seattle, WA, US</t>
        </is>
      </c>
      <c r="H15" s="2" t="n">
        <v>45998</v>
      </c>
      <c r="I1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6">
      <c r="A16" t="inlineStr">
        <is>
          <t>in-abc25b2d0d6a3270</t>
        </is>
      </c>
      <c r="B16" t="inlineStr">
        <is>
          <t>Sr. Applied Scientist, Amazon Ads</t>
        </is>
      </c>
      <c r="C16" t="inlineStr">
        <is>
          <t>Amazon.com</t>
        </is>
      </c>
      <c r="D16" t="inlineStr">
        <is>
          <t>indeed</t>
        </is>
      </c>
      <c r="E16">
        <f>HYPERLINK("https://www.indeed.com/viewjob?jk=abc25b2d0d6a3270", "https://www.indeed.com/viewjob?jk=abc25b2d0d6a3270")</f>
        <v/>
      </c>
      <c r="F16">
        <f>HYPERLINK("https://www.amazon.jobs/jobs/3139328/sr-applied-scientist-amazon-ads?cmpid=DA_INAD200785B", "https://www.amazon.jobs/jobs/3139328/sr-applied-scientist-amazon-ads?cmpid=DA_INAD200785B")</f>
        <v/>
      </c>
      <c r="G16" t="inlineStr">
        <is>
          <t>Boston, MA, US</t>
        </is>
      </c>
      <c r="H16" s="2" t="n">
        <v>45998</v>
      </c>
      <c r="I1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7">
      <c r="A17" t="inlineStr">
        <is>
          <t>in-fd4dc7351e6b6474</t>
        </is>
      </c>
      <c r="B17" t="inlineStr">
        <is>
          <t>Sr. Applied Scientist, Amazon Ads</t>
        </is>
      </c>
      <c r="C17" t="inlineStr">
        <is>
          <t>Amazon.com</t>
        </is>
      </c>
      <c r="D17" t="inlineStr">
        <is>
          <t>indeed</t>
        </is>
      </c>
      <c r="E17">
        <f>HYPERLINK("https://www.indeed.com/viewjob?jk=fd4dc7351e6b6474", "https://www.indeed.com/viewjob?jk=fd4dc7351e6b6474")</f>
        <v/>
      </c>
      <c r="F17">
        <f>HYPERLINK("https://www.amazon.jobs/jobs/3139328/sr-applied-scientist-amazon-ads?cmpid=DA_INAD200785B", "https://www.amazon.jobs/jobs/3139328/sr-applied-scientist-amazon-ads?cmpid=DA_INAD200785B")</f>
        <v/>
      </c>
      <c r="G17" t="inlineStr">
        <is>
          <t>Tukwila, WA, US</t>
        </is>
      </c>
      <c r="H17" s="2" t="n">
        <v>45998</v>
      </c>
      <c r="I1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8">
      <c r="A18" t="inlineStr">
        <is>
          <t>in-0723eda9d15630af</t>
        </is>
      </c>
      <c r="B18" t="inlineStr">
        <is>
          <t>Sr. Applied Scientist, Amazon Ads</t>
        </is>
      </c>
      <c r="C18" t="inlineStr">
        <is>
          <t>Amazon.com</t>
        </is>
      </c>
      <c r="D18" t="inlineStr">
        <is>
          <t>indeed</t>
        </is>
      </c>
      <c r="E18">
        <f>HYPERLINK("https://www.indeed.com/viewjob?jk=0723eda9d15630af", "https://www.indeed.com/viewjob?jk=0723eda9d15630af")</f>
        <v/>
      </c>
      <c r="F18">
        <f>HYPERLINK("https://www.amazon.jobs/jobs/3139328/sr-applied-scientist-amazon-ads?cmpid=DA_INAD200785B", "https://www.amazon.jobs/jobs/3139328/sr-applied-scientist-amazon-ads?cmpid=DA_INAD200785B")</f>
        <v/>
      </c>
      <c r="G18" t="inlineStr">
        <is>
          <t>Corvallis, OR, US</t>
        </is>
      </c>
      <c r="H18" s="2" t="n">
        <v>45998</v>
      </c>
      <c r="I1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9">
      <c r="A19" t="inlineStr">
        <is>
          <t>in-de77a068ade4ca67</t>
        </is>
      </c>
      <c r="B19" t="inlineStr">
        <is>
          <t>Applied Scientist, ML Compiler</t>
        </is>
      </c>
      <c r="C19" t="inlineStr">
        <is>
          <t>Amazon Web Services</t>
        </is>
      </c>
      <c r="D19" t="inlineStr">
        <is>
          <t>indeed</t>
        </is>
      </c>
      <c r="E19">
        <f>HYPERLINK("https://www.indeed.com/viewjob?jk=de77a068ade4ca67", "https://www.indeed.com/viewjob?jk=de77a068ade4ca67")</f>
        <v/>
      </c>
      <c r="F19">
        <f>HYPERLINK("https://www.amazon.jobs/jobs/3136884/applied-scientist-ml-compiler?cmpid=DA_INAD200785B", "https://www.amazon.jobs/jobs/3136884/applied-scientist-ml-compiler?cmpid=DA_INAD200785B")</f>
        <v/>
      </c>
      <c r="G19" t="inlineStr">
        <is>
          <t>Cupertino, CA, US</t>
        </is>
      </c>
      <c r="H19" s="2" t="n">
        <v>45993</v>
      </c>
      <c r="I19"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in-37c3770bf9fcf3f2</t>
        </is>
      </c>
      <c r="B20" t="inlineStr">
        <is>
          <t>Applied Scientist, ML Compiler</t>
        </is>
      </c>
      <c r="C20" t="inlineStr">
        <is>
          <t>Amazon Web Services</t>
        </is>
      </c>
      <c r="D20" t="inlineStr">
        <is>
          <t>indeed</t>
        </is>
      </c>
      <c r="E20">
        <f>HYPERLINK("https://www.indeed.com/viewjob?jk=37c3770bf9fcf3f2", "https://www.indeed.com/viewjob?jk=37c3770bf9fcf3f2")</f>
        <v/>
      </c>
      <c r="F20">
        <f>HYPERLINK("https://www.amazon.jobs/jobs/3136884/applied-scientist-ml-compiler?cmpid=DA_INAD200785B", "https://www.amazon.jobs/jobs/3136884/applied-scientist-ml-compiler?cmpid=DA_INAD200785B")</f>
        <v/>
      </c>
      <c r="G20" t="inlineStr">
        <is>
          <t>Seattle, WA, US</t>
        </is>
      </c>
      <c r="H20" s="2" t="n">
        <v>45993</v>
      </c>
      <c r="I20"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in-58a7b43be0a6e43d</t>
        </is>
      </c>
      <c r="B21" t="inlineStr">
        <is>
          <t>Sr. Machine Learning Engineer, AGIF | Finetuning</t>
        </is>
      </c>
      <c r="C21" t="inlineStr">
        <is>
          <t>Amazon.com</t>
        </is>
      </c>
      <c r="D21" t="inlineStr">
        <is>
          <t>indeed</t>
        </is>
      </c>
      <c r="E21">
        <f>HYPERLINK("https://www.indeed.com/viewjob?jk=58a7b43be0a6e43d", "https://www.indeed.com/viewjob?jk=58a7b43be0a6e43d")</f>
        <v/>
      </c>
      <c r="F21">
        <f>HYPERLINK("https://www.amazon.jobs/jobs/3145989/sr-machine-learning-engineer-agif--finetuning?cmpid=DA_INAD200785B", "https://www.amazon.jobs/jobs/3145989/sr-machine-learning-engineer-agif--finetuning?cmpid=DA_INAD200785B")</f>
        <v/>
      </c>
      <c r="G21" t="inlineStr">
        <is>
          <t>Bellevue, WA, US</t>
        </is>
      </c>
      <c r="H21" s="2" t="n">
        <v>45984</v>
      </c>
      <c r="I2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in-71f050f6288d4356</t>
        </is>
      </c>
      <c r="B22" t="inlineStr">
        <is>
          <t>Sr. Machine Learning Engineer, AGIF | Finetuning</t>
        </is>
      </c>
      <c r="C22" t="inlineStr">
        <is>
          <t>Amazon.com</t>
        </is>
      </c>
      <c r="D22" t="inlineStr">
        <is>
          <t>indeed</t>
        </is>
      </c>
      <c r="E22">
        <f>HYPERLINK("https://www.indeed.com/viewjob?jk=71f050f6288d4356", "https://www.indeed.com/viewjob?jk=71f050f6288d4356")</f>
        <v/>
      </c>
      <c r="F22">
        <f>HYPERLINK("https://www.amazon.jobs/jobs/3145989/sr-machine-learning-engineer-agif--finetuning?cmpid=DA_INAD200785B", "https://www.amazon.jobs/jobs/3145989/sr-machine-learning-engineer-agif--finetuning?cmpid=DA_INAD200785B")</f>
        <v/>
      </c>
      <c r="G22" t="inlineStr">
        <is>
          <t>Sunnyvale, CA, US</t>
        </is>
      </c>
      <c r="H22" s="2" t="n">
        <v>45984</v>
      </c>
      <c r="I2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in-f2a560cf93cd5c7c</t>
        </is>
      </c>
      <c r="B23" t="inlineStr">
        <is>
          <t>Sr. Machine Learning Engineer, AGIF | Finetuning</t>
        </is>
      </c>
      <c r="C23" t="inlineStr">
        <is>
          <t>Amazon.com</t>
        </is>
      </c>
      <c r="D23" t="inlineStr">
        <is>
          <t>indeed</t>
        </is>
      </c>
      <c r="E23">
        <f>HYPERLINK("https://www.indeed.com/viewjob?jk=f2a560cf93cd5c7c", "https://www.indeed.com/viewjob?jk=f2a560cf93cd5c7c")</f>
        <v/>
      </c>
      <c r="F23">
        <f>HYPERLINK("https://www.amazon.jobs/jobs/3145989/sr-machine-learning-engineer-agif--finetuning?cmpid=DA_INAD200785B", "https://www.amazon.jobs/jobs/3145989/sr-machine-learning-engineer-agif--finetuning?cmpid=DA_INAD200785B")</f>
        <v/>
      </c>
      <c r="G23" t="inlineStr">
        <is>
          <t>New York, NY, US</t>
        </is>
      </c>
      <c r="H23" s="2" t="n">
        <v>45984</v>
      </c>
      <c r="I2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in-6f45e588e844ce1b</t>
        </is>
      </c>
      <c r="B24" t="inlineStr">
        <is>
          <t>Principal Applied Scientist, Amazon Special Projects</t>
        </is>
      </c>
      <c r="C24" t="inlineStr">
        <is>
          <t>Amazon.com</t>
        </is>
      </c>
      <c r="D24" t="inlineStr">
        <is>
          <t>indeed</t>
        </is>
      </c>
      <c r="E24">
        <f>HYPERLINK("https://www.indeed.com/viewjob?jk=6f45e588e844ce1b", "https://www.indeed.com/viewjob?jk=6f45e588e844ce1b")</f>
        <v/>
      </c>
      <c r="F24">
        <f>HYPERLINK("https://www.amazon.jobs/jobs/3132566/principal-applied-scientist-amazon-special-projects?cmpid=DA_INAD200785B", "https://www.amazon.jobs/jobs/3132566/principal-applied-scientist-amazon-special-projects?cmpid=DA_INAD200785B")</f>
        <v/>
      </c>
      <c r="G24" t="inlineStr">
        <is>
          <t>Seattle, WA, US</t>
        </is>
      </c>
      <c r="H24" s="2" t="n">
        <v>45982</v>
      </c>
      <c r="I2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in-507977886eaa30e7</t>
        </is>
      </c>
      <c r="B25" t="inlineStr">
        <is>
          <t>Principal Applied Scientist, Amazon Special Projects</t>
        </is>
      </c>
      <c r="C25" t="inlineStr">
        <is>
          <t>Amazon.com</t>
        </is>
      </c>
      <c r="D25" t="inlineStr">
        <is>
          <t>indeed</t>
        </is>
      </c>
      <c r="E25">
        <f>HYPERLINK("https://www.indeed.com/viewjob?jk=507977886eaa30e7", "https://www.indeed.com/viewjob?jk=507977886eaa30e7")</f>
        <v/>
      </c>
      <c r="F25">
        <f>HYPERLINK("https://www.amazon.jobs/jobs/3132566/principal-applied-scientist-amazon-special-projects?cmpid=DA_INAD200785B", "https://www.amazon.jobs/jobs/3132566/principal-applied-scientist-amazon-special-projects?cmpid=DA_INAD200785B")</f>
        <v/>
      </c>
      <c r="G25" t="inlineStr">
        <is>
          <t>Boston, MA, US</t>
        </is>
      </c>
      <c r="H25" s="2" t="n">
        <v>45982</v>
      </c>
      <c r="I2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in-be5499bf92b78ed2</t>
        </is>
      </c>
      <c r="B26" t="inlineStr">
        <is>
          <t>Sr. Applied Scientist, SPB Advertiser Guidance</t>
        </is>
      </c>
      <c r="C26" t="inlineStr">
        <is>
          <t>Amazon.com</t>
        </is>
      </c>
      <c r="D26" t="inlineStr">
        <is>
          <t>indeed</t>
        </is>
      </c>
      <c r="E26">
        <f>HYPERLINK("https://www.indeed.com/viewjob?jk=be5499bf92b78ed2", "https://www.indeed.com/viewjob?jk=be5499bf92b78ed2")</f>
        <v/>
      </c>
      <c r="F26">
        <f>HYPERLINK("https://www.amazon.jobs/jobs/3132336/sr-applied-scientist-spb-advertiser-guidance?cmpid=DA_INAD200785B", "https://www.amazon.jobs/jobs/3132336/sr-applied-scientist-spb-advertiser-guidance?cmpid=DA_INAD200785B")</f>
        <v/>
      </c>
      <c r="G26" t="inlineStr">
        <is>
          <t>Palo Alto, CA, US</t>
        </is>
      </c>
      <c r="H26" s="2" t="n">
        <v>45981</v>
      </c>
      <c r="I2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in-bb57b5e7d79e3d81</t>
        </is>
      </c>
      <c r="B27" t="inlineStr">
        <is>
          <t>Sr. Applied Scientist, SPB Advertiser Guidance</t>
        </is>
      </c>
      <c r="C27" t="inlineStr">
        <is>
          <t>Amazon.com</t>
        </is>
      </c>
      <c r="D27" t="inlineStr">
        <is>
          <t>indeed</t>
        </is>
      </c>
      <c r="E27">
        <f>HYPERLINK("https://www.indeed.com/viewjob?jk=bb57b5e7d79e3d81", "https://www.indeed.com/viewjob?jk=bb57b5e7d79e3d81")</f>
        <v/>
      </c>
      <c r="F27">
        <f>HYPERLINK("https://www.amazon.jobs/jobs/3132336/sr-applied-scientist-spb-advertiser-guidance?cmpid=DA_INAD200785B", "https://www.amazon.jobs/jobs/3132336/sr-applied-scientist-spb-advertiser-guidance?cmpid=DA_INAD200785B")</f>
        <v/>
      </c>
      <c r="G27" t="inlineStr">
        <is>
          <t>Seattle, WA, US</t>
        </is>
      </c>
      <c r="H27" s="2" t="n">
        <v>45981</v>
      </c>
      <c r="I2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in-92853fc2eb3b8fd3</t>
        </is>
      </c>
      <c r="B28" t="inlineStr">
        <is>
          <t>Sr. Applied Scientist, SPB Advertiser Guidance</t>
        </is>
      </c>
      <c r="C28" t="inlineStr">
        <is>
          <t>Amazon.com</t>
        </is>
      </c>
      <c r="D28" t="inlineStr">
        <is>
          <t>indeed</t>
        </is>
      </c>
      <c r="E28">
        <f>HYPERLINK("https://www.indeed.com/viewjob?jk=92853fc2eb3b8fd3", "https://www.indeed.com/viewjob?jk=92853fc2eb3b8fd3")</f>
        <v/>
      </c>
      <c r="F28">
        <f>HYPERLINK("https://www.amazon.jobs/jobs/3132336/sr-applied-scientist-spb-advertiser-guidance?cmpid=DA_INAD200785B", "https://www.amazon.jobs/jobs/3132336/sr-applied-scientist-spb-advertiser-guidance?cmpid=DA_INAD200785B")</f>
        <v/>
      </c>
      <c r="G28" t="inlineStr">
        <is>
          <t>New York, NY, US</t>
        </is>
      </c>
      <c r="H28" s="2" t="n">
        <v>45981</v>
      </c>
      <c r="I2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in-fc945eef1910d50e</t>
        </is>
      </c>
      <c r="B29" t="inlineStr">
        <is>
          <t>Senior Applied Scientist, Artificial General Intelligence</t>
        </is>
      </c>
      <c r="C29" t="inlineStr">
        <is>
          <t>Amazon.com</t>
        </is>
      </c>
      <c r="D29" t="inlineStr">
        <is>
          <t>indeed</t>
        </is>
      </c>
      <c r="E29">
        <f>HYPERLINK("https://www.indeed.com/viewjob?jk=fc945eef1910d50e", "https://www.indeed.com/viewjob?jk=fc945eef1910d50e")</f>
        <v/>
      </c>
      <c r="F29">
        <f>HYPERLINK("https://www.amazon.jobs/jobs/3131971/senior-applied-scientist-artificial-general-intelligence?cmpid=DA_INAD200785B", "https://www.amazon.jobs/jobs/3131971/senior-applied-scientist-artificial-general-intelligence?cmpid=DA_INAD200785B")</f>
        <v/>
      </c>
      <c r="G29" t="inlineStr">
        <is>
          <t>Sunnyvale, CA, US</t>
        </is>
      </c>
      <c r="H29" s="2" t="n">
        <v>45980</v>
      </c>
      <c r="I2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in-7c52ee519601d6a4</t>
        </is>
      </c>
      <c r="B30" t="inlineStr">
        <is>
          <t>Senior Applied Scientist, Artificial General Intelligence</t>
        </is>
      </c>
      <c r="C30" t="inlineStr">
        <is>
          <t>Amazon.com</t>
        </is>
      </c>
      <c r="D30" t="inlineStr">
        <is>
          <t>indeed</t>
        </is>
      </c>
      <c r="E30">
        <f>HYPERLINK("https://www.indeed.com/viewjob?jk=7c52ee519601d6a4", "https://www.indeed.com/viewjob?jk=7c52ee519601d6a4")</f>
        <v/>
      </c>
      <c r="F30">
        <f>HYPERLINK("https://www.amazon.jobs/jobs/3131971/senior-applied-scientist-artificial-general-intelligence?cmpid=DA_INAD200785B", "https://www.amazon.jobs/jobs/3131971/senior-applied-scientist-artificial-general-intelligence?cmpid=DA_INAD200785B")</f>
        <v/>
      </c>
      <c r="G30" t="inlineStr">
        <is>
          <t>Boston, MA, US</t>
        </is>
      </c>
      <c r="H30" s="2" t="n">
        <v>45980</v>
      </c>
      <c r="I3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in-cd7d66e193485559</t>
        </is>
      </c>
      <c r="B31" t="inlineStr">
        <is>
          <t>Senior Applied Scientist, Artificial General Intelligence</t>
        </is>
      </c>
      <c r="C31" t="inlineStr">
        <is>
          <t>Amazon.com</t>
        </is>
      </c>
      <c r="D31" t="inlineStr">
        <is>
          <t>indeed</t>
        </is>
      </c>
      <c r="E31">
        <f>HYPERLINK("https://www.indeed.com/viewjob?jk=cd7d66e193485559", "https://www.indeed.com/viewjob?jk=cd7d66e193485559")</f>
        <v/>
      </c>
      <c r="F31">
        <f>HYPERLINK("https://www.amazon.jobs/jobs/3131971/senior-applied-scientist-artificial-general-intelligence?cmpid=DA_INAD200785B", "https://www.amazon.jobs/jobs/3131971/senior-applied-scientist-artificial-general-intelligence?cmpid=DA_INAD200785B")</f>
        <v/>
      </c>
      <c r="G31" t="inlineStr">
        <is>
          <t>New York, NY, US</t>
        </is>
      </c>
      <c r="H31" s="2" t="n">
        <v>45980</v>
      </c>
      <c r="I3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in-ec6b79e5617a3830</t>
        </is>
      </c>
      <c r="B32" t="inlineStr">
        <is>
          <t>Senior Applied Scientist, Artificial General Intelligence</t>
        </is>
      </c>
      <c r="C32" t="inlineStr">
        <is>
          <t>Amazon.com</t>
        </is>
      </c>
      <c r="D32" t="inlineStr">
        <is>
          <t>indeed</t>
        </is>
      </c>
      <c r="E32">
        <f>HYPERLINK("https://www.indeed.com/viewjob?jk=ec6b79e5617a3830", "https://www.indeed.com/viewjob?jk=ec6b79e5617a3830")</f>
        <v/>
      </c>
      <c r="F32">
        <f>HYPERLINK("https://www.amazon.jobs/jobs/3131971/senior-applied-scientist-artificial-general-intelligence?cmpid=DA_INAD200785B", "https://www.amazon.jobs/jobs/3131971/senior-applied-scientist-artificial-general-intelligence?cmpid=DA_INAD200785B")</f>
        <v/>
      </c>
      <c r="G32" t="inlineStr">
        <is>
          <t>Seattle, WA, US</t>
        </is>
      </c>
      <c r="H32" s="2" t="n">
        <v>45980</v>
      </c>
      <c r="I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in-fe6ad92be67b48f6</t>
        </is>
      </c>
      <c r="B33" t="inlineStr">
        <is>
          <t>Applied Scientist II, SPB Advertiser Guidance</t>
        </is>
      </c>
      <c r="C33" t="inlineStr">
        <is>
          <t>Amazon.com</t>
        </is>
      </c>
      <c r="D33" t="inlineStr">
        <is>
          <t>indeed</t>
        </is>
      </c>
      <c r="E33">
        <f>HYPERLINK("https://www.indeed.com/viewjob?jk=fe6ad92be67b48f6", "https://www.indeed.com/viewjob?jk=fe6ad92be67b48f6")</f>
        <v/>
      </c>
      <c r="F33">
        <f>HYPERLINK("https://www.amazon.jobs/jobs/3131876/applied-scientist-ii-spb-advertiser-guidance?cmpid=DA_INAD200785B", "https://www.amazon.jobs/jobs/3131876/applied-scientist-ii-spb-advertiser-guidance?cmpid=DA_INAD200785B")</f>
        <v/>
      </c>
      <c r="G33" t="inlineStr">
        <is>
          <t>Palo Alto, CA, US</t>
        </is>
      </c>
      <c r="H33" s="2" t="n">
        <v>45980</v>
      </c>
      <c r="I3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in-2044b8f68c8ad419</t>
        </is>
      </c>
      <c r="B34" t="inlineStr">
        <is>
          <t>Applied Scientist II, SPB Advertiser Guidance</t>
        </is>
      </c>
      <c r="C34" t="inlineStr">
        <is>
          <t>Amazon.com</t>
        </is>
      </c>
      <c r="D34" t="inlineStr">
        <is>
          <t>indeed</t>
        </is>
      </c>
      <c r="E34">
        <f>HYPERLINK("https://www.indeed.com/viewjob?jk=2044b8f68c8ad419", "https://www.indeed.com/viewjob?jk=2044b8f68c8ad419")</f>
        <v/>
      </c>
      <c r="F34">
        <f>HYPERLINK("https://www.amazon.jobs/jobs/3131876/applied-scientist-ii-spb-advertiser-guidance?cmpid=DA_INAD200785B", "https://www.amazon.jobs/jobs/3131876/applied-scientist-ii-spb-advertiser-guidance?cmpid=DA_INAD200785B")</f>
        <v/>
      </c>
      <c r="G34" t="inlineStr">
        <is>
          <t>New York, NY, US</t>
        </is>
      </c>
      <c r="H34" s="2" t="n">
        <v>45980</v>
      </c>
      <c r="I3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in-c23e5dd60909d218</t>
        </is>
      </c>
      <c r="B35" t="inlineStr">
        <is>
          <t>Applied Scientist II, SPB Advertiser Guidance</t>
        </is>
      </c>
      <c r="C35" t="inlineStr">
        <is>
          <t>Amazon.com</t>
        </is>
      </c>
      <c r="D35" t="inlineStr">
        <is>
          <t>indeed</t>
        </is>
      </c>
      <c r="E35">
        <f>HYPERLINK("https://www.indeed.com/viewjob?jk=c23e5dd60909d218", "https://www.indeed.com/viewjob?jk=c23e5dd60909d218")</f>
        <v/>
      </c>
      <c r="F35">
        <f>HYPERLINK("https://www.amazon.jobs/jobs/3131876/applied-scientist-ii-spb-advertiser-guidance?cmpid=DA_INAD200785B", "https://www.amazon.jobs/jobs/3131876/applied-scientist-ii-spb-advertiser-guidance?cmpid=DA_INAD200785B")</f>
        <v/>
      </c>
      <c r="G35" t="inlineStr">
        <is>
          <t>Seattle, WA, US</t>
        </is>
      </c>
      <c r="H35" s="2" t="n">
        <v>45980</v>
      </c>
      <c r="I3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in-23de09e7e718ea0b</t>
        </is>
      </c>
      <c r="B36" t="inlineStr">
        <is>
          <t>Principal Applied Scientist, Sponsored Products and Brands</t>
        </is>
      </c>
      <c r="C36" t="inlineStr">
        <is>
          <t>Amazon.com</t>
        </is>
      </c>
      <c r="D36" t="inlineStr">
        <is>
          <t>indeed</t>
        </is>
      </c>
      <c r="E36">
        <f>HYPERLINK("https://www.indeed.com/viewjob?jk=23de09e7e718ea0b", "https://www.indeed.com/viewjob?jk=23de09e7e718ea0b")</f>
        <v/>
      </c>
      <c r="F36">
        <f>HYPERLINK("https://www.amazon.jobs/jobs/3130855/principal-applied-scientist-sponsored-products-and-brands?cmpid=DA_INAD200785B", "https://www.amazon.jobs/jobs/3130855/principal-applied-scientist-sponsored-products-and-brands?cmpid=DA_INAD200785B")</f>
        <v/>
      </c>
      <c r="G36" t="inlineStr">
        <is>
          <t>Seattle, WA, US</t>
        </is>
      </c>
      <c r="H36" s="2" t="n">
        <v>45979</v>
      </c>
      <c r="I3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in-4a7acda30676d431</t>
        </is>
      </c>
      <c r="B37" t="inlineStr">
        <is>
          <t>Principal Applied Scientist, Sponsored Products and Brands</t>
        </is>
      </c>
      <c r="C37" t="inlineStr">
        <is>
          <t>Amazon.com</t>
        </is>
      </c>
      <c r="D37" t="inlineStr">
        <is>
          <t>indeed</t>
        </is>
      </c>
      <c r="E37">
        <f>HYPERLINK("https://www.indeed.com/viewjob?jk=4a7acda30676d431", "https://www.indeed.com/viewjob?jk=4a7acda30676d431")</f>
        <v/>
      </c>
      <c r="F37">
        <f>HYPERLINK("https://www.amazon.jobs/jobs/3130855/principal-applied-scientist-sponsored-products-and-brands?cmpid=DA_INAD200785B", "https://www.amazon.jobs/jobs/3130855/principal-applied-scientist-sponsored-products-and-brands?cmpid=DA_INAD200785B")</f>
        <v/>
      </c>
      <c r="G37" t="inlineStr">
        <is>
          <t>New York, NY, US</t>
        </is>
      </c>
      <c r="H37" s="2" t="n">
        <v>45979</v>
      </c>
      <c r="I3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in-82aeba3fd1c69d50</t>
        </is>
      </c>
      <c r="B38" t="inlineStr">
        <is>
          <t>Sr. Applied Scientist, AGI Foundations</t>
        </is>
      </c>
      <c r="C38" t="inlineStr">
        <is>
          <t>Amazon.com</t>
        </is>
      </c>
      <c r="D38" t="inlineStr">
        <is>
          <t>indeed</t>
        </is>
      </c>
      <c r="E38">
        <f>HYPERLINK("https://www.indeed.com/viewjob?jk=82aeba3fd1c69d50", "https://www.indeed.com/viewjob?jk=82aeba3fd1c69d50")</f>
        <v/>
      </c>
      <c r="F38">
        <f>HYPERLINK("https://www.amazon.jobs/jobs/3128807/sr-applied-scientist-agi-foundations?cmpid=DA_INAD200785B", "https://www.amazon.jobs/jobs/3128807/sr-applied-scientist-agi-foundations?cmpid=DA_INAD200785B")</f>
        <v/>
      </c>
      <c r="G38" t="inlineStr">
        <is>
          <t>Bellevue, WA, US</t>
        </is>
      </c>
      <c r="H38" s="2" t="n">
        <v>45978</v>
      </c>
      <c r="I3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in-8f169f75fc1382ff</t>
        </is>
      </c>
      <c r="B39" t="inlineStr">
        <is>
          <t>Sr. Applied Scientist, AGI Foundations</t>
        </is>
      </c>
      <c r="C39" t="inlineStr">
        <is>
          <t>Amazon.com</t>
        </is>
      </c>
      <c r="D39" t="inlineStr">
        <is>
          <t>indeed</t>
        </is>
      </c>
      <c r="E39">
        <f>HYPERLINK("https://www.indeed.com/viewjob?jk=8f169f75fc1382ff", "https://www.indeed.com/viewjob?jk=8f169f75fc1382ff")</f>
        <v/>
      </c>
      <c r="F39">
        <f>HYPERLINK("https://www.amazon.jobs/jobs/3128807/sr-applied-scientist-agi-foundations?cmpid=DA_INAD200785B", "https://www.amazon.jobs/jobs/3128807/sr-applied-scientist-agi-foundations?cmpid=DA_INAD200785B")</f>
        <v/>
      </c>
      <c r="G39" t="inlineStr">
        <is>
          <t>Boston, MA, US</t>
        </is>
      </c>
      <c r="H39" s="2" t="n">
        <v>45978</v>
      </c>
      <c r="I3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in-4a6143b996e09fe9</t>
        </is>
      </c>
      <c r="B40" t="inlineStr">
        <is>
          <t>Sr. Applied Scientist, AGI Foundations</t>
        </is>
      </c>
      <c r="C40" t="inlineStr">
        <is>
          <t>Amazon.com</t>
        </is>
      </c>
      <c r="D40" t="inlineStr">
        <is>
          <t>indeed</t>
        </is>
      </c>
      <c r="E40">
        <f>HYPERLINK("https://www.indeed.com/viewjob?jk=4a6143b996e09fe9", "https://www.indeed.com/viewjob?jk=4a6143b996e09fe9")</f>
        <v/>
      </c>
      <c r="F40">
        <f>HYPERLINK("https://www.amazon.jobs/jobs/3128807/sr-applied-scientist-agi-foundations?cmpid=DA_INAD200785B", "https://www.amazon.jobs/jobs/3128807/sr-applied-scientist-agi-foundations?cmpid=DA_INAD200785B")</f>
        <v/>
      </c>
      <c r="G40" t="inlineStr">
        <is>
          <t>New York, NY, US</t>
        </is>
      </c>
      <c r="H40" s="2" t="n">
        <v>45978</v>
      </c>
      <c r="I4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in-18e857049e0c16eb</t>
        </is>
      </c>
      <c r="B41" t="inlineStr">
        <is>
          <t>Sr. Applied Scientist, AGI Foundations</t>
        </is>
      </c>
      <c r="C41" t="inlineStr">
        <is>
          <t>Amazon.com</t>
        </is>
      </c>
      <c r="D41" t="inlineStr">
        <is>
          <t>indeed</t>
        </is>
      </c>
      <c r="E41">
        <f>HYPERLINK("https://www.indeed.com/viewjob?jk=18e857049e0c16eb", "https://www.indeed.com/viewjob?jk=18e857049e0c16eb")</f>
        <v/>
      </c>
      <c r="F41">
        <f>HYPERLINK("https://www.amazon.jobs/jobs/3128807/sr-applied-scientist-agi-foundations?cmpid=DA_INAD200785B", "https://www.amazon.jobs/jobs/3128807/sr-applied-scientist-agi-foundations?cmpid=DA_INAD200785B")</f>
        <v/>
      </c>
      <c r="G41" t="inlineStr">
        <is>
          <t>Sunnyvale, CA, US</t>
        </is>
      </c>
      <c r="H41" s="2" t="n">
        <v>45978</v>
      </c>
      <c r="I4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in-c17ae25de2b9112e</t>
        </is>
      </c>
      <c r="B42" t="inlineStr">
        <is>
          <t>Principal Applied Scientist, Amazon AGI</t>
        </is>
      </c>
      <c r="C42" t="inlineStr">
        <is>
          <t>Amazon.com</t>
        </is>
      </c>
      <c r="D42" t="inlineStr">
        <is>
          <t>indeed</t>
        </is>
      </c>
      <c r="E42">
        <f>HYPERLINK("https://www.indeed.com/viewjob?jk=c17ae25de2b9112e", "https://www.indeed.com/viewjob?jk=c17ae25de2b9112e")</f>
        <v/>
      </c>
      <c r="F42">
        <f>HYPERLINK("https://www.amazon.jobs/jobs/3128808/principal-applied-scientist-amazon-agi?cmpid=DA_INAD200785B", "https://www.amazon.jobs/jobs/3128808/principal-applied-scientist-amazon-agi?cmpid=DA_INAD200785B")</f>
        <v/>
      </c>
      <c r="G42" t="inlineStr">
        <is>
          <t>San Francisco, CA, US</t>
        </is>
      </c>
      <c r="H42" s="2" t="n">
        <v>45964</v>
      </c>
      <c r="I4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in-a5faba024fea0991</t>
        </is>
      </c>
      <c r="B43" t="inlineStr">
        <is>
          <t>Principal Applied Scientist, Amazon AGI</t>
        </is>
      </c>
      <c r="C43" t="inlineStr">
        <is>
          <t>Amazon.com</t>
        </is>
      </c>
      <c r="D43" t="inlineStr">
        <is>
          <t>indeed</t>
        </is>
      </c>
      <c r="E43">
        <f>HYPERLINK("https://www.indeed.com/viewjob?jk=a5faba024fea0991", "https://www.indeed.com/viewjob?jk=a5faba024fea0991")</f>
        <v/>
      </c>
      <c r="F43">
        <f>HYPERLINK("https://www.amazon.jobs/jobs/3128808/principal-applied-scientist-amazon-agi?cmpid=DA_INAD200785B", "https://www.amazon.jobs/jobs/3128808/principal-applied-scientist-amazon-agi?cmpid=DA_INAD200785B")</f>
        <v/>
      </c>
      <c r="G43" t="inlineStr">
        <is>
          <t>Boston, MA, US</t>
        </is>
      </c>
      <c r="H43" s="2" t="n">
        <v>45964</v>
      </c>
      <c r="I4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in-47500523db0378d8</t>
        </is>
      </c>
      <c r="B44" t="inlineStr">
        <is>
          <t>Sr. Applied Scientist, AGI Foundations</t>
        </is>
      </c>
      <c r="C44" t="inlineStr">
        <is>
          <t>Amazon.com</t>
        </is>
      </c>
      <c r="D44" t="inlineStr">
        <is>
          <t>indeed</t>
        </is>
      </c>
      <c r="E44">
        <f>HYPERLINK("https://www.indeed.com/viewjob?jk=47500523db0378d8", "https://www.indeed.com/viewjob?jk=47500523db0378d8")</f>
        <v/>
      </c>
      <c r="F44">
        <f>HYPERLINK("https://www.amazon.jobs/jobs/3123268/sr-applied-scientist-agi-foundations?cmpid=DA_INAD200785B", "https://www.amazon.jobs/jobs/3123268/sr-applied-scientist-agi-foundations?cmpid=DA_INAD200785B")</f>
        <v/>
      </c>
      <c r="G44" t="inlineStr">
        <is>
          <t>Bellevue, WA, US</t>
        </is>
      </c>
      <c r="H44" s="2" t="n">
        <v>45963</v>
      </c>
      <c r="I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in-234aef46973ef0d0</t>
        </is>
      </c>
      <c r="B45" t="inlineStr">
        <is>
          <t>Sr. Applied Scientist, AGI Foundations</t>
        </is>
      </c>
      <c r="C45" t="inlineStr">
        <is>
          <t>Amazon.com</t>
        </is>
      </c>
      <c r="D45" t="inlineStr">
        <is>
          <t>indeed</t>
        </is>
      </c>
      <c r="E45">
        <f>HYPERLINK("https://www.indeed.com/viewjob?jk=234aef46973ef0d0", "https://www.indeed.com/viewjob?jk=234aef46973ef0d0")</f>
        <v/>
      </c>
      <c r="F45">
        <f>HYPERLINK("https://www.amazon.jobs/jobs/3123268/sr-applied-scientist-agi-foundations?cmpid=DA_INAD200785B", "https://www.amazon.jobs/jobs/3123268/sr-applied-scientist-agi-foundations?cmpid=DA_INAD200785B")</f>
        <v/>
      </c>
      <c r="G45" t="inlineStr">
        <is>
          <t>New York, NY, US</t>
        </is>
      </c>
      <c r="H45" s="2" t="n">
        <v>45963</v>
      </c>
      <c r="I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in-babe1207d5582119</t>
        </is>
      </c>
      <c r="B46" t="inlineStr">
        <is>
          <t>Sr. Applied Scientist, AGI Foundations</t>
        </is>
      </c>
      <c r="C46" t="inlineStr">
        <is>
          <t>Amazon.com</t>
        </is>
      </c>
      <c r="D46" t="inlineStr">
        <is>
          <t>indeed</t>
        </is>
      </c>
      <c r="E46">
        <f>HYPERLINK("https://www.indeed.com/viewjob?jk=babe1207d5582119", "https://www.indeed.com/viewjob?jk=babe1207d5582119")</f>
        <v/>
      </c>
      <c r="F46">
        <f>HYPERLINK("https://www.amazon.jobs/jobs/3123268/sr-applied-scientist-agi-foundations?cmpid=DA_INAD200785B", "https://www.amazon.jobs/jobs/3123268/sr-applied-scientist-agi-foundations?cmpid=DA_INAD200785B")</f>
        <v/>
      </c>
      <c r="G46" t="inlineStr">
        <is>
          <t>Boston, MA, US</t>
        </is>
      </c>
      <c r="H46" s="2" t="n">
        <v>45963</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in-63d6bcfdb10c0299</t>
        </is>
      </c>
      <c r="B47" t="inlineStr">
        <is>
          <t>Principal Applied Scientist, AWS Agentic AI Science</t>
        </is>
      </c>
      <c r="C47" t="inlineStr">
        <is>
          <t>Amazon Web Services</t>
        </is>
      </c>
      <c r="D47" t="inlineStr">
        <is>
          <t>indeed</t>
        </is>
      </c>
      <c r="E47">
        <f>HYPERLINK("https://www.indeed.com/viewjob?jk=63d6bcfdb10c0299", "https://www.indeed.com/viewjob?jk=63d6bcfdb10c0299")</f>
        <v/>
      </c>
      <c r="F47">
        <f>HYPERLINK("https://www.amazon.jobs/jobs/3132887/principal-applied-scientist-aws-agentic-ai-science?cmpid=DA_INAD200785B", "https://www.amazon.jobs/jobs/3132887/principal-applied-scientist-aws-agentic-ai-science?cmpid=DA_INAD200785B")</f>
        <v/>
      </c>
      <c r="G47" t="inlineStr">
        <is>
          <t>Santa Clara, CA, US</t>
        </is>
      </c>
      <c r="H47" s="2" t="n">
        <v>45963</v>
      </c>
      <c r="I47"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in-413a3a07a4f58495</t>
        </is>
      </c>
      <c r="B48" t="inlineStr">
        <is>
          <t>Principal Applied Scientist, AWS Agentic AI Science</t>
        </is>
      </c>
      <c r="C48" t="inlineStr">
        <is>
          <t>Amazon Web Services</t>
        </is>
      </c>
      <c r="D48" t="inlineStr">
        <is>
          <t>indeed</t>
        </is>
      </c>
      <c r="E48">
        <f>HYPERLINK("https://www.indeed.com/viewjob?jk=413a3a07a4f58495", "https://www.indeed.com/viewjob?jk=413a3a07a4f58495")</f>
        <v/>
      </c>
      <c r="F48">
        <f>HYPERLINK("https://www.amazon.jobs/jobs/3132887/principal-applied-scientist-aws-agentic-ai-science?cmpid=DA_INAD200785B", "https://www.amazon.jobs/jobs/3132887/principal-applied-scientist-aws-agentic-ai-science?cmpid=DA_INAD200785B")</f>
        <v/>
      </c>
      <c r="G48" t="inlineStr">
        <is>
          <t>New York, NY, US</t>
        </is>
      </c>
      <c r="H48" s="2" t="n">
        <v>45963</v>
      </c>
      <c r="I48" t="inlineStr">
        <is>
          <t>**DESCRIPTION**
---------------
AWS Agentic AI is looking for a world\-class Applied Scientist with a strong deep learning background to help build industry\-leading Agentic AI (models, systems, and applications). Our mission is to provide a delightful experience to Amazon’s customers by pushing the envelope in Natural Language Understanding (NLU), AI assisted code development, reasoning and planning with LLMs, LLM training and fine\-tuning, and Applied Machine Learning (ML). As part of our AI team in Amazon AWS, you will work alongside internationally recognized experts to develop novel algorithms and modeling techniques to advance the state\-of\-the\-art in Agentic AI. Your work will directly impact millions of our customers in the form of products and services that make use AI technology. You will gain hands on experience with Amazon’s heterogeneous text, structured data sources, and large\-scale computing resources to accelerate advances in language understanding.  
We are looking for experienced scientists who can make complex, autonomous systems understandable and debuggable through intelligent instrumentation and simulation.
Key job responsibilities  
* Develop technical breakthroughs in agentic infrastructure and applications
* Mentor and guide junior scientists.
* Manage a small team of scientists
* Develop technology strategy and roadmap supporting product development
* Develop prototypes for key technology, oversee the productization of the prototype, and develop critical assessment for the prototype
* Write technical reports summarizing R\&amp;D progresses and communicate such progresses with stakeholders
* Engage with cross\-functional stakeholders to drive alignment and outcomes
About the team  
The Amazon Web Services (AWS) Agentic AI team uses generative AI and foundation models to advance application development. In the space of software development and life cycle management, we see the application of AI anywhere: from the IDE to web\-based tools and services, AI helps engineers work many applications.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Experience using Unix/Linux
* Hands\-on experience in professional software development
* Experience with agentic observability, simulators
* Experience with managing junior scientists
* Track record of delivering innovation to production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in-e3ad895fa859a99a</t>
        </is>
      </c>
      <c r="B49" t="inlineStr">
        <is>
          <t>Sr. Applied Scientist, Sponsored Product Off-Search</t>
        </is>
      </c>
      <c r="C49" t="inlineStr">
        <is>
          <t>Amazon.com</t>
        </is>
      </c>
      <c r="D49" t="inlineStr">
        <is>
          <t>indeed</t>
        </is>
      </c>
      <c r="E49">
        <f>HYPERLINK("https://www.indeed.com/viewjob?jk=e3ad895fa859a99a", "https://www.indeed.com/viewjob?jk=e3ad895fa859a99a")</f>
        <v/>
      </c>
      <c r="F49">
        <f>HYPERLINK("https://www.amazon.jobs/jobs/3120815/sr-applied-scientist-sponsored-product-offsearch-?cmpid=DA_INAD200785B", "https://www.amazon.jobs/jobs/3120815/sr-applied-scientist-sponsored-product-offsearch-?cmpid=DA_INAD200785B")</f>
        <v/>
      </c>
      <c r="G49" t="inlineStr">
        <is>
          <t>New York, NY, US</t>
        </is>
      </c>
      <c r="H49" s="2" t="n">
        <v>45963</v>
      </c>
      <c r="I4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in-0cba4d3581a8fac8</t>
        </is>
      </c>
      <c r="B50" t="inlineStr">
        <is>
          <t>Sr. Applied Scientist, Sponsored Product Off-Search</t>
        </is>
      </c>
      <c r="C50" t="inlineStr">
        <is>
          <t>Amazon.com</t>
        </is>
      </c>
      <c r="D50" t="inlineStr">
        <is>
          <t>indeed</t>
        </is>
      </c>
      <c r="E50">
        <f>HYPERLINK("https://www.indeed.com/viewjob?jk=0cba4d3581a8fac8", "https://www.indeed.com/viewjob?jk=0cba4d3581a8fac8")</f>
        <v/>
      </c>
      <c r="F50">
        <f>HYPERLINK("https://www.amazon.jobs/jobs/3120815/sr-applied-scientist-sponsored-product-offsearch-?cmpid=DA_INAD200785B", "https://www.amazon.jobs/jobs/3120815/sr-applied-scientist-sponsored-product-offsearch-?cmpid=DA_INAD200785B")</f>
        <v/>
      </c>
      <c r="G50" t="inlineStr">
        <is>
          <t>Seattle, WA, US</t>
        </is>
      </c>
      <c r="H50" s="2" t="n">
        <v>45963</v>
      </c>
      <c r="I5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in-fe19036647c1e848</t>
        </is>
      </c>
      <c r="B51" t="inlineStr">
        <is>
          <t>Applied Scientist, AWS Agentic AI</t>
        </is>
      </c>
      <c r="C51" t="inlineStr">
        <is>
          <t>Amazon Web Services</t>
        </is>
      </c>
      <c r="D51" t="inlineStr">
        <is>
          <t>indeed</t>
        </is>
      </c>
      <c r="E51">
        <f>HYPERLINK("https://www.indeed.com/viewjob?jk=fe19036647c1e848", "https://www.indeed.com/viewjob?jk=fe19036647c1e848")</f>
        <v/>
      </c>
      <c r="F51">
        <f>HYPERLINK("https://www.amazon.jobs/jobs/3141517/applied-scientist-aws-agentic-ai-?cmpid=DA_INAD200785B", "https://www.amazon.jobs/jobs/3141517/applied-scientist-aws-agentic-ai-?cmpid=DA_INAD200785B")</f>
        <v/>
      </c>
      <c r="G51" t="inlineStr">
        <is>
          <t>Santa Clara, CA, US</t>
        </is>
      </c>
      <c r="H51" s="2" t="n">
        <v>45962</v>
      </c>
      <c r="I5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in-23723d4c8b1e7524</t>
        </is>
      </c>
      <c r="B52" t="inlineStr">
        <is>
          <t>Applied Scientist, AWS Agentic AI</t>
        </is>
      </c>
      <c r="C52" t="inlineStr">
        <is>
          <t>Amazon Web Services</t>
        </is>
      </c>
      <c r="D52" t="inlineStr">
        <is>
          <t>indeed</t>
        </is>
      </c>
      <c r="E52">
        <f>HYPERLINK("https://www.indeed.com/viewjob?jk=23723d4c8b1e7524", "https://www.indeed.com/viewjob?jk=23723d4c8b1e7524")</f>
        <v/>
      </c>
      <c r="F52">
        <f>HYPERLINK("https://www.amazon.jobs/jobs/3141517/applied-scientist-aws-agentic-ai-?cmpid=DA_INAD200785B", "https://www.amazon.jobs/jobs/3141517/applied-scientist-aws-agentic-ai-?cmpid=DA_INAD200785B")</f>
        <v/>
      </c>
      <c r="G52" t="inlineStr">
        <is>
          <t>Seattle, WA, US</t>
        </is>
      </c>
      <c r="H52" s="2" t="n">
        <v>45962</v>
      </c>
      <c r="I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in-54e117afc22c52ab</t>
        </is>
      </c>
      <c r="B53" t="inlineStr">
        <is>
          <t>Applied Scientist, AWS Agentic AI</t>
        </is>
      </c>
      <c r="C53" t="inlineStr">
        <is>
          <t>Amazon Web Services</t>
        </is>
      </c>
      <c r="D53" t="inlineStr">
        <is>
          <t>indeed</t>
        </is>
      </c>
      <c r="E53">
        <f>HYPERLINK("https://www.indeed.com/viewjob?jk=54e117afc22c52ab", "https://www.indeed.com/viewjob?jk=54e117afc22c52ab")</f>
        <v/>
      </c>
      <c r="F53">
        <f>HYPERLINK("https://www.amazon.jobs/jobs/3141517/applied-scientist-aws-agentic-ai-?cmpid=DA_INAD200785B", "https://www.amazon.jobs/jobs/3141517/applied-scientist-aws-agentic-ai-?cmpid=DA_INAD200785B")</f>
        <v/>
      </c>
      <c r="G53" t="inlineStr">
        <is>
          <t>New York, NY, US</t>
        </is>
      </c>
      <c r="H53" s="2" t="n">
        <v>45962</v>
      </c>
      <c r="I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in-f15f61767b9686fb</t>
        </is>
      </c>
      <c r="B54" t="inlineStr">
        <is>
          <t>Principal Applied Scientist, Advertiser Growth, Amazon Sponsored Products &amp; Brands</t>
        </is>
      </c>
      <c r="C54" t="inlineStr">
        <is>
          <t>Amazon.com</t>
        </is>
      </c>
      <c r="D54" t="inlineStr">
        <is>
          <t>indeed</t>
        </is>
      </c>
      <c r="E54">
        <f>HYPERLINK("https://www.indeed.com/viewjob?jk=f15f61767b9686fb", "https://www.indeed.com/viewjob?jk=f15f61767b9686fb")</f>
        <v/>
      </c>
      <c r="F54">
        <f>HYPERLINK("https://www.amazon.jobs/jobs/3115279/principal-applied-scientist-advertiser-growth-amazon-sponsored-products--brands?cmpid=DA_INAD200785B", "https://www.amazon.jobs/jobs/3115279/principal-applied-scientist-advertiser-growth-amazon-sponsored-products--brands?cmpid=DA_INAD200785B")</f>
        <v/>
      </c>
      <c r="G54" t="inlineStr">
        <is>
          <t>Palo Alto, CA, US</t>
        </is>
      </c>
      <c r="H54" s="2" t="n">
        <v>45942</v>
      </c>
      <c r="I5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in-88458f1ccd1ee106</t>
        </is>
      </c>
      <c r="B55" t="inlineStr">
        <is>
          <t>Principal Applied Scientist, Advertiser Growth, Amazon Sponsored Products &amp; Brands</t>
        </is>
      </c>
      <c r="C55" t="inlineStr">
        <is>
          <t>Amazon.com</t>
        </is>
      </c>
      <c r="D55" t="inlineStr">
        <is>
          <t>indeed</t>
        </is>
      </c>
      <c r="E55">
        <f>HYPERLINK("https://www.indeed.com/viewjob?jk=88458f1ccd1ee106", "https://www.indeed.com/viewjob?jk=88458f1ccd1ee106")</f>
        <v/>
      </c>
      <c r="F55">
        <f>HYPERLINK("https://www.amazon.jobs/jobs/3115279/principal-applied-scientist-advertiser-growth-amazon-sponsored-products--brands?cmpid=DA_INAD200785B", "https://www.amazon.jobs/jobs/3115279/principal-applied-scientist-advertiser-growth-amazon-sponsored-products--brands?cmpid=DA_INAD200785B")</f>
        <v/>
      </c>
      <c r="G55" t="inlineStr">
        <is>
          <t>New York, NY, US</t>
        </is>
      </c>
      <c r="H55" s="2" t="n">
        <v>45942</v>
      </c>
      <c r="I5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in-19614b8a140d9e9b</t>
        </is>
      </c>
      <c r="B56" t="inlineStr">
        <is>
          <t>Principal Applied Scientist, Advertiser Growth, Amazon Sponsored Products &amp; Brands</t>
        </is>
      </c>
      <c r="C56" t="inlineStr">
        <is>
          <t>Amazon.com</t>
        </is>
      </c>
      <c r="D56" t="inlineStr">
        <is>
          <t>indeed</t>
        </is>
      </c>
      <c r="E56">
        <f>HYPERLINK("https://www.indeed.com/viewjob?jk=19614b8a140d9e9b", "https://www.indeed.com/viewjob?jk=19614b8a140d9e9b")</f>
        <v/>
      </c>
      <c r="F56">
        <f>HYPERLINK("https://www.amazon.jobs/jobs/3115279/principal-applied-scientist-advertiser-growth-amazon-sponsored-products--brands?cmpid=DA_INAD200785B", "https://www.amazon.jobs/jobs/3115279/principal-applied-scientist-advertiser-growth-amazon-sponsored-products--brands?cmpid=DA_INAD200785B")</f>
        <v/>
      </c>
      <c r="G56" t="inlineStr">
        <is>
          <t>Seattle, WA, US</t>
        </is>
      </c>
      <c r="H56" s="2" t="n">
        <v>45942</v>
      </c>
      <c r="I5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in-da5c59f2312c3c8a</t>
        </is>
      </c>
      <c r="B57" t="inlineStr">
        <is>
          <t>Sr. Applied Scientist, SPB Advertiser Guidance</t>
        </is>
      </c>
      <c r="C57" t="inlineStr">
        <is>
          <t>Amazon.com</t>
        </is>
      </c>
      <c r="D57" t="inlineStr">
        <is>
          <t>indeed</t>
        </is>
      </c>
      <c r="E57">
        <f>HYPERLINK("https://www.indeed.com/viewjob?jk=da5c59f2312c3c8a", "https://www.indeed.com/viewjob?jk=da5c59f2312c3c8a")</f>
        <v/>
      </c>
      <c r="F57">
        <f>HYPERLINK("https://www.amazon.jobs/jobs/3106497/sr-applied-scientist-spb-advertiser-guidance?cmpid=DA_INAD200785B", "https://www.amazon.jobs/jobs/3106497/sr-applied-scientist-spb-advertiser-guidance?cmpid=DA_INAD200785B")</f>
        <v/>
      </c>
      <c r="G57" t="inlineStr">
        <is>
          <t>New York, NY, US</t>
        </is>
      </c>
      <c r="H57" s="2" t="n">
        <v>45939</v>
      </c>
      <c r="I5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in-abfe02c138a552df</t>
        </is>
      </c>
      <c r="B58" t="inlineStr">
        <is>
          <t>Applied Scientist</t>
        </is>
      </c>
      <c r="C58" t="inlineStr">
        <is>
          <t>Amazon.com</t>
        </is>
      </c>
      <c r="D58" t="inlineStr">
        <is>
          <t>indeed</t>
        </is>
      </c>
      <c r="E58">
        <f>HYPERLINK("https://www.indeed.com/viewjob?jk=abfe02c138a552df", "https://www.indeed.com/viewjob?jk=abfe02c138a552df")</f>
        <v/>
      </c>
      <c r="F58">
        <f>HYPERLINK("https://www.amazon.jobs/jobs/3106501/applied-scientist?cmpid=DA_INAD200785B", "https://www.amazon.jobs/jobs/3106501/applied-scientist?cmpid=DA_INAD200785B")</f>
        <v/>
      </c>
      <c r="G58" t="inlineStr">
        <is>
          <t>Palo Alto, CA, US</t>
        </is>
      </c>
      <c r="H58" s="2" t="n">
        <v>45939</v>
      </c>
      <c r="I5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in-2f52ac014ff230df</t>
        </is>
      </c>
      <c r="B59" t="inlineStr">
        <is>
          <t>Applied Scientist</t>
        </is>
      </c>
      <c r="C59" t="inlineStr">
        <is>
          <t>Amazon.com</t>
        </is>
      </c>
      <c r="D59" t="inlineStr">
        <is>
          <t>indeed</t>
        </is>
      </c>
      <c r="E59">
        <f>HYPERLINK("https://www.indeed.com/viewjob?jk=2f52ac014ff230df", "https://www.indeed.com/viewjob?jk=2f52ac014ff230df")</f>
        <v/>
      </c>
      <c r="F59">
        <f>HYPERLINK("https://www.amazon.jobs/jobs/3106501/applied-scientist?cmpid=DA_INAD200785B", "https://www.amazon.jobs/jobs/3106501/applied-scientist?cmpid=DA_INAD200785B")</f>
        <v/>
      </c>
      <c r="G59" t="inlineStr">
        <is>
          <t>New York, NY, US</t>
        </is>
      </c>
      <c r="H59" s="2" t="n">
        <v>45939</v>
      </c>
      <c r="I5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in-3f2d47e16754fa34</t>
        </is>
      </c>
      <c r="B60" t="inlineStr">
        <is>
          <t>Sr. Applied Scientist, SPB Advertiser Guidance</t>
        </is>
      </c>
      <c r="C60" t="inlineStr">
        <is>
          <t>Amazon.com</t>
        </is>
      </c>
      <c r="D60" t="inlineStr">
        <is>
          <t>indeed</t>
        </is>
      </c>
      <c r="E60">
        <f>HYPERLINK("https://www.indeed.com/viewjob?jk=3f2d47e16754fa34", "https://www.indeed.com/viewjob?jk=3f2d47e16754fa34")</f>
        <v/>
      </c>
      <c r="F60">
        <f>HYPERLINK("https://www.amazon.jobs/jobs/3106497/sr-applied-scientist-spb-advertiser-guidance?cmpid=DA_INAD200785B", "https://www.amazon.jobs/jobs/3106497/sr-applied-scientist-spb-advertiser-guidance?cmpid=DA_INAD200785B")</f>
        <v/>
      </c>
      <c r="G60" t="inlineStr">
        <is>
          <t>Palo Alto, CA,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in-8ef8e8fb3b027aa9</t>
        </is>
      </c>
      <c r="B61" t="inlineStr">
        <is>
          <t>Applied Scientist</t>
        </is>
      </c>
      <c r="C61" t="inlineStr">
        <is>
          <t>Amazon.com</t>
        </is>
      </c>
      <c r="D61" t="inlineStr">
        <is>
          <t>indeed</t>
        </is>
      </c>
      <c r="E61">
        <f>HYPERLINK("https://www.indeed.com/viewjob?jk=8ef8e8fb3b027aa9", "https://www.indeed.com/viewjob?jk=8ef8e8fb3b027aa9")</f>
        <v/>
      </c>
      <c r="F61">
        <f>HYPERLINK("https://www.amazon.jobs/jobs/3106501/applied-scientist?cmpid=DA_INAD200785B", "https://www.amazon.jobs/jobs/3106501/applied-scientist?cmpid=DA_INAD200785B")</f>
        <v/>
      </c>
      <c r="G61" t="inlineStr">
        <is>
          <t>Seattle, WA,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in-d54eb3e4c630ccd9</t>
        </is>
      </c>
      <c r="B62" t="inlineStr">
        <is>
          <t>Sr. Applied Scientist, SPB Advertiser Guidance</t>
        </is>
      </c>
      <c r="C62" t="inlineStr">
        <is>
          <t>Amazon.com</t>
        </is>
      </c>
      <c r="D62" t="inlineStr">
        <is>
          <t>indeed</t>
        </is>
      </c>
      <c r="E62">
        <f>HYPERLINK("https://www.indeed.com/viewjob?jk=d54eb3e4c630ccd9", "https://www.indeed.com/viewjob?jk=d54eb3e4c630ccd9")</f>
        <v/>
      </c>
      <c r="F62">
        <f>HYPERLINK("https://www.amazon.jobs/jobs/3106497/sr-applied-scientist-spb-advertiser-guidance?cmpid=DA_INAD200785B", "https://www.amazon.jobs/jobs/3106497/sr-applied-scientist-spb-advertiser-guidance?cmpid=DA_INAD200785B")</f>
        <v/>
      </c>
      <c r="G62" t="inlineStr">
        <is>
          <t>Seattle, WA,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in-f2c434f07dfb4d62</t>
        </is>
      </c>
      <c r="B63" t="inlineStr">
        <is>
          <t>Applied Scientist II, Prime Video - Personalization and Discovery Science, Personalization and Discovery Science</t>
        </is>
      </c>
      <c r="C63" t="inlineStr">
        <is>
          <t>Amazon.com</t>
        </is>
      </c>
      <c r="D63" t="inlineStr">
        <is>
          <t>indeed</t>
        </is>
      </c>
      <c r="E63">
        <f>HYPERLINK("https://www.indeed.com/viewjob?jk=f2c434f07dfb4d62", "https://www.indeed.com/viewjob?jk=f2c434f07dfb4d62")</f>
        <v/>
      </c>
      <c r="F6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3" t="inlineStr">
        <is>
          <t>New York, NY, US</t>
        </is>
      </c>
      <c r="H63" s="2" t="n">
        <v>45930</v>
      </c>
      <c r="I6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in-919813d05973dbf7</t>
        </is>
      </c>
      <c r="B64" t="inlineStr">
        <is>
          <t>Applied Scientist II, Prime Video - Personalization and Discovery Science, Personalization and Discovery Science</t>
        </is>
      </c>
      <c r="C64" t="inlineStr">
        <is>
          <t>Amazon.com</t>
        </is>
      </c>
      <c r="D64" t="inlineStr">
        <is>
          <t>indeed</t>
        </is>
      </c>
      <c r="E64">
        <f>HYPERLINK("https://www.indeed.com/viewjob?jk=919813d05973dbf7", "https://www.indeed.com/viewjob?jk=919813d05973dbf7")</f>
        <v/>
      </c>
      <c r="F64">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4" t="inlineStr">
        <is>
          <t>Seattle, WA, US</t>
        </is>
      </c>
      <c r="H64" s="2" t="n">
        <v>45930</v>
      </c>
      <c r="I6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in-3b354d2e450b3b4e</t>
        </is>
      </c>
      <c r="B65" t="inlineStr">
        <is>
          <t>Applied Scientist II, Prime Video - Personalization and Discovery Science, Personalization and Discovery Science</t>
        </is>
      </c>
      <c r="C65" t="inlineStr">
        <is>
          <t>Amazon.com</t>
        </is>
      </c>
      <c r="D65" t="inlineStr">
        <is>
          <t>indeed</t>
        </is>
      </c>
      <c r="E65">
        <f>HYPERLINK("https://www.indeed.com/viewjob?jk=3b354d2e450b3b4e", "https://www.indeed.com/viewjob?jk=3b354d2e450b3b4e")</f>
        <v/>
      </c>
      <c r="F65">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65" t="inlineStr">
        <is>
          <t>Sunnyvale, CA, US</t>
        </is>
      </c>
      <c r="H65" s="2" t="n">
        <v>45930</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in-cd304b88f0135c25</t>
        </is>
      </c>
      <c r="B66" t="inlineStr">
        <is>
          <t>Principal Applied Scientist, Amazon - Sponsored Products</t>
        </is>
      </c>
      <c r="C66" t="inlineStr">
        <is>
          <t>Amazon.com</t>
        </is>
      </c>
      <c r="D66" t="inlineStr">
        <is>
          <t>indeed</t>
        </is>
      </c>
      <c r="E66">
        <f>HYPERLINK("https://www.indeed.com/viewjob?jk=cd304b88f0135c25", "https://www.indeed.com/viewjob?jk=cd304b88f0135c25")</f>
        <v/>
      </c>
      <c r="F66">
        <f>HYPERLINK("https://www.amazon.jobs/jobs/3094885/principal-applied-scientist-amazon--sponsored-products-?cmpid=DA_INAD200785B", "https://www.amazon.jobs/jobs/3094885/principal-applied-scientist-amazon--sponsored-products-?cmpid=DA_INAD200785B")</f>
        <v/>
      </c>
      <c r="G66" t="inlineStr">
        <is>
          <t>Palo Alto, CA, US</t>
        </is>
      </c>
      <c r="H66" s="2" t="n">
        <v>45924</v>
      </c>
      <c r="I66"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in-554b998da01273f3</t>
        </is>
      </c>
      <c r="B67" t="inlineStr">
        <is>
          <t>Principal Applied Scientist, Amazon - Sponsored Products</t>
        </is>
      </c>
      <c r="C67" t="inlineStr">
        <is>
          <t>Amazon.com</t>
        </is>
      </c>
      <c r="D67" t="inlineStr">
        <is>
          <t>indeed</t>
        </is>
      </c>
      <c r="E67">
        <f>HYPERLINK("https://www.indeed.com/viewjob?jk=554b998da01273f3", "https://www.indeed.com/viewjob?jk=554b998da01273f3")</f>
        <v/>
      </c>
      <c r="F67">
        <f>HYPERLINK("https://www.amazon.jobs/jobs/3094885/principal-applied-scientist-amazon--sponsored-products-?cmpid=DA_INAD200785B", "https://www.amazon.jobs/jobs/3094885/principal-applied-scientist-amazon--sponsored-products-?cmpid=DA_INAD200785B")</f>
        <v/>
      </c>
      <c r="G67" t="inlineStr">
        <is>
          <t>Seattle, WA, US</t>
        </is>
      </c>
      <c r="H67" s="2" t="n">
        <v>45924</v>
      </c>
      <c r="I67"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in-06cc898bbf47e9bd</t>
        </is>
      </c>
      <c r="B68" t="inlineStr">
        <is>
          <t>Principal Applied Scientist, Amazon - Sponsored Products</t>
        </is>
      </c>
      <c r="C68" t="inlineStr">
        <is>
          <t>Amazon.com</t>
        </is>
      </c>
      <c r="D68" t="inlineStr">
        <is>
          <t>indeed</t>
        </is>
      </c>
      <c r="E68">
        <f>HYPERLINK("https://www.indeed.com/viewjob?jk=06cc898bbf47e9bd", "https://www.indeed.com/viewjob?jk=06cc898bbf47e9bd")</f>
        <v/>
      </c>
      <c r="F68">
        <f>HYPERLINK("https://www.amazon.jobs/jobs/3094885/principal-applied-scientist-amazon--sponsored-products-?cmpid=DA_INAD200785B", "https://www.amazon.jobs/jobs/3094885/principal-applied-scientist-amazon--sponsored-products-?cmpid=DA_INAD200785B")</f>
        <v/>
      </c>
      <c r="G68" t="inlineStr">
        <is>
          <t>New York, NY, US</t>
        </is>
      </c>
      <c r="H68" s="2" t="n">
        <v>45924</v>
      </c>
      <c r="I68" t="inlineStr">
        <is>
          <t>**DESCRIPTION**
---------------
The Sponsored Products and Brands team at Amazon Ads is re\-imagining the advertising landscape through advanced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principal scientist in this position will focus on designing, developing and launching innovative ad experiences delivered to shoppers in conversational contexts. Our team utilizes leading\-edge science and engineering technologies in generative AI to help shoppers discover new products and brands through intuitive, conversational interfaces. We also empower advertisers to reach shoppers, using their own voice to explain how their products meet shoppers' needs. We collaborate with various teams across multiple Amazon organizations to push the boundary of what's possible in these fields.  
Key job responsibilities  
As a Principal Applied Scientist for the team, you will drive appropriate technology choices for the customers and the business, lead the way for continuous innovation, and shape the future of e\-commerce. You will have opportunity to apply your deep subject matter expertise in the area of large language models and generative AI across various modalities. You will work with multiple teams of scientists and engineers to translate business and functional requirements into concrete deliverables. You will invent new product experiences that enable our shoppers to easily navigate our vast inventory either via search queries, multi\-turn conversations, or other modes of input. You will liaise with internal Amazon partners and work on bringing state\-of\-the\-art GenAI models to production to power novel conversational experiences. You will stay abreast of the latest developments in the space of GenAI and identify opportunities to improve the efficiency and productivity of the team. You will contribute to defining a long\-term science vision for our advertising business in the area of conversational shopping and beyond.
**BASIC QUALIFICATIONS**
------------------------
* PhD in Computer Science, Statistics or related field.
* 10\+ years of applied ML experience in building complex, real\-time systems involving AI, ML, and NLP with successful delivery to customers.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in-7c2bd738f6397b13</t>
        </is>
      </c>
      <c r="B69" t="inlineStr">
        <is>
          <t>Senior Applied Scientist, Sponsored Products and Brands</t>
        </is>
      </c>
      <c r="C69" t="inlineStr">
        <is>
          <t>Amazon.com</t>
        </is>
      </c>
      <c r="D69" t="inlineStr">
        <is>
          <t>indeed</t>
        </is>
      </c>
      <c r="E69">
        <f>HYPERLINK("https://www.indeed.com/viewjob?jk=7c2bd738f6397b13", "https://www.indeed.com/viewjob?jk=7c2bd738f6397b13")</f>
        <v/>
      </c>
      <c r="F69">
        <f>HYPERLINK("https://www.amazon.jobs/jobs/3094886/senior-applied-scientist-sponsored-products-and-brands?cmpid=DA_INAD200785B", "https://www.amazon.jobs/jobs/3094886/senior-applied-scientist-sponsored-products-and-brands?cmpid=DA_INAD200785B")</f>
        <v/>
      </c>
      <c r="G69" t="inlineStr">
        <is>
          <t>New York, NY, US</t>
        </is>
      </c>
      <c r="H69" s="2" t="n">
        <v>45922</v>
      </c>
      <c r="I69"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in-509403622213b8a6</t>
        </is>
      </c>
      <c r="B70" t="inlineStr">
        <is>
          <t>Senior Applied Scientist, Sponsored Products and Brands</t>
        </is>
      </c>
      <c r="C70" t="inlineStr">
        <is>
          <t>Amazon.com</t>
        </is>
      </c>
      <c r="D70" t="inlineStr">
        <is>
          <t>indeed</t>
        </is>
      </c>
      <c r="E70">
        <f>HYPERLINK("https://www.indeed.com/viewjob?jk=509403622213b8a6", "https://www.indeed.com/viewjob?jk=509403622213b8a6")</f>
        <v/>
      </c>
      <c r="F70">
        <f>HYPERLINK("https://www.amazon.jobs/jobs/3094886/senior-applied-scientist-sponsored-products-and-brands?cmpid=DA_INAD200785B", "https://www.amazon.jobs/jobs/3094886/senior-applied-scientist-sponsored-products-and-brands?cmpid=DA_INAD200785B")</f>
        <v/>
      </c>
      <c r="G70" t="inlineStr">
        <is>
          <t>Seattle, WA, US</t>
        </is>
      </c>
      <c r="H70" s="2" t="n">
        <v>45922</v>
      </c>
      <c r="I70"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in-05cb8e987a0d5272</t>
        </is>
      </c>
      <c r="B71" t="inlineStr">
        <is>
          <t>Applied Scientist, Workplace Health &amp; Safety</t>
        </is>
      </c>
      <c r="C71" t="inlineStr">
        <is>
          <t>Amazon.com</t>
        </is>
      </c>
      <c r="D71" t="inlineStr">
        <is>
          <t>indeed</t>
        </is>
      </c>
      <c r="E71">
        <f>HYPERLINK("https://www.indeed.com/viewjob?jk=05cb8e987a0d5272", "https://www.indeed.com/viewjob?jk=05cb8e987a0d5272")</f>
        <v/>
      </c>
      <c r="F71">
        <f>HYPERLINK("https://www.amazon.jobs/jobs/3144886/applied-scientist-workplace-health--safety-?cmpid=DA_INAD200785B", "https://www.amazon.jobs/jobs/3144886/applied-scientist-workplace-health--safety-?cmpid=DA_INAD200785B")</f>
        <v/>
      </c>
      <c r="G71" t="inlineStr">
        <is>
          <t>Bellevue, WA, US</t>
        </is>
      </c>
      <c r="H71" s="2" t="n">
        <v>45917</v>
      </c>
      <c r="I71"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in-796ca36bf8471552</t>
        </is>
      </c>
      <c r="B72" t="inlineStr">
        <is>
          <t>Applied Scientist, Workplace Health &amp; Safety</t>
        </is>
      </c>
      <c r="C72" t="inlineStr">
        <is>
          <t>Amazon.com</t>
        </is>
      </c>
      <c r="D72" t="inlineStr">
        <is>
          <t>indeed</t>
        </is>
      </c>
      <c r="E72">
        <f>HYPERLINK("https://www.indeed.com/viewjob?jk=796ca36bf8471552", "https://www.indeed.com/viewjob?jk=796ca36bf8471552")</f>
        <v/>
      </c>
      <c r="F72">
        <f>HYPERLINK("https://www.amazon.jobs/jobs/3144886/applied-scientist-workplace-health--safety-?cmpid=DA_INAD200785B", "https://www.amazon.jobs/jobs/3144886/applied-scientist-workplace-health--safety-?cmpid=DA_INAD200785B")</f>
        <v/>
      </c>
      <c r="G72" t="inlineStr">
        <is>
          <t>Nashville, TN, US</t>
        </is>
      </c>
      <c r="H72" s="2" t="n">
        <v>45917</v>
      </c>
      <c r="I72"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in-a2fbc866fe8b375f</t>
        </is>
      </c>
      <c r="B73" t="inlineStr">
        <is>
          <t>Applied Scientist II, Prime Video - Personalization and Discovery Science</t>
        </is>
      </c>
      <c r="C73" t="inlineStr">
        <is>
          <t>Amazon.com</t>
        </is>
      </c>
      <c r="D73" t="inlineStr">
        <is>
          <t>indeed</t>
        </is>
      </c>
      <c r="E73">
        <f>HYPERLINK("https://www.indeed.com/viewjob?jk=a2fbc866fe8b375f", "https://www.indeed.com/viewjob?jk=a2fbc866fe8b375f")</f>
        <v/>
      </c>
      <c r="F73">
        <f>HYPERLINK("https://www.amazon.jobs/jobs/3086060/applied-scientist-ii-prime-video--personalization-and-discovery-science?cmpid=DA_INAD200785B", "https://www.amazon.jobs/jobs/3086060/applied-scientist-ii-prime-video--personalization-and-discovery-science?cmpid=DA_INAD200785B")</f>
        <v/>
      </c>
      <c r="G73" t="inlineStr">
        <is>
          <t>New York, NY, US</t>
        </is>
      </c>
      <c r="H73" s="2" t="n">
        <v>45915</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in-9aa3c288eda28e63</t>
        </is>
      </c>
      <c r="B74" t="inlineStr">
        <is>
          <t>Applied Scientist II, Prime Video - Personalization and Discovery Science</t>
        </is>
      </c>
      <c r="C74" t="inlineStr">
        <is>
          <t>Amazon.com</t>
        </is>
      </c>
      <c r="D74" t="inlineStr">
        <is>
          <t>indeed</t>
        </is>
      </c>
      <c r="E74">
        <f>HYPERLINK("https://www.indeed.com/viewjob?jk=9aa3c288eda28e63", "https://www.indeed.com/viewjob?jk=9aa3c288eda28e63")</f>
        <v/>
      </c>
      <c r="F74">
        <f>HYPERLINK("https://www.amazon.jobs/jobs/3086060/applied-scientist-ii-prime-video--personalization-and-discovery-science?cmpid=DA_INAD200785B", "https://www.amazon.jobs/jobs/3086060/applied-scientist-ii-prime-video--personalization-and-discovery-science?cmpid=DA_INAD200785B")</f>
        <v/>
      </c>
      <c r="G74" t="inlineStr">
        <is>
          <t>Sunnyvale, CA, US</t>
        </is>
      </c>
      <c r="H74" s="2" t="n">
        <v>45915</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in-a2bb7edadd605d58</t>
        </is>
      </c>
      <c r="B75" t="inlineStr">
        <is>
          <t>Applied Scientist II, Prime Video - Personalization and Discovery Science</t>
        </is>
      </c>
      <c r="C75" t="inlineStr">
        <is>
          <t>Amazon.com</t>
        </is>
      </c>
      <c r="D75" t="inlineStr">
        <is>
          <t>indeed</t>
        </is>
      </c>
      <c r="E75">
        <f>HYPERLINK("https://www.indeed.com/viewjob?jk=a2bb7edadd605d58", "https://www.indeed.com/viewjob?jk=a2bb7edadd605d58")</f>
        <v/>
      </c>
      <c r="F75">
        <f>HYPERLINK("https://www.amazon.jobs/jobs/3086060/applied-scientist-ii-prime-video--personalization-and-discovery-science?cmpid=DA_INAD200785B", "https://www.amazon.jobs/jobs/3086060/applied-scientist-ii-prime-video--personalization-and-discovery-science?cmpid=DA_INAD200785B")</f>
        <v/>
      </c>
      <c r="G75" t="inlineStr">
        <is>
          <t>Seattle, WA, US</t>
        </is>
      </c>
      <c r="H75" s="2" t="n">
        <v>45915</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in-41c0ea3196f05d8a</t>
        </is>
      </c>
      <c r="B76" t="inlineStr">
        <is>
          <t>Sr. Applied Scientist, Prime Video - Personalization and Discovery Science</t>
        </is>
      </c>
      <c r="C76" t="inlineStr">
        <is>
          <t>Amazon.com</t>
        </is>
      </c>
      <c r="D76" t="inlineStr">
        <is>
          <t>indeed</t>
        </is>
      </c>
      <c r="E76">
        <f>HYPERLINK("https://www.indeed.com/viewjob?jk=41c0ea3196f05d8a", "https://www.indeed.com/viewjob?jk=41c0ea3196f05d8a")</f>
        <v/>
      </c>
      <c r="F76">
        <f>HYPERLINK("https://www.amazon.jobs/jobs/3083564/sr-applied-scientist-prime-video--personalization-and-discovery-science?cmpid=DA_INAD200785B", "https://www.amazon.jobs/jobs/3083564/sr-applied-scientist-prime-video--personalization-and-discovery-science?cmpid=DA_INAD200785B")</f>
        <v/>
      </c>
      <c r="G76" t="inlineStr">
        <is>
          <t>New York, NY, US</t>
        </is>
      </c>
      <c r="H76" s="2" t="n">
        <v>45914</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in-48c44bdbc8a65b98</t>
        </is>
      </c>
      <c r="B77" t="inlineStr">
        <is>
          <t>Sr. Applied Scientist, Prime Video - Personalization and Discovery Science</t>
        </is>
      </c>
      <c r="C77" t="inlineStr">
        <is>
          <t>Amazon.com</t>
        </is>
      </c>
      <c r="D77" t="inlineStr">
        <is>
          <t>indeed</t>
        </is>
      </c>
      <c r="E77">
        <f>HYPERLINK("https://www.indeed.com/viewjob?jk=48c44bdbc8a65b98", "https://www.indeed.com/viewjob?jk=48c44bdbc8a65b98")</f>
        <v/>
      </c>
      <c r="F77">
        <f>HYPERLINK("https://www.amazon.jobs/jobs/3083564/sr-applied-scientist-prime-video--personalization-and-discovery-science?cmpid=DA_INAD200785B", "https://www.amazon.jobs/jobs/3083564/sr-applied-scientist-prime-video--personalization-and-discovery-science?cmpid=DA_INAD200785B")</f>
        <v/>
      </c>
      <c r="G77" t="inlineStr">
        <is>
          <t>Seattle, WA, US</t>
        </is>
      </c>
      <c r="H77" s="2" t="n">
        <v>45914</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in-15b966e10b6c7c9a</t>
        </is>
      </c>
      <c r="B78" t="inlineStr">
        <is>
          <t>Sr. Applied Scientist, Prime Video - Personalization and Discovery Science</t>
        </is>
      </c>
      <c r="C78" t="inlineStr">
        <is>
          <t>Amazon.com</t>
        </is>
      </c>
      <c r="D78" t="inlineStr">
        <is>
          <t>indeed</t>
        </is>
      </c>
      <c r="E78">
        <f>HYPERLINK("https://www.indeed.com/viewjob?jk=15b966e10b6c7c9a", "https://www.indeed.com/viewjob?jk=15b966e10b6c7c9a")</f>
        <v/>
      </c>
      <c r="F78">
        <f>HYPERLINK("https://www.amazon.jobs/jobs/3083564/sr-applied-scientist-prime-video--personalization-and-discovery-science?cmpid=DA_INAD200785B", "https://www.amazon.jobs/jobs/3083564/sr-applied-scientist-prime-video--personalization-and-discovery-science?cmpid=DA_INAD200785B")</f>
        <v/>
      </c>
      <c r="G78" t="inlineStr">
        <is>
          <t>Sunnyvale, CA, US</t>
        </is>
      </c>
      <c r="H78" s="2" t="n">
        <v>45914</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in-87d5a1d757da5897</t>
        </is>
      </c>
      <c r="B79" t="inlineStr">
        <is>
          <t>Applied Scientist II, Prime Video - Personalization and Discovery Science</t>
        </is>
      </c>
      <c r="C79" t="inlineStr">
        <is>
          <t>Amazon.com</t>
        </is>
      </c>
      <c r="D79" t="inlineStr">
        <is>
          <t>indeed</t>
        </is>
      </c>
      <c r="E79">
        <f>HYPERLINK("https://www.indeed.com/viewjob?jk=87d5a1d757da5897", "https://www.indeed.com/viewjob?jk=87d5a1d757da5897")</f>
        <v/>
      </c>
      <c r="F79">
        <f>HYPERLINK("https://www.amazon.jobs/jobs/3059253/applied-scientist-ii-prime-video--personalization-and-discovery-science?cmpid=DA_INAD200785B", "https://www.amazon.jobs/jobs/3059253/applied-scientist-ii-prime-video--personalization-and-discovery-science?cmpid=DA_INAD200785B")</f>
        <v/>
      </c>
      <c r="G79" t="inlineStr">
        <is>
          <t>Sunnyvale, CA, US</t>
        </is>
      </c>
      <c r="H79" s="2" t="n">
        <v>45881</v>
      </c>
      <c r="I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in-418ce756c8b0232f</t>
        </is>
      </c>
      <c r="B80" t="inlineStr">
        <is>
          <t>Applied Scientist II, Prime Video - Personalization and Discovery Science</t>
        </is>
      </c>
      <c r="C80" t="inlineStr">
        <is>
          <t>Amazon.com</t>
        </is>
      </c>
      <c r="D80" t="inlineStr">
        <is>
          <t>indeed</t>
        </is>
      </c>
      <c r="E80">
        <f>HYPERLINK("https://www.indeed.com/viewjob?jk=418ce756c8b0232f", "https://www.indeed.com/viewjob?jk=418ce756c8b0232f")</f>
        <v/>
      </c>
      <c r="F80">
        <f>HYPERLINK("https://www.amazon.jobs/jobs/3059253/applied-scientist-ii-prime-video--personalization-and-discovery-science?cmpid=DA_INAD200785B", "https://www.amazon.jobs/jobs/3059253/applied-scientist-ii-prime-video--personalization-and-discovery-science?cmpid=DA_INAD200785B")</f>
        <v/>
      </c>
      <c r="G80" t="inlineStr">
        <is>
          <t>New York, NY, US</t>
        </is>
      </c>
      <c r="H80" s="2" t="n">
        <v>45881</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in-bfdbd92c4a29ec5e</t>
        </is>
      </c>
      <c r="B81" t="inlineStr">
        <is>
          <t>Applied Scientist II, Prime Video - Personalization and Discovery Science</t>
        </is>
      </c>
      <c r="C81" t="inlineStr">
        <is>
          <t>Amazon.com</t>
        </is>
      </c>
      <c r="D81" t="inlineStr">
        <is>
          <t>indeed</t>
        </is>
      </c>
      <c r="E81">
        <f>HYPERLINK("https://www.indeed.com/viewjob?jk=bfdbd92c4a29ec5e", "https://www.indeed.com/viewjob?jk=bfdbd92c4a29ec5e")</f>
        <v/>
      </c>
      <c r="F81">
        <f>HYPERLINK("https://www.amazon.jobs/jobs/3059253/applied-scientist-ii-prime-video--personalization-and-discovery-science?cmpid=DA_INAD200785B", "https://www.amazon.jobs/jobs/3059253/applied-scientist-ii-prime-video--personalization-and-discovery-science?cmpid=DA_INAD200785B")</f>
        <v/>
      </c>
      <c r="G81" t="inlineStr">
        <is>
          <t>Seattle, WA, US</t>
        </is>
      </c>
      <c r="H81" s="2" t="n">
        <v>45881</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in-7d43b40704df362f</t>
        </is>
      </c>
      <c r="B82" t="inlineStr">
        <is>
          <t>Sr. Applied Scientist, Prime Video - Personalization and Discovery Science</t>
        </is>
      </c>
      <c r="C82" t="inlineStr">
        <is>
          <t>Amazon.com</t>
        </is>
      </c>
      <c r="D82" t="inlineStr">
        <is>
          <t>indeed</t>
        </is>
      </c>
      <c r="E82">
        <f>HYPERLINK("https://www.indeed.com/viewjob?jk=7d43b40704df362f", "https://www.indeed.com/viewjob?jk=7d43b40704df362f")</f>
        <v/>
      </c>
      <c r="F82">
        <f>HYPERLINK("https://www.amazon.jobs/jobs/3059256/sr-applied-scientist-prime-video--personalization-and-discovery-science?cmpid=DA_INAD200785B", "https://www.amazon.jobs/jobs/3059256/sr-applied-scientist-prime-video--personalization-and-discovery-science?cmpid=DA_INAD200785B")</f>
        <v/>
      </c>
      <c r="G82" t="inlineStr">
        <is>
          <t>Seattle, WA, US</t>
        </is>
      </c>
      <c r="H82" s="2" t="n">
        <v>45881</v>
      </c>
      <c r="I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in-36c9c7508c69271f</t>
        </is>
      </c>
      <c r="B83" t="inlineStr">
        <is>
          <t>Sr. Applied Scientist, Prime Video - Personalization and Discovery Science</t>
        </is>
      </c>
      <c r="C83" t="inlineStr">
        <is>
          <t>Amazon.com</t>
        </is>
      </c>
      <c r="D83" t="inlineStr">
        <is>
          <t>indeed</t>
        </is>
      </c>
      <c r="E83">
        <f>HYPERLINK("https://www.indeed.com/viewjob?jk=36c9c7508c69271f", "https://www.indeed.com/viewjob?jk=36c9c7508c69271f")</f>
        <v/>
      </c>
      <c r="F83">
        <f>HYPERLINK("https://www.amazon.jobs/jobs/3059256/sr-applied-scientist-prime-video--personalization-and-discovery-science?cmpid=DA_INAD200785B", "https://www.amazon.jobs/jobs/3059256/sr-applied-scientist-prime-video--personalization-and-discovery-science?cmpid=DA_INAD200785B")</f>
        <v/>
      </c>
      <c r="G83" t="inlineStr">
        <is>
          <t>New York, NY, US</t>
        </is>
      </c>
      <c r="H83" s="2" t="n">
        <v>45881</v>
      </c>
      <c r="I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in-3be5802d7f8c2903</t>
        </is>
      </c>
      <c r="B84" t="inlineStr">
        <is>
          <t>Sr. Applied Scientist, Prime Video - Personalization and Discovery Science</t>
        </is>
      </c>
      <c r="C84" t="inlineStr">
        <is>
          <t>Amazon.com</t>
        </is>
      </c>
      <c r="D84" t="inlineStr">
        <is>
          <t>indeed</t>
        </is>
      </c>
      <c r="E84">
        <f>HYPERLINK("https://www.indeed.com/viewjob?jk=3be5802d7f8c2903", "https://www.indeed.com/viewjob?jk=3be5802d7f8c2903")</f>
        <v/>
      </c>
      <c r="F84">
        <f>HYPERLINK("https://www.amazon.jobs/jobs/3059256/sr-applied-scientist-prime-video--personalization-and-discovery-science?cmpid=DA_INAD200785B", "https://www.amazon.jobs/jobs/3059256/sr-applied-scientist-prime-video--personalization-and-discovery-science?cmpid=DA_INAD200785B")</f>
        <v/>
      </c>
      <c r="G84" t="inlineStr">
        <is>
          <t>Sunnyvale, CA, US</t>
        </is>
      </c>
      <c r="H84" s="2" t="n">
        <v>45881</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in-0dc973192ef2e2c5</t>
        </is>
      </c>
      <c r="B85" t="inlineStr">
        <is>
          <t>Sr. Applied Scientist, Amazon Advertising</t>
        </is>
      </c>
      <c r="C85" t="inlineStr">
        <is>
          <t>Amazon.com</t>
        </is>
      </c>
      <c r="D85" t="inlineStr">
        <is>
          <t>indeed</t>
        </is>
      </c>
      <c r="E85">
        <f>HYPERLINK("https://www.indeed.com/viewjob?jk=0dc973192ef2e2c5", "https://www.indeed.com/viewjob?jk=0dc973192ef2e2c5")</f>
        <v/>
      </c>
      <c r="F85">
        <f>HYPERLINK("https://www.amazon.jobs/jobs/3035686/sr-applied-scientist-amazon-advertising?cmpid=DA_INAD200785B", "https://www.amazon.jobs/jobs/3035686/sr-applied-scientist-amazon-advertising?cmpid=DA_INAD200785B")</f>
        <v/>
      </c>
      <c r="G85" t="inlineStr">
        <is>
          <t>Austin, TX, US</t>
        </is>
      </c>
      <c r="H85" s="2" t="n">
        <v>45851</v>
      </c>
      <c r="I8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in-f7e3359c8df9be81</t>
        </is>
      </c>
      <c r="B86" t="inlineStr">
        <is>
          <t>Sr. Applied Scientist, Amazon Advertising</t>
        </is>
      </c>
      <c r="C86" t="inlineStr">
        <is>
          <t>Amazon.com</t>
        </is>
      </c>
      <c r="D86" t="inlineStr">
        <is>
          <t>indeed</t>
        </is>
      </c>
      <c r="E86">
        <f>HYPERLINK("https://www.indeed.com/viewjob?jk=f7e3359c8df9be81", "https://www.indeed.com/viewjob?jk=f7e3359c8df9be81")</f>
        <v/>
      </c>
      <c r="F86">
        <f>HYPERLINK("https://www.amazon.jobs/jobs/3035686/sr-applied-scientist-amazon-advertising?cmpid=DA_INAD200785B", "https://www.amazon.jobs/jobs/3035686/sr-applied-scientist-amazon-advertising?cmpid=DA_INAD200785B")</f>
        <v/>
      </c>
      <c r="G86" t="inlineStr">
        <is>
          <t>Los Angeles, CA, US</t>
        </is>
      </c>
      <c r="H86" s="2" t="n">
        <v>45851</v>
      </c>
      <c r="I8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in-381f167c38c79008</t>
        </is>
      </c>
      <c r="B87" t="inlineStr">
        <is>
          <t>Sr. Applied Scientist, Amazon Advertising</t>
        </is>
      </c>
      <c r="C87" t="inlineStr">
        <is>
          <t>Amazon.com</t>
        </is>
      </c>
      <c r="D87" t="inlineStr">
        <is>
          <t>indeed</t>
        </is>
      </c>
      <c r="E87">
        <f>HYPERLINK("https://www.indeed.com/viewjob?jk=381f167c38c79008", "https://www.indeed.com/viewjob?jk=381f167c38c79008")</f>
        <v/>
      </c>
      <c r="F87">
        <f>HYPERLINK("https://www.amazon.jobs/jobs/3035686/sr-applied-scientist-amazon-advertising?cmpid=DA_INAD200785B", "https://www.amazon.jobs/jobs/3035686/sr-applied-scientist-amazon-advertising?cmpid=DA_INAD200785B")</f>
        <v/>
      </c>
      <c r="G87" t="inlineStr">
        <is>
          <t>Arlington, VA, US</t>
        </is>
      </c>
      <c r="H87" s="2" t="n">
        <v>45851</v>
      </c>
      <c r="I8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in-381a58807af6bad9</t>
        </is>
      </c>
      <c r="B88" t="inlineStr">
        <is>
          <t>Sr. Applied Scientist, Amazon Advertising</t>
        </is>
      </c>
      <c r="C88" t="inlineStr">
        <is>
          <t>Amazon.com</t>
        </is>
      </c>
      <c r="D88" t="inlineStr">
        <is>
          <t>indeed</t>
        </is>
      </c>
      <c r="E88">
        <f>HYPERLINK("https://www.indeed.com/viewjob?jk=381a58807af6bad9", "https://www.indeed.com/viewjob?jk=381a58807af6bad9")</f>
        <v/>
      </c>
      <c r="F88">
        <f>HYPERLINK("https://www.amazon.jobs/jobs/3035686/sr-applied-scientist-amazon-advertising?cmpid=DA_INAD200785B", "https://www.amazon.jobs/jobs/3035686/sr-applied-scientist-amazon-advertising?cmpid=DA_INAD200785B")</f>
        <v/>
      </c>
      <c r="G88" t="inlineStr">
        <is>
          <t>Palo Alto, CA, US</t>
        </is>
      </c>
      <c r="H88" s="2" t="n">
        <v>45851</v>
      </c>
      <c r="I8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in-7421cb6f9c27a7d5</t>
        </is>
      </c>
      <c r="B89" t="inlineStr">
        <is>
          <t>Sr. Applied Scientist, Amazon Advertising</t>
        </is>
      </c>
      <c r="C89" t="inlineStr">
        <is>
          <t>Amazon.com</t>
        </is>
      </c>
      <c r="D89" t="inlineStr">
        <is>
          <t>indeed</t>
        </is>
      </c>
      <c r="E89">
        <f>HYPERLINK("https://www.indeed.com/viewjob?jk=7421cb6f9c27a7d5", "https://www.indeed.com/viewjob?jk=7421cb6f9c27a7d5")</f>
        <v/>
      </c>
      <c r="F89">
        <f>HYPERLINK("https://www.amazon.jobs/jobs/3035686/sr-applied-scientist-amazon-advertising?cmpid=DA_INAD200785B", "https://www.amazon.jobs/jobs/3035686/sr-applied-scientist-amazon-advertising?cmpid=DA_INAD200785B")</f>
        <v/>
      </c>
      <c r="G89" t="inlineStr">
        <is>
          <t>New York, NY, US</t>
        </is>
      </c>
      <c r="H89" s="2" t="n">
        <v>45851</v>
      </c>
      <c r="I8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in-a9908951371da598</t>
        </is>
      </c>
      <c r="B90" t="inlineStr">
        <is>
          <t>Sr. Applied Scientist, Amazon Advertising</t>
        </is>
      </c>
      <c r="C90" t="inlineStr">
        <is>
          <t>Amazon.com</t>
        </is>
      </c>
      <c r="D90" t="inlineStr">
        <is>
          <t>indeed</t>
        </is>
      </c>
      <c r="E90">
        <f>HYPERLINK("https://www.indeed.com/viewjob?jk=a9908951371da598", "https://www.indeed.com/viewjob?jk=a9908951371da598")</f>
        <v/>
      </c>
      <c r="F90">
        <f>HYPERLINK("https://www.amazon.jobs/jobs/3035686/sr-applied-scientist-amazon-advertising?cmpid=DA_INAD200785B", "https://www.amazon.jobs/jobs/3035686/sr-applied-scientist-amazon-advertising?cmpid=DA_INAD200785B")</f>
        <v/>
      </c>
      <c r="G90" t="inlineStr">
        <is>
          <t>Simi Valley, CA, US</t>
        </is>
      </c>
      <c r="H90" s="2" t="n">
        <v>45851</v>
      </c>
      <c r="I9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in-22d60d5d0eaa937a</t>
        </is>
      </c>
      <c r="B91" t="inlineStr">
        <is>
          <t>Sr. Applied Scientist, Amazon Advertising</t>
        </is>
      </c>
      <c r="C91" t="inlineStr">
        <is>
          <t>Amazon.com</t>
        </is>
      </c>
      <c r="D91" t="inlineStr">
        <is>
          <t>indeed</t>
        </is>
      </c>
      <c r="E91">
        <f>HYPERLINK("https://www.indeed.com/viewjob?jk=22d60d5d0eaa937a", "https://www.indeed.com/viewjob?jk=22d60d5d0eaa937a")</f>
        <v/>
      </c>
      <c r="F91">
        <f>HYPERLINK("https://www.amazon.jobs/jobs/3035686/sr-applied-scientist-amazon-advertising?cmpid=DA_INAD200785B", "https://www.amazon.jobs/jobs/3035686/sr-applied-scientist-amazon-advertising?cmpid=DA_INAD200785B")</f>
        <v/>
      </c>
      <c r="G91" t="inlineStr">
        <is>
          <t>West Hollywood, CA, US</t>
        </is>
      </c>
      <c r="H91" s="2" t="n">
        <v>45851</v>
      </c>
      <c r="I9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in-c53bce29c0b8a98c</t>
        </is>
      </c>
      <c r="B92" t="inlineStr">
        <is>
          <t>Sr. Applied Scientist, Amazon Advertising</t>
        </is>
      </c>
      <c r="C92" t="inlineStr">
        <is>
          <t>Amazon.com</t>
        </is>
      </c>
      <c r="D92" t="inlineStr">
        <is>
          <t>indeed</t>
        </is>
      </c>
      <c r="E92">
        <f>HYPERLINK("https://www.indeed.com/viewjob?jk=c53bce29c0b8a98c", "https://www.indeed.com/viewjob?jk=c53bce29c0b8a98c")</f>
        <v/>
      </c>
      <c r="F92">
        <f>HYPERLINK("https://www.amazon.jobs/jobs/3035686/sr-applied-scientist-amazon-advertising?cmpid=DA_INAD200785B", "https://www.amazon.jobs/jobs/3035686/sr-applied-scientist-amazon-advertising?cmpid=DA_INAD200785B")</f>
        <v/>
      </c>
      <c r="G92" t="inlineStr">
        <is>
          <t>Seattle, WA, US</t>
        </is>
      </c>
      <c r="H92" s="2" t="n">
        <v>45851</v>
      </c>
      <c r="I9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in-7e27c7ba8b402fa5</t>
        </is>
      </c>
      <c r="B93" t="inlineStr">
        <is>
          <t>Applied Scientist, Prime Video - Personalization and Discovery Science</t>
        </is>
      </c>
      <c r="C93" t="inlineStr">
        <is>
          <t>Amazon.com</t>
        </is>
      </c>
      <c r="D93" t="inlineStr">
        <is>
          <t>indeed</t>
        </is>
      </c>
      <c r="E93">
        <f>HYPERLINK("https://www.indeed.com/viewjob?jk=7e27c7ba8b402fa5", "https://www.indeed.com/viewjob?jk=7e27c7ba8b402fa5")</f>
        <v/>
      </c>
      <c r="F93">
        <f>HYPERLINK("https://www.amazon.jobs/jobs/3033050/applied-scientist-prime-video--personalization-and-discovery-science?cmpid=DA_INAD200785B", "https://www.amazon.jobs/jobs/3033050/applied-scientist-prime-video--personalization-and-discovery-science?cmpid=DA_INAD200785B")</f>
        <v/>
      </c>
      <c r="G93" t="inlineStr">
        <is>
          <t>Seattle, WA, US</t>
        </is>
      </c>
      <c r="H93" s="2" t="n">
        <v>45845</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in-19b8c1eb07840970</t>
        </is>
      </c>
      <c r="B94" t="inlineStr">
        <is>
          <t>Applied Scientist, Prime Video - Personalization and Discovery Science</t>
        </is>
      </c>
      <c r="C94" t="inlineStr">
        <is>
          <t>Amazon.com</t>
        </is>
      </c>
      <c r="D94" t="inlineStr">
        <is>
          <t>indeed</t>
        </is>
      </c>
      <c r="E94">
        <f>HYPERLINK("https://www.indeed.com/viewjob?jk=19b8c1eb07840970", "https://www.indeed.com/viewjob?jk=19b8c1eb07840970")</f>
        <v/>
      </c>
      <c r="F94">
        <f>HYPERLINK("https://www.amazon.jobs/jobs/3033050/applied-scientist-prime-video--personalization-and-discovery-science?cmpid=DA_INAD200785B", "https://www.amazon.jobs/jobs/3033050/applied-scientist-prime-video--personalization-and-discovery-science?cmpid=DA_INAD200785B")</f>
        <v/>
      </c>
      <c r="G94" t="inlineStr">
        <is>
          <t>Sunnyvale, CA, US</t>
        </is>
      </c>
      <c r="H94" s="2" t="n">
        <v>45845</v>
      </c>
      <c r="I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in-031213540bea86c4</t>
        </is>
      </c>
      <c r="B95" t="inlineStr">
        <is>
          <t>Applied Scientist, Prime Video - Personalization and Discovery Science</t>
        </is>
      </c>
      <c r="C95" t="inlineStr">
        <is>
          <t>Amazon.com</t>
        </is>
      </c>
      <c r="D95" t="inlineStr">
        <is>
          <t>indeed</t>
        </is>
      </c>
      <c r="E95">
        <f>HYPERLINK("https://www.indeed.com/viewjob?jk=031213540bea86c4", "https://www.indeed.com/viewjob?jk=031213540bea86c4")</f>
        <v/>
      </c>
      <c r="F95">
        <f>HYPERLINK("https://www.amazon.jobs/jobs/3033050/applied-scientist-prime-video--personalization-and-discovery-science?cmpid=DA_INAD200785B", "https://www.amazon.jobs/jobs/3033050/applied-scientist-prime-video--personalization-and-discovery-science?cmpid=DA_INAD200785B")</f>
        <v/>
      </c>
      <c r="G95" t="inlineStr">
        <is>
          <t>New York, NY, US</t>
        </is>
      </c>
      <c r="H95" s="2" t="n">
        <v>45845</v>
      </c>
      <c r="I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in-6bdeb7cd1cb8d571</t>
        </is>
      </c>
      <c r="B96" t="inlineStr">
        <is>
          <t>Senior Applied Scientist, Artificial General Intelligence</t>
        </is>
      </c>
      <c r="C96" t="inlineStr">
        <is>
          <t>Amazon.com</t>
        </is>
      </c>
      <c r="D96" t="inlineStr">
        <is>
          <t>indeed</t>
        </is>
      </c>
      <c r="E96">
        <f>HYPERLINK("https://www.indeed.com/viewjob?jk=6bdeb7cd1cb8d571", "https://www.indeed.com/viewjob?jk=6bdeb7cd1cb8d571")</f>
        <v/>
      </c>
      <c r="F96">
        <f>HYPERLINK("https://www.amazon.jobs/jobs/3032183/senior-applied-scientist-artificial-general-intelligence?cmpid=DA_INAD200785B", "https://www.amazon.jobs/jobs/3032183/senior-applied-scientist-artificial-general-intelligence?cmpid=DA_INAD200785B")</f>
        <v/>
      </c>
      <c r="G96" t="inlineStr">
        <is>
          <t>New York, NY, US</t>
        </is>
      </c>
      <c r="H96" s="2" t="n">
        <v>45838</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in-8931035c3b3db5ab</t>
        </is>
      </c>
      <c r="B97" t="inlineStr">
        <is>
          <t>Senior Applied Scientist, Artificial General Intelligence</t>
        </is>
      </c>
      <c r="C97" t="inlineStr">
        <is>
          <t>Amazon.com</t>
        </is>
      </c>
      <c r="D97" t="inlineStr">
        <is>
          <t>indeed</t>
        </is>
      </c>
      <c r="E97">
        <f>HYPERLINK("https://www.indeed.com/viewjob?jk=8931035c3b3db5ab", "https://www.indeed.com/viewjob?jk=8931035c3b3db5ab")</f>
        <v/>
      </c>
      <c r="F97">
        <f>HYPERLINK("https://www.amazon.jobs/jobs/3032183/senior-applied-scientist-artificial-general-intelligence?cmpid=DA_INAD200785B", "https://www.amazon.jobs/jobs/3032183/senior-applied-scientist-artificial-general-intelligence?cmpid=DA_INAD200785B")</f>
        <v/>
      </c>
      <c r="G97" t="inlineStr">
        <is>
          <t>Boston, MA, US</t>
        </is>
      </c>
      <c r="H97" s="2" t="n">
        <v>45838</v>
      </c>
      <c r="I9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in-c879a01ac60152b9</t>
        </is>
      </c>
      <c r="B98" t="inlineStr">
        <is>
          <t>Senior Applied Scientist, Artificial General Intelligence</t>
        </is>
      </c>
      <c r="C98" t="inlineStr">
        <is>
          <t>Amazon.com</t>
        </is>
      </c>
      <c r="D98" t="inlineStr">
        <is>
          <t>indeed</t>
        </is>
      </c>
      <c r="E98">
        <f>HYPERLINK("https://www.indeed.com/viewjob?jk=c879a01ac60152b9", "https://www.indeed.com/viewjob?jk=c879a01ac60152b9")</f>
        <v/>
      </c>
      <c r="F98">
        <f>HYPERLINK("https://www.amazon.jobs/jobs/3032183/senior-applied-scientist-artificial-general-intelligence?cmpid=DA_INAD200785B", "https://www.amazon.jobs/jobs/3032183/senior-applied-scientist-artificial-general-intelligence?cmpid=DA_INAD200785B")</f>
        <v/>
      </c>
      <c r="G98" t="inlineStr">
        <is>
          <t>Sunnyvale, CA, US</t>
        </is>
      </c>
      <c r="H98" s="2" t="n">
        <v>45838</v>
      </c>
      <c r="I9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in-1391ff766d3febb7</t>
        </is>
      </c>
      <c r="B99" t="inlineStr">
        <is>
          <t>Sr. Applied Scientist, Sales AI</t>
        </is>
      </c>
      <c r="C99" t="inlineStr">
        <is>
          <t>Amazon.com</t>
        </is>
      </c>
      <c r="D99" t="inlineStr">
        <is>
          <t>indeed</t>
        </is>
      </c>
      <c r="E99">
        <f>HYPERLINK("https://www.indeed.com/viewjob?jk=1391ff766d3febb7", "https://www.indeed.com/viewjob?jk=1391ff766d3febb7")</f>
        <v/>
      </c>
      <c r="F99">
        <f>HYPERLINK("https://www.amazon.jobs/jobs/3020528/sr-applied-scientist-sales-ai?cmpid=DA_INAD200785B", "https://www.amazon.jobs/jobs/3020528/sr-applied-scientist-sales-ai?cmpid=DA_INAD200785B")</f>
        <v/>
      </c>
      <c r="G99" t="inlineStr">
        <is>
          <t>New York, NY, US</t>
        </is>
      </c>
      <c r="H99" s="2" t="n">
        <v>45830</v>
      </c>
      <c r="I99"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in-b13e5a5bc7a4084a</t>
        </is>
      </c>
      <c r="B100" t="inlineStr">
        <is>
          <t>Sr. Applied Scientist, Sales AI</t>
        </is>
      </c>
      <c r="C100" t="inlineStr">
        <is>
          <t>Amazon.com</t>
        </is>
      </c>
      <c r="D100" t="inlineStr">
        <is>
          <t>indeed</t>
        </is>
      </c>
      <c r="E100">
        <f>HYPERLINK("https://www.indeed.com/viewjob?jk=b13e5a5bc7a4084a", "https://www.indeed.com/viewjob?jk=b13e5a5bc7a4084a")</f>
        <v/>
      </c>
      <c r="F100">
        <f>HYPERLINK("https://www.amazon.jobs/jobs/3020528/sr-applied-scientist-sales-ai?cmpid=DA_INAD200785B", "https://www.amazon.jobs/jobs/3020528/sr-applied-scientist-sales-ai?cmpid=DA_INAD200785B")</f>
        <v/>
      </c>
      <c r="G100" t="inlineStr">
        <is>
          <t>Sunnyvale, CA, US</t>
        </is>
      </c>
      <c r="H100" s="2" t="n">
        <v>45830</v>
      </c>
      <c r="I100"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in-aa359efa347662b0</t>
        </is>
      </c>
      <c r="B101" t="inlineStr">
        <is>
          <t>Sr. Applied Scientist, Sales AI</t>
        </is>
      </c>
      <c r="C101" t="inlineStr">
        <is>
          <t>Amazon.com</t>
        </is>
      </c>
      <c r="D101" t="inlineStr">
        <is>
          <t>indeed</t>
        </is>
      </c>
      <c r="E101">
        <f>HYPERLINK("https://www.indeed.com/viewjob?jk=aa359efa347662b0", "https://www.indeed.com/viewjob?jk=aa359efa347662b0")</f>
        <v/>
      </c>
      <c r="F101">
        <f>HYPERLINK("https://www.amazon.jobs/jobs/3020528/sr-applied-scientist-sales-ai?cmpid=DA_INAD200785B", "https://www.amazon.jobs/jobs/3020528/sr-applied-scientist-sales-ai?cmpid=DA_INAD200785B")</f>
        <v/>
      </c>
      <c r="G101" t="inlineStr">
        <is>
          <t>Seattle, WA, US</t>
        </is>
      </c>
      <c r="H101" s="2" t="n">
        <v>45830</v>
      </c>
      <c r="I10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in-63573b78296ba59c</t>
        </is>
      </c>
      <c r="B102" t="inlineStr">
        <is>
          <t>Sr. Applied Scientist, AGI Info</t>
        </is>
      </c>
      <c r="C102" t="inlineStr">
        <is>
          <t>Amazon.com</t>
        </is>
      </c>
      <c r="D102" t="inlineStr">
        <is>
          <t>indeed</t>
        </is>
      </c>
      <c r="E102">
        <f>HYPERLINK("https://www.indeed.com/viewjob?jk=63573b78296ba59c", "https://www.indeed.com/viewjob?jk=63573b78296ba59c")</f>
        <v/>
      </c>
      <c r="F102">
        <f>HYPERLINK("https://www.amazon.jobs/jobs/2999351/sr-applied-scientist-agi-info?cmpid=DA_INAD200785B", "https://www.amazon.jobs/jobs/2999351/sr-applied-scientist-agi-info?cmpid=DA_INAD200785B")</f>
        <v/>
      </c>
      <c r="G102" t="inlineStr">
        <is>
          <t>Sunnyvale, CA, US</t>
        </is>
      </c>
      <c r="H102" s="2" t="n">
        <v>45811</v>
      </c>
      <c r="I102"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in-c35a9fa19e7f2683</t>
        </is>
      </c>
      <c r="B103" t="inlineStr">
        <is>
          <t>Sr. Applied Scientist, AGI Info</t>
        </is>
      </c>
      <c r="C103" t="inlineStr">
        <is>
          <t>Amazon.com</t>
        </is>
      </c>
      <c r="D103" t="inlineStr">
        <is>
          <t>indeed</t>
        </is>
      </c>
      <c r="E103">
        <f>HYPERLINK("https://www.indeed.com/viewjob?jk=c35a9fa19e7f2683", "https://www.indeed.com/viewjob?jk=c35a9fa19e7f2683")</f>
        <v/>
      </c>
      <c r="F103">
        <f>HYPERLINK("https://www.amazon.jobs/jobs/2999351/sr-applied-scientist-agi-info?cmpid=DA_INAD200785B", "https://www.amazon.jobs/jobs/2999351/sr-applied-scientist-agi-info?cmpid=DA_INAD200785B")</f>
        <v/>
      </c>
      <c r="G103" t="inlineStr">
        <is>
          <t>Bellevue, WA, US</t>
        </is>
      </c>
      <c r="H103" s="2" t="n">
        <v>45811</v>
      </c>
      <c r="I103"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in-338d7b02617b86c4</t>
        </is>
      </c>
      <c r="B104" t="inlineStr">
        <is>
          <t>Principal Applied Scientist, Delivery Foundation Model</t>
        </is>
      </c>
      <c r="C104" t="inlineStr">
        <is>
          <t>Amazon.com</t>
        </is>
      </c>
      <c r="D104" t="inlineStr">
        <is>
          <t>indeed</t>
        </is>
      </c>
      <c r="E104">
        <f>HYPERLINK("https://www.indeed.com/viewjob?jk=338d7b02617b86c4", "https://www.indeed.com/viewjob?jk=338d7b02617b86c4")</f>
        <v/>
      </c>
      <c r="F104">
        <f>HYPERLINK("https://www.amazon.jobs/jobs/3006938/principal-applied-scientist-delivery-foundation-model-?cmpid=DA_INAD200785B", "https://www.amazon.jobs/jobs/3006938/principal-applied-scientist-delivery-foundation-model-?cmpid=DA_INAD200785B")</f>
        <v/>
      </c>
      <c r="G104" t="inlineStr">
        <is>
          <t>Austin, TX, US</t>
        </is>
      </c>
      <c r="H104" s="2" t="n">
        <v>45810</v>
      </c>
      <c r="I10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in-2347ba53540b50cd</t>
        </is>
      </c>
      <c r="B105" t="inlineStr">
        <is>
          <t>Principal Applied Scientist, Delivery Foundation Model</t>
        </is>
      </c>
      <c r="C105" t="inlineStr">
        <is>
          <t>Amazon.com</t>
        </is>
      </c>
      <c r="D105" t="inlineStr">
        <is>
          <t>indeed</t>
        </is>
      </c>
      <c r="E105">
        <f>HYPERLINK("https://www.indeed.com/viewjob?jk=2347ba53540b50cd", "https://www.indeed.com/viewjob?jk=2347ba53540b50cd")</f>
        <v/>
      </c>
      <c r="F105">
        <f>HYPERLINK("https://www.amazon.jobs/jobs/3006938/principal-applied-scientist-delivery-foundation-model-?cmpid=DA_INAD200785B", "https://www.amazon.jobs/jobs/3006938/principal-applied-scientist-delivery-foundation-model-?cmpid=DA_INAD200785B")</f>
        <v/>
      </c>
      <c r="G105" t="inlineStr">
        <is>
          <t>New York, NY, US</t>
        </is>
      </c>
      <c r="H105" s="2" t="n">
        <v>45810</v>
      </c>
      <c r="I10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in-b4cc9331dd7b88a0</t>
        </is>
      </c>
      <c r="B106" t="inlineStr">
        <is>
          <t>Principal Applied Scientist, Delivery Foundation Model</t>
        </is>
      </c>
      <c r="C106" t="inlineStr">
        <is>
          <t>Amazon.com</t>
        </is>
      </c>
      <c r="D106" t="inlineStr">
        <is>
          <t>indeed</t>
        </is>
      </c>
      <c r="E106">
        <f>HYPERLINK("https://www.indeed.com/viewjob?jk=b4cc9331dd7b88a0", "https://www.indeed.com/viewjob?jk=b4cc9331dd7b88a0")</f>
        <v/>
      </c>
      <c r="F106">
        <f>HYPERLINK("https://www.amazon.jobs/jobs/3006938/principal-applied-scientist-delivery-foundation-model-?cmpid=DA_INAD200785B", "https://www.amazon.jobs/jobs/3006938/principal-applied-scientist-delivery-foundation-model-?cmpid=DA_INAD200785B")</f>
        <v/>
      </c>
      <c r="G106" t="inlineStr">
        <is>
          <t>Bellevue, WA, US</t>
        </is>
      </c>
      <c r="H106" s="2" t="n">
        <v>45810</v>
      </c>
      <c r="I10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in-b28cdd6778d8e859</t>
        </is>
      </c>
      <c r="B107" t="inlineStr">
        <is>
          <t>Principal Applied Scientist, Delivery Foundation Model</t>
        </is>
      </c>
      <c r="C107" t="inlineStr">
        <is>
          <t>Amazon.com</t>
        </is>
      </c>
      <c r="D107" t="inlineStr">
        <is>
          <t>indeed</t>
        </is>
      </c>
      <c r="E107">
        <f>HYPERLINK("https://www.indeed.com/viewjob?jk=b28cdd6778d8e859", "https://www.indeed.com/viewjob?jk=b28cdd6778d8e859")</f>
        <v/>
      </c>
      <c r="F107">
        <f>HYPERLINK("https://www.amazon.jobs/jobs/3006938/principal-applied-scientist-delivery-foundation-model-?cmpid=DA_INAD200785B", "https://www.amazon.jobs/jobs/3006938/principal-applied-scientist-delivery-foundation-model-?cmpid=DA_INAD200785B")</f>
        <v/>
      </c>
      <c r="G107" t="inlineStr">
        <is>
          <t>Santa Clara, CA, US</t>
        </is>
      </c>
      <c r="H107" s="2" t="n">
        <v>45810</v>
      </c>
      <c r="I1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in-e08f8f7cf96488f8</t>
        </is>
      </c>
      <c r="B108" t="inlineStr">
        <is>
          <t>Senior Applied Scientist, Delivery Foundation Model</t>
        </is>
      </c>
      <c r="C108" t="inlineStr">
        <is>
          <t>Amazon.com</t>
        </is>
      </c>
      <c r="D108" t="inlineStr">
        <is>
          <t>indeed</t>
        </is>
      </c>
      <c r="E108">
        <f>HYPERLINK("https://www.indeed.com/viewjob?jk=e08f8f7cf96488f8", "https://www.indeed.com/viewjob?jk=e08f8f7cf96488f8")</f>
        <v/>
      </c>
      <c r="F108">
        <f>HYPERLINK("https://www.amazon.jobs/jobs/2998435/senior-applied-scientist-delivery-foundation-model-?cmpid=DA_INAD200785B", "https://www.amazon.jobs/jobs/2998435/senior-applied-scientist-delivery-foundation-model-?cmpid=DA_INAD200785B")</f>
        <v/>
      </c>
      <c r="G108" t="inlineStr">
        <is>
          <t>New York, NY, US</t>
        </is>
      </c>
      <c r="H108" s="2" t="n">
        <v>45806</v>
      </c>
      <c r="I1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in-0c6953a3740df941</t>
        </is>
      </c>
      <c r="B109" t="inlineStr">
        <is>
          <t>Senior Applied Scientist, Delivery Foundation Model</t>
        </is>
      </c>
      <c r="C109" t="inlineStr">
        <is>
          <t>Amazon.com</t>
        </is>
      </c>
      <c r="D109" t="inlineStr">
        <is>
          <t>indeed</t>
        </is>
      </c>
      <c r="E109">
        <f>HYPERLINK("https://www.indeed.com/viewjob?jk=0c6953a3740df941", "https://www.indeed.com/viewjob?jk=0c6953a3740df941")</f>
        <v/>
      </c>
      <c r="F109">
        <f>HYPERLINK("https://www.amazon.jobs/jobs/2998435/senior-applied-scientist-delivery-foundation-model-?cmpid=DA_INAD200785B", "https://www.amazon.jobs/jobs/2998435/senior-applied-scientist-delivery-foundation-model-?cmpid=DA_INAD200785B")</f>
        <v/>
      </c>
      <c r="G109" t="inlineStr">
        <is>
          <t>Santa Clara, CA, US</t>
        </is>
      </c>
      <c r="H109" s="2" t="n">
        <v>45806</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in-ee9ea215579371db</t>
        </is>
      </c>
      <c r="B110" t="inlineStr">
        <is>
          <t>Senior Applied Scientist, Delivery Foundation Model</t>
        </is>
      </c>
      <c r="C110" t="inlineStr">
        <is>
          <t>Amazon.com</t>
        </is>
      </c>
      <c r="D110" t="inlineStr">
        <is>
          <t>indeed</t>
        </is>
      </c>
      <c r="E110">
        <f>HYPERLINK("https://www.indeed.com/viewjob?jk=ee9ea215579371db", "https://www.indeed.com/viewjob?jk=ee9ea215579371db")</f>
        <v/>
      </c>
      <c r="F110">
        <f>HYPERLINK("https://www.amazon.jobs/jobs/2998435/senior-applied-scientist-delivery-foundation-model-?cmpid=DA_INAD200785B", "https://www.amazon.jobs/jobs/2998435/senior-applied-scientist-delivery-foundation-model-?cmpid=DA_INAD200785B")</f>
        <v/>
      </c>
      <c r="G110" t="inlineStr">
        <is>
          <t>Bellevue, WA, US</t>
        </is>
      </c>
      <c r="H110" s="2" t="n">
        <v>45806</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in-1b9a3b245dc30bd0</t>
        </is>
      </c>
      <c r="B111" t="inlineStr">
        <is>
          <t>Sr. Applied Scientist - Privacy, Privacy Engineering</t>
        </is>
      </c>
      <c r="C111" t="inlineStr">
        <is>
          <t>Amazon.com</t>
        </is>
      </c>
      <c r="D111" t="inlineStr">
        <is>
          <t>indeed</t>
        </is>
      </c>
      <c r="E111">
        <f>HYPERLINK("https://www.indeed.com/viewjob?jk=1b9a3b245dc30bd0", "https://www.indeed.com/viewjob?jk=1b9a3b245dc30bd0")</f>
        <v/>
      </c>
      <c r="F111">
        <f>HYPERLINK("https://www.amazon.jobs/jobs/2997657/sr-applied-scientist--privacy-privacy-engineering?cmpid=DA_INAD200785B", "https://www.amazon.jobs/jobs/2997657/sr-applied-scientist--privacy-privacy-engineering?cmpid=DA_INAD200785B")</f>
        <v/>
      </c>
      <c r="G111" t="inlineStr">
        <is>
          <t>Santa Clara, CA, US</t>
        </is>
      </c>
      <c r="H111" s="2" t="n">
        <v>45787</v>
      </c>
      <c r="I111"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in-83af1c73f6cdba72</t>
        </is>
      </c>
      <c r="B112" t="inlineStr">
        <is>
          <t>Sr. Applied Scientist - Privacy, Privacy Engineering</t>
        </is>
      </c>
      <c r="C112" t="inlineStr">
        <is>
          <t>Amazon.com</t>
        </is>
      </c>
      <c r="D112" t="inlineStr">
        <is>
          <t>indeed</t>
        </is>
      </c>
      <c r="E112">
        <f>HYPERLINK("https://www.indeed.com/viewjob?jk=83af1c73f6cdba72", "https://www.indeed.com/viewjob?jk=83af1c73f6cdba72")</f>
        <v/>
      </c>
      <c r="F112">
        <f>HYPERLINK("https://www.amazon.jobs/jobs/2997657/sr-applied-scientist--privacy-privacy-engineering?cmpid=DA_INAD200785B", "https://www.amazon.jobs/jobs/2997657/sr-applied-scientist--privacy-privacy-engineering?cmpid=DA_INAD200785B")</f>
        <v/>
      </c>
      <c r="G112" t="inlineStr">
        <is>
          <t>San Francisco, CA, US</t>
        </is>
      </c>
      <c r="H112" s="2" t="n">
        <v>45787</v>
      </c>
      <c r="I112"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in-76ecb301cf54b7af</t>
        </is>
      </c>
      <c r="B113" t="inlineStr">
        <is>
          <t>Sr. Applied Scientist - Privacy, Privacy Engineering</t>
        </is>
      </c>
      <c r="C113" t="inlineStr">
        <is>
          <t>Amazon.com</t>
        </is>
      </c>
      <c r="D113" t="inlineStr">
        <is>
          <t>indeed</t>
        </is>
      </c>
      <c r="E113">
        <f>HYPERLINK("https://www.indeed.com/viewjob?jk=76ecb301cf54b7af", "https://www.indeed.com/viewjob?jk=76ecb301cf54b7af")</f>
        <v/>
      </c>
      <c r="F113">
        <f>HYPERLINK("https://www.amazon.jobs/jobs/2997657/sr-applied-scientist--privacy-privacy-engineering?cmpid=DA_INAD200785B", "https://www.amazon.jobs/jobs/2997657/sr-applied-scientist--privacy-privacy-engineering?cmpid=DA_INAD200785B")</f>
        <v/>
      </c>
      <c r="G113" t="inlineStr">
        <is>
          <t>Sunnyvale, CA, US</t>
        </is>
      </c>
      <c r="H113" s="2" t="n">
        <v>45787</v>
      </c>
      <c r="I11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in-0061f039650f1b94</t>
        </is>
      </c>
      <c r="B114" t="inlineStr">
        <is>
          <t>Principal Applied Scientist, Delivery Foundation Model</t>
        </is>
      </c>
      <c r="C114" t="inlineStr">
        <is>
          <t>Amazon.com</t>
        </is>
      </c>
      <c r="D114" t="inlineStr">
        <is>
          <t>indeed</t>
        </is>
      </c>
      <c r="E114">
        <f>HYPERLINK("https://www.indeed.com/viewjob?jk=0061f039650f1b94", "https://www.indeed.com/viewjob?jk=0061f039650f1b94")</f>
        <v/>
      </c>
      <c r="F114">
        <f>HYPERLINK("https://www.amazon.jobs/jobs/2998635/principal-applied-scientist-delivery-foundation-model-?cmpid=DA_INAD200785B", "https://www.amazon.jobs/jobs/2998635/principal-applied-scientist-delivery-foundation-model-?cmpid=DA_INAD200785B")</f>
        <v/>
      </c>
      <c r="G114" t="inlineStr">
        <is>
          <t>Bellevue, WA, US</t>
        </is>
      </c>
      <c r="H114" s="2" t="n">
        <v>45757</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in-1b5fa4788b83e252</t>
        </is>
      </c>
      <c r="B115" t="inlineStr">
        <is>
          <t>Principal Applied Scientist, Delivery Foundation Model</t>
        </is>
      </c>
      <c r="C115" t="inlineStr">
        <is>
          <t>Amazon.com</t>
        </is>
      </c>
      <c r="D115" t="inlineStr">
        <is>
          <t>indeed</t>
        </is>
      </c>
      <c r="E115">
        <f>HYPERLINK("https://www.indeed.com/viewjob?jk=1b5fa4788b83e252", "https://www.indeed.com/viewjob?jk=1b5fa4788b83e252")</f>
        <v/>
      </c>
      <c r="F115">
        <f>HYPERLINK("https://www.amazon.jobs/jobs/2998635/principal-applied-scientist-delivery-foundation-model-?cmpid=DA_INAD200785B", "https://www.amazon.jobs/jobs/2998635/principal-applied-scientist-delivery-foundation-model-?cmpid=DA_INAD200785B")</f>
        <v/>
      </c>
      <c r="G115" t="inlineStr">
        <is>
          <t>Santa Clara, CA, US</t>
        </is>
      </c>
      <c r="H115" s="2" t="n">
        <v>45757</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in-c792278278249a12</t>
        </is>
      </c>
      <c r="B116" t="inlineStr">
        <is>
          <t>Principal Applied Scientist, Delivery Foundation Model</t>
        </is>
      </c>
      <c r="C116" t="inlineStr">
        <is>
          <t>Amazon.com</t>
        </is>
      </c>
      <c r="D116" t="inlineStr">
        <is>
          <t>indeed</t>
        </is>
      </c>
      <c r="E116">
        <f>HYPERLINK("https://www.indeed.com/viewjob?jk=c792278278249a12", "https://www.indeed.com/viewjob?jk=c792278278249a12")</f>
        <v/>
      </c>
      <c r="F116">
        <f>HYPERLINK("https://www.amazon.jobs/jobs/2998635/principal-applied-scientist-delivery-foundation-model-?cmpid=DA_INAD200785B", "https://www.amazon.jobs/jobs/2998635/principal-applied-scientist-delivery-foundation-model-?cmpid=DA_INAD200785B")</f>
        <v/>
      </c>
      <c r="G116" t="inlineStr">
        <is>
          <t>New York, NY, US</t>
        </is>
      </c>
      <c r="H116" s="2" t="n">
        <v>45757</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in-d8909973333f241a</t>
        </is>
      </c>
      <c r="B117" t="inlineStr">
        <is>
          <t>Principal Applied Scientist, FAR (Frontier AI &amp; Robotics)</t>
        </is>
      </c>
      <c r="C117" t="inlineStr">
        <is>
          <t>Amazon.com</t>
        </is>
      </c>
      <c r="D117" t="inlineStr">
        <is>
          <t>indeed</t>
        </is>
      </c>
      <c r="E117">
        <f>HYPERLINK("https://www.indeed.com/viewjob?jk=d8909973333f241a", "https://www.indeed.com/viewjob?jk=d8909973333f241a")</f>
        <v/>
      </c>
      <c r="F117">
        <f>HYPERLINK("https://www.amazon.jobs/jobs/2938625/principal-applied-scientist-far-frontier-ai--robotics?cmpid=DA_INAD200785B", "https://www.amazon.jobs/jobs/2938625/principal-applied-scientist-far-frontier-ai--robotics?cmpid=DA_INAD200785B")</f>
        <v/>
      </c>
      <c r="G117" t="inlineStr">
        <is>
          <t>San Francisco, CA, US</t>
        </is>
      </c>
      <c r="H117" s="2" t="n">
        <v>45740</v>
      </c>
      <c r="I11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in-a2f846fce9199d2d</t>
        </is>
      </c>
      <c r="B118" t="inlineStr">
        <is>
          <t>Principal Applied Scientist, FAR (Frontier AI &amp; Robotics)</t>
        </is>
      </c>
      <c r="C118" t="inlineStr">
        <is>
          <t>Amazon.com</t>
        </is>
      </c>
      <c r="D118" t="inlineStr">
        <is>
          <t>indeed</t>
        </is>
      </c>
      <c r="E118">
        <f>HYPERLINK("https://www.indeed.com/viewjob?jk=a2f846fce9199d2d", "https://www.indeed.com/viewjob?jk=a2f846fce9199d2d")</f>
        <v/>
      </c>
      <c r="F118">
        <f>HYPERLINK("https://www.amazon.jobs/jobs/2938625/principal-applied-scientist-far-frontier-ai--robotics?cmpid=DA_INAD200785B", "https://www.amazon.jobs/jobs/2938625/principal-applied-scientist-far-frontier-ai--robotics?cmpid=DA_INAD200785B")</f>
        <v/>
      </c>
      <c r="G118" t="inlineStr">
        <is>
          <t>Seattle, WA, US</t>
        </is>
      </c>
      <c r="H118" s="2" t="n">
        <v>45740</v>
      </c>
      <c r="I118"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in-bc13b8341570e0eb</t>
        </is>
      </c>
      <c r="B119" t="inlineStr">
        <is>
          <t>AI Engineer (Frontend/Full-Stack)</t>
        </is>
      </c>
      <c r="C119" t="inlineStr">
        <is>
          <t>EVO Tech (WI)</t>
        </is>
      </c>
      <c r="D119" t="inlineStr">
        <is>
          <t>indeed</t>
        </is>
      </c>
      <c r="E119">
        <f>HYPERLINK("https://www.indeed.com/viewjob?jk=bc13b8341570e0eb", "https://www.indeed.com/viewjob?jk=bc13b8341570e0eb")</f>
        <v/>
      </c>
      <c r="F119">
        <f>HYPERLINK("http://www.indeed.com/job/ai-engineer-frontendfull-stack-bc13b8341570e0eb", "http://www.indeed.com/job/ai-engineer-frontendfull-stack-bc13b8341570e0eb")</f>
        <v/>
      </c>
      <c r="G119" t="inlineStr">
        <is>
          <t>Madison, WI, US</t>
        </is>
      </c>
      <c r="H119" s="2" t="n">
        <v>46044</v>
      </c>
      <c r="I119" t="inlineStr">
        <is>
          <t>**Role Overview**
We are looking for a versatile AI Engineer to join our team in Madison. This is a unique role for a builder who enjoys the intersection of cutting\-edge Large Language Model (LLM) workflows and modern frontend development. You will be responsible for designing and deploying AI\-powered experiences—ranging from intelligent chatbots to complex data\-retrieval systems—and ensuring they are delivered through a seamless, high\-performance web interface.
Key Responsibilities
\* AI Development: Design and implement AI\-powered features using Python. Build and optimize Retrieval\-Augmented Generation (RAG) pipelines, including vector embedding strategies and semantic search.
\* Chatbot Architecture: Develop and maintain conversational interfaces using various AI frameworks (e.g., LangChain, LlamaIndex, or OpenAI SDKs).
\* Frontend Engineering: Build and maintain the user\-facing application using Next.js, ensuring a responsive and intuitive UI/UX for AI interactions.
\* Data \&amp; Backend: Manage application state, authentication, and database schemas using Supabase (or equivalent PostgreSQL\-based BaaS).
\* Integration: Bridge the gap between Python\-based AI services and the Next.js frontend to ensure low\-latency, real\-time user experiences.
Technical Requirements
\* AI \&amp; Backend (Python)
\* Python Mastery: Expert\-level Python for building backend services and AI scripts.\[2]
\* RAG \&amp; Embeddings: Deep understanding of vector databases (e.g., Pinecone, Weaviate, or pgvector), embedding models, and document chunking strategies.
\* AI Frameworks: Hands\-on experience with frameworks like LangChain, LangGraph, or LlamaIndex for agentic workflows and tool\-calling.\[3]
\* LLM Integration: Experience working with OpenAI, Anthropic, or open\-source models (via Ollama/HuggingFace).
\* Frontend \&amp; Web (Next.js / Supabase)
\* Frameworks: Proficiency in Next.js (App Router preferred) and React.
\* Styling: Experience with Tailwind CSS or similar modern CSS frameworks.
\* Backend\-as\-a\-Service: Strong experience with Supabase (Auth, Database, Storage, and Edge Functions) or equivalent tech stacks like Firebase or custom PostgreSQL/Node.js setups.
\* State Management: Ability to handle complex frontend states, especially for streaming AI responses (Vercel AI SDK experience is a plus).
Additional Qualifications
Onsite Requirement: This position is 100% onsite at our Madison, WI office. Candidates must reside within commuting distance or be willing to relocate.
Commute: Must have reliable transportation for daily travel to the office; this role does not offer remote or hybrid work options.
Education: B.S. in Computer Science, Data Science, or a related field (or equivalent professional experience).
Portfolio: Ability to demonstrate previous work, specifically AI\-powered applications or functional web prototypes.
Job Type: Full\-time
Pay: $5,000\.00 \- $6,000\.00 per month
Benefits:
* Paid time off
Work Location: In person</t>
        </is>
      </c>
    </row>
    <row r="120">
      <c r="A120" t="inlineStr">
        <is>
          <t>in-81409b93db839edf</t>
        </is>
      </c>
      <c r="B120" t="inlineStr">
        <is>
          <t>Part-Time Student AI Engineer</t>
        </is>
      </c>
      <c r="C120" t="inlineStr"/>
      <c r="D120" t="inlineStr">
        <is>
          <t>indeed</t>
        </is>
      </c>
      <c r="E120">
        <f>HYPERLINK("https://www.indeed.com/viewjob?jk=81409b93db839edf", "https://www.indeed.com/viewjob?jk=81409b93db839edf")</f>
        <v/>
      </c>
      <c r="F120">
        <f>HYPERLINK("http://www.indeed.com/job/part-time-student-ai-engineer-81409b93db839edf", "http://www.indeed.com/job/part-time-student-ai-engineer-81409b93db839edf")</f>
        <v/>
      </c>
      <c r="G120" t="inlineStr">
        <is>
          <t>Remote, US</t>
        </is>
      </c>
      <c r="H120" s="2" t="n">
        <v>46044</v>
      </c>
      <c r="I120" t="inlineStr">
        <is>
          <t>We are hiring **part\-time student AI engineers** to help build next\-generation **deep learning and agent\-based AI systems for drug discovery**. You will work on real ML systems used for molecular modeling, virtual screening, generative AI, and AI\-driven scientific workflows.
**What You’ll Do**
* Implement and train deep learning models (PyTorch)
* Build agent\-style AI systems that orchestrate tools and models
* Run experiments, evaluate models, and improve performance
* Work with biological and chemical datasets
* Contribute to production\-quality research code
**What We’re Looking For**
* Northeastern student in CS, AI, Data Science, Bioinformatics, or related field
* Strong Python skills
* Experience with PyTorch or similar ML framework
* Comfortable working with Git
**Nice to Have**
* Experience in Reinforcement Learning
* Experience with transformers, GNNs, or generative models
* Interest in AI \+ drug discovery or computational biology
* Experience with GPUs, Linux, or cloud computing
**Why Join**
* Hands\-on experience with real AI systems in drug discovery
* Work on cutting\-edge models and agent workflows
* Strong mentorship and potential for research authorship
* Great preparation for industry and academic AI roles
Pay: $20\.00 \- $25\.00 per hour
Expected hours: 10\.0 – 20\.0 per week
Work Location: Remote</t>
        </is>
      </c>
    </row>
    <row r="121">
      <c r="A121" t="inlineStr">
        <is>
          <t>in-b49a508d7bb455fa</t>
        </is>
      </c>
      <c r="B121" t="inlineStr">
        <is>
          <t>Data Science AI Engineer, Advisor</t>
        </is>
      </c>
      <c r="C121" t="inlineStr">
        <is>
          <t>Gainwell Technologies LLC</t>
        </is>
      </c>
      <c r="D121" t="inlineStr">
        <is>
          <t>indeed</t>
        </is>
      </c>
      <c r="E121">
        <f>HYPERLINK("https://www.indeed.com/viewjob?jk=b49a508d7bb455fa", "https://www.indeed.com/viewjob?jk=b49a508d7bb455fa")</f>
        <v/>
      </c>
      <c r="F121">
        <f>HYPERLINK("https://jobs.gainwelltechnologies.com/job/Any-city-Data-Science-AI-Engineer%2C-Advisor-GA-99999/1358397700/?feedId=351800&amp;utm_source=Indeed&amp;utm_campaign=Gainwell_Indeed", "https://jobs.gainwelltechnologies.com/job/Any-city-Data-Science-AI-Engineer%2C-Advisor-GA-99999/1358397700/?feedId=351800&amp;utm_source=Indeed&amp;utm_campaign=Gainwell_Indeed")</f>
        <v/>
      </c>
      <c r="G121" t="inlineStr">
        <is>
          <t>GA, US</t>
        </is>
      </c>
      <c r="H121" s="2" t="n">
        <v>46043</v>
      </c>
      <c r="I121"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Gainwell Technologies is seeking a highly skilled AI Engineer to design, develop, and deploy advanced AI solutions, including Generative AI (GenAI), across our healthcare technology platforms. This role involves building and optimizing AI technologies, integrating them into existing systems, and ensuring their effectiveness in improving healthcare outcomes and operational efficiency while maintaining compliance with industry standards.
mission**Your role in our mission**
----------------------------
* AI Model Development – Design, build, and train machine learning and deep learning models, including GenAI, NLP, and predictive analytics solutions for healthcare applications.
* End\-to\-End AI Solution Deployment – Develop, test, and deploy AI solutions in cloud and on\-premise environments, ensuring reliability, scalability, and real\-world impact.
* Data Engineering \&amp; Processing – Work with large healthcare datasets, performing data preprocessing, feature engineering, and model training while ensuring compliance with HIPAA and other regulatory standards.
* System Integration – Implement and optimize AI models within Gainwell’s existing technology stack, collaborating with software engineers to ensure seamless integration.
* Performance Optimization – Continuously monitor, refine, and optimize AI models for accuracy, efficiency, and speed, leveraging MLOps best practices.
* AI Research \&amp; Innovation – Stay updated with the latest AI/ML advancements, exploring new technologies and methodologies to enhance solution effectiveness.
* Compliance \&amp; Security – Ensure AI implementations adhere to healthcare industry regulations, ethical AI principles, and data privacy standards.
* Automation \&amp; Workflow Enhancement – Identify opportunities to automate workflows and optimize business processes using AI\-driven solutions.
**What we're looking for**
--------------------------
* Master’s or Ph.D in Computer Science, AI, Data Science, or a related field.
* 5\+ years of experience in AI/ML engineering, with a focus on developing and deploying AI solutions.
* Hands\-on expertise in machine learning, deep learning, GenAI, NLP, and computer vision.
* Strong programming skills in Python, TensorFlow, PyTorch, and other AI frameworks.
* Experience developing, deploying and finetuning LLMs (GPT, Gemini, Claude or similar) for real world applications including prompt engineering, model optimization and inference efficiency.
* Experience with cloud platforms (AWS, Azure, or GCP) and MLOps for scalable AI deployments.
* Proficiency in working with big data technologies (Spark, Hadoop, SQL, NoSQL databases).
* Strong problem\-solving skills with the ability to translate business challenges into AI\-driven solutions.
* Knowledge of healthcare AI applications and regulatory compliance (HIPAA, CMS) is a plus.
role**What you should expect in this role**
---------------------------------------
	+ Fully Remote Opportunity – Work from anywhere in the U.S.
	+ Minimal Travel Required – Occasional travel opportunities (0\-10%).
	+ Opportunity to Work on Cutting\-Edge AI Solutions in a mission\-driven healthcare technology environment.
	+ Video cameras must be used during all interviews, as well as during the initial week of orientation
	+ The Deadline to submit applications for this posting is February 2**4, 2026**
The pay range for this position is $117,800\.00 \- $168,300\.00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row>
    <row r="122">
      <c r="A122" t="inlineStr">
        <is>
          <t>in-b3637d8332936d19</t>
        </is>
      </c>
      <c r="B122" t="inlineStr">
        <is>
          <t>Senior AI Engineer</t>
        </is>
      </c>
      <c r="C122" t="inlineStr">
        <is>
          <t>TELUS Digital</t>
        </is>
      </c>
      <c r="D122" t="inlineStr">
        <is>
          <t>indeed</t>
        </is>
      </c>
      <c r="E122">
        <f>HYPERLINK("https://www.indeed.com/viewjob?jk=b3637d8332936d19", "https://www.indeed.com/viewjob?jk=b3637d8332936d19")</f>
        <v/>
      </c>
      <c r="F122">
        <f>HYPERLINK("https://jobs.ashbyhq.com/telus-digital/fa149fdc-cf8d-4675-b306-ba6ee11cdfe4?utm_source=MYODkQkbGg", "https://jobs.ashbyhq.com/telus-digital/fa149fdc-cf8d-4675-b306-ba6ee11cdfe4?utm_source=MYODkQkbGg")</f>
        <v/>
      </c>
      <c r="G122" t="inlineStr">
        <is>
          <t>Durham, NC, US</t>
        </is>
      </c>
      <c r="H122" s="2" t="n">
        <v>46043</v>
      </c>
      <c r="I122" t="inlineStr">
        <is>
          <t>**Senior AI Engineer (Fuel iX)**
================================
**The Opportunity**
-------------------
Fuel iX is seeking a proficient AI Engineer passionate about the technology, and ready to implement research concepts into tangible and production\-ready solutions for our global clients. As a AI Engineer, you will be instrumental in applying and integrating generative AI models to enhance digital products, while also applying best coding, testing, and monitoring practices, making AI accessible and valuable in a real\-world context.
**Responsibilities**
--------------------
* Apply your knowledge of AI systems and software engineering to develop solutions that directly address and resolve business problems.
* Partner with professionals from Data Science and Data Engineering to address complex technical challenges, ensuring that the latest and most effective Data \&amp; AI techniques are being utilized.
* Take ownership of implementing and optimizing applied AI components, ensuring they meet project needs with high complexity and scale.
* Navigate and manipulate generative AI models, including (but not limited to) LLMs, to create prompts and solutions tailored to specific use cases.
* Develop and incorporate AI solutions while adhering to industry best practices, including moderation, security, monitoring, and compliance standards.
* Understand and properly apply Responsible AI concepts in all the stages of the solution.
* Lead the charge in designing, measuring, and evaluating AI model outputs, developing standard and custom metrics to ensure alignment with business objectives.
* Translate AI research and PoCs into production\-ready features, delivering robust and scalable AI components that integrate seamlessly with larger systems.
* Drive the selection and application of appropriate evaluation metrics, ensuring that AI solutions are robust, unbiased, and meet all necessary performance standards.
**Qualifications**
------------------
* Demonstrable experience in applied AI, with a foundation in machine learning, NLP, LLMs, and statistical analysis.
* Strong understanding of the trade\-offs between various generative AI models and the ability to choose the right model for specific use cases.
* Experience with data embeddings and vector databases, understanding the trade\-off between available options, and leveraging it to optimize data ingestion.
* Experience in architecting and developing solutions that integrate generative AI with traditional software solutions with minimal to no oversight.
* Experience building and testing a server\-side platform for API development and orchestration.
* Is proficient in the Python language and understands the trade\-offs between multiple frameworks and patterns.
* Skilled in creating and adjusting prompts for complex AI systems to meet diverse project requirements.
* Familiarity with testing and evaluating AI systems using state\-of\-the\-art methods and best practices.
* Hands\-on experience deploying software on leading cloud platforms and utilizing AI tools like AWS Bedrock, Azure AI Services, and Vertex AI.
* Strong collaboration skills and ability to work alongside developers from multiple different areas.
* Ability to communicate complex AI solutions and concepts effectively to technical and non\-technical stakeholders.
Compensation Range: CA$130K \- CA$160K</t>
        </is>
      </c>
    </row>
    <row r="123">
      <c r="A123" t="inlineStr">
        <is>
          <t>in-56722317d8abec2a</t>
        </is>
      </c>
      <c r="B123" t="inlineStr">
        <is>
          <t>Lead Machine Learning Engineer, Ad Platforms</t>
        </is>
      </c>
      <c r="C123" t="inlineStr"/>
      <c r="D123" t="inlineStr">
        <is>
          <t>indeed</t>
        </is>
      </c>
      <c r="E123">
        <f>HYPERLINK("https://www.indeed.com/viewjob?jk=56722317d8abec2a", "https://www.indeed.com/viewjob?jk=56722317d8abec2a")</f>
        <v/>
      </c>
      <c r="F123">
        <f>HYPERLINK("https://www.disneycareers.com/job/-/-/391/90832069632", "https://www.disneycareers.com/job/-/-/391/90832069632")</f>
        <v/>
      </c>
      <c r="G123" t="inlineStr">
        <is>
          <t>Santa Monica, CA, US</t>
        </is>
      </c>
      <c r="H123" s="2" t="n">
        <v>46043</v>
      </c>
      <c r="I123"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Lead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Minimum 7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Databricks,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Experience in digital video advertising or digital marketing domain.
* Experience with forecasting models.
Required Education:
Bachelor's (MS or PhD preferred) in Computer Science, Software Engineering, or a related field
**Location**: Seattle / Santa Monica
\#DISNEYTECH
The hiring range for this position in Santa Monica, CA is $171,600 to $230,100 per year and in Seattle is $179,700 to $241,000\.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24">
      <c r="A124" t="inlineStr">
        <is>
          <t>in-1844f1899c750ba6</t>
        </is>
      </c>
      <c r="B124" t="inlineStr">
        <is>
          <t>Senior AI Engineer (Red Team, LLM, Adversarial Attacks, Prompt Injection, Guardrails, Policy Bypass)</t>
        </is>
      </c>
      <c r="C124" t="inlineStr">
        <is>
          <t>Capital One</t>
        </is>
      </c>
      <c r="D124" t="inlineStr">
        <is>
          <t>indeed</t>
        </is>
      </c>
      <c r="E124">
        <f>HYPERLINK("https://www.indeed.com/viewjob?jk=1844f1899c750ba6", "https://www.indeed.com/viewjob?jk=1844f1899c750ba6")</f>
        <v/>
      </c>
      <c r="F124">
        <f>HYPERLINK("https://www.capitalonecareers.com/job/-/-/1732/90845163440", "https://www.capitalonecareers.com/job/-/-/1732/90845163440")</f>
        <v/>
      </c>
      <c r="G124" t="inlineStr">
        <is>
          <t>San Jose, CA, US</t>
        </is>
      </c>
      <c r="H124" s="2" t="n">
        <v>46043</v>
      </c>
      <c r="I124" t="inlineStr">
        <is>
          <t>Senior AI Engineer (Red Team, LLM, Adversarial Attacks, Prompt Injection, Guardrails, Policy Bypass)**Overview:**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5">
      <c r="A125" t="inlineStr">
        <is>
          <t>in-5715b72df3be014c</t>
        </is>
      </c>
      <c r="B125" t="inlineStr">
        <is>
          <t>Senior ML Engineer (Dynamic Pricing)</t>
        </is>
      </c>
      <c r="C125" t="inlineStr">
        <is>
          <t>Uber</t>
        </is>
      </c>
      <c r="D125" t="inlineStr">
        <is>
          <t>indeed</t>
        </is>
      </c>
      <c r="E125">
        <f>HYPERLINK("https://www.indeed.com/viewjob?jk=5715b72df3be014c", "https://www.indeed.com/viewjob?jk=5715b72df3be014c")</f>
        <v/>
      </c>
      <c r="F125">
        <f>HYPERLINK("https://tnl2.jometer.com/v2/job?jz=5wqzs71775267aafdb9811f22185f8039efe1KMAAKAAAAABQ&amp;iis=Job%20Board%20-%20Recruitment%20Marketing&amp;iisn=Indeed%20Organic", "https://tnl2.jometer.com/v2/job?jz=5wqzs71775267aafdb9811f22185f8039efe1KMAAKAAAAABQ&amp;iis=Job%20Board%20-%20Recruitment%20Marketing&amp;iisn=Indeed%20Organic")</f>
        <v/>
      </c>
      <c r="G125" t="inlineStr">
        <is>
          <t>Sunnyvale, CA, US</t>
        </is>
      </c>
      <c r="H125" s="2" t="n">
        <v>46043</v>
      </c>
      <c r="I125"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optimization/ML system across Uber. Although we are a backend team, what we do has an outsized impact on our riders because prices and reliability are two of the most important elements of customer experience.
**What You'll Do**
You will work with a mixed team of Engineers, Operations Researchers, and Economists to build large\-scale pricing optimization systems to set prices based on real\-time marketplace conditions for Uber's rides products globally.
* You will end\-to\-end design and implement models for marketplace effects and behaviors
* You will define relevant metrics and monitoring
* You will conduct experiments, iterate on models, and identify new opportunities to apply machine learning to our problem space
**Basic Qualifications**
* PhD in relevant fields (CS, EE, Math, Stats, etc.) with a focus on Machine Learning.
* 3\+ years of experience in an ML role with an emphasis on data and experiment driven model development.
* Expertise in deep learning and optimization algorithms.
* Experience with ML frameworks such as PyTorch and TensorFlow.
* Experience building and productionizing innovative end\-to\-end Machine Learning systems.
* Proficiency in one or more coding languages such as Python, Java, Go, or C\+\+.
* Strong communication skills and can work effectively with cross\-functional partners.
* Strong sense of ownership and tenacity toward hard machine\-learning projects.
**Preferred Qualifications**
* Experience in serving and monitoring online training systems such as real time recommendation systems.
* Experience designing and implementing novel metrics for performance evaluation.
* Experience handling time series data and time series forecasting (experience handling spatial temporal data is plus).
* Deep understanding of models such as VAE (Variational Auto Encoder), SSM (State space model), and Normalizing Flow.
* Experience in inference optimization and monitoring model performance efficiency and being able to identify bottlenecks.
Proven track record in conducting experiments and tracking models in high\-complexity environments.  
*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26">
      <c r="A126" t="inlineStr">
        <is>
          <t>in-5af1ae2fad3bd4fd</t>
        </is>
      </c>
      <c r="B126" t="inlineStr">
        <is>
          <t>Senior AI Engineer</t>
        </is>
      </c>
      <c r="C126" t="inlineStr">
        <is>
          <t>Capital One</t>
        </is>
      </c>
      <c r="D126" t="inlineStr">
        <is>
          <t>indeed</t>
        </is>
      </c>
      <c r="E126">
        <f>HYPERLINK("https://www.indeed.com/viewjob?jk=5af1ae2fad3bd4fd", "https://www.indeed.com/viewjob?jk=5af1ae2fad3bd4fd")</f>
        <v/>
      </c>
      <c r="F126">
        <f>HYPERLINK("https://www.capitalonecareers.com/job/-/-/1732/90831746480", "https://www.capitalonecareers.com/job/-/-/1732/90831746480")</f>
        <v/>
      </c>
      <c r="G126" t="inlineStr">
        <is>
          <t>New York, NY, US</t>
        </is>
      </c>
      <c r="H126" s="2" t="n">
        <v>46042</v>
      </c>
      <c r="I126" t="inlineStr">
        <is>
          <t>Senior AI Engineer**Overview:**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27">
      <c r="A127" t="inlineStr">
        <is>
          <t>in-c0d38a6a372651d4</t>
        </is>
      </c>
      <c r="B127" t="inlineStr">
        <is>
          <t>Distinguished Machine Learning Engineer - Bank Tech</t>
        </is>
      </c>
      <c r="C127" t="inlineStr">
        <is>
          <t>Capital One</t>
        </is>
      </c>
      <c r="D127" t="inlineStr">
        <is>
          <t>indeed</t>
        </is>
      </c>
      <c r="E127">
        <f>HYPERLINK("https://www.indeed.com/viewjob?jk=c0d38a6a372651d4", "https://www.indeed.com/viewjob?jk=c0d38a6a372651d4")</f>
        <v/>
      </c>
      <c r="F127">
        <f>HYPERLINK("https://www.capitalonecareers.com/job/-/-/1732/90831746816", "https://www.capitalonecareers.com/job/-/-/1732/90831746816")</f>
        <v/>
      </c>
      <c r="G127" t="inlineStr">
        <is>
          <t>McLean, VA, US</t>
        </is>
      </c>
      <c r="H127" s="2" t="n">
        <v>46042</v>
      </c>
      <c r="I127" t="inlineStr">
        <is>
          <t>Distinguished Machine Learning Engineer \- Bank Tech**Overview:**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**Team Description**
We are seeking a Distinguished Machine Learning Engineer to partner with fraud, risk, data, and platform teams to advance the bank’s proactive fraud prevention strategy, leveraging generative AI technologies to anticipate emerging threats, accelerate insight generation, and enhance decisioning at scale. This role will help shape how GenAI capabilities are responsibly applied across the organization to move from reactive detection to proactive, intelligence\-driven fraud prevention.
**What you’ll do in the role:**
* Deliver ML models and software components that solve challenging business problems in the financial services industry, working in collaboration with the Product, Architecture, Engineering, and Data Science teams
* Provide guidance on the evaluation and adoption of generative AI techniques and tools, including LangChain, LangGraph, LLMs, RAG, MCP, embeddings, vector stores, and model orchestration frameworks.
* Drive the creation and evolution of ML models and software that enable state\-of\-the\-art intelligent systems
* Lead large\-scale ML initiatives with the customer in mind
* Drive adoption of proven generative AI patterns across teams by influencing platform design, standards, and technical direction.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Experience with one or multiple areas of AI technology stack including prompt engineering, guardrails, vector databases/knowledge bases, LLM fine\-tuning, LLM Evaluation.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New York, NY: $293,600 \- $335,100 for Distinguished Machine Learning Engineer  
Philadelphia, PA: $244,700 \- $279,200 for Distinguished Machine Learning Engineer  
Wilmington, DE: $244,700 \- $279,200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li-4225062630</t>
        </is>
      </c>
      <c r="B2" t="inlineStr">
        <is>
          <t>Senior/Staff Applied Scientist</t>
        </is>
      </c>
      <c r="C2" t="inlineStr">
        <is>
          <t>Glean</t>
        </is>
      </c>
      <c r="D2" t="inlineStr">
        <is>
          <t>linkedin</t>
        </is>
      </c>
      <c r="E2">
        <f>HYPERLINK("https://www.linkedin.com/jobs/view/4225062630", "https://www.linkedin.com/jobs/view/4225062630")</f>
        <v/>
      </c>
      <c r="F2">
        <f>HYPERLINK("https://job-boards.greenhouse.io/gleanwork/jobs/4424103005&amp;urlHash=8qT2", "https://job-boards.greenhouse.io/gleanwork/jobs/4424103005&amp;urlHash=8qT2")</f>
        <v/>
      </c>
      <c r="G2" t="inlineStr"/>
      <c r="H2" t="inlineStr"/>
      <c r="I2" t="inlineStr">
        <is>
          <t>**About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superintelligent enterprise from concept into reality.
 If you’re excited to shape how the world works, you’ll help build systems used daily across Microsoft Teams, Zoom, ServiceNow, Zendesk, GitHub, and many more \- deeply embedded where people get things done. You’ll ship agentic capabilities on an open, extensible stack, with the craft and care required for enterprise trust, as we bring Work AI to every employee, in every company.
**About The Role**
 Glean is building a world\-class Data Organization composed of product data science, applied science, data engineering and business intelligence groups. This is an applied science role based in our Palo Alto or San Francisco office. It covers a subset of:
**A/B Experimentation**
* Collaborate with product data science and engineering teams to identify techniques, tooling and process improvements in online A/B experimentation to assist rigorous decision making across all relevant product domains.
* Develop and maintain our A/B experimentation platform based on stakeholder feedback
* Write code or identify vendors to deploy these techniques to production in a scalable manner that’s easy to use by engineering, product data science, product management and design teams
**Generative AI Evaluation**
* End to end evaluation of various hero use cases like document/URL uploads, including evaluation set generation, coming up with evaluation criteria and methods to interpret the results.
* Breaking down end to end evaluations into more granular evaluation of various tasks \&amp; skills including but not limited to content summarization/analysis/generation, multi\-step reasoning \&amp; strategizing, tool selection \&amp; use, coding \&amp; system design.
* Design, development and ownership of best practices, tools and processes across various evaluation problems, e.g. query intent classification, standardizing the use of best statistical principles to handle LLM stochasticity, industry benchmarking.
**About You**
* You have 5\+ years of experience as a Masters degree holder, 3\+ as a PhD degree holders (Masters/PhD degree in Statistics, Mathematics or Computer Science, or another quantitative field)
* You’re strong in statistics and/or machine learning. You have experience in applying these skills into tangible improvements in products, internal tools, and processes in a pragmatic way that puts business urgencies first.
* You are very proficient in Python, e.g. proficient enough to maintain an internal source\-controlled library used by dozens of others.
* You are concise and precise in written and verbal communication. Technical documentation is your strong suit.
* You are proficient in SQL and the modern data stack (e.g. source\-controlled dbt pipelines for ETL/ELT).
* You are strong at defining good product KPIs/guardrail metrics, dashboarding and analysis of raw data to derive strategic insights.
* You have experience in B2B SaaS.
* You have experience working on ranking, developing, and maintaining A/B experimentation platforms and/or ML measurement problems.
* You are passionate about using AI to improve the productivity of data teams as well as non\-data professionals trying to derive more value of their company’s data.
**Location:**
* This role is hybrid (3\-4 days a week in one of our SF Bay Area offices)
**Compensation \&amp; Benefits**
 The standard base salary range for this position is $175,000 \- $230,000 annually. Compensation offered will be determined by factors such as location, level, job\-related knowledge, skills, and experience. Certain roles may be eligible for variable compensation, equity, and benefits.
 We offer a comprehensive benefits package including competitive compensation, Medical, Vision, and Dental coverage, generous time\-off policy, and the opportunity to contribute to your 401k plan to support your long\-term goals. When you join, you'll receive a home office improvement stipend, as well as an annual education and wellness stipends to support your growth and wellbeing. We foster a vibrant company culture through regular events, and provide healthy lunches daily to keep you fueled and focused.
 We are a diverse bunch of people and we want to continue to attract and retain a diverse range of people into our organization. We're committed to an inclusive and diverse company. We do not discriminate based on gender, ethnicity, sexual orientation, religion, civil or family status, age, disability, or race.</t>
        </is>
      </c>
    </row>
    <row r="3">
      <c r="A3" t="inlineStr">
        <is>
          <t>li-4250807886</t>
        </is>
      </c>
      <c r="B3" t="inlineStr">
        <is>
          <t>Senior Machine Learning Engineer I</t>
        </is>
      </c>
      <c r="C3" t="inlineStr">
        <is>
          <t>Etsy</t>
        </is>
      </c>
      <c r="D3" t="inlineStr">
        <is>
          <t>linkedin</t>
        </is>
      </c>
      <c r="E3">
        <f>HYPERLINK("https://www.linkedin.com/jobs/view/4250807886", "https://www.linkedin.com/jobs/view/4250807886")</f>
        <v/>
      </c>
      <c r="F3" t="inlineStr"/>
      <c r="G3" t="inlineStr">
        <is>
          <t>Brooklyn, NY</t>
        </is>
      </c>
      <c r="H3" t="inlineStr"/>
      <c r="I3" t="inlineStr">
        <is>
          <t>**Company Description**
 Etsy is the global marketplace for unique and creative goods. We build, power, and evolve the tools and technologies that connect millions of entrepreneurs with millions of buyers around the world. As an Etsy Inc. employee, whether a team member of Etsy or Depop, you will tackle unique, meaningful, and large\-scale problems alongside passionate coworkers, all the while making a rewarding impact and Keeping Commerce Human.
**Salary Range**
 $183,000\.00 \- $216,000\.00
**What’s the role?**
 We are looking for an experienced Machine Learning Engineer to join our Recommendation Ranking team. Our team develops Machine Learning models to understand buyers, personalize, and rank recommendations across Etsy.com and the Etsy app. As a Machine Learning Engineer, you will work closely with Applied Scientist and Software Engineer to improve the shopping experience for 90\+ million buyers. We are looking for individuals who are product \&amp; technology driven, and are passionate about making ML innovations in areas such as ranking, distributed training and serving, LLM and real\-time systems.
 This is a full\-time position reporting to the Engineering Manager. In addition to salary, you will also be eligible for an equity package, an annual performance bonus, and our competitive benefits that support you and your family as part of your total rewards package at Etsy.
 For this role, we are considering candidates based in the United States. Candidates living within commutable distance of Etsy’s Brooklyn Office Hub or in the San Francisco Bay Area may be the first to be considered. For candidates within commutable distance, Etsy requires in\-office attendance once or twice per week depending on your proximity to the office. Etsy offers different work modes to meet the variety of needs and preferences of our team. Learn more details about our work modes and workplace safety policies here.
**What does the day\-to\-day look like?**
* Work closely with applied scientists, data scientists, product managers, and designers to set the future technical direction of Etsy’s recommendation system
* Engage in development work on projects, guide your team in technical decisions, deeply understand the problem space, and mentor engineers.
* Collaborate with stakeholders and partner teams to design robust end\-to\-end solutions
* Process large datasets and develop scalable pipelines to support ML workflows
* Prototype, optimize, and productionize large\-scale ML models that help deliver key results
* Conduct experiments (A/B testing etc.) to validate the effectiveness of ML models and pipelines
* Of course, this is just a sample of the kinds of work this role will require! You should assume that your role will encompass other tasks, too, and that your job duties and responsibilities may change from time to time at Etsy's discretion, or otherwise applicable with local law.
**Qualities that will help you thrive in this role are:**
* You have experience of applying machine learning techniques in addressing real\-world problems.
* You have experience in one of the following fields: deep learning, multi\-modal learning, natural language processing, graph learning, distributed training/serving, ML infra platform.
* You have experience with large datasets and developing scalable data pipelines.
* You have deep familiarity with at least some of our tools: Python, Tensorflow, PyTorch, Spark, PySpark, Scala, Airflow.
* You have a collaborative mindset and are comfortable working with a diverse range of roles and departments.
* You write understandable and testable code. You have the ability to write and manipulate data at a large scale and you have an eye towards maintainability.
* A degree in Computer Science or related engineering fields with at least two years of industry experience.
**Additional Information**
 What's Next
 If you're interested in joining the team at Etsy, please share your resume with us and feel free to include a cover letter if you'd like. As we hope you've seen already, Etsy is a place that values individuality and variety. We don't want you to be like everyone else \-\- we want you to be like you! So tell us what you're all about.
 Our Promise
 At Etsy, we believe that a diverse, equitable and inclusive workplace furthers relevance, resilience, and longevity. We encourage people from all backgrounds, ages, abilities, and experiences to apply. Etsy is proud to be an equal opportunity workplace. We are committed to equal employment opportunity regardless of race, color, ancestry, religion, sex, national origin, sexual orientation, age, citizenship, marital status, disability, gender identity or veteran status, or any other characteristic protected by applicable law. If, due to a disability, you need an accommodation during any part of the application or interview process, please let your recruiter know. While Etsy supports visa sponsorship, sponsorship opportunities may be limited to certain roles and skills.</t>
        </is>
      </c>
    </row>
    <row r="4">
      <c r="A4" t="inlineStr">
        <is>
          <t>li-4365284582</t>
        </is>
      </c>
      <c r="B4" t="inlineStr">
        <is>
          <t>Applied Scientist II</t>
        </is>
      </c>
      <c r="C4" t="inlineStr">
        <is>
          <t>Microsoft</t>
        </is>
      </c>
      <c r="D4" t="inlineStr">
        <is>
          <t>linkedin</t>
        </is>
      </c>
      <c r="E4">
        <f>HYPERLINK("https://www.linkedin.com/jobs/view/4365284582", "https://www.linkedin.com/jobs/view/4365284582")</f>
        <v/>
      </c>
      <c r="F4" t="inlineStr"/>
      <c r="G4" t="inlineStr">
        <is>
          <t>Redmond, WA</t>
        </is>
      </c>
      <c r="H4" t="inlineStr"/>
      <c r="I4" t="inlineStr">
        <is>
          <t>**Overview**
 The Field Service Scheduling team within Business \&amp; Industry Copilots (BIC) seeks a Applied Scientist II to help realize our vision of building a state\-of\-the\-art scheduling service that sets the standard for our industry.
 We are looking for someone who combines technical excellence with focus in innovation and impact, and who will drive the development of advanced scheduling solutions for our customers.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candidate should have:
* Optimization experience with scheduling algorithms
* Keep abreast of state\-of\-the\-art approaches (including deep learning models) to address vehicle routing problems.
* Be a member of the product team, designing experiments, creating benchmarks and identifying success metrics, and writing production code to implement the scheduling algorithm(s) with high quality.
* Collaborate closely with research organizations to bridge the gap between research and practice.
* Travel: Occasional travel (0% to 25%) is expected in this role.
**Qualifications**
**Required Qualifications:**
* Bachelor's Degree in Statistics, Econometrics, Computer Science, Electrical or Computer Engineering, or related field AND 2\+ years related experience (e.g., statistics, predictive analytics, research)
+ OR Master's Degree in Statistics, Econometrics, Computer Science, Electrical or Computer Engineering, or related field AND 1\+ year(s) related experience (e.g., statistics, predictive analytics, research)
+ OR Doctorate in Statistics, Econometrics, Computer Science, Electrical or Computer Engineering, or related field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Master’s or PhD focus in Artificial Intelligence (Planning and Scheduling), Operations Research (OR) or a related field.
* Background in Multi\-agent Planning and Scheduling and/or Operations Research.
* Experience running your algorithms in a production environment and responding to customer inquiries.
* Experience in reinforcement learning.
* Experience in vehicle routing problems or scheduling optimization (algorithms).
* Experience with coding in languages including, but not limited to, C, C\+\+, C\#, Java, JavaScript, or Python.
* Experience in Genetic / heuristic scheduling algorithms
* Proven experience in solving vehicle routing problems.
* Demonstrated analytical abilities to dissect complex problems and propose effective solutions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
      <c r="A5" t="inlineStr">
        <is>
          <t>li-4346677699</t>
        </is>
      </c>
      <c r="B5" t="inlineStr">
        <is>
          <t>Principal Applied Scientist</t>
        </is>
      </c>
      <c r="C5" t="inlineStr">
        <is>
          <t>Microsoft</t>
        </is>
      </c>
      <c r="D5" t="inlineStr">
        <is>
          <t>linkedin</t>
        </is>
      </c>
      <c r="E5">
        <f>HYPERLINK("https://www.linkedin.com/jobs/view/4346677699", "https://www.linkedin.com/jobs/view/4346677699")</f>
        <v/>
      </c>
      <c r="F5" t="inlineStr"/>
      <c r="G5" t="inlineStr">
        <is>
          <t>Redmond, WA</t>
        </is>
      </c>
      <c r="H5" t="inlineStr"/>
      <c r="I5" t="inlineStr">
        <is>
          <t>**Overview**
 Security represents the most critical priority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The Identity Threat Detection and Response (ITDR) Security Research team leads advanced research in Identity protection, leveraging next\-generation AI and cloud technologies. Our team comprises globally recognized experts in identity and cloud\-related threats—highly skilled, passionate professionals committed to driving innovation and safeguarding customers in an ever\-evolving. We are hiring a Principal Applied Scientist.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 Responsibilities
- Lead independently projects focused on AI / Agentic research applied to cybersecurity problems aiming to translate ideas and prototypes into concrete product advancements or novel capabilities
- Productionize AI \&amp; ML: collaborate with engineering and product teams to productionize models, pipelines, and meet objectives for latency, throughput, and availability. Develop fine\-tuning techniques for transformer models and establish benchmarks for accuracy, robustness, and performance to ensure reliable model delivery.
- Identify and integrate diverse data sources, develop deep expertise across them, and surface new patterns and opportunities—communicating clear, compelling, data driven stories visually and verbally.
- Analyze largescale datasets and build robust, scalable feature engineering pipelines in PySpark based environment.
- Partner with AI, Engineering and Data scientist teams to build machine learning systems that identify anomalies, account compromise, fraud, and identity threats, leveraging GenAI and graph based approaches.
- Collaborate across Threat Research, Engineering, and Product teams to define and instrument metrics that demonstrate product and business success (e.g Detection Efficacy, Coverage, Timetodetect)
- Embody our culture and values
**Qualifications**
 Required Qualifications:
 Bachelor's Degree in Statistics, Econometrics, Computer Science, Electrical or Computer Engineering, or related field AND 6\+ years related experience (e.g., statistics, predictive analytics, research) OR
 Master's Degree in Statistics, Econometrics, Computer Science, Electrical or Computer Engineering, or related field AND 4\+ years related experience (e.g., statistics, predictive analytics, research) OR
 Doctorate in Statistics, Econometrics, Computer Science, Electrical or Computer Engineering, or related field AND 3\+ years related experience (e.g., statistics, predictive analytics, research)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Proven ability to design end\-to\-end data and feature pipelines (SQL, PySpark, Azure Data Studio) that ship robust, production ready ML models.
* Proven expertise in applying AI/ML systems and solutions to solve real cybersecurity problems
* 7\+ years of hands\-on experience with Spark/PySpark, Databricks, Azure ML, SQL/KQL, and strong programming skills in Python and/or C
* 2\+ years experience presenting at conferences or other events in the outside research/industry community as an invited speaker.
* 3\+ years experience developing and deploying products or systems at multiple points in the product cycle from ideation to shipping.
* 5\+ years experience conducting research as part of a research program (in academic or industry settings).
* Comfortable working with complex, high\-dimensional, multisource data; excels at data wrangling, enrichment, and quality assurance to solve hard, real world problems.
* Works cross\-functionally with Data Scientists, Threat Researchers, Engineering, and Product to define metrics, measure outcomes, and improve customer value. Communicates insights visually and verbally, telling clear, compelling, datadriven stories to drive decisions.
* Applied expertise in classification, prediction, anomaly detection, optimization, graph ML, and NLP. Experience with Generative AI (prompt engineering, RAG, finetuning, responsibleAI practices) is highly valued.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
      <c r="A6" t="inlineStr">
        <is>
          <t>li-4365268943</t>
        </is>
      </c>
      <c r="B6" t="inlineStr">
        <is>
          <t>Principal Applied Scientist</t>
        </is>
      </c>
      <c r="C6" t="inlineStr">
        <is>
          <t>Microsoft</t>
        </is>
      </c>
      <c r="D6" t="inlineStr">
        <is>
          <t>linkedin</t>
        </is>
      </c>
      <c r="E6">
        <f>HYPERLINK("https://www.linkedin.com/jobs/view/4365268943", "https://www.linkedin.com/jobs/view/4365268943")</f>
        <v/>
      </c>
      <c r="F6">
        <f>HYPERLINK("https://apply.careers.microsoft.com/careers/job/1970393556744880?utm_source=linkedin&amp;domain=microsoft.com&amp;src=LinkedIn&amp;urlHash=HB2n", "https://apply.careers.microsoft.com/careers/job/1970393556744880?utm_source=linkedin&amp;domain=microsoft.com&amp;src=LinkedIn&amp;urlHash=HB2n")</f>
        <v/>
      </c>
      <c r="G6" t="inlineStr">
        <is>
          <t>Redmond, WA</t>
        </is>
      </c>
      <c r="H6" t="inlineStr"/>
      <c r="I6" t="inlineStr">
        <is>
          <t>**Overview**
 AI has created an unprecedented opportunity to make work better for hundreds of millions of people. Microsoft Teams is the hub for teamwork that integrates the people, content, and tools your team needs to be more engaged and effective. It is at the core of Microsoft’s modern work, life, and education value proposition. We are reinventing the way people communicate and work together across the globe. We are hiring a Principal Applied Scientist to help ensure we maximize this amazing opportunity.
 We are looking for a Principal Applied Scientist who is creative, self\-driven, curious, people\-oriented, and comfortable defining a path through ambiguity toward high\-level goals. Research areas of interest include but are certainly not limited to reinforcement learning, agentic systems multimodal modeling, post\-training techniques and their application, human\-centered artificial intelligence (AI), domain\-specific large language model (LLM) applications (e.g. long\-form writing assistance), personalization, computational social science, memory, agentic retrieval\-augmented generation (RAG), real\-time AI systems, collaborative AI, privacy\-preserving AI, trustworthy AI, data\-centric AI, AI flywheels, and multilingual AI.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Defining, leading, and helping to conduct research projects that simultaneously advance the state\-of\-the\-art and directly benefit Microsoft’s core productivity products.
* Shape product direction by integrating rigorous scientific methods into the product lifecycle.
* Collaborating and coordinating with people in a range of roles, including researchers, engineers, product managers, designers, and other key product stakeholders. Serving as a bridge between research and product.
* Teaching, guiding, and tutoring colleagues without research backgrounds in state\-of\-the\-art techniques and research best practices.
* Sharing your research with others via a range of means, including publication, to enable others to build on your work and to contribute to the understanding of our products as cutting\-edge and science driven.
* Communicating with product leaders (and often Microsoft researchers – MSR) throughout the planning and execution of applied research projects, which often involves learning and teaching complex concepts.
* Embody the Microsoft culture and values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OR Doctorate in Statistics, Econometrics, Computer Science, Electrical or Computer Engineering, or related field AND 6\+ years related experience (e.g., statistics, predictive analytics, research)
+ OR equivalent experience.
* Publications in scientific venues (e.g., NeurIPS, ICML, ICLR, ACL, NAACL, KDD, WWW, CHI, PNAS, Nature, EMNLP, CVPR, ICCV, ECCV, CoRL).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 Demonstrated impact from your research through shipped products, improved user experiences, or other measurable benefits for diverse stakeholders.
* Demonstrated interest for continuous learning and innovation in AI.
* Demonstrated technical leadership or mentor experience (influencing technical direction, guiding team members).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7">
      <c r="A7" t="inlineStr">
        <is>
          <t>li-4343181381</t>
        </is>
      </c>
      <c r="B7" t="inlineStr">
        <is>
          <t>Senior Applied Scientist, Generative AI Innovation Center</t>
        </is>
      </c>
      <c r="C7" t="inlineStr">
        <is>
          <t>Amazon Web Services (AWS)</t>
        </is>
      </c>
      <c r="D7" t="inlineStr">
        <is>
          <t>linkedin</t>
        </is>
      </c>
      <c r="E7">
        <f>HYPERLINK("https://www.linkedin.com/jobs/view/4343181381", "https://www.linkedin.com/jobs/view/4343181381")</f>
        <v/>
      </c>
      <c r="F7" t="inlineStr"/>
      <c r="G7" t="inlineStr">
        <is>
          <t>New York, United States</t>
        </is>
      </c>
      <c r="H7" t="inlineStr"/>
      <c r="I7" t="inlineStr">
        <is>
          <t>**Description**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agentic framework,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
**Basic Qualifications**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in building speech recognition, machine translation and natural language processing systems (e.g., commercial speech products or government speech projects)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\- 167,100\.00 \- 226,100\.00 USD annually
 USA, NY, New York \- 183,800\.00 \- 248,700\.00 USD annually
 USA, TX, Austin \- 167,100\.00 \- 226,100\.00 USD annually
 USA, TX, Houston \- 167,100\.00 \- 226,100\.00 USD annually
 USA, WA, Bellevue \- 167,100\.00 \- 226,100\.00 USD annually
 USA, WA, Seattle \- 167,100\.00 \- 226,100\.00 USD annually
**Company** 
 \- Amazon Web Services, Inc.
 Job ID: A3137791</t>
        </is>
      </c>
    </row>
    <row r="8">
      <c r="A8" t="inlineStr">
        <is>
          <t>li-4354245128</t>
        </is>
      </c>
      <c r="B8" t="inlineStr">
        <is>
          <t>Software Engineer, Audio Applied Scientist</t>
        </is>
      </c>
      <c r="C8" t="inlineStr">
        <is>
          <t>Meta</t>
        </is>
      </c>
      <c r="D8" t="inlineStr">
        <is>
          <t>linkedin</t>
        </is>
      </c>
      <c r="E8">
        <f>HYPERLINK("https://www.linkedin.com/jobs/view/4354245128", "https://www.linkedin.com/jobs/view/4354245128")</f>
        <v/>
      </c>
      <c r="F8" t="inlineStr"/>
      <c r="G8" t="inlineStr">
        <is>
          <t>Redmond, WA</t>
        </is>
      </c>
      <c r="H8" t="inlineStr"/>
      <c r="I8" t="inlineStr">
        <is>
          <t>At Meta, we're building products that revolutionize the way people connect, work, and play. Our audio teams are at the forefront of this innovation, developing cutting\-edge technologies that redefine the way we experience sound in virtual and augmented worlds.As an audio professional at Meta, you'll have the opportunity to:\- Build new, innovative hardware and software: Collaborate with world\-class experts to create products that push the boundaries of what's possible.\- Solve unique, large\-scale technical problems: Tackle complex challenges that impact billions of people around the world.\- Create immersive audio experiences: Harness the power of AR and VR to make virtual sounds indistinguishable from reality.\- Transform the way people hear and interact: Develop technologies that redefine hearing potential and change the way we connect with each other.Our teams are dedicated to creating a considerate and honest environment where self\-motivated individuals thrive. We encourage ownership, creativity, and collaboration, and we're passionate about making science fiction real.Join us on this adventure: As a member of our audio team, you'll be part of a community that's shaping the future of sound and connection. Together, let's invent the future and change the world.
 Software Engineer, Audio Applied Scientist Responsibilities:
* Develop and implement innovative audio technologies, including general audio processing, audio ML/AI algorithms, and audio codecs
* Identify areas for improvement in scalability, performance, quality, and reliability across the audio stack
* Collaborate with cross\-functional teams to deploy new audio technologies as\-a\-service and as\-a\-platform
* Analyze, design, develop, and debug audio features on Android systems
* Work effectively in a team environment, making architectural tradeoffs to deliver software solutions rapidly
* Develop software for consumer devices, prioritizing efficiency and delivering high\-quality results
* Create clean, readable code and debug complex problems
* Embrace continuous learning, adapt to new technologies, and navigate ambiguity in problem\-solving
 Minimum Qualifications:
* Bachelor's degree in Computer Science, Computer Engineering, relevant technical field, or equivalent practical experience
* 7\+ years software development experience in industry settings or PhD with 4\+ years of experience
* 3\+ years relevant audio software engineering experience in industry settings
* C or C\+\+ experience, including use of C\+\+11/14/17 features
* Demonstrated experience working across disciplines to drive optimal solutions
 Preferred Qualifications:
* MS or PhD in Electrical Engineering, Computer Science or equivalent
* Expertise in audio signal processing and auditory perception, both classical and machine learned techniques
* Proven track record of innovation as demonstrated by products shipped, publications and/or patents
* Proven track record of contribution in two or more of these areas: Design and deployment of ML models on resource constrained devices, near\- and far\-field spatial processing, Adaptive System Identification, multirate systems and filter banks, peech and audio compression, room acoustics or spatial audio
* Experience with audio software development including DSP, machine learning, and/or hybrid systems
* Experience in Android or Linux audio stack development
* Experience developing, debugging, and shipping software products on large code bases that span platforms and tools
* Demonstrated experience working collaboratively in cross\-functional teams
* Experience with audio\-related software features across all layers of the audio stack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$88\.46/hour to $257,000/year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9">
      <c r="A9" t="inlineStr">
        <is>
          <t>li-4365341181</t>
        </is>
      </c>
      <c r="B9" t="inlineStr">
        <is>
          <t>Principal Applied Scientist - CoreAI</t>
        </is>
      </c>
      <c r="C9" t="inlineStr">
        <is>
          <t>Microsoft</t>
        </is>
      </c>
      <c r="D9" t="inlineStr">
        <is>
          <t>linkedin</t>
        </is>
      </c>
      <c r="E9">
        <f>HYPERLINK("https://www.linkedin.com/jobs/view/4365341181", "https://www.linkedin.com/jobs/view/4365341181")</f>
        <v/>
      </c>
      <c r="F9" t="inlineStr"/>
      <c r="G9" t="inlineStr">
        <is>
          <t>Redmond, WA</t>
        </is>
      </c>
      <c r="H9" t="inlineStr"/>
      <c r="I9" t="inlineStr">
        <is>
          <t>**Overview**
 The CoreAI organization at Microsoft builds the end\-to\-end Artificial Intelligence (AI) stack and is core to Azure AI innovation and differentiation, as well as all of Microsoft’s flagship products, from GitHub, to Office, Teams, and Xbox. We are the team building Responsible AI, Azure OpenAI, Model as a Service, Azure Machine Learning (ML), Cognitive Services, and the global Azure AI infrastructure for running the largest AI workloads on the planet.
 We ensure Microsoft ships AI systems that are safe, secure, and trustworthy—empowering every person and organization on the planet to achieve more. Our team sits at the intersection of cutting\-edge AI research and planet\-scale production systems, powering technologies like GitHub Copilot and Azure OpenAI. We are looking for a Principal Applied Scientist to join 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In this role you’ll develop machine learning techniques that push the boundaries of safety, alignment, and trustworthy AI. You’ll collaborate across product, research, and engineering teams to design, build, and maintain responsible AI systems that make an impact at scale—from early\-stage development and experimentation to production, monitoring, and continuous iteration.
**Qualifications**
**Required Qualifications:**
* Bachelor's Degree in Computer Science, Computational Linguistics, or related field AND 6\+ years related experience (e.g., statistics, predictive analytics, research)
+ OR Master's Degree in Computer Science, Computational Linguistics or related field AND 4\+ years related experience (e.g., statistics, predictive analytics, research)
+ OR Doctorate in Computer Science, Computational Linguistics, or related field AND 3\+ years related experience (e.g., statistics, predictive analytics, research)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and familiarity with large language models (LLMs).
* Experience with and a solid foundation in large distributed systems, algorithms, and software engineering principles.
* Master’s or PhD in Computer Science, Machine Learning, Data Science, or a related field.
* 5\+ years of experience in a research/ML engineering or an applied research scientist position, ideally with a focus on AI safety.
* Have hands\-on experience with deep learning and transformer\-based models
* Excel at problem\-solving and analytics, with a proactive approach to challenges
* Thrive in fast\-moving environments where priorities shift and definitions evolve.
* Enjoy taking ownership end\-to\-end and learning whatever is necessary to get results.
* Comfortable working independently while thriving in cross\-team collaborations.
* Understand methods for training and fine\-tuning LLMs, including distillation, supervised fine\-tuning, and policy optimization.
 \#coreai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Applied Sciences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
      <c r="A10" t="inlineStr">
        <is>
          <t>li-4343039167</t>
        </is>
      </c>
      <c r="B10" t="inlineStr">
        <is>
          <t>Machine Learning Engineer</t>
        </is>
      </c>
      <c r="C10" t="inlineStr">
        <is>
          <t>Spotify</t>
        </is>
      </c>
      <c r="D10" t="inlineStr">
        <is>
          <t>linkedin</t>
        </is>
      </c>
      <c r="E10">
        <f>HYPERLINK("https://www.linkedin.com/jobs/view/4343039167", "https://www.linkedin.com/jobs/view/4343039167")</f>
        <v/>
      </c>
      <c r="F10" t="inlineStr"/>
      <c r="G10" t="inlineStr">
        <is>
          <t>New York, NY</t>
        </is>
      </c>
      <c r="H10" t="inlineStr"/>
      <c r="I10"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 Design, build, evaluate, and ship LLM based solutions that tell stories about our content and our users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1">
      <c r="A11" t="inlineStr">
        <is>
          <t>li-4365300545</t>
        </is>
      </c>
      <c r="B11" t="inlineStr">
        <is>
          <t>AI/ML Engineer</t>
        </is>
      </c>
      <c r="C11" t="inlineStr">
        <is>
          <t>Jobgether</t>
        </is>
      </c>
      <c r="D11" t="inlineStr">
        <is>
          <t>linkedin</t>
        </is>
      </c>
      <c r="E11">
        <f>HYPERLINK("https://www.linkedin.com/jobs/view/4365300545", "https://www.linkedin.com/jobs/view/4365300545")</f>
        <v/>
      </c>
      <c r="F11" t="inlineStr"/>
      <c r="G11" t="inlineStr"/>
      <c r="H11" t="inlineStr"/>
      <c r="I11" t="inlineStr">
        <is>
          <t>**This position is posted by Jobgether on behalf of a partner company. We are currently looking for an AI/ML Engineer in United States.**
 This role offers a hands\-on opportunity to design, build, and deploy cutting\-edge AI and machine learning solutions in high\-impact environments. You will develop end\-to\-end pipelines, optimize models, and integrate AI capabilities into operational systems that directly influence mission\-critical outcomes. The position is ideal for engineers who thrive in code, enjoy building production\-ready systems, and are excited by complex, real\-world challenges. You will collaborate with cross\-functional teams to ensure models are reliable, reproducible, and aligned with technical and operational objectives. This role emphasizes both innovation and execution, providing a platform to work on large\-scale AI initiatives with tangible, measurable impact.
**Accountabilities**
* Design, develop, and deploy AI/ML models and pipelines to meet performance and operational objectives
* Build, train, and fine\-tune models using frameworks like PyTorch, TensorFlow, scikit\-learn, Hugging Face, and LangChain
* Develop and operationalize MLOps pipelines with tools such as MLflow, Kubeflow, DVC, or custom orchestration solutions
* Implement and optimize vector databases (Milvus, Pinecone, Chroma, FAISS) and retrieval architectures (RAG, graph, hybrid)
* Write clean, efficient Python code for data ingestion, feature engineering, embeddings, and inference services
* Experiment with fine\-tuning and optimization of LLMs and task\-specific models (LoRA, QLoRA, PEFT)
* Integrate AI capabilities into production systems via APIs, event\-driven workflows, or UI copilots
* Collaborate with data engineers, software developers, and analysts to ensure models are production\-ready
* Participate in peer reviews, document experiments, and contribute to shared repositories for reproducibility
**Requirements**
* U.S. citizenship with the ability to obtain and maintain a security clearance if required
* 6–10\+ years of professional experience developing and deploying AI/ML solutions in production
* Strong Python programming skills with experience in AI/ML frameworks such as PyTorch, TensorFlow, scikit\-learn, Hugging Face, or LangChain
* Experience building and deploying MLOps pipelines (MLflow, Kubeflow, DVC, or equivalent)
* Knowledge of vector databases (Milvus, Pinecone, Chroma, FAISS) and retrieval\-based architectures (RAG, hybrid, graph)
* Experience fine\-tuning and evaluating LLMs or task\-specific models using LoRA, QLoRA, or PEFT
* Proven ability to integrate AI solutions into operational or mission\-critical systems
* Excellent problem\-solving skills, attention to detail, and ability to work collaboratively in high\-stakes environments
* Bachelor’s or Master’s degree in Computer Science, Engineering, Data Science, or a related technical field
**Preferred Qualifications**
* Familiarity with agentic frameworks such as LangGraph, AutoGen, CrewAI, or DSPy
* Understanding of prompt engineering, grounding methods, and retrieval quality
* Exposure to GPU\-based or edge inference environments
* Active Secret clearance preferred
**Benefits**
* Competitive compensation package
* Flexible remote\-first work environment
* Professional development opportunities and continued training
* Comprehensive healthcare, dental, and vision coverage
* Retirement savings options and company contributions
* Paid time off and holidays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
      <c r="A12" t="inlineStr">
        <is>
          <t>li-4365317285</t>
        </is>
      </c>
      <c r="B12" t="inlineStr">
        <is>
          <t>Senior ML Engineer (Dynamic Pricing)</t>
        </is>
      </c>
      <c r="C12" t="inlineStr">
        <is>
          <t>Uber</t>
        </is>
      </c>
      <c r="D12" t="inlineStr">
        <is>
          <t>linkedin</t>
        </is>
      </c>
      <c r="E12">
        <f>HYPERLINK("https://www.linkedin.com/jobs/view/4365317285", "https://www.linkedin.com/jobs/view/4365317285")</f>
        <v/>
      </c>
      <c r="F12" t="inlineStr"/>
      <c r="G12" t="inlineStr">
        <is>
          <t>Sunnyvale, CA</t>
        </is>
      </c>
      <c r="H12" t="inlineStr"/>
      <c r="I12" t="inlineStr">
        <is>
          <t>**About The Role**
 The mission of the Surge team is to maintain overall marketplace reliability by balancing supply/demand in real\-time through dynamic pricing. We build scalable real\-time systems to understand the state of the market, forecast future demand, make predictions using ML models, solve network optimization programs, and eventually make pricing decisions for each rider session.
 Surge plays a critical role in service of Uber's mission to make transport accessible. We generate billions of dollars in annual gross bookings for the company by optimizing network efficiency and make a significant contribution to driver earnings. In addition to pricing, the signals we generate are some of the most important features used in practically every optimization/ML system across Uber. Although we are a backend team, what we do has an outsized impact on our riders because prices and reliability are two of the most important elements of customer experience.
**What You'll Do**
 You will work with a mixed team of Engineers, Operations Researchers, and Economists to build large\-scale pricing optimization systems to set prices based on real\-time marketplace conditions for Uber's rides products globally.
* You will end\-to\-end design and implement models for marketplace effects and behaviors
* You will define relevant metrics and monitoring
* You will conduct experiments, iterate on models, and identify new opportunities to apply machine learning to our problem space
**Basic Qualifications**
* PhD in relevant fields (CS, EE, Math, Stats, etc.) with a focus on Machine Learning.
* 3\+ years of experience in an ML role with an emphasis on data and experiment driven model development.
* Expertise in deep learning and optimization algorithms.
* Experience with ML frameworks such as PyTorch and TensorFlow.
* Experience building and productionizing innovative end\-to\-end Machine Learning systems.
* Proficiency in one or more coding languages such as Python, Java, Go, or C\+\+.
* Strong communication skills and can work effectively with cross\-functional partners.
* Strong sense of ownership and tenacity toward hard machine\-learning projects.
**Preferred Qualifications**
* Experience in serving and monitoring online training systems such as real time recommendation systems.
* Experience designing and implementing novel metrics for performance evaluation.
* Experience handling time series data and time series forecasting (experience handling spatial temporal data is plus).
* Deep understanding of models such as VAE (Variational Auto Encoder), SSM (State space model), and Normalizing Flow.
* Experience in inference optimization and monitoring model performance efficiency and being able to identify bottlenecks.
* Proven track record in conducting experiments and tracking models in high\-complexity environments.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3">
      <c r="A13" t="inlineStr">
        <is>
          <t>li-4355303110</t>
        </is>
      </c>
      <c r="B13" t="inlineStr">
        <is>
          <t>AI / ML Engineer</t>
        </is>
      </c>
      <c r="C13" t="inlineStr">
        <is>
          <t>Farsight</t>
        </is>
      </c>
      <c r="D13" t="inlineStr">
        <is>
          <t>linkedin</t>
        </is>
      </c>
      <c r="E13">
        <f>HYPERLINK("https://www.linkedin.com/jobs/view/4355303110", "https://www.linkedin.com/jobs/view/4355303110")</f>
        <v/>
      </c>
      <c r="F13" t="inlineStr"/>
      <c r="G13" t="inlineStr">
        <is>
          <t>New York, NY</t>
        </is>
      </c>
      <c r="H13" t="inlineStr"/>
      <c r="I13" t="inlineStr">
        <is>
          <t>**About Farsight** 
 Farsight is the agentic AI platform for financial services, currently helping investment banks and private equity firms fully automate entire, highly nuanced workflows. Today, institutions will spend 80% of their time gathering information for and creating first drafts of materials by hand before iterating on and refining their decks, models, and pitches. We not only give them that time back to focus on what is important, but we also bring new insights and knowledge to their materials that they wouldn’t be able to uncover without the help of our financial\-focused AI.
**Our Team** 
 Our team has had a wide range of experience that uniquely equips us to capture this massive opportunity. Our team comes from leading financial institutions like Evercore, General Atlantic and Menlo Ventures, supercharged by scalable engineering and AI skills from companies including Amazon, Hugging Face and the MIT Media Lab. We've learned the ins and outs of building successful startups from previous work as founders and founding engineers. We focus on hiring the best so that we can become the best, so we hope you apply!
 We are entirely based in Manhattan, New York City, and are in\-person 4 days a week (except Fridays, which are remote).
**Job Description** 
 As a AI / ML Engineer at Farsight AI, you'll play a critical role in advancing our state\-of\-the\-art AI platform. You will:
* Lead projects focused on integrating and optimizing large language models (LLMs), embedding models, and semantic retrieval systems within our products.
* Design, build, and deploy sophisticated multimodal retrieval and agentic systems that deliver powerful insights from unstructured and structured financial data sources.
* Drive the next generation of agentic capabilities within the Farsight platform, with an emphasis on composability, advanced function calling, and modular AI orchestration techniques.
* Continuously refine our retrieval methodologies and AI outputs by actively leveraging customer feedback, ensuring high accuracy and relevance.
* Explore innovative approaches and rapidly prototype new AI\-driven features, directly impacting major financial firms’ workflows.
**Desired Qualifications** 
* 2\+ years of experience deploying machine learning models in production.
* Demonstrated experience integrating closed\-source LLM APIs and fine\-tuning open\-source models
* Proven expertise with embedding models and semantic retrieval systems such as Pinecone, Weaviate, FAISS, Chroma, PGVector, etc.
* Experience developing multimodal retrieval solutions that integrate diverse data types, including textual, numerical, and structured data.
* Strong Python proficiency, including practical knowledge of frameworks like Hugging Face, PyTorch, TensorFlow, or LangChain.
* Passion for staying current with cutting\-edge AI research, tools, and industry trends.
* Ability to thrive in ambiguous environments, independently scoping and executing projects end\-to\-end.
* Excellent communication skills, fostering effective collaboration across technical and business teams.
**Above and Beyond Qualifications** 
* Prior experience building or optimizing AI agentic systems leveraging function\-calling, orchestration frameworks, and modular architectures.
* Deep familiarity with financial data retrieval challenges and techniques
* Demonstrated experience in performance tuning, scalability improvements, and reliability engineering for AI\-driven retrieval systems.
* Entrepreneurial mindset or previous experience working in a high\-growth startup environment.
* Knowledge of or interest in free\-form generative AI capabilities and their application within complex business scenarios.
**Compensation \&amp; Benefits** 
* Salary range: $200,000 to $300,000 annually, commensurate with experience.
* Comprehensive medical, dental and vision insurance
* Unlimited PTO
 Note: You'll need valid U.S. work authorization to join us.
*Please note that a background check and employment verification may be required for this position. We may obtain one or more background screening reports about you, solely for employment purposes.* 
**Equal Opportunity** 
 Farsight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t>
        </is>
      </c>
    </row>
    <row r="14">
      <c r="A14" t="inlineStr">
        <is>
          <t>li-4365275814</t>
        </is>
      </c>
      <c r="B14" t="inlineStr">
        <is>
          <t>AI/ML Engineer</t>
        </is>
      </c>
      <c r="C14" t="inlineStr">
        <is>
          <t>Akkodis Group Nordics</t>
        </is>
      </c>
      <c r="D14" t="inlineStr">
        <is>
          <t>linkedin</t>
        </is>
      </c>
      <c r="E14">
        <f>HYPERLINK("https://www.linkedin.com/jobs/view/4365275814", "https://www.linkedin.com/jobs/view/4365275814")</f>
        <v/>
      </c>
      <c r="F14" t="inlineStr"/>
      <c r="G14" t="inlineStr">
        <is>
          <t>Charlotte, NC</t>
        </is>
      </c>
      <c r="H14" t="inlineStr"/>
      <c r="I14" t="inlineStr">
        <is>
          <t>Akkodis is seeking an
 **AI/ML Engineer** 
 for a
 **Contract job** 
 with a client in
 **Charlotte, NC(Hybrid)** 
 . You will automate root cause analysis workflows to reduce incident response times and collaborate with cross\-functional teams to identify AI use cases for scalable solutions.
**Rate Range:** 
 $65/hour to $75/hour; The rate may be negotiable based on experience, education, geographic location, and other factors.
**AI/ML Engineer Job Responsibilities Include**
* Designing and implementing AI\-driven tools to enhance real\-time monitoring, anomaly detection, and root cause analysis.
* Integrating machine learning workflows with telemetry data sources such as Splunk, Dynatrace, and Data Lakes.
* Automating root cause analysis (RCA) workflows to reduce Mean Time to Identify (MTTI) and Mean Time to Restore (MTTR).
* Building and fine\-tuning machine learning models for anomaly detection, platform restoration, and predictive maintenance.
* Deploying models in production environments using frameworks like NVIDIA Triton, TensorFlow, or Kubernetes.
* Developing efficient data pipelines for ingesting and preprocessing logs, metrics, and traces from observability platforms.
* Leveraging vector databases and Retrieval\-Augmented Generation (RAG) techniques for hybrid search and agentic workflows.
* Collaborating with cross\-functional teams to identify AI use cases and translate them into scalable, production\-ready solutions.
* Ensuring continuous integration and delivery (CI/CD) for smooth deployment cycles and modern DevOps practices.
**Desired Qualifications**
* A Bachelor's or master’s degree in computer science, Data Science, Engineering, or a related field.
* A minimum of 3\+ years of experience in machine learning, AI model development, and production deployment.
* Strong experience with machine learning frameworks such as TensorFlow, PyTorch, and LangChain.
* Expertise in AI/ML tools and platforms for anomaly detection, predictive maintenance, and NLP\-based tools.
 If you are interested in this role, then please click APPLY NOW. For other opportunities available at Akkodis, or any questions, feel free to contact me at
 **Shivani.Singh2@** 
**akkodisgroup.com** 
**.**
**Pay Details:** 
 $65\.00 to $75\.00 per hour
 Benefit offerings available for our associates include medical, dental, vision, life insurance, short\-term disability, additional voluntary benefits, EAP program, commuter benefits and a 401K plan. Our benefit offerings provide employees the flexibility to choose the type of coverage that meets their individual needs. In addition, our associates may be eligible for paid leave including Paid Sick Leave or any other paid leave required by Federal, State, or local law, as well as Holiday pay where applicable.
 Equal Opportunity Employer/Veterans/Disabled
 Military connected talent encouraged to apply
 To read our Candidate Privacy Information Statement, which explains how we will use your information, please navigate to https://www.akkodis.com/en/us/candidate\-privacy\-policy
**Requirements**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
**Massachusetts Candidates Only:** 
 It is unlawful in Massachusetts to require or administer a lie detector test as a condition of employment or continued employment. An employer who violates this law shall be subject to criminal penalties and civil liability.</t>
        </is>
      </c>
    </row>
    <row r="15">
      <c r="A15" t="inlineStr">
        <is>
          <t>li-4176588544</t>
        </is>
      </c>
      <c r="B15" t="inlineStr">
        <is>
          <t>Machine Learning Engineer, AI Decisioning</t>
        </is>
      </c>
      <c r="C15" t="inlineStr">
        <is>
          <t>Hightouch</t>
        </is>
      </c>
      <c r="D15" t="inlineStr">
        <is>
          <t>linkedin</t>
        </is>
      </c>
      <c r="E15">
        <f>HYPERLINK("https://www.linkedin.com/jobs/view/4176588544", "https://www.linkedin.com/jobs/view/4176588544")</f>
        <v/>
      </c>
      <c r="F15" t="inlineStr"/>
      <c r="G15" t="inlineStr"/>
      <c r="H15" t="inlineStr"/>
      <c r="I15" t="inlineStr">
        <is>
          <t>**About Hightouch**
 Hightouch is the modern AI platform for marketing and growth teams. Our AI agents reimagine marketing workflows, allowing marketers to create content, plan campaigns, and execute strategies with transformational velocity and performance.
 Hightouch is a rare company built on the intersection of two fundamental technological shifts: advances in LLMs and agentic AI, and the creation and rapid adoption of cloud data warehouses like Snowflake and Databricks. Building on these tailwinds, we’ve become a leader in AI marketing and partner with industry leaders like Domino’s, Chime, Spotify, Ramp, Whoop, Grammarly, and over 1000 others.
 Our team focuses on making a meaningful impact for our customers. We approach challenges with first\-principles thinking, move quickly and efficiently, and treat each other with compassion and kindness. We look for team members who are strong communicators, have a growth mindset, and are motivated and persistent in achieving our goals.
**About The Role**
 We’re looking to hire a
 **machine learning engineer** 
 as we expand our data activation products to include an intelligence layer. While hundreds of companies use Hightouch today to sync data into their SaaS systems to automate and improve operations, there’s a lot of surface area we haven’t touched in helping companies figuring out which customers to message, what content to put in messages, and when to send messages. A lot of this work today is done manually through intuition and guesswork, and we believe that adding machine learning could have a step function impact for our customers. And given our access to data warehouses and databases, Hightouch is perfectly placed to make use of a company’s customer data in building a powerful intelligence layer.
 Some of the problems we’ll be working on include:
* Personalization and Product Recommendation: There are often many options for what content a company could message a user with, including which products to show from catalogues. Given this large state space, how can Hightouch help personalize messages with the most relevant content for each user?
* Automated Experimentation: Helping companies intelligently navigate and automate experiments across the extensive number of options for messaging customers.
* Predictive Audiences: Building models to predict which users are most likely to convert, churn, or take desired actions.
* Content Generation: Particularly with recent advances in LLMs, how can we help marketers generate text, images, and creatives that are compelling to their customers?
* Budget Optimization: Helping companies assess which marketing spend is driving the most incremental conversions, and where the marginal CAC is lowest.
 As an early machine learning engineer, you will help build comprehensive solutions to the above domains from scratch. Responsibilities will be highly varied and include working on customer research, problem definition, predictive modeling, machine learning infrastructure, and partnering with customers.
 We are looking for talented, intellectually curious, and motivated individuals who are interested in tackling the problems above. This is a senior role, but we focus on impact and potential for growth more than years of experience. The salary range for this position is $200,000 \- $260,000 USD per year, which is location independent in accordance with our remote\-first policy.
**Interview Process**
 Our interview process focuses on evaluating fit for the most important dimensions of the role: product sense, ability to architect backend and distributed systems, and alignment with Hightouch’s values. Notably, we don’t do any programming interviews as we believe they are low signal to noise and aren’t a good evaluation mechanism.
* Intro Call \[15\-30m]: Introductory call with either a member of our recruiting team or the hiring manager to get to know each other and see if the role could be a good mutual fit.
* System Design Screen \[45m]: Designing a data processing feature end\-to\-end.
* Machine Learning Modeling Interview \[90m]: Designing a predictive model end\-to\-end, including data collection and preparation, model training and evaluation, and what systems would be needed to run the model in production.
* System Design Interview \[90m]: Work with the interviewer to architect a system at a conceptual level. The problem will be at a pretty high level \- and have both product and customer requirements as well as technical.
* Hiring Manager Interview \[30m]: Chat with hiring manager about past experiences and future operating preferences to assess fit on company values and operating principles.</t>
        </is>
      </c>
    </row>
    <row r="16">
      <c r="A16" t="inlineStr">
        <is>
          <t>li-4343192076</t>
        </is>
      </c>
      <c r="B16" t="inlineStr">
        <is>
          <t>Machine Learning Engineer</t>
        </is>
      </c>
      <c r="C16" t="inlineStr">
        <is>
          <t>Spotify</t>
        </is>
      </c>
      <c r="D16" t="inlineStr">
        <is>
          <t>linkedin</t>
        </is>
      </c>
      <c r="E16">
        <f>HYPERLINK("https://www.linkedin.com/jobs/view/4343192076", "https://www.linkedin.com/jobs/view/4343192076")</f>
        <v/>
      </c>
      <c r="F16">
        <f>HYPERLINK("https://jobs.lever.co/spotify/7032c810-478c-42fc-9807-25553e978343?lever-source=LinkedInJobs&amp;urlHash=Sk09", "https://jobs.lever.co/spotify/7032c810-478c-42fc-9807-25553e978343?lever-source=LinkedInJobs&amp;urlHash=Sk09")</f>
        <v/>
      </c>
      <c r="G16" t="inlineStr">
        <is>
          <t>Boston, MA</t>
        </is>
      </c>
      <c r="H16" t="inlineStr"/>
      <c r="I16"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The Context team’s mission is to own and innovate on contextual story telling to enhance the listening experience. Using a mixture of human written content and LLMs, we strive to provide depth and connection for all listeners. We are looking for a Machine Learning Engineer to join our team to build and improve our storytelling capabilities.
 What You'll Do
* Design, build, evaluate, and ship LLM based solutions that tell stories about our content and our users
* Collaborate with cross functional teams spanning user research, design, data science, product management, and engineering to build new product features that advance our mission to connect artists and fans in personalized and useful ways
* Prototype new approaches and productionize solutions at scale for our hundreds of millions of active users
* Promote and role\-model best practices of ML systems development, testing, evaluation, etc., both inside the team as well as throughout the organization
* Be part of an active group of machine learning practitioners
 Who You Are
* An experienced ML practitioner motivated to work on complex real\-world problems in a fast\-paced and collaborative environment \-
* Strong background in machine learning, natural language processing, and generative AI, with experience in applying theory to develop real\-world applications
* Hands\-on expertise with implementing end\-to\-end production ML systems at scale. Experience with production LLM scale based systems is a plus
* Experience with incorporating human feedback to improve LLM based systems using technicals like DPO, KTO, and reinforcement fine\-tuning
* Experience with designing end\-to\-end tech specs and modular architectures for ML frameworks in complex problem spaces in collaboration with product teams
* Experience with large scale, distributed data processing frameworks/tools like Apache Beam, Apache Spark, and cloud platforms like GCP or AWS
 Where You'll Be
* We offer you the flexibility to work where you work best! For this role, you can be within the North America region as long as we have a work location.
* This team operates within the Eastern Standard time zone for collaboration.
 The United States base range for this position is $138,250\- $197,500 plus equity. The benefits available for this position include health insurance, six month paid parental leave, 401(k) retirement plan, monthly meal allowance, 23 paid days off, 13 paid flexible holidays, paid sick leave.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17">
      <c r="A17" t="inlineStr">
        <is>
          <t>li-4362556325</t>
        </is>
      </c>
      <c r="B17" t="inlineStr">
        <is>
          <t>AI Engineer</t>
        </is>
      </c>
      <c r="C17" t="inlineStr">
        <is>
          <t>Precision Medicine Group</t>
        </is>
      </c>
      <c r="D17" t="inlineStr">
        <is>
          <t>linkedin</t>
        </is>
      </c>
      <c r="E17">
        <f>HYPERLINK("https://www.linkedin.com/jobs/view/4362556325", "https://www.linkedin.com/jobs/view/4362556325")</f>
        <v/>
      </c>
      <c r="F17" t="inlineStr"/>
      <c r="G17" t="inlineStr"/>
      <c r="H17" t="inlineStr"/>
      <c r="I17" t="inlineStr">
        <is>
          <t>The AI Engineer is responsible for helping build, deploy and scale innovative AI\-powered products and productivity solutions. This role is focused on turning business ideas into real\-world applications using modern AI frameworks, Azure/AWS components, and XOps workflows.
 This role works in close partnership with the AI Solutions Architect, software development engineering teams, and data engineering teams. The responsibilities of this role will center around (a) XOps engineering for AI (building, extending, optimizing pipelines and modules that effectively productionize AI solutions), and (b) helping build AI products based on existing (internally or externally created) models and components.
**Key Responsibilities**
* Build and deploy enterprise\-ready AI solutions using LLMs, other GenAI approaches, and deep learning capabilities.
* Scale out AI solutions: optimize performance of solutions, automate deployment and testing
* Rapidly prototype and iterate on AI applications using Azure, AWS, and off\-the\-shelf tools.
* Partner with the AI Solutions Architect to ensure scalable, secure, and compliant system design.
* Develop APIs and lightweight UIs (e.g., Dash, Flask and others) to deliver AI tools to end users.
* Stay current on emerging AI technologies, including vector databases, RAG pipelines, and productivity AI platforms.
* Drive delivery of AI components aligned with product roadmaps and business priorities.
**Core Technologies**
* Data \&amp; Cloud: Azure, AWS, Google Cloud, Snowflake
* ML/AI Frameworks: PyTorch, MLflow, Hugging Face, LangChain, MCP
* UI \&amp; Deployment: Dash, Flask, FastAPI
* Databases: SQL, NoSQL, Graph Databases (Neo4J or others), Document Databases (MongoDB or others)
* MLOps: GitHub Actions, CI/CD, containerization, pipeline orchestration
**Qualifications**
 Education
* Bachelor’s or Master’s degree in Computer Science, AI/ML, Data Science, or related field.
**Work Experience**
* 3\+ years of hands\-on experience in machine learning engineering or AI solution delivery.
* Experience working with Agile (SAFe) teams, iterative delivery cycles, and DevOps practices.
* Prior experience with deploying and scaling GenAI or ML\-based solutions. Within clinical/pharmaceutical/CRO industries a plus.
* Experience working within a clinical regulated industry, and developing CRF Part11 compliant solutions is a plus.
* Strong experience with many of the technologies mentioned above under ‘Core Technologies’.
**Skills \&amp; Competencies**
* Strong software engineering fundamentals, with a focus on model observability, testing, and automation.
* Clear communicator who can distill technical detail for non\-technical stakeholders.
* Agile mindset with comfort in fast\-paced, iterative environments.
* Deep appreciation for data privacy, bias mitigation, and responsible AI practices.
* Commitment to ethical AI development and AI governance principles.
 Precision is required by law in some states or cities to include a reasonable estimate of the compensation range for this role. This compensation range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Precision, it is not typical for an individual to be hired at or near the top of the range for their role and compensation decisions are dependent on the facts and circumstances of each case. This role is also eligible for a discretionary annual bonus, health insurance, retirement savings benefits, life insurance and disability benefits, parental leave, and paid time off for sick leave and vacation, among other benefits.
 Reasonable estimate of the current range: $133,500 USD \- $165,000 USD
 Any data provided as a part of this application will be stored in accordance with our Privacy Policy. For CA applicants, please also refer to our CA Privacy Notice.
 Precision Medicine Group is an Equal Opportunity Employer. Employment decisions are made without regard to race, color, age, religion, sex, sexual orientation, gender identity, national origin, disability, veteran status or other characteristics protected by law.
 If you are an individual with a disability and require a reasonable accommodation to complete any part of the application process or are limited in the ability or unable to access or use this online application process and need an alternative method for applying, you may contact Precision Medicine Group at QuestionForHR@precisionmedicinegrp.com.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row>
    <row r="18">
      <c r="A18" t="inlineStr">
        <is>
          <t>li-4341412942</t>
        </is>
      </c>
      <c r="B18" t="inlineStr">
        <is>
          <t>AI Engineer- Gen AI/SWE- Weights &amp; Biases</t>
        </is>
      </c>
      <c r="C18" t="inlineStr">
        <is>
          <t>Weights &amp; Biases</t>
        </is>
      </c>
      <c r="D18" t="inlineStr">
        <is>
          <t>linkedin</t>
        </is>
      </c>
      <c r="E18">
        <f>HYPERLINK("https://www.linkedin.com/jobs/view/4341412942", "https://www.linkedin.com/jobs/view/4341412942")</f>
        <v/>
      </c>
      <c r="F18">
        <f>HYPERLINK("https://coreweave.com/careers/job?4602115006&amp;board=weights_and_biases&amp;gh_jid=4602115006&amp;urlHash=LeMm", "https://coreweave.com/careers/job?4602115006&amp;board=weights_and_biases&amp;gh_jid=4602115006&amp;urlHash=LeMm")</f>
        <v/>
      </c>
      <c r="G18" t="inlineStr">
        <is>
          <t>San Francisco, CA</t>
        </is>
      </c>
      <c r="H18" t="inlineStr"/>
      <c r="I18"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19">
      <c r="A19" t="inlineStr">
        <is>
          <t>li-4308855761</t>
        </is>
      </c>
      <c r="B19" t="inlineStr">
        <is>
          <t>Machine Learning Engineer - Forecasting &amp; Scheduling</t>
        </is>
      </c>
      <c r="C19" t="inlineStr">
        <is>
          <t>Assembled</t>
        </is>
      </c>
      <c r="D19" t="inlineStr">
        <is>
          <t>linkedin</t>
        </is>
      </c>
      <c r="E19">
        <f>HYPERLINK("https://www.linkedin.com/jobs/view/4308855761", "https://www.linkedin.com/jobs/view/4308855761")</f>
        <v/>
      </c>
      <c r="F19">
        <f>HYPERLINK("https://jobs.ashbyhq.com/assembledhq/e95be58c-ac92-4b2c-9812-cecdbdecee55?utm_source=KPB0dJG4AX&amp;urlHash=8Y-9", "https://jobs.ashbyhq.com/assembledhq/e95be58c-ac92-4b2c-9812-cecdbdecee55?utm_source=KPB0dJG4AX&amp;urlHash=8Y-9")</f>
        <v/>
      </c>
      <c r="G19" t="inlineStr">
        <is>
          <t>San Francisco, CA</t>
        </is>
      </c>
      <c r="H19" t="inlineStr"/>
      <c r="I19" t="inlineStr">
        <is>
          <t>**About Assembled**
 Great customer support requires human agents and AI in perfect balance, and Assembled is the only unified platform that orchestrates both at scale. Companies like Canva, Etsy, and Robinhood use Assembled to coordinate their entire support operation — in\-house agents, BPOs, and AI — in a single operating system. With AI Agents that resolve cases end\-to\-end, AI Copilot for agent assistance, and AI\-powered workforce management that optimizes both human and AI capacity, Assembled helps teams deliver faster, better service while making smarter decisions about how to staff and automate. Backed by $70M from NEA, Emergence Capital, and Stripe, we're building the platform that makes AI and human collaboration actually work.
**What We Build On Forecasting \&amp; Scheduling**
* Contact\-volume forecasting: data pipelines, statistical/ML models and inference services that predict ticket volumes, agent demand and time to resolution.
* Queueing simulation: realistic models of synchronous (phone, chat) and asynchronous (email, messaging) queues that forecast wait times, staffing demand considering clearing weekend backlogs while still receiving new tickets.
* Scheduling tooling: a calendar\-like UI that lets managers create and adjust rosters for thousands of agents while respecting preferences, labor laws and SLAs.
* Agent empowerment: self\-service pages for shift swaps, time\-off requests and overtime management.
**What You’ll Do With Us**
* Lead the architecture and delivery of new ML features end\-to\-end: research → prototype → production.
* Drive technical roadmaps, code reviews and design sessions to share your knowledge with the rest of the team.
* Mentor engineers, unblock thorny problems and act as subject\-matter expert for data science topics.
* Collaborate with Product and Design to turn unclear customer problems into shippable solutions.
**What We’re After**
* 5\+ years shipping production time\-series forecasts or similar ML systems.
* Proficient in a typed backend language (Go, Java or Rust) and comfortable with Python for research.
* Experience owning services in AWS or similar cloud.
* Demonstrated technical leadership: design docs, trade\-off decisions, mentoring, incident ownership.
* Product mindset: ability to balance model accuracy, latency, cost and user experience.
**Even\-better\-ifs**
* Prior work on large\-scale scheduling or optimization problems (e.g. nurse\-rostering).
* Exposure to Kubernetes, Terraform or CDK.
* Front\-end empathy; willing to tweak a React component when needed.
**Our U.S. Benefits**
* Generous medical, dental, and vision plans.
* Paid company holidays, sick time, and unlimited time off.
* Monthly credits to spend on professional development, general wellness, Assembled customers, and commuting.
* Paid parental leave.
* Hybrid work model with catered lunches everyday (M\-F), snacks, and beverages in our SF \&amp; NY offices.
* 401(k) plan enrollment.
*We know great candidates don’t always meet every requirement listed in a job description. If the role excites you and you believe you can make an impact at Assembled, we encourage you to apply. We value diverse perspectives and are committed to building an inclusive workplace where everyone feels like they belong and has the opportunity to do their best work. We look forward to hearing from you!*
**For United States Applicants**
*Assembled participates in E\-Verify and will provide the federal government with your Form I\-9 information to confirm that you are authorized to work in the United States.*
**For United Kingdom Applicants**
*Assembled is required to verify your right to work in the UK and will conduct a Right to Work check prior to employment in accordance with applicable law.*</t>
        </is>
      </c>
    </row>
    <row r="20">
      <c r="A20" t="inlineStr">
        <is>
          <t>li-4355301849</t>
        </is>
      </c>
      <c r="B20" t="inlineStr">
        <is>
          <t>Senior AI / ML Engineer (C)</t>
        </is>
      </c>
      <c r="C20" t="inlineStr">
        <is>
          <t>Blue Coding</t>
        </is>
      </c>
      <c r="D20" t="inlineStr">
        <is>
          <t>linkedin</t>
        </is>
      </c>
      <c r="E20">
        <f>HYPERLINK("https://www.linkedin.com/jobs/view/4355301849", "https://www.linkedin.com/jobs/view/4355301849")</f>
        <v/>
      </c>
      <c r="F20" t="inlineStr"/>
      <c r="G20" t="inlineStr"/>
      <c r="H20" t="inlineStr"/>
      <c r="I20" t="inlineStr">
        <is>
          <t>**Why Blue Coding?**
 At Blue Coding, we specialize in hiring excellent developers and amazing people from all over Latin America and other parts of the world. For the past 11 years, we’ve helped cutting\-edge companies in the United States and Canada build great development teams and develop great products. Large multinationals, digital agencies, Saas providers, and software consulting firms are just a few of our clients. Our team of over 150 engineers, project managers, QA, UX/UI designers, and many more is distributed in more than 10 countries across the Americas. We are a fully remote company working with a wide array of technologies, and we have expertise in every stage of the software development process.
 Our team is highly connected, united, and culturally diverse, and our collaborators are involved in many initiatives around the world, from wildlife preservation to volunteering at local charities. We stand for honesty, fairness, respect, efficiency, hard work, and cooperation.
**This position is open exclusively to candidates based in LATAM countries.**
**What are we looking for?**
 In this opportunity, we are looking for an experienced
 **Senior AI/ML Engineer to work directly with one of our international** 
 clients in the
 **EdTech domain** 
 , building intelligent, AI\-driven systems for a large\-scale K–12 educational platform.
 In this role, you will design, build, and deploy production\-grade machine learning and LLM\-powered solutions that automate content creation, improve assessment quality, and enhance the overall teacher experience. You will operate as a
 **senior, autonomous contributor** 
 , owning AI initiatives end\-to\-end while collaborating closely with client stakeholders and multiple engineering teams.
 The ideal candidate has strong hands\-on experience delivering AI systems in production, is comfortable making architectural decisions, and communicates effectively in a distributed, cross\-functional environment.
 If you are independent, a great communicator, a problem solver, and have a strong attention to detail, this is a great fit for you! Our jobs are fully remote – as long as you have the skills and can get the work done well, you can work anywhere in the listed countries you want.
 What’s unique about this job?
 This role offers the opportunity to act as a
 **senior AI owner** 
 within the client’s organization, working directly with technical and product leadership to shape how AI is used in real\-world educational workflows at scale.
 You will work at the intersection of
 **traditional machine learning, LLMs, RAG systems, and agentic workflows** 
 , contributing to both system design and implementation. While this is currently a
 **solo role** 
 , strong communication and collaboration skills are essential, as you will coordinate with multiple teams and stakeholders across the organization.
 You will work at the intersection of
 **traditional machine learning, computer vision, LLMs, RAG systems, and agentic workflows** 
 , owning solutions end\-to\-end—from experimentation to production deployment. The problems you will tackle are concrete, high\-impact, and measurable, such as:
* Building computer vision pipelines that convert scanned worksheets into interactive digital formats with high accuracy
* Designing classification systems to automatically tag large volumes of educational content by subject, grade, and learning standards
* Implementing RAG\-based systems that generate contextually appropriate educational materials aligned with curriculum standards
* Developing AI\-driven quality assurance systems to evaluate assessment items using educational taxonomies
* Creating agentic systems capable of generating complete lesson materials—including worksheets, answer keys, and rubrics—from teacher input
* Building models that analyze student work patterns to identify common misconceptions and learning gaps
 You will coordinate closely with multiple engineering and product teams, influencing architecture, AI strategy, and best practices across the organization.
 You will have real ownership over the AI lifecycle, contributing not only through implementation but also through architectural decisions, model evaluation strategies, cost optimization, and continuous improvement of AI quality and reliability.
**Here are some of the exciting day\-to\-day challenges you will face in this role:**
* Design, build, and deploy machine learning models in production environments
* Develop classification systems to automatically categorize educational content by subject, grade level, and learning standards
* Build and maintain computer vision pipelines (e.g., object detection, OCR, image segmentation) for worksheet and student\-submission analysis
* Design and implement RAG (Retrieval\-Augmented Generation) systems using large content libraries
* Engineer and optimize prompts for AI\-generated educational content and assessment validation
* Build AI\-driven quality assurance systems to evaluate generated content against educational taxonomies
* Develop agentic AI workflows that iteratively refine and improve generated outputs
* Deploy and operate AI services on AWS, ensuring scalability, reliability, and cost efficiency
* Collaborate directly with client stakeholders and cross\-functional engineering teams
* Define and, when required, contribute to data labeling or feedback strategies supporting model quality
* Maintain clear documentation for models, pipelines, and AI system behavior
* Participate in code reviews and promote AI engineering best practices
**You will shine if you have:**
* 5\+ years of professional experience building ML systems in production
* Strong Python programming skills
* Experience with at least one major ML framework (PyTorch, TensorFlow, or scikit\-learn)
* Proven experience deploying, monitoring, and iterating on AI models in real\-world systems
* Strong modeling experience with AI/ML solutions
* Hands\-on experience with LLM APIs (e.g., OpenAI, Anthropic Claude) in production
* Solid understanding of ML fundamentals: supervised and unsupervised learning, training, and evaluation metrics
* Experience working with AWS for AI/ML workloads
* Ability to work independently and take on initiatives end\-to\-end
* Strong communication skills and experience collaborating directly with senior stakeholders
**It doesn’t hurt if you also have:**
* Computer vision experience (object detection, image segmentation, OCR)
* RAG system design and vector database experience
* Prompt engineering and optimization experience
* SQL and data analysis skills
* Experience in EdTech or educational content platforms
**Here are some of the perks we offer you:**
* Salary in USD
* Flexible schedule (aligned with US time zones)
* 100% remote work
 Ready to learn more? Apply below!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
      <c r="A21" t="inlineStr">
        <is>
          <t>li-4354158835</t>
        </is>
      </c>
      <c r="B21" t="inlineStr">
        <is>
          <t>Generative AI Engineer</t>
        </is>
      </c>
      <c r="C21" t="inlineStr">
        <is>
          <t>Aurum Search Limited</t>
        </is>
      </c>
      <c r="D21" t="inlineStr">
        <is>
          <t>linkedin</t>
        </is>
      </c>
      <c r="E21">
        <f>HYPERLINK("https://www.linkedin.com/jobs/view/4354158835", "https://www.linkedin.com/jobs/view/4354158835")</f>
        <v/>
      </c>
      <c r="F21" t="inlineStr"/>
      <c r="G21" t="inlineStr"/>
      <c r="H21" t="inlineStr"/>
      <c r="I21" t="inlineStr">
        <is>
          <t>Our client is a leading Global Hedge Fund who are looking to hire a Generative AI Lead to join their New York Office. You will work closely with both investment and business teams, designing and building Generative AI solutions and products tailored to their needs. Delivering Investment solutions, improving overall operational efficiency and process improvement across the business.
 Responsibilities
* Designing Generative AI Proof of Concept.
* Contribute to AI infrastructure
* Building reliable, scalable, and flexible systems.
* Influence Opinion and decision\-making across AI and ML
 Skills
* Python
* SQL / Pandas/ Snowflake / Elasticsearch
* Docker / Kubernetes
* Airflow / Spark
* Familiarity with GenAI models/libraries
 Requirements
* 3\+ years of relevant software engineering experience post\-graduation
* A degree (ideally a Master’s) in Computer Science, Physics, Mathematics, or any other quantitative discipline
* Knowledge of Finance is not essential</t>
        </is>
      </c>
    </row>
    <row r="22">
      <c r="A22" t="inlineStr">
        <is>
          <t>li-4327951793</t>
        </is>
      </c>
      <c r="B22" t="inlineStr">
        <is>
          <t>Machine Learning Engineer</t>
        </is>
      </c>
      <c r="C22" t="inlineStr">
        <is>
          <t>Mentor Talent Acquisition</t>
        </is>
      </c>
      <c r="D22" t="inlineStr">
        <is>
          <t>linkedin</t>
        </is>
      </c>
      <c r="E22">
        <f>HYPERLINK("https://www.linkedin.com/jobs/view/4327951793", "https://www.linkedin.com/jobs/view/4327951793")</f>
        <v/>
      </c>
      <c r="F22" t="inlineStr"/>
      <c r="G22" t="inlineStr">
        <is>
          <t>New York, United States</t>
        </is>
      </c>
      <c r="H22" t="inlineStr"/>
      <c r="I22" t="inlineStr">
        <is>
          <t>We're building LLM\-powered tools to shape the future of AI\-native research platforms.
**💡 The Role** 
 As a founding ML engineer, you’ll:
* Work on
 **groundbreaking projects** 
 that combine LLMs and classic ML/NLP;
* Take ownership of novel
 **research synthesis tools** 
 , end\-to\-end — from prototyping to production;
* Collaborate with external clients and internal teams to prioritize and ship ML\-powered features;
* Translate ambiguous research needs into testable ML solutions and measurable outcomes;
* Help
 **shape our AI/ML roadmap and internal best practices** 
 .
**🔥 About You** 
 You’re a
 **product\-minded ML engineer** 
 who thrives in early\-stage environments and cares deeply about solving real problems with ML. You:
* Have experience building
 **LLM\-powered systems** 
 (from prompt tuning to infrastructure);
* Communicate clearly with
 **non\-technical stakeholders and clients** 
 and love making ML accessible;
* Are hands\-on: you enjoy owning projects from
 **data collection to deployment** 
 ;
* Are
 **bias\-to\-action** 
 , organized and can deliver big initiatives with minimal guidance;
* Have shipped ML/NLP features in
 **production** 
 that impacted real users.</t>
        </is>
      </c>
    </row>
    <row r="23">
      <c r="A23" t="inlineStr">
        <is>
          <t>li-4365327039</t>
        </is>
      </c>
      <c r="B23" t="inlineStr">
        <is>
          <t>AI Engineer</t>
        </is>
      </c>
      <c r="C23" t="inlineStr">
        <is>
          <t>MCIM</t>
        </is>
      </c>
      <c r="D23" t="inlineStr">
        <is>
          <t>linkedin</t>
        </is>
      </c>
      <c r="E23">
        <f>HYPERLINK("https://www.linkedin.com/jobs/view/4365327039", "https://www.linkedin.com/jobs/view/4365327039")</f>
        <v/>
      </c>
      <c r="F23" t="inlineStr"/>
      <c r="G23" t="inlineStr"/>
      <c r="H23" t="inlineStr"/>
      <c r="I23" t="inlineStr">
        <is>
          <t>MCIM – The Data Center Operating System (DCOS) is a platform that simplifies the complexities of managing a data center by bringing all functions and locations under one intuitive dashboard.
 MCIM started with a commission from a Fortune 100 financial institution to create a cloud computing solution for managing their global critical facilities. The team developed the MCIM platform based on the lessons learned from that project.
 Today, MCIM is utilized by Fortune 100 and 500 companies in over 94 countries worldwide. This world\-class solution is continuously improved through collaboration with users and industry organizations like The Uptime Institute.
 We are seeking a hands\-on and inventive AI Engineer to join MCIM Labs—a fast\-moving innovation team reporting directly to the founder. In this role, you won’t be researching models in theory—you’ll be building and shipping functional AI prototypes that demonstrate real business value. You will leverage agentic frameworks like LangChain, CrewAI, and Autogen to rapidly design and deploy multi\-agent systems and LLM\-based tools. This role is full\-stack in nature, blending AI engineering, application logic, and lightweight UI development to move fast from concept to demo. You will collaborate closely with data engineers, product visionaries, and technical stakeholders to push the boundaries of what’s possible with enterprise AI. Your work will directly influence the development of new data\-driven products and revenue\-generating capabilities within MCIM.
**What You’ll Do:** 
* **Rapid AI Prototyping**
* Use generative and agent\-based tools (Cursor, Windsurf, Cline, Replit etc.) to build functional proof\-of\-concepts using real MCIM data.
* **Multi\-Agent Orchestration**
* Build and manage infrastructure for autonomous agents capable of coordinating within MCIM’s enterprise SaaS workflows.
* **Performance \&amp; Integration Tuning**
* Partner with Data Engineering to align models with MCIM’s ontology and ensure system performance, scalability, and reliability.
* **Full\-Stack System Design**
* Connect front\-end interfaces with back\-end AI logic to create end\-to\-end MVPs with real user value.
**Who You Are:** 
* A scrappy builder with a track record of hands\-on experimentation using tools like LangChain, Langsmith, Hugging Face, PyTorch, TensorFlow, etc.
* Comfortable working solo or in small teams to move from idea → demo quickly.
* Understand how to implement LLMs and agents to solve real problems—not just theorize about them.
* Familiar with modern system architectures, infrastructure as code, prompting strategies, observability and end\-to\-end software delivery.
**What You Bring:** 
* Proven experience delivering AI/ML solutions (LLM integrations, agentic workflows, full\-stack prototypes, observability)
* Comfort with tools like LangChain, Autogen, CrewAI, Replit, and Hugging Face
* Programming comfort (Python preferred) and ability to connect AI logic to live data backends with observability
* Experience working with structured and unstructured data; SQL knowledge a plus
* Self\-starter mindset with strong curiosity, communication, and collaboration instincts
**Preferred Qualifications:** 
* 5\+ years in software engineering, AI product development, or full\-stack roles
* Proficient with prompt engineering and LLM APIs
* Prior work inside a fast\-paced innovation or R\&amp;D group preferred
* Bachelor’s degree in a technical field is a plus—but hands\-on proof of ability matters most</t>
        </is>
      </c>
    </row>
    <row r="24">
      <c r="A24" t="inlineStr">
        <is>
          <t>li-4365262077</t>
        </is>
      </c>
      <c r="B24" t="inlineStr">
        <is>
          <t>Sr. Machine Learning Engineer</t>
        </is>
      </c>
      <c r="C24" t="inlineStr">
        <is>
          <t>Cisco</t>
        </is>
      </c>
      <c r="D24" t="inlineStr">
        <is>
          <t>linkedin</t>
        </is>
      </c>
      <c r="E24">
        <f>HYPERLINK("https://www.linkedin.com/jobs/view/4365262077", "https://www.linkedin.com/jobs/view/4365262077")</f>
        <v/>
      </c>
      <c r="F24" t="inlineStr"/>
      <c r="G24" t="inlineStr">
        <is>
          <t>San Francisco, CA</t>
        </is>
      </c>
      <c r="H24" t="inlineStr"/>
      <c r="I24"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**Minimum Qualifications**
* Master's degree in computer science or related field and 4\+ years of software engineering experience, or bachelor's degree with 7\+ years of experience.
* Experience designing and building scalable cloud\-based systems (AWS, Azure, or GCP), including container orchestration (e.g., Kubernetes, Docker).
* Experience with API design and frameworks (e.g. OpenAPI, GraphQL, gRPC, REST, etc.)
* Prior working experience in delivering RAG and Agentic products into production
* Expert at using vibe coding tools (Claude Code, Codex, Copilot, Windsurf, Cursor) is a must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5">
      <c r="A25" t="inlineStr">
        <is>
          <t>li-4341373097</t>
        </is>
      </c>
      <c r="B25" t="inlineStr">
        <is>
          <t>AI Engineer- Gen AI/SWE- Weights &amp; Biases</t>
        </is>
      </c>
      <c r="C25" t="inlineStr">
        <is>
          <t>Weights &amp; Biases</t>
        </is>
      </c>
      <c r="D25" t="inlineStr">
        <is>
          <t>linkedin</t>
        </is>
      </c>
      <c r="E25">
        <f>HYPERLINK("https://www.linkedin.com/jobs/view/4341373097", "https://www.linkedin.com/jobs/view/4341373097")</f>
        <v/>
      </c>
      <c r="F25" t="inlineStr"/>
      <c r="G25" t="inlineStr">
        <is>
          <t>Bellevue, WA</t>
        </is>
      </c>
      <c r="H25" t="inlineStr"/>
      <c r="I25" t="inlineStr">
        <is>
          <t>CoreWeave, the AI Hyperscaler™, acquired Weights \&amp; Biases to create the most powerful end\-to\-end platform to develop, deploy, and iterate AI faster. Since 2017, CoreWeave has operated a growing footprint of data centers covering every region of the US and across Europe, and was ranked as one of the TIME100 most influential companies of 2024\. By bringing together CoreWeave’s industry\-leading cloud infrastructure with the best\-in\-class tools AI practitioners know and love from Weights \&amp; Biases, we’re setting a new standard for how AI is built, trained, and scaled.
 The integration of our teams and technologies is accelerating our shared mission: to empower developers with the tools and infrastructure they need to push the boundaries of what AI can do. From experiment tracking and model optimization to high\-performance training clusters, agent building, and inference at scale, we’re combining forces to serve the full AI lifecycle — all in one seamless platform.
 Weights \&amp; Biases has long been trusted by over 1,500 organizations — including AstraZeneca, Canva, Cohere, OpenAI, Meta, Snowflake, Square,Toyota, and Wayve — to build better models, AI agents and applications. Now, as part of CoreWeave, that impact is amplified across a broader ecosystem of AI innovators, researchers, and enterprises.
 As we unite under one vision, we’re looking for bold thinkers and agile builders who are excited to shape the future of AI alongside us. If you're passionate about solving complex problems at the intersection of software, hardware, and AI, there's never been a more exciting time to join our team.
**What You'll Do**
 The AI team is a hands\-on applied AI group at Weights \&amp; Biases that turns frontier research into teachable workflows. We collaborate with leading enterprises and the OSS community. We are the team that took W\&amp;B from a few hundred users to millions of users and one of the most beloved tools in the ML community. A senior applied role at the research\-to\-product boundary. You will design, implement, and evaluate LLM applications and agents with cutting\-edge techniques from the latest research, then document and teach them to our community and customers. The focus is application, not novel research: rapid prototyping, careful evaluation, and production\-grade reference implementations with clear trade\-offs. We prioritize responsible, safe deployment and reproducibility.
**About The Role**
* Ship end\-to\-end GenAI workflows (prompting → RAG → tools/agents → eval → serve) with reproducible repos, W\&amp;B Reports, and dashboards others can run.
* Build agentic systems (tool use, function calling, multi\-step planners) with MCP servers/clients and secure tool/resource integrations.
* Design evaluation harnesses (RAG/agent evals, golden sets, regression tests, telemetry) and drive continuous improvement via offline \+ online metrics.
* Build in public: Publish engineering artifacts (code, docs, talks, tutorials) and engage with OSS and customer engineers; turn repeated patterns into reusable templates.
* Partner with product/solutions to launch LLM\-powered features with clear latency/cost/SLO targets and safety/guardrail checks.
* Run growth experiments to track the usage of the Weights \&amp; Biases suite of products from the artifacts built.
**Who You Are**
* Software engineering: 6\+ years building production systems; strong Python or TypeScript \+ system design, testing, CI/CD, observability.
* GenAI apps: shipped LLM\-powered features (tools/agents/function calling), with measurable impact (latency/cost/reliability).
* Agentic patterns: implemented planners/executors, tool orchestration, sandboxing, and failure taxonomies; familiarity with agent infra concerns.
* RAG: pragmatic mastery of chunking, embeddings, vector/hybrid search, rerankers; experience with vector DBs/search indices and retrieval policy design.
* Evaluation: designed LLM/RAG/agent evals (offline golden sets, counterfactuals, user studies, guardrail tests); stats literacy (variance, CIs, power).
* Serving \&amp; productization: comfortable with queueing, caching, streaming, and cost controls; can debug latency at model, retrieval, and network layers.
* Public signal: 2\+ substantial OSS repos/blog posts/talks/videos with adoption (stars, forks, downloads, views) and reproducible artifacts.
**Preferred**
* Experience building with AI SDKs / agent frameworks (e.g., TypeScript/Python SDKs, planning libraries) and shipping developer\-facing examples.
* Production agent security/sandboxing, red\-teaming, and policy/PII enforcement.
* Operated eval platforms or built judge models/heuristics; experience leading metrics reviews with product/UX.
* Customer\-facing enablement: templates or reference implementations adopted by external teams at scale.
**Wondering if you’re a good fit? We believe in investing in our people, and value candidates who can bring their own diversified experiences to our teams – even if you aren't a 100% skill or experience match. Here are a few qualities we’ve found compatible with our team. If some of this describes you, we’d love to talk.**
* You love turning ambiguous product ideas into clean, benchmarked, production\-ready LLM/agent workflows others can use today.
* You’re curious about the latest research from AI labs and excited to apply it to real\-world problems.
* You’re an expert in at least one of: RAG quality at scale, agent/tool orchestration, or GenAI DX (SDKs, examples, docs)—and you can demonstrate it with code and metrics.
**Why Us?**
**About**
 We work hard, have fun, and move fast! We’re in an exciting stage of hyper\-growth that you will not want to miss out on. We’re not afraid of a little chaos, and we’re constantly learning. Our team cares deeply about how we build our product and how we work together, which is represented through our core values:
* Be Curious at Your Core
* Act Like an Owner
* Empower Employees
* Deliver Best\-in\-Class Client Experiences
* Achieve More Together
 We support and encourage an entrepreneurial outlook and independent thinking. We foster an environment that encourages collaboration and provides the opportunity to develop innovative solutions to complex problems. As we get set for takeoff, the growth opportunities within the organization are constantly expanding. You will be surrounded by some of the best talent in the industry, who will want to learn from you, too. Come join us!
 The base salary range for this role is $188,000 to $275,000\. The starting salary will be determined based on job\-related knowledge, skills, experience, and market location. We strive for both market alignment and internal equity when determining compensation. In addition to base salary, our total rewards package includes a discretionary bonus, equity awards, and a comprehensive benefits program (all based on eligibility).
**What We Offer**
 The range we’ve posted represents the typical compensation range for this role. To determine actual compensation, we review the market rate for each candidate which can include a variety of factors. These include qualifications, experience, interview performance, and location.
 In addition to a competitive salary, we offer a variety of benefits to support your needs, including:
* Medical, dental, and vision insurance \- 100% paid for by CoreWeave
* Company\-paid Life Insurance
* Voluntary supplemental life insurance
* Short and long\-term disability insurance
* Flexible Spending Account
* Health Savings Account
* Tuition Reimbursement
* Ability to Participate in Employee Stock Purchase Program (ESPP)
* Mental Wellness Benefits through Spring Health
* Family\-Forming support provided by Carrot
* Paid Parental Leave
* Flexible, full\-service childcare support with Kinside
* 401(k) with a generous employer match
* Flexible PTO
* Catered lunch each day in our office and data center locations
* A casual work environment
* A work culture focused on innovative disruption
**Our Workplace**
 While we prioritize a hybrid work environment, remote work may be considered for candidates located more than 30 miles from an office, based on role requirements for specialized skill sets. New hires will be invited to attend onboarding at one of our hubs within their first month. Teams also gather quarterly to support collaboration
 California Consumer Privacy Act \- California applicants only
*CoreWeave is an equal opportunity employer, committed to fostering an inclusive and supportive workplace. All qualified applicants and candidates will receive consideration for employment without regard to race, color, religion, sex, disability, age, sexual orientation, gender identity, national origin, veteran status, or genetic information.*
*As part of this commitment and consistent with the* 
*Americans with Disabilities Act (ADA)* 
*, CoreWeave will ensure that qualified applicants and candidates with disabilities are provided reasonable accommodations for the hiring process, unless such accommodation would cause an undue hardship. If reasonable accommodation is needed, please contact:* 
*careers@coreweave.com* 
*.*
**Export Control Compliance**
 This position requires access to export controlled information. To conform to U.S. Government export regulations applicable to that information, applicant must either be (A) a U.S. person, defined as a (i) U.S. citizen or national, (ii) U.S. lawful permanent resident (green card holder), (iii) refugee under 8 U.S.C.
* 1157, or (iv) asylee under 8 U.S.C.
* 1158, (B) eligible to access the export controlled information without a required export authorization, or (C) eligible and reasonably likely to obtain the required export authorization from the applicable U.S. government agency. CoreWeave may, for legitimate business reasons, decline to pursue any export licensing process.</t>
        </is>
      </c>
    </row>
    <row r="26">
      <c r="A26" t="inlineStr">
        <is>
          <t>li-4365244666</t>
        </is>
      </c>
      <c r="B26" t="inlineStr">
        <is>
          <t>Sr. Machine Learning Engineer</t>
        </is>
      </c>
      <c r="C26" t="inlineStr">
        <is>
          <t>Cisco</t>
        </is>
      </c>
      <c r="D26" t="inlineStr">
        <is>
          <t>linkedin</t>
        </is>
      </c>
      <c r="E26">
        <f>HYPERLINK("https://www.linkedin.com/jobs/view/4365244666", "https://www.linkedin.com/jobs/view/4365244666")</f>
        <v/>
      </c>
      <c r="F26" t="inlineStr"/>
      <c r="G26" t="inlineStr">
        <is>
          <t>San Jose, CA</t>
        </is>
      </c>
      <c r="H26" t="inlineStr"/>
      <c r="I26" t="inlineStr">
        <is>
          <t>Meet the team
 Join the engineering team building the intelligent backbone of Splunk Observability Cloud. We are committed to leveraging the latest advancements in data science and machine learning to unlock unprecedented value from massive volumes of telemetry—metrics, traces, and logs—at petabyte scale. This role involves researching, developing, and deploying core analytical components focused on streaming anomaly detection, predictive intelligence, and automated root\-cause analysis. If you thrive on the challenge of building enterprise\-grade, scalable ML systems and applying sophisticated techniques to complex, high\-impact problems, you will be instrumental in delivering the full\-stack, real\-time answers and automation required for our customers to achieve true digital resilience across any cloud\-native or hybrid environment.
 Your Impact
* Apply the latest Generative AI and Agentic AI to enable AI features in Splunk Observability
* Collaborate across engineering and product teams to establish robust frameworks for evaluating AI systems’ trustworthiness and resilience.
**Minimum Qualifications**
* Master's degree in computer science or related field and 4\+ years of software engineering experience, or bachelor's degree with 7\+ years of experience.
* Experience designing and building scalable cloud\-based systems (AWS, Azure, or GCP), including container orchestration (e.g., Kubernetes, Docker).
* Experience with API design and frameworks (e.g. OpenAPI, GraphQL, gRPC, REST, etc.)
* Prior working experience in delivering RAG and Agentic products into production
* Expert at using vibe coding tools (Claude Code, Codex, Copilot, Windsurf, Cursor) is a must
**Preferred Qualifications**
* Exceptional problem\-solving skills, with the ability to analyze complex requirements and propose effective solutions.
* Experience developing, deploying, and maintaining applications in AWS environment with cloud native solutions.
* Experience monitoring and analyzing metrics, trace, span, and log content
* Background in observability, generative AI, or model robustness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 \&amp;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27">
      <c r="A27" t="inlineStr">
        <is>
          <t>li-4349642762</t>
        </is>
      </c>
      <c r="B27" t="inlineStr">
        <is>
          <t>Senior AI Engineer</t>
        </is>
      </c>
      <c r="C27" t="inlineStr">
        <is>
          <t>Q-Centrix</t>
        </is>
      </c>
      <c r="D27" t="inlineStr">
        <is>
          <t>linkedin</t>
        </is>
      </c>
      <c r="E27">
        <f>HYPERLINK("https://www.linkedin.com/jobs/view/4349642762", "https://www.linkedin.com/jobs/view/4349642762")</f>
        <v/>
      </c>
      <c r="F27" t="inlineStr"/>
      <c r="G27" t="inlineStr">
        <is>
          <t>Chicago, IL</t>
        </is>
      </c>
      <c r="H27" t="inlineStr"/>
      <c r="I27" t="inlineStr">
        <is>
          <t>**We’re super into the work we do and the community we’ve built and think you might be, too.**
 Q\-Centrix is the largest exclusive provider of clinical data management solutions to acute care hospitals. A market disruptor and innovator, Q\-Centrix believes that there is nothing more valuable than clinical data as it is critical in delivering safe, consistent, quality healthcare for all. Bringing together deep expertise across providers, clinical knowledge, data and software, Q\-Centrix provides an integrated approach that can redefine and streamline the data management and real\-world application process for the healthcare industry, thereby enabling increased efficiency and exciting new solution opportunities.
 Providing the industry’s first Enterprise Clinical Data Management (eCDM™) platform, Q\-Centrix utilizes its market\-leading software, the largest and broadest team of clinical data experts, a modern\-stack software and reporting data structure, and best practices from its 1,200\+ hospital partners to securely extract, curate, structure, and enhance clinical data at the highest quality level. The resulting high quality structured clinical data is then utilized to support reporting demands, drive improved care delivery, meet financial and operational needs, enable population health workflows and power broad research use cases. Its solutions cover a breadth of clinical segments, including cardiovascular, oncology, infection prevention, trauma and real\-world data applications. Q\-Centrix’s platform enables its partners to access valuable clinical information that may otherwise be trapped across multiple workflow systems and clinical information platforms. Q\-Centrix is positioned for continued growth as they integrate new capabilities and business lines.
**Job Summary**
 This role focuses on deploying AI\-powered solutions to extract structured data from unstructured medical charts. The Senior AI Engineer will work with technical and clinical teams to bring AI models into real\-world use, improving efficiency in healthcare data processing while ensuring accuracy, usability and responsible AI practices.
**Essential Functions**
* Develop, test, and deploy LLM\-powered extraction pipelines for clinical text at scale.
* Automate prompt execution, result validation, and error handling to enhance reliability.
* Monitor and maintain production AI models, ensuring uptime, accuracy, and compliance.
* Work with product, data, engineering, and clinical teams to integrate AI outputs into real\-world solutions.
* Evaluate and integrate third\-party AI solutions when appropriate.
* Stay current with advancements in LLM deployment, model serving, and responsible AI practices.
* As a growth organization, roles and responsibilities often evolve and adapt over time. As such, this job description may not comprehensively account for future activities, responsibilities, and priorities—these may evolve right along with us!
**Required Abilities, Education, And Skills**
* 5\+ years of experience in AI deployment or applied Machine Learning.
* Strong software engineering foundation with proficiency in Python.
* Familiarity with cloud platforms, data engineering and pipeline automation.
* Bachelor’s degree in Computer Science, AI, a related field, or equivalent work experience.
* Strong cross\-functional collaboration skills.
* Proven track record of thriving in a start\-up environment.
**Preferred Abilities, Education And Skills**
* 2\+ Experience deploying LLMs in production environments.
* Advanced degree in Computer Science or related field.
* Experience integrating AI with healthcare data (EHRs, clinical databases).
* Experience working in regulated industries with an understanding of security, compliance, and responsible AI.
**Supervisory Responsibilities:** 
 None
**Work environment/Physical Demands:** 
 Continuous sitting and fine manipulation.
**Travel Requirements:** 
 None
**Work Authorization:** 
 Legally able to work in the United States without sponsorship
*Authenticity is essential to our hiring process. Submissions or interview responses created with AI are easily identified and will remove you from consideration. The same applies to using AI tools during interviews—we want to hear directly from you. We may also use technology to detect AI\-generated content. Please share your genuine experiences and perspective as it’s the only way we can truly get to know you.*
**Total Rewards**
 At Q\-Centrix, our purpose—safer, consistent, quality healthcare for all—drives everything we do. To accomplish this important work, we aim to attract, engage, and retain a talented team by offering a compelling, equitable rewards package. This includes an inclusive culture, a flexible work environment, learning and development opportunities, and robust benefits that support both health and financial wellness. In addition, our supportive community fosters collaboration, learning, growth, and enjoyment, making Q\-Centrix a place where meaningful work and a positive work experience go hand in hand. It’s no wonder we’ve earned the Great Place to Work distinction multiple years in a row! The target salary range for this role is $130,000\.00 to $150,000\.00 per year plus an annual bonus targeted at 10% of the individual's annual salary. An individual’s salary within this range is based on multiple factors including but not limited to skills, experiences, licensure, certifications, and other business and organizational considerations. The annual bonus payout may be higher or lower than target, dependent on individual and company performance and is considered variable pay.
 In addition to our inclusive and innovative working environment and comprehensive compensation package, team members enjoy:
* Robust benefits package including medical, vision, dental, health savings accounts, company paid short\- and long\-term disability, employee assistance program, paid parental leave, life insurance, accident insurance, and other voluntary benefit programs for employees and their eligible dependents.
* 401(k) retirement plan with a company match.
* Opportunities for professional development.
**Commitment To Diversity, Equity, Inclusion And Belonging**
 At Q\-Centrix, we hire people who love learning, value innovation, and believe in our purpose of safer, consistent, quality health care for all. We applaud qualified applicants who are accountable and committed to producing quality work. As an Equal Opportunity Employer, we support and value diversity, dignity, and respect in our work environment, and are committed to creating an inclusive environment in which everyone can thrive.
 We employ people based on the needs of the business and the job, and their individual professional qualifications. Here’s what does not impact our employment decisions: race, religious creed, religion, color, sex, sexual orientation, pregnancy, parental status, genetic information, gender, gender identity, gender expression, age, national origin, ancestry, citizenship, protected veteran or disability status, health, marital, civil union or domestic partnership status, or any status or characteristic protected by the laws or regulations in locations where we operate. If you are an individual with a qualified disability and you need an accommodation during the interview process, please reach out to your recruiter.
 Candidate Privacy Statements</t>
        </is>
      </c>
    </row>
    <row r="28">
      <c r="A28" t="inlineStr">
        <is>
          <t>li-4365332138</t>
        </is>
      </c>
      <c r="B28" t="inlineStr">
        <is>
          <t>ML Engineer</t>
        </is>
      </c>
      <c r="C28" t="inlineStr">
        <is>
          <t>Wiraa</t>
        </is>
      </c>
      <c r="D28" t="inlineStr">
        <is>
          <t>linkedin</t>
        </is>
      </c>
      <c r="E28">
        <f>HYPERLINK("https://www.linkedin.com/jobs/view/4365332138", "https://www.linkedin.com/jobs/view/4365332138")</f>
        <v/>
      </c>
      <c r="F28" t="inlineStr"/>
      <c r="G28" t="inlineStr"/>
      <c r="H28" t="inlineStr"/>
      <c r="I28" t="inlineStr">
        <is>
          <t>**About The Company**
 Zillow is a leading real estate technology company dedicated to transforming the way people buy, sell, finance, and rent homes. As the most\-visited real estate platform in the United States, Zillow leverages innovative technology and data\-driven insights to provide users with a seamless and transparent experience. The company is committed to fostering an inclusive and dynamic work environment that encourages growth, collaboration, and innovation. Recognized among the best workplaces nationally, Zillow strives to empower its employees and customers alike by redefining the real estate industry through cutting\-edge solutions and exceptional service.
**About The Role**
 We are seeking a highly skilled Principal Machine Learning Engineer to join our Agentic AI team remotely. In this role, you will lead the development of advanced multimodal foundational AI technologies aimed at revolutionizing real estate interactions. You will be responsible for prototyping, evaluating, and deploying sophisticated models within Zillow’s scalable infrastructure. Your expertise will drive perception, language understanding, deep reasoning, and reinforcement learning capabilities to enable autonomous, context\-aware AI agents that enhance user experience. This position requires a hands\-on approach, combining technical leadership with strategic vision, to develop innovative AI solutions that align with Zillow’s mission to improve home buying and selling processes.
**Qualifications**
* A master's degree or higher in Computer Science, Electrical Engineering, or a related field, with emphasis on foundational large language models, agentic AI, reinforcement learning, AI planning, or natural language processing.
* At least 7\+ years of experience in building large\-scale, impactful AI solutions, with recent experience in agent\-based systems or multi\-agent collaboration paradigms.
* Proficiency in developing dialogue systems capable of long conversations, multi\-step reasoning, and context\-rich decision\-making.
* Experience deploying and scaling AI services that handle hundreds of millions of daily interactions with high availability, low latency, and fault tolerance.
* Strong programming skills in Python, TensorFlow, PyTorch, or similar frameworks.
* Experience with frameworks such as AgentSDK, LangChain, and LangGraph for designing multi\-agent systems.
* Track record of publishing impactful research in top AI/ML conferences or journals is a plus.
* Excellent problem\-solving, communication, and leadership skills.
**Responsibilities**
* Design, prototype, and develop multi\-agent AI systems capable of autonomous, context\-aware interactions using frameworks like AgentSDK and LangChain.
* Leverage advanced generative AI models, including reasoning models and real\-time voice APIs, to build and refine agentic prototypes.
* Translate research findings into scalable, production\-ready AI solutions that enhance Zillow’s user experience.
* Mentor and guide engineering teams on best practices for agentic AI development, fostering a culture of innovation and responsible AI usage.
* Collaborate with cross\-functional teams to align project goals, timelines, and deliverables.
* Refine processes for experimentation, A/B testing, and deployment to balance rapid innovation with system reliability and safety.
* Stay on the forefront of emerging paradigms in agentic AI, driving continuous product innovation.
* Serve as a technical leader in applied science projects, ensuring timely delivery and high\-quality results.
* Distill complex research and system design concepts for diverse audiences, including executive stakeholders.
**Benefits**
* Competitive salary aligned with experience and location.
* Eligibility for equity awards based on performance and contribution.
* Comprehensive health, dental, and vision insurance plans.
* Flexible work arrangements supporting remote work from any U.S. location.
* Generous paid time off and holiday policies.
* Opportunities for professional growth, training, and development.
* Inclusive and collaborative work environment that values diversity and innovation.
 Equal Opportunity
 Zillow is an equal opportunity employer committed to fostering an inclusive environment for all employees. We do not discriminate based on race, color, religion, sex, sexual orientation, gender identity, national origin, age, disability, or veteran status. We encourage applicants of all backgrounds to apply and will provide reasonable accommodations for qualified individuals with disabilities or special needs. Our goal is to build a diverse team that reflects the communities we serve and promotes innovative thinking and collaboration.</t>
        </is>
      </c>
    </row>
    <row r="29">
      <c r="A29" t="inlineStr">
        <is>
          <t>li-4365333383</t>
        </is>
      </c>
      <c r="B29" t="inlineStr">
        <is>
          <t>AI/ML Engineer</t>
        </is>
      </c>
      <c r="C29" t="inlineStr">
        <is>
          <t>Nakupuna Companies</t>
        </is>
      </c>
      <c r="D29" t="inlineStr">
        <is>
          <t>linkedin</t>
        </is>
      </c>
      <c r="E29">
        <f>HYPERLINK("https://www.linkedin.com/jobs/view/4365333383", "https://www.linkedin.com/jobs/view/4365333383")</f>
        <v/>
      </c>
      <c r="F29">
        <f>HYPERLINK("https://careers-nakupuna.icims.com/jobs/6029/ai-ml-engineer/job?mode=apply&amp;iis=LinkedIn&amp;urlHash=RG6_", "https://careers-nakupuna.icims.com/jobs/6029/ai-ml-engineer/job?mode=apply&amp;iis=LinkedIn&amp;urlHash=RG6_")</f>
        <v/>
      </c>
      <c r="G29" t="inlineStr">
        <is>
          <t>Aberdeen Proving Ground, MD</t>
        </is>
      </c>
      <c r="H29" t="inlineStr"/>
      <c r="I29" t="inlineStr">
        <is>
          <t>**Overview**
 Nakupuna Solutions is looking for an AI/ML Engineer. The AI/ML Engineer is responsible for researching, developing, and implementing artificial intelligence (AI) and machine learning (ML) solutions to address complex business challenges. This role involves designing and optimizing algorithms, building predictive models, and integrating AI/ML systems into production environments. The AI/ML Engineer collaborates closely with data scientists, engineers, and business stakeholders to ensure that AI/ML solutions align with organizational goals and deliver measurable value.
**Responsibilities**
 The following reflects management’s definition of essential functions for this job but does not restrict the tasks that may be assigned.
* Research and implement artificial intelligence and machine learning solutions.
* Optimize algorithms for performance and scalability.
* Collaborate with data scientists and engineers to integrate AI models.
* Stay updated on emerging AI technologies and trends.
**Qualifications**
**Skills/Qualifications:**
* Proficiency in programming languages such as Python, R, or Java.
* Expertise in AI/ML frameworks and libraries (e.g., TensorFlow, PyTorch, Scikit\-learn, Keras).
* Strong understanding of machine learning algorithms, including supervised, unsupervised, and reinforcement learning.
* Knowledge of natural language processing (NLP), computer vision, and deep learning techniques.
* Experience with big data tools and platforms (e.g., Palantir, AWS, Azure).
* Familiarity with model deployment and monitoring tools (e.g., MLflow, Docker, Kubernetes).
* Strong analytical and problem\-solving skills, with the ability to interpret complex data.
* Excellent communication skills to explain technical concepts to non\-technical stakeholders.
**Education/Experience:**
* 3\+ years of professional experience building, deploying and maintaining AI/ML models end\-to\-end in production environments.
* Advanced degree in Artificial Intelligence, Machine Learning, Data Science, or related fields.
* Clearance Requirements: Active Secret security clearance required. Must be a U.S. citizen.
* Work Location: This position is 3 days onsite in Aberdeen Proving Grounds, Maryland.
**Physical Requirements:** 
 The ideal candidate must at a minimum be able to meet the following physical requirements of the job with or without a reasonable accommodation:
* Ability to perform repetitive motions with the hands, wrists, and fingers.
* Ability to engage in and follow audible communications in emergency situations.
* Ability to sit for prolonged periods at a desk and working on a computer.
 The Nakupuna Companies use a market\-based compensation strategy to ensure that our employees are compensated within applicable market ranges commensurate with multiple factors, including but not limited to the individual’s particular combination of education, knowledge, skills, competencies, and experience, as well as contract\-specific affordability, organizational requirements, and position location. The projected compensation range for this position is $170,000\.00 to $210,000\.00 (annualized USD). The salary range displayed represents the typical salary range for this position and is just one component of Nakupuna Companies total compensation package for employees.</t>
        </is>
      </c>
    </row>
    <row r="30">
      <c r="A30" t="inlineStr">
        <is>
          <t>li-4300908600</t>
        </is>
      </c>
      <c r="B30" t="inlineStr">
        <is>
          <t>Principal Machine Learning Engineer, Agentic AI</t>
        </is>
      </c>
      <c r="C30" t="inlineStr">
        <is>
          <t>Zillow</t>
        </is>
      </c>
      <c r="D30" t="inlineStr">
        <is>
          <t>linkedin</t>
        </is>
      </c>
      <c r="E30">
        <f>HYPERLINK("https://www.linkedin.com/jobs/view/4300908600", "https://www.linkedin.com/jobs/view/4300908600")</f>
        <v/>
      </c>
      <c r="F30" t="inlineStr"/>
      <c r="G30" t="inlineStr"/>
      <c r="H30" t="inlineStr"/>
      <c r="I30" t="inlineStr">
        <is>
          <t>**About The Team**
 The Agentic AI team at Zillow is at the forefront of transforming the real estate industry by helping millions of people use AI technologies to find their next home. We aim to redefine the home shopping and transaction experience by providing an always\-on assistant that integrates deep user insights and sophisticated reasoning. By embedding domain knowledge and specialized expertise in these assistants, we empower home buyers and real estate professionals to gain efficiency while maintaining Zillow's competitive edge. This lean, customer\-focused team comprises scientists and engineers working together to deliver a delightful customer experience. We strongly believe in accountability, collaboration, and transparency.
**About The Role**
 Zillow is looking for a Principal Machine Learning Engineer on the Agentic AI team to develop advanced multimodal foundational technologies. They will be hands\-on in prototyping ideas, evaluating, and deploying models to Zillow's highly scalable infrastructure platforms. They’ll be developing perception and language understanding, deep reasoning, and reinforcement learning to handle AI agent decision\-making.
 As a Principal Machine Learning Engineer on the Agentic AI team, you will:
* Leverage frameworks like AgentSDK, and LangChain/LangGraph to design, prototype, and develop multi\-agent systems that are capable of highly autonomous and context\-aware interactions
* Leverage advanced GenAI models including reasoning models, real\-time voice API, etc, to build agentic prototypes and later on convert them into product\-level agentic skills and deploy to users.
* Have the mentality of “build, learn, and pivot”, and hold the high bar of shipping into production.
* Mentor and guide engineers in using the right technologies for agentic AI solutions and foster a culture of innovation and responsible AI usage
* Distill complex research findings and system designs into actionable insights for diverse audiences—including executives
* Remain on the cutting edge of agentic AI emerging paradigms, driving product innovation
* Serve as the focal point for applied science projects, driving alignment on timelines, and prioritization
* Continuously refine processes for experimentation, A/B testing, and production rollouts to balance rapid innovation with reliability and responsible deployment.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$204,400\.00 \- $326,600\.00 annually. This base pay range is specific to these locations and may not be applicable to other locations. In Colorado, Hawaii, Illinois, Minnesota, Nevada, Ohio, Rhode Island, and Vermont the standard base pay range for this role is $194,200\.00 \- $310,200\.00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As a Principal Machine Learning Engineer, you are a roll\-up\-the\-sleeves and get\-it\-done engineer who can marry state\-of\-the\-art technology (i.e., LLM models, either from OpenAI or open source) with large\-scale engineering. We are looking for someone who has:
* A master's degree or above, equivalent experience in Computer Science, Electrical Engineering, or a related field with emphasis on foundational LLM, agentic AI, reinforcement learning, AI planning, or natural language processing
* 7\+ years of hands\-on work building large\-scale, high\-impact solutions—ideally in the most recent two years building agent\-based systems, multi\-agent collaboration, or similar paradigms
* Experience developing dialogue systems capable of long conversations, multi\-step reasoning, context\-rich decision\-making
* Experience deploying and scaling AI services capable of handling hundreds of millions of daily interactions with high availability, low latency, and robust fault tolerance
* A track record of publishing high\-impact research in top AI/ML venues is a big plus.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1">
      <c r="A31" t="inlineStr">
        <is>
          <t>li-4303218921</t>
        </is>
      </c>
      <c r="B31" t="inlineStr">
        <is>
          <t>Senior Machine Learning Engineer</t>
        </is>
      </c>
      <c r="C31" t="inlineStr">
        <is>
          <t>PhysicsX</t>
        </is>
      </c>
      <c r="D31" t="inlineStr">
        <is>
          <t>linkedin</t>
        </is>
      </c>
      <c r="E31">
        <f>HYPERLINK("https://www.linkedin.com/jobs/view/4303218921", "https://www.linkedin.com/jobs/view/4303218921")</f>
        <v/>
      </c>
      <c r="F31" t="inlineStr"/>
      <c r="G31" t="inlineStr">
        <is>
          <t>Manhattan, NY</t>
        </is>
      </c>
      <c r="H31" t="inlineStr"/>
      <c r="I31" t="inlineStr">
        <is>
          <t>**About Us**
 PhysicsX is a deep\-tech company with roots in numerical physics and Formula One, dedicated to accelerating hardware innovation at the speed of software.
 We are building an AI\-driven simulation software stack for engineering and manufacturing across advanced industries. By enabling high\-fidelity, multi\-physics simulation through AI inference across the entire engineering lifecycle, PhysicsX unlocks new levels of optimization and automation in design, manufacturing, and operations — empowering engineers to push the boundaries of possibility. Our customers include leading innovators in Aerospace \&amp; Defense, Materials, Energy, Semiconductors, and Automotive.
**Note:** 
 We are currently recruiting for multiple positions, however please only apply for the role that best aligns with your skillset and career goals.
**Who We're Looking For**
 As a Senior Machine Learning Engineer in Delivery, you are an experienced problem solver and technical leader who stays anchored to impact. You are someone who can grasp advanced engineering concepts across multiple industries, lead technical initiatives, and excel at working directly with customers (and often side\-by\-side with them on\-site) to embed cutting\-edge AI models into tools that are useful and used.
 You’ve shipped ML systems end\-to\-end and at scale: you design, build and test reliable, scalable ML data pipelines; you know how to explore and manipulate 3D point\-cloud and mesh data to enable geometry\-aware modelling; you select the right libraries, frameworks and tools and make pragmatic product decisions that set Delivery up for success. Working at the intersection of data science and software engineering, you translate R\&amp;D and project outputs into reusable libraries, tooling and products.
 With at least 3 years industry experience (post Masters or PhD) in a commercial, non\-research environment, you're ready to not only execute but also lead and mentor others. You're truly excited about taking ownership of complex work streams and guiding teams to success, while continuously improving the systems and solutions you work on to ensure they are practical, impactful and meet the evolving needs of our customers.
 This Role
 As a Senior MLE, you'll work closely with our Data Scientists, Simulation Engineers, and customers to understand and define the engineering and physics challenges we are solving. You will iterate with customers and use your influence to drive decisions around reliable deployment with measurable outcomes.
**You'll**
* Own the deployment of ML models and engineering surrogates (e.g., deep learning on CAE/CFD/FEA data, time‑series forecasting, anomaly detection, optimization \&amp; control) to customer production environments.
* Communicate results and trade‑offs to senior stakeholders; steer roadmaps and influence product direction with evidence.
* Lead scoping and architecture design for data/ML systems; define success metrics, delivery plans and quality bars.
* Excel at building robust and scalable ML systems, training and inference pipelines and APIs, running both on cloud and on\-prem environments. The tech stack you will use for this includes: Python, PyTorch, Pandas, fastAPI, Scipy, Kubeflow, among others.
* Mentor and develop engineers and data scientists; provide technical direction and clear, calm decision‑making under pressure.
* Travel to customer sites in North America, Europe, Asia, Oceania, for an average of 3\-4 weeks per quarter, where you'll collaborate closely with customers to build solutions on\-site.
* Own the scoping of new projects and work\-streams with existing customers and taking part in bringing new customers to PhysicsX.
 As a senior member of the team, you’ll significantly influence our technical direction and will be involved in shaping future solutions and products, while developing your skills as a technical leader.
**Our delivery teams drive innovation to turn AI models into practical solutions \- read our blog to learn more about how you’ll contribute to this exciting journey!** 
**What We Offer**
* Equity options – share in our success and growth.
* 5% 401(k) match – invest in your future.
* Flexible working – balance your work and life in a way that works for you.
* Hybrid setup – enjoy our Manhattan office while keeping remote flexibility.
* Enhanced parental leave – support for life’s biggest milestones.
* Private healthcare – comprehensive coverage for you and your family.
* Personal development – access learning and training to help you grow.
* Work from anywhere – extend your remote setup to enjoy the sun or reconnect with loved ones.
**Salary Range**
 $120,000 \- 240,000 depending on experience
 Seniority will be assessed throughout our interview process
 We value diversity and are committed to equal employment opportunity regardless of sex, race, religion, ethnicity, nationality, disability, age, sexual orientation or gender identity. We strongly encourage individuals from groups traditionally underrepresented in tech to apply. To help make a change, we sponsor bright women from disadvantaged backgrounds through their university degrees in science and mathematics.
 We collect diversity and inclusion data solely for the purpose of monitoring the effectiveness of our equal opportunities policies and ensuring compliance with UK employment and equality legislation. This information is confidential, used only in aggregate form, and will not influence the outcome of your application.</t>
        </is>
      </c>
    </row>
    <row r="32">
      <c r="A32" t="inlineStr">
        <is>
          <t>li-4354184900</t>
        </is>
      </c>
      <c r="B32" t="inlineStr">
        <is>
          <t>Data Science AI Engineer, Advisor</t>
        </is>
      </c>
      <c r="C32" t="inlineStr">
        <is>
          <t>Gainwell Technologies</t>
        </is>
      </c>
      <c r="D32" t="inlineStr">
        <is>
          <t>linkedin</t>
        </is>
      </c>
      <c r="E32">
        <f>HYPERLINK("https://www.linkedin.com/jobs/view/4354184900", "https://www.linkedin.com/jobs/view/4354184900")</f>
        <v/>
      </c>
      <c r="F32">
        <f>HYPERLINK("https://jobs.gainwelltechnologies.com/job/Any-city-Data-Science-AI-Engineer%2C-Advisor-GA-99999/1358397700/?utm_source=LINKEDIN&amp;utm_medium=referrer&amp;urlHash=xf5a", "https://jobs.gainwelltechnologies.com/job/Any-city-Data-Science-AI-Engineer%2C-Advisor-GA-99999/1358397700/?utm_source=LINKEDIN&amp;utm_medium=referrer&amp;urlHash=xf5a")</f>
        <v/>
      </c>
      <c r="G32" t="inlineStr">
        <is>
          <t>Georgia, United States</t>
        </is>
      </c>
      <c r="H32" t="inlineStr"/>
      <c r="I32" t="inlineStr">
        <is>
          <t>Be part of a team that unleashes the power of leading\-edge technologies to help improve the health and well\-being of those most vulnerable in our country and communities. Working at Gainwell carries its rewards. You’ll have an incredible opportunity to grow your career in a company that values work flexibility, learning, and career development. You’ll add to your technical credentials and certifications while enjoying a generous, flexible vacation policy and educational assistance. We also have comprehensive leadership and technical development academies to help build your skills and capabilities.
 Gainwell Technologies is seeking a highly skilled AI Engineer to design, develop, and deploy advanced AI solutions, including Generative AI (GenAI), across our healthcare technology platforms. This role involves building and optimizing AI technologies, integrating them into existing systems, and ensuring their effectiveness in improving healthcare outcomes and operational efficiency while maintaining compliance with industry standards.
 mission
 Your role in our mission
* AI Model Development – Design, build, and train machine learning and deep learning models, including GenAI, NLP, and predictive analytics solutions for healthcare applications.
* End\-to\-End AI Solution Deployment – Develop, test, and deploy AI solutions in cloud and on\-premise environments, ensuring reliability, scalability, and real\-world impact.
* Data Engineering \&amp; Processing – Work with large healthcare datasets, performing data preprocessing, feature engineering, and model training while ensuring compliance with HIPAA and other regulatory standards.
* System Integration – Implement and optimize AI models within Gainwell’s existing technology stack, collaborating with software engineers to ensure seamless integration.
* Performance Optimization – Continuously monitor, refine, and optimize AI models for accuracy, efficiency, and speed, leveraging MLOps best practices.
* AI Research \&amp; Innovation – Stay updated with the latest AI/ML advancements, exploring new technologies and methodologies to enhance solution effectiveness.
* Compliance \&amp; Security – Ensure AI implementations adhere to healthcare industry regulations, ethical AI principles, and data privacy standards.
* Automation \&amp; Workflow Enhancement – Identify opportunities to automate workflows and optimize business processes using AI\-driven solutions.
 What we're looking for
* Master’s or Ph.D in Computer Science, AI, Data Science, or a related field.
* 5\+ years of experience in AI/ML engineering, with a focus on developing and deploying AI solutions.
* Hands\-on expertise in machine learning, deep learning, GenAI, NLP, and computer vision.
* Strong programming skills in Python, TensorFlow, PyTorch, and other AI frameworks.
* Experience developing, deploying and finetuning LLMs (GPT, Gemini, Claude or similar) for real world applications including prompt engineering, model optimization and inference efficiency.
* Experience with cloud platforms (AWS, Azure, or GCP) and MLOps for scalable AI deployments.
* Proficiency in working with big data technologies (Spark, Hadoop, SQL, NoSQL databases).
* Strong problem\-solving skills with the ability to translate business challenges into AI\-driven solutions.
* Knowledge of healthcare AI applications and regulatory compliance (HIPAA, CMS) is a plus.
 role
 What you should expect in this role
* Fully Remote Opportunity – Work from anywhere in the U.S.
* Minimal Travel Required – Occasional travel opportunities (0\-10%).
* Opportunity to Work on Cutting\-Edge AI Solutions in a mission\-driven healthcare technology environment.
* Video cameras must be used during all interviews, as well as during the initial week of orientation
* The Deadline to submit applications for this posting is February 24, 2026
 The pay range for this position is $117,800\.00 \- $168,300\.00 per year, however, the base pay offered may vary depending on geographic region, internal equity, job\-related knowledge, skills, and experience among other factors. Put your passion to work at Gainwell. You’ll have the opportunity to grow your career in a company that values work flexibility, learning, and career development. All salaried, full\-time candidates are eligible for our generous, flexible vacation policy, a 401(k) employer match, comprehensive health benefits, and educational assistance. We also have a variety of leadership and technical development academies to help build your skills and capabilities.
 We believe nothing is impossible when you bring together people who care deeply about making healthcare work better for everyone. Build your career with Gainwell, an industry leader. You’ll be joining a company where collaboration, innovation, and inclusion fuel our growth. Learn more about Gainwell at our company website and visit our Careers site for all available job role openings.
*Gainwell Technologies is an Equal Opportunity Employer, where all qualified applicants will receive consideration for employment without regard to race, religion, color, national origin, gender (including pregnancy, childbirth, or related medical condition), age, sexual orientation, status as a protected veteran, status as an individual with a disability, or other applicable legally protected characteristics. Gainwell Technologies defines “wages” and “wage rates” to include “all forms of pay, including, but not limited to, salary, overtime pay, bonuses, stock, stock options, profit sharing and bonus plans, life insurance, vacation and holiday pay, cleaning or gasoline allowances, hotel accommodations, reimbursement for travel expenses, and benefits.*</t>
        </is>
      </c>
    </row>
    <row r="33">
      <c r="A33" t="inlineStr">
        <is>
          <t>li-4362615990</t>
        </is>
      </c>
      <c r="B33" t="inlineStr">
        <is>
          <t>Senior AI Engineer</t>
        </is>
      </c>
      <c r="C33" t="inlineStr">
        <is>
          <t>Sailplane</t>
        </is>
      </c>
      <c r="D33" t="inlineStr">
        <is>
          <t>linkedin</t>
        </is>
      </c>
      <c r="E33">
        <f>HYPERLINK("https://www.linkedin.com/jobs/view/4362615990", "https://www.linkedin.com/jobs/view/4362615990")</f>
        <v/>
      </c>
      <c r="F33" t="inlineStr"/>
      <c r="G33" t="inlineStr"/>
      <c r="H33" t="inlineStr"/>
      <c r="I33" t="inlineStr">
        <is>
          <t>**About Sailplane** 
 In an unmarked building somewhere in Silicon Valley, a small team of engineers is working on what could become one of the most transformative technologies in enterprise computing: autonomous infrastructure that manages itself. Sailplane, backed by AI kingmaker Khosla Ventures (OpenAI's first investor) and seed specialist True Ventures, is building a "self\-driving cloud" \- intelligent agents capable of autonomously managing the largest and most advanced AI infrastructure on the planet.
 Sailplane is solving one of the most complex challenges in modern computing: autonomous management of massive AI data centers. We are creating intelligent agents that operate rack\-scale systems worth millions of dollars. Think Waymo for cloud infrastructure.
 "We're building million\-dollar agents," explains co\-founder Sam Ramji, who previously led product at Google Cloud Platform and brought Linux to Microsoft. "These aren't consumer\-grade chatbots \- they're sophisticated autonomous systems managing rack\-scale hardware worth millions per unit."
**About the Role** 
 Sailplane is an early\-stage AI infrastructure startup. Expect to wear many hats (writing code, testing, working with customers and teammates). You will bring a startup mindset, eager to take ownership of projects, navigate ambiguity, and move quickly to solve challenging problems in a fast\-paced environment.
 As a Senior AI Engineer, you will be a technical generalist, designing and shipping the foundational agents, planning systems, and infrastructure to help our customers. This is a technical individual contributor role focused on hands\-on coding, systems thinking, and prototyping.
 This hybrid position reports to the CEO and is expected to work from our downtown San Francisco office 2 to 3 days per week.
 What you will do at Sailplane
* Design, implement, and iterate on the agent stack owning how features move from the ADE (UX) into agent logic. Implement agents that must reliably execute complex workflows in real production environments.
* Create simulation and evaluation pipelines to measure task success rates, safety, latency, and cost; build rich traces and observability to debug agent behavior.
* Own features from initial design through deployment, that use the latest in AI and machine learning technologies, working on core areas of the Sailplane platform
* Write clean, maintainable code that solves real customer problems
* Optimize performance and proactively address scale challenges as our platform grows
* Work directly with large language models, natural language processing, and AI systems
**What you will bring to Sailplane** 
* 5\+ years (or equivalent impact) working in full stack engineering, preferably in a VC\-backed startup environment
* Strong proficiency in tech stack: Typescript(Node JS), Next.js Framework, Python, React
* Shipped at least one system where AI agents or LLMs performed multi\-step tasks against real services or production data (not just offline demos)
* Comfortable building production services, APIs, and data pipelines in a cloud environment (GCP/AWS), and working with containers, monitoring, and logs
* Care deeply about correctness, safety, and observability: you design guardrails, fallback paths, and metrics so agents behave predictably
* Thrive with ambiguity, enjoy collaborating directly with founders and early customers, and are excited to own large problem areas end\-to\-end in a 2–10 person team
**Benefits and Perks** 
* Comprehensive Health, Dental, and Vision coverage beginning on the first day for employees and their families, paid 100% by Sailplane
* Equity grant participation
* Flexible PTO with no accrual or set annual cap, plus 15 paid holidays per year
* Health and Wellness stipend ($3,000 annually) to help support your personal health goals
* AI tools stipend ($1,200 annually) to encourage hands\-on familiarity with emerging tools
* 12 weeks of paid parental leave</t>
        </is>
      </c>
    </row>
    <row r="34">
      <c r="A34" t="inlineStr">
        <is>
          <t>li-4343180830</t>
        </is>
      </c>
      <c r="B34" t="inlineStr">
        <is>
          <t>Staff Machine Learning Engineer, Listings and Host Tools Data and AI</t>
        </is>
      </c>
      <c r="C34" t="inlineStr">
        <is>
          <t>Airbnb</t>
        </is>
      </c>
      <c r="D34" t="inlineStr">
        <is>
          <t>linkedin</t>
        </is>
      </c>
      <c r="E34">
        <f>HYPERLINK("https://www.linkedin.com/jobs/view/4343180830", "https://www.linkedin.com/jobs/view/4343180830")</f>
        <v/>
      </c>
      <c r="F34" t="inlineStr"/>
      <c r="G34" t="inlineStr"/>
      <c r="H34" t="inlineStr"/>
      <c r="I34"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User Listing Marketplace Intelligence Machine Learning (ULM\-ML) team: The ULM\-ML team supports host personalization products and provides data driven solutions to achieve superior host experience on Airbnb. These products include but are not limited to managing your space (MYS), host tools etc. We own data pipelines and ML models and will build services for serving that are used in the above areas.
**The Difference You Will Make**
 There is a huge opportunity to improve the Host and Guest experience by leveraging open source, third party, and home grown ML models. As an ML engineer, you will partner closely with our data science, product partners, and other ML \+ data engineers on the team to execute on these opportunities in order to improve the Host and Guest product experience on Airbnb.
**A Typical Day**
* Work with large scale structured and unstructured data, build and continuously improve cutting edge Machine Learning models for Airbnb product, business and operational use cases.
* Work collaboratively with cross\-functional partners including software engineers, product managers, operations and data scientists, identify opportunities for business impact, understand, refine, and prioritize requirements for machine learning models, drive engineering decisions, and quantify impact.
* Prototype machine learning use cases for use in the product, and work with stakeholders to iterate on requirements.
* Develop, productionize, and operate Machine Learning models and pipelines at scale, including both batch and real\-time use cases.
* Design and build services, API to enable serving ML model driven data to product use cases.
**Your Expertise**
* 8\+ years of industry experience in applied Machine Learning, inclusive MS or PhD in relevant fields.
* Must have experience in both Natural Language Processing and Computer Vision.
* Strong programming (Scala / Python / Java/ C\+\+ or equivalent) and data engineering skills
* Deep understanding of Machine Learning best practices (eg. training/serving skew minimization, A/B test, feature engineering, feature/model selection), algorithms (eg. gradient boosted trees, neural networks/deep learning, optimization, state\-of\-art NLP and CV algorithms) and domains (eg. natural language processing, computer vision, personalization and recommendation, anomaly detection)
* Experience with 3 or more of these technologies: Tensorflow, PyTorch, Kubernetes, Spark, Airflow (or equivalent), data warehouse (eg. Hive)
* Industry experience building end\-to\-end Machine Learning infrastructure and/or building and productionizing Machine Learning models, as well as integrating to product use cases.
* Exposure to architectural patterns of a large, high\-scale software applications (e.g., well\-designed APIs, high volume data pipelines, efficient algorithms, models)
* Experience with test driven development, familiar with A/B testing, incremental delivery and deployment.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$204,000—$255,000 USD</t>
        </is>
      </c>
    </row>
    <row r="35">
      <c r="A35" t="inlineStr">
        <is>
          <t>li-4362534843</t>
        </is>
      </c>
      <c r="B35" t="inlineStr">
        <is>
          <t>Lead Machine Learning Engineer, Ad Platforms</t>
        </is>
      </c>
      <c r="C35" t="inlineStr">
        <is>
          <t>The Walt Disney Company</t>
        </is>
      </c>
      <c r="D35" t="inlineStr">
        <is>
          <t>linkedin</t>
        </is>
      </c>
      <c r="E35">
        <f>HYPERLINK("https://www.linkedin.com/jobs/view/4362534843", "https://www.linkedin.com/jobs/view/4362534843")</f>
        <v/>
      </c>
      <c r="F35" t="inlineStr"/>
      <c r="G35" t="inlineStr">
        <is>
          <t>Santa Monica, CA</t>
        </is>
      </c>
      <c r="H35" t="inlineStr"/>
      <c r="I35"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Ad Platforms is responsible for Disney’s industry\-leading ad technology and products – driving advertising performance, innovation, and value in Disney’s sports, news, and entertainment content, across all media platforms.
 Our mission is to advance AI and machine learning capabilities across Ad Platform by delivering scalable, high impact AI/ML and data science solutions that enhance Ad decisioning, forecasting, experimentation and Ad experience. We are seeking a Lead Machine Learning Engineer to join this innovative team. This role offers a unique leadership opportunity for an experienced ML engineer who thrives at the intersection of technical excellence, strategic impact, and cross\-functional collaboration.
**What You’ll Do**
* Drive innovation and apply state of the art AI and machine learning across advertising domains, including inventory forecasting, ad experience, ad pacing, pricing, targeting, and efficient ad delivery.
* Invent and iterate on novel solutions to complex advertising challenges with rapid prototyping and deployment cycles.
* Design, build, and scale robust ML systems that power core ad platform capabilities
* Champion engineering excellence through best practices in code quality, system design, and operational reliability.
* Mentor and support junior engineers, fostering a culture of continuous learning and technical growth.
**What To Bring**
* Minimum 7 years of hands\-on experience developing and deploying large\-scale machine learning systems.
* Strong knowledge of AI/ML technologies, mathematics and statistics.
* Excellent communication, collaboration skills, and a strong teamwork ethic with both technical and non\-technical audiences
* Strong foundations in algorithms, data structures, and numerical optimization with experience in programming languages such as Python (primary), Java and SQL
* Familiarity with tools and frameworks such as Databricks, TensorFlow, Pytorch, Hugging libraries etc
* Proven proficiency in deep learning methodologies, including recurrent and sequence\-based models.
* Hands\-on experience with transformer architectures (e.g., BERT, GPT, ViT) for natural language and vision tasks.
* Strong understanding of multimodal embedding techniques for integrating text, image, audio, and structured data.
* Experience with LLM models such as GPT models, Claude, Gemini, Llama, etc.
* Strong grasp of LLM evaluation methodologies, experience with RAG architectures.
* A proven track record of thriving in a fast\-paced, data\-driven, and collaborative work environment is required.
**NICE\-TO\-HAVES**
* Experience in digital video advertising or digital marketing domain.
* Experience with forecasting models.
**Required Education**
 Bachelor's (MS or PhD preferred) in Computer Science, Software Engineering, or a related field
**Location** 
 : Seattle / Santa Monica
 \#DISNEYTECH
 The hiring range for this position in Santa Monica, CA is $171,600 to $230,100 per year and in Seattle is $179,700 to $241,000\.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36">
      <c r="A36" t="inlineStr">
        <is>
          <t>li-4341366377</t>
        </is>
      </c>
      <c r="B36" t="inlineStr">
        <is>
          <t>AI &amp; Machine Learning Engineering Consultant - Senior - Consulting - Location OPEN</t>
        </is>
      </c>
      <c r="C36" t="inlineStr">
        <is>
          <t>EY</t>
        </is>
      </c>
      <c r="D36" t="inlineStr">
        <is>
          <t>linkedin</t>
        </is>
      </c>
      <c r="E36">
        <f>HYPERLINK("https://www.linkedin.com/jobs/view/4341366377", "https://www.linkedin.com/jobs/view/4341366377")</f>
        <v/>
      </c>
      <c r="F36" t="inlineStr"/>
      <c r="G36" t="inlineStr">
        <is>
          <t>Iselin, NJ</t>
        </is>
      </c>
      <c r="H36" t="inlineStr"/>
      <c r="I3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7">
      <c r="A37" t="inlineStr">
        <is>
          <t>li-4341306591</t>
        </is>
      </c>
      <c r="B37" t="inlineStr">
        <is>
          <t>AI &amp; Machine Learning Engineering Consultant - Senior - Consulting - Location OPEN</t>
        </is>
      </c>
      <c r="C37" t="inlineStr">
        <is>
          <t>EY</t>
        </is>
      </c>
      <c r="D37" t="inlineStr">
        <is>
          <t>linkedin</t>
        </is>
      </c>
      <c r="E37">
        <f>HYPERLINK("https://www.linkedin.com/jobs/view/4341306591", "https://www.linkedin.com/jobs/view/4341306591")</f>
        <v/>
      </c>
      <c r="F37">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37" t="inlineStr">
        <is>
          <t>Miami, FL</t>
        </is>
      </c>
      <c r="H37" t="inlineStr"/>
      <c r="I3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8">
      <c r="A38" t="inlineStr">
        <is>
          <t>li-4341186539</t>
        </is>
      </c>
      <c r="B38" t="inlineStr">
        <is>
          <t>AI &amp; Machine Learning Engineering Consultant - Senior - Consulting - Location OPEN</t>
        </is>
      </c>
      <c r="C38" t="inlineStr">
        <is>
          <t>EY</t>
        </is>
      </c>
      <c r="D38" t="inlineStr">
        <is>
          <t>linkedin</t>
        </is>
      </c>
      <c r="E38">
        <f>HYPERLINK("https://www.linkedin.com/jobs/view/4341186539", "https://www.linkedin.com/jobs/view/4341186539")</f>
        <v/>
      </c>
      <c r="F38">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38" t="inlineStr">
        <is>
          <t>Boston, MA</t>
        </is>
      </c>
      <c r="H38" t="inlineStr"/>
      <c r="I3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39">
      <c r="A39" t="inlineStr">
        <is>
          <t>li-4340966746</t>
        </is>
      </c>
      <c r="B39" t="inlineStr">
        <is>
          <t>AI &amp; Machine Learning Engineering Consultant - Senior - Consulting - Location OPEN</t>
        </is>
      </c>
      <c r="C39" t="inlineStr">
        <is>
          <t>EY</t>
        </is>
      </c>
      <c r="D39" t="inlineStr">
        <is>
          <t>linkedin</t>
        </is>
      </c>
      <c r="E39">
        <f>HYPERLINK("https://www.linkedin.com/jobs/view/4340966746", "https://www.linkedin.com/jobs/view/4340966746")</f>
        <v/>
      </c>
      <c r="F39" t="inlineStr"/>
      <c r="G39" t="inlineStr">
        <is>
          <t>Westlake Village, CA</t>
        </is>
      </c>
      <c r="H39" t="inlineStr"/>
      <c r="I3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0">
      <c r="A40" t="inlineStr">
        <is>
          <t>li-4340966743</t>
        </is>
      </c>
      <c r="B40" t="inlineStr">
        <is>
          <t>AI &amp; Machine Learning Engineering Consultant - Senior - Consulting - Location OPEN</t>
        </is>
      </c>
      <c r="C40" t="inlineStr">
        <is>
          <t>EY</t>
        </is>
      </c>
      <c r="D40" t="inlineStr">
        <is>
          <t>linkedin</t>
        </is>
      </c>
      <c r="E40">
        <f>HYPERLINK("https://www.linkedin.com/jobs/view/4340966743", "https://www.linkedin.com/jobs/view/4340966743")</f>
        <v/>
      </c>
      <c r="F40" t="inlineStr"/>
      <c r="G40" t="inlineStr">
        <is>
          <t>Hoboken, NJ</t>
        </is>
      </c>
      <c r="H40" t="inlineStr"/>
      <c r="I4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1">
      <c r="A41" t="inlineStr">
        <is>
          <t>li-4340936611</t>
        </is>
      </c>
      <c r="B41" t="inlineStr">
        <is>
          <t>AI &amp; Machine Learning Engineering Consultant - Senior - Consulting - Location OPEN</t>
        </is>
      </c>
      <c r="C41" t="inlineStr">
        <is>
          <t>EY</t>
        </is>
      </c>
      <c r="D41" t="inlineStr">
        <is>
          <t>linkedin</t>
        </is>
      </c>
      <c r="E41">
        <f>HYPERLINK("https://www.linkedin.com/jobs/view/4340936611", "https://www.linkedin.com/jobs/view/4340936611")</f>
        <v/>
      </c>
      <c r="F41" t="inlineStr"/>
      <c r="G41" t="inlineStr">
        <is>
          <t>Irvine, CA</t>
        </is>
      </c>
      <c r="H41" t="inlineStr"/>
      <c r="I4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2">
      <c r="A42" t="inlineStr">
        <is>
          <t>li-4341326739</t>
        </is>
      </c>
      <c r="B42" t="inlineStr">
        <is>
          <t>AI &amp; Machine Learning Engineering Consultant - Senior - Consulting - Location OPEN</t>
        </is>
      </c>
      <c r="C42" t="inlineStr">
        <is>
          <t>EY</t>
        </is>
      </c>
      <c r="D42" t="inlineStr">
        <is>
          <t>linkedin</t>
        </is>
      </c>
      <c r="E42">
        <f>HYPERLINK("https://www.linkedin.com/jobs/view/4341326739", "https://www.linkedin.com/jobs/view/4341326739")</f>
        <v/>
      </c>
      <c r="F42" t="inlineStr"/>
      <c r="G42" t="inlineStr">
        <is>
          <t>Houston, TX</t>
        </is>
      </c>
      <c r="H42" t="inlineStr"/>
      <c r="I4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3">
      <c r="A43" t="inlineStr">
        <is>
          <t>li-4365332541</t>
        </is>
      </c>
      <c r="B43" t="inlineStr">
        <is>
          <t>Azure AI Engineer</t>
        </is>
      </c>
      <c r="C43" t="inlineStr">
        <is>
          <t>ConsultNet Technology Services and Solutions</t>
        </is>
      </c>
      <c r="D43" t="inlineStr">
        <is>
          <t>linkedin</t>
        </is>
      </c>
      <c r="E43">
        <f>HYPERLINK("https://www.linkedin.com/jobs/view/4365332541", "https://www.linkedin.com/jobs/view/4365332541")</f>
        <v/>
      </c>
      <c r="F43" t="inlineStr"/>
      <c r="G43" t="inlineStr">
        <is>
          <t>Huntington Beach, CA</t>
        </is>
      </c>
      <c r="H43" t="inlineStr"/>
      <c r="I43" t="inlineStr">
        <is>
          <t>Azure AI Engineer
 Huntington Beach, CA\- 100% onsite
 Direct Hire
 $103,000 \- $135,000k year
 Successful candidate will be responsible for designing, developing, and deploying intelligent solutions using Azure AI services, Azure AI Foundry, Copilot Studio, and OpenAI technologies, while working on advanced projects involving Large Language Models (LLMs), forecasting and time series modeling, and Lakehouse architectures to drive business transformation and automation.
 Design and implement AI/ML solutions using Azure Machine Learning, Azure AI Foundry, OpenAI on Azure, and Copilot Studio to deliver intelligent business applications. Build and fine\-tune LLM\-based applications for internal and customer\-facing use cases. Develop and maintain Python\-based data pipelines and ML models. Implement forecasting and time series models for demand prediction, sales forecasting, and operational planning. Integrate AI capabilities into business applications using Power Platform, Copilot Studio, and Azure Cognitive Services. Create autonomous AI Agents that can execute tasks independently while allowing users to control, customize, and run them for specific business workflows. Implement MCP (Model Context Protocol) for managing context across AI systems and ensure interoperability with enterprise data sources. Design and integrate A2A (Agent\-to\-Agent) communication protocols to enable seamless collaboration between autonomous agents for complex workflows. Design and build Lakehouse architecture leveraging Microsoft Fabric and Delta Lake, implementing Medallion Architecture best practices and metadata\-driven pipelines to ensure data quality, scalability, and unified analytics across structured and unstructured data sources.
**Requirements:**
* 5\+ years of experience in AI/ML engineering or related roles.
* Strong proficiency in Python and ML frameworks (e.g., scikit\-learn, PyTorch, TensorFlow)
* Hands\-on experience with Azure AI services, Azure Machine Learning, and OpenAI on Azure.
* Experience building solutions with Copilot Studio and Power Platform.
* Solid understanding of forecasting techniques (ARIMA, Prophet, LSTM, etc.) and time series analysis.
* Familiarity with LLMs, prompt engineering, and fine\-tuning techniques.
* Knowledge of Lakehouse architecture and tools like Azure Synapse, Databricks, or Microsoft Fabric.
* Best Practices Knowledge of Medallion Architecture.
* Strong understanding of Devops and MLOps, version control, and CI/CD for ML.
* Working knowledge of MCP (Model Context Protocol) for managing context across AI systems and enabling interoperability.
* Experience with A2A (Agent\-to\-Agent) communication protocols for orchestrating autonomous AI agents and multi\-agent workflows.
**Bonus Skills:**
 • Master's Degree in related field preferred
 • Azure AI Engineer Certification Preferred
 • Microsoft Fabric Certification Preferred
 Welcome to ConsultNet, a premier national provider of technology talent and solutions. Our expertise spans across project services, contract\-to\-hire, direct search, and managed services onshore, nearshore, and hybrid.
 For over 25 years, we have connected thousands of consultants with meaningful roles through a personal, communication\-driven approach, partnering with a diverse client base to build high\-performing teams and create lasting impact.
 Our comprehensive service offerings cover a wide range of technology and engineering positions across key markets nationwide. Learn more at
**www.consultnet.com**
 .
 We champion equality and inclusivity, proudly supporting an Equal Opportunity Employer policy. We welcome applicants regardless of Race, Color, Religion, Sex, Sexual Orientation, Gender Identity, National Origin, Age, Genetic Information, Disability, Protected Veteran Status, or any other status protected by law.</t>
        </is>
      </c>
    </row>
    <row r="44">
      <c r="A44" t="inlineStr">
        <is>
          <t>li-4340926599</t>
        </is>
      </c>
      <c r="B44" t="inlineStr">
        <is>
          <t>AI &amp; Machine Learning Engineering Consultant - Senior - Consulting - Location OPEN</t>
        </is>
      </c>
      <c r="C44" t="inlineStr">
        <is>
          <t>EY</t>
        </is>
      </c>
      <c r="D44" t="inlineStr">
        <is>
          <t>linkedin</t>
        </is>
      </c>
      <c r="E44">
        <f>HYPERLINK("https://www.linkedin.com/jobs/view/4340926599", "https://www.linkedin.com/jobs/view/4340926599")</f>
        <v/>
      </c>
      <c r="F44" t="inlineStr"/>
      <c r="G44" t="inlineStr">
        <is>
          <t>Los Angeles, CA</t>
        </is>
      </c>
      <c r="H44" t="inlineStr"/>
      <c r="I44"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5">
      <c r="A45" t="inlineStr">
        <is>
          <t>li-4341326742</t>
        </is>
      </c>
      <c r="B45" t="inlineStr">
        <is>
          <t>AI &amp; Machine Learning Engineering Consultant - Senior - Consulting - Location OPEN</t>
        </is>
      </c>
      <c r="C45" t="inlineStr">
        <is>
          <t>EY</t>
        </is>
      </c>
      <c r="D45" t="inlineStr">
        <is>
          <t>linkedin</t>
        </is>
      </c>
      <c r="E45">
        <f>HYPERLINK("https://www.linkedin.com/jobs/view/4341326742", "https://www.linkedin.com/jobs/view/4341326742")</f>
        <v/>
      </c>
      <c r="F45">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45" t="inlineStr">
        <is>
          <t>Sacramento, CA</t>
        </is>
      </c>
      <c r="H45" t="inlineStr"/>
      <c r="I45"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6">
      <c r="A46" t="inlineStr">
        <is>
          <t>li-4340946610</t>
        </is>
      </c>
      <c r="B46" t="inlineStr">
        <is>
          <t>AI &amp; Machine Learning Engineering Consultant - Senior - Consulting - Location OPEN</t>
        </is>
      </c>
      <c r="C46" t="inlineStr">
        <is>
          <t>EY</t>
        </is>
      </c>
      <c r="D46" t="inlineStr">
        <is>
          <t>linkedin</t>
        </is>
      </c>
      <c r="E46">
        <f>HYPERLINK("https://www.linkedin.com/jobs/view/4340946610", "https://www.linkedin.com/jobs/view/4340946610")</f>
        <v/>
      </c>
      <c r="F46" t="inlineStr"/>
      <c r="G46" t="inlineStr">
        <is>
          <t>Raleigh, NC</t>
        </is>
      </c>
      <c r="H46" t="inlineStr"/>
      <c r="I46"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7">
      <c r="A47" t="inlineStr">
        <is>
          <t>li-4340936606</t>
        </is>
      </c>
      <c r="B47" t="inlineStr">
        <is>
          <t>AI &amp; Machine Learning Engineering Consultant - Senior - Consulting - Location OPEN</t>
        </is>
      </c>
      <c r="C47" t="inlineStr">
        <is>
          <t>EY</t>
        </is>
      </c>
      <c r="D47" t="inlineStr">
        <is>
          <t>linkedin</t>
        </is>
      </c>
      <c r="E47">
        <f>HYPERLINK("https://www.linkedin.com/jobs/view/4340936606", "https://www.linkedin.com/jobs/view/4340936606")</f>
        <v/>
      </c>
      <c r="F47">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47" t="inlineStr">
        <is>
          <t>Atlanta, GA</t>
        </is>
      </c>
      <c r="H47" t="inlineStr"/>
      <c r="I47"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8">
      <c r="A48" t="inlineStr">
        <is>
          <t>li-4341176481</t>
        </is>
      </c>
      <c r="B48" t="inlineStr">
        <is>
          <t>AI &amp; Machine Learning Engineering Consultant - Senior - Consulting - Location OPEN</t>
        </is>
      </c>
      <c r="C48" t="inlineStr">
        <is>
          <t>EY</t>
        </is>
      </c>
      <c r="D48" t="inlineStr">
        <is>
          <t>linkedin</t>
        </is>
      </c>
      <c r="E48">
        <f>HYPERLINK("https://www.linkedin.com/jobs/view/4341176481", "https://www.linkedin.com/jobs/view/4341176481")</f>
        <v/>
      </c>
      <c r="F48">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48" t="inlineStr">
        <is>
          <t>Chantilly, VA</t>
        </is>
      </c>
      <c r="H48" t="inlineStr"/>
      <c r="I48"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49">
      <c r="A49" t="inlineStr">
        <is>
          <t>li-4340956743</t>
        </is>
      </c>
      <c r="B49" t="inlineStr">
        <is>
          <t>AI &amp; Machine Learning Engineering Consultant - Senior - Consulting - Location OPEN</t>
        </is>
      </c>
      <c r="C49" t="inlineStr">
        <is>
          <t>EY</t>
        </is>
      </c>
      <c r="D49" t="inlineStr">
        <is>
          <t>linkedin</t>
        </is>
      </c>
      <c r="E49">
        <f>HYPERLINK("https://www.linkedin.com/jobs/view/4340956743", "https://www.linkedin.com/jobs/view/4340956743")</f>
        <v/>
      </c>
      <c r="F49">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49" t="inlineStr">
        <is>
          <t>Milwaukee, WI</t>
        </is>
      </c>
      <c r="H49" t="inlineStr"/>
      <c r="I49"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0">
      <c r="A50" t="inlineStr">
        <is>
          <t>li-4341346540</t>
        </is>
      </c>
      <c r="B50" t="inlineStr">
        <is>
          <t>AI &amp; Machine Learning Engineering Consultant - Senior - Consulting - Location OPEN</t>
        </is>
      </c>
      <c r="C50" t="inlineStr">
        <is>
          <t>EY</t>
        </is>
      </c>
      <c r="D50" t="inlineStr">
        <is>
          <t>linkedin</t>
        </is>
      </c>
      <c r="E50">
        <f>HYPERLINK("https://www.linkedin.com/jobs/view/4341346540", "https://www.linkedin.com/jobs/view/4341346540")</f>
        <v/>
      </c>
      <c r="F50" t="inlineStr"/>
      <c r="G50" t="inlineStr">
        <is>
          <t>McLean, VA</t>
        </is>
      </c>
      <c r="H50" t="inlineStr"/>
      <c r="I50"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1">
      <c r="A51" t="inlineStr">
        <is>
          <t>li-4341136546</t>
        </is>
      </c>
      <c r="B51" t="inlineStr">
        <is>
          <t>AI &amp; Machine Learning Engineering Consultant - Senior - Consulting - Location OPEN</t>
        </is>
      </c>
      <c r="C51" t="inlineStr">
        <is>
          <t>EY</t>
        </is>
      </c>
      <c r="D51" t="inlineStr">
        <is>
          <t>linkedin</t>
        </is>
      </c>
      <c r="E51">
        <f>HYPERLINK("https://www.linkedin.com/jobs/view/4341136546", "https://www.linkedin.com/jobs/view/4341136546")</f>
        <v/>
      </c>
      <c r="F51">
        <f>HYPERLINK("https://careers.ey.com/ey/job/New-York-AI-&amp;-Machine-Learning-Engineering-Consultant-Senior-Consulting-Location-OPEN-NY-10001-8604/1268441901/?feedId=337401&amp;utm_source=LinkedInJobPostings&amp;utm_campaign=j2w_linkedin&amp;urlHash=pARs", "https://careers.ey.com/ey/job/New-York-AI-&amp;-Machine-Learning-Engineering-Consultant-Senior-Consulting-Location-OPEN-NY-10001-8604/1268441901/?feedId=337401&amp;utm_source=LinkedInJobPostings&amp;utm_campaign=j2w_linkedin&amp;urlHash=pARs")</f>
        <v/>
      </c>
      <c r="G51" t="inlineStr">
        <is>
          <t>Salt Lake City, UT</t>
        </is>
      </c>
      <c r="H51" t="inlineStr"/>
      <c r="I51"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2">
      <c r="A52" t="inlineStr">
        <is>
          <t>li-4340956741</t>
        </is>
      </c>
      <c r="B52" t="inlineStr">
        <is>
          <t>AI &amp; Machine Learning Engineering Consultant - Senior - Consulting - Location OPEN</t>
        </is>
      </c>
      <c r="C52" t="inlineStr">
        <is>
          <t>EY</t>
        </is>
      </c>
      <c r="D52" t="inlineStr">
        <is>
          <t>linkedin</t>
        </is>
      </c>
      <c r="E52">
        <f>HYPERLINK("https://www.linkedin.com/jobs/view/4340956741", "https://www.linkedin.com/jobs/view/4340956741")</f>
        <v/>
      </c>
      <c r="F52" t="inlineStr"/>
      <c r="G52" t="inlineStr">
        <is>
          <t>Hartford, CT</t>
        </is>
      </c>
      <c r="H52" t="inlineStr"/>
      <c r="I52"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3">
      <c r="A53" t="inlineStr">
        <is>
          <t>li-4341196660</t>
        </is>
      </c>
      <c r="B53" t="inlineStr">
        <is>
          <t>AI &amp; Machine Learning Engineering Consultant - Senior - Consulting - Location OPEN</t>
        </is>
      </c>
      <c r="C53" t="inlineStr">
        <is>
          <t>EY</t>
        </is>
      </c>
      <c r="D53" t="inlineStr">
        <is>
          <t>linkedin</t>
        </is>
      </c>
      <c r="E53">
        <f>HYPERLINK("https://www.linkedin.com/jobs/view/4341196660", "https://www.linkedin.com/jobs/view/4341196660")</f>
        <v/>
      </c>
      <c r="F53" t="inlineStr"/>
      <c r="G53" t="inlineStr">
        <is>
          <t>Tallahassee, FL</t>
        </is>
      </c>
      <c r="H53" t="inlineStr"/>
      <c r="I53" t="inlineStr">
        <is>
          <t>Location: Anywhere in Country
 At EY, we’re all in to shape your future with confidence.
 We’ll help you succeed in a globally connected powerhouse of diverse teams and take your career wherever you want it to go. Join EY and help to build a better working world.
**Technology – Data and Decision Science – AI Native Engineering**
**AI/Machine Learning Engineer, Senior Consultant**
**The opportunity**
 Our Artificial Intelligence and Data team helps apply cutting edge technology and techniques to bring solutions to our clients. As part of that, you'll sit side\-by\-side with clients and diverse teams from EY to create a well\-rounded approach to advising and solving challenging problems, some of which have not been solved before. No two days will be the same, and with constant research and development, you'll find yourself building knowledge that can be applied across a wide range of projects now, and in the future. You'll need to have a passion for continuous learning, stay ahead of the trends, and influence new ways of working so you can position solutions in the most relevant and innovative way for our clients. You can expect heavy client interaction in a fast\-paced environment and the opportunity to develop your own career path for your unique skills and ambitions.
 As a Senior AI Native Engineer, you will be at the forefront of revolutionizing how businesses leverage artificial intelligence. Your role will involve researching, building, and implementing scalable AI systems that learn and make predictions tailored to diverse business environments, whether in the cloud or on\-premises. You will enhance data pipelines to ensure data integrity and optimize learning processes, all while collaborating with a talented team of data and analytics professionals.
**Your Key Responsibilities**
 In this role, you will contribute significantly to the delivery of innovative AI solutions. You will work with a wide variety of clients to deliver the latest data science and big data technologies. Your teams will design and build scalable solutions that unify, enrich, and derive insights from varied data sources across a broad technology landscape. You will help our clients navigate the complex world of modern data science, analytics, and software engineering. We'll look to you to provide guidance and perform technical development tasks to ensure data science solutions are properly engineered and maintained to support the ongoing business needs of our clients.
 You will be joining a dynamic and interdisciplinary team of scientists and engineers who love to tackle the most challenging computational problems for our clients. We love to think creatively, build applications efficiently, and collaborate in both the ideation of solutions and the pursuit of new opportunities. Many on our team have advanced academic degrees or equivalent experience in industry.
 You will spend your time on key responsibilities that include:
* Researching and implementing scalable AI systems that meet business requirements.
* Enhancing data pipelines and storage for optimal data accuracy and cleanliness.
* Monitoring and optimizing learning processes to improve high\-performance models.
* This position may have travel requirements as needed to engage with external clients regularly.
**Skills And Attributes For Success**
 To excel in this role, you will need a blend of technical expertise and interpersonal skills. Your ability to navigate complex challenges and deliver impactful solutions will be essential.
 This role will work to deliver tech at speed, innovate at scale and put humans at the center. Provide technical guidance and share knowledge with team members with diverse skills and backgrounds. Consistently deliver quality client services focusing on more complex, judgmental and/or specialized issues surrounding emerging technology. Demonstrate technical capabilities and professional knowledge. Learn about EY and its service lines and actively assess and present ways to apply knowledge and services.
* Strong analytical and decision\-making skills to guide project direction.
* Proven experience in project management and tracking deliverable completion.
* Ability to build and maintain relationships with clients and team members.
* Excellent communication skills to convey complex ideas effectively.
**To** 
**qualify for the role, you must have**
* A Bachelor’s degree required (4\-year degree).
* 3\-6 years of full\-time working experience in AI and/or Machine Learning
* Strong skills in Python
* Ability to collaborate and communicate effectively with diverse, hybrid and global teams
* Experience designing, building, and maintaining high\-impact, high\-value production AI/ML solutions on a major cloud platform
* Proficient in Generative AI models and frameworks (e.g., OpenAI, Dall\-e, Langchain, Retrieval Augmented Generation (RAG)) and experienced with ML packages like scikit\-learn and PyTorch
* Experience with natural language processing and deep learning
* Extensive experience in DevOps tools (GIT, Azure DevOps), Agile methodologies (Jira), and CI/CD pipelines for developing, deploying, and scaling analytical solutions
* Experience with MLOps and ML workflows, including data ingestion, transformation, and evaluation
* Experience with model retraining and feedback loop methodologies
* Experience with model and solution monitoring and reporting
* Understanding of data structures, data modelling, and software engineering best practices
* Strong foundation in mathematics, statistics, and operations research, with proficiency in data manipulation tools (SQL, Pandas, Spark) and deep learning techniques
* Excellent communication skills for conveying findings and recommendations, with a willingness to travel for client engagements
**Ideally, you’ll also have**
* Master's degree Computer Science, Mathematics, Physical Sciences, or another quantitative field
* Experience in hybrid collaboration and emotional agility
* A track record of working with diverse teams to drive outcomes through complex problem\-solving
* Knowledge of sustainability practices in technology
* A deep understanding of and ability to teach concepts, tools, features, functions, and benefits of different approaches to apply them
* Strong skills in languages beyond Python: R, JavaScript, Java, C\+\+, C
* Experience fine\-tuning Generative AI models
* Experience with image processing techniques and/or speech and audio processing and analysis
**What We Look For**
 We seek individuals who are not only technically proficient but also possess the qualities of a top performer. You should be innovative, adaptable, and purpose driven by a desire to make a significant impact in the field of artificial intelligence. Your ability to collaborate effectively and communicate with clarity will set you apart as a leader in our team.
 \#FY26NATAID
**What We Offer You**
 At EY, we’ll develop you with future\-focused skills and equip you with world\-class experiences. We’ll empower you in a flexible environment, and fuel you and your extraordinary talents in a diverse and inclusive culture of globally connected teams. Learn more.
* We offer a comprehensive compensation and benefits package where you’ll be rewarded based on your performance and recognized for the value you bring to the business. The base salary range for this job in all geographic locations in the US is $106,900 to $176,500\. The base salary range for New York City Metro Area, Washington State and California (excluding Sacramento) is $128,400 to $200,600\. Individual salaries within those ranges are determined through a wide variety of factors including but not limited to education, experience, knowledge, skills and geography. In addition, our Total Rewards package includes medical and dental coverage, pension and 401(k) plans, and a wide range of paid time off options.
* Join us in our team\-led and leader\-enabled hybrid model. Our expectation is for most people in external, client serving roles to work together in person 40\-60% of the time over the course of an engagement, project or year.
* Under our flexible vacation policy, you’ll decide how much vacation time you need based on your own personal circumstances. You’ll also be granted time off for designated EY Paid Holidays, Winter/Summer breaks, Personal/Family Care, and other leaves of absence when needed to support your physical, financial, and emotional well\-being.
**Are you ready to shape your future with confidence? Apply today.**
 EY accepts applications for this position on an on\-going basis.
 For those living in California, please click here for additional information.
 EY focuses on high\-ethical standards and integrity among its employees and expects all candidates to demonstrate these qualities.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EY provides equal employment opportunities to applicants and employees without regard to race, color, religion, age, sex, sexual orientation, gender identity/expression, pregnancy, genetic information, national origin, protected veteran status, disability status, or any other legally protected basis, including arrest and conviction records, in accordance with applicable law.
 EY is committed to providing reasonable accommodation to qualified individuals with disabilities including veterans with disabilities. If you have a disability and either need assistance applying online or need to request an accommodation during any part of the application process, please call 1\-800\-EY\-HELP3, select Option 2 for candidate related inquiries, then select Option 1 for candidate queries and finally select Option 2 for candidates with an inquiry which will route you to EY’s Talent Shared Services Team (TSS) or email the TSS at ssc.customersupport@ey.com.</t>
        </is>
      </c>
    </row>
    <row r="54">
      <c r="A54" t="inlineStr">
        <is>
          <t>li-4365320885</t>
        </is>
      </c>
      <c r="B54" t="inlineStr">
        <is>
          <t>Senior AI Engineer</t>
        </is>
      </c>
      <c r="C54" t="inlineStr">
        <is>
          <t>Capital One</t>
        </is>
      </c>
      <c r="D54" t="inlineStr">
        <is>
          <t>linkedin</t>
        </is>
      </c>
      <c r="E54">
        <f>HYPERLINK("https://www.linkedin.com/jobs/view/4365320885", "https://www.linkedin.com/jobs/view/4365320885")</f>
        <v/>
      </c>
      <c r="F54" t="inlineStr"/>
      <c r="G54" t="inlineStr">
        <is>
          <t>McLean, VA</t>
        </is>
      </c>
      <c r="H54" t="inlineStr"/>
      <c r="I54"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5">
      <c r="A55" t="inlineStr">
        <is>
          <t>li-4365323859</t>
        </is>
      </c>
      <c r="B55" t="inlineStr">
        <is>
          <t>Distinguished Machine Learning Engineer - Bank Tech</t>
        </is>
      </c>
      <c r="C55" t="inlineStr">
        <is>
          <t>Capital One</t>
        </is>
      </c>
      <c r="D55" t="inlineStr">
        <is>
          <t>linkedin</t>
        </is>
      </c>
      <c r="E55">
        <f>HYPERLINK("https://www.linkedin.com/jobs/view/4365323859", "https://www.linkedin.com/jobs/view/4365323859")</f>
        <v/>
      </c>
      <c r="F55">
        <f>HYPERLINK("https://dsp.prng.co/HgnkkTb&amp;urlHash=il6V", "https://dsp.prng.co/HgnkkTb&amp;urlHash=il6V")</f>
        <v/>
      </c>
      <c r="G55" t="inlineStr">
        <is>
          <t>Wilmington, DE</t>
        </is>
      </c>
      <c r="H55" t="inlineStr"/>
      <c r="I55" t="inlineStr">
        <is>
          <t>****Overview:****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****Team Description****
 We are seeking a Distinguished Machine Learning Engineer to partner with fraud, risk, data, and platform teams to advance the bank’s proactive fraud prevention strategy, leveraging generative AI technologies to anticipate emerging threats, accelerate insight generation, and enhance decisioning at scale. This role will help shape how GenAI capabilities are responsibly applied across the organization to move from reactive detection to proactive, intelligence\-driven fraud prevention.
****What you’ll do in the role:****
* Deliver ML models and software components that solve challenging business problems in the financial services industry, working in collaboration with the Product, Architecture, Engineering, and Data Science teams
* Provide guidance on the evaluation and adoption of generative AI techniques and tools, including LangChain, LangGraph, LLMs, RAG, MCP, embeddings, vector stores, and model orchestration frameworks.
* Drive the creation and evolution of ML models and software that enable state\-of\-the\-art intelligent systems
* Lead large\-scale ML initiatives with the customer in mind
* Drive adoption of proven generative AI patterns across teams by influencing platform design, standards, and technical direction.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Experience with one or multiple areas of AI technology stack including prompt engineering, guardrails, vector databases/knowledge bases, LLM fine\-tuning, LLM Evaluation.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New York, NY: $293,600 \- $335,100 for Distinguished Machine Learning Engineer
 Philadelphia, PA: $244,700 \- $279,200 for Distinguished Machine Learning Engineer
 Wilmington, DE: $244,700 \- $279,200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6">
      <c r="A56" t="inlineStr">
        <is>
          <t>li-4326672130</t>
        </is>
      </c>
      <c r="B56" t="inlineStr">
        <is>
          <t>Full Stack AI Engineer - Experienced Associate - Commercial Technology &amp; Innovation</t>
        </is>
      </c>
      <c r="C56" t="inlineStr">
        <is>
          <t>PwC</t>
        </is>
      </c>
      <c r="D56" t="inlineStr">
        <is>
          <t>linkedin</t>
        </is>
      </c>
      <c r="E56">
        <f>HYPERLINK("https://www.linkedin.com/jobs/view/4326672130", "https://www.linkedin.com/jobs/view/4326672130")</f>
        <v/>
      </c>
      <c r="F56" t="inlineStr"/>
      <c r="G56" t="inlineStr">
        <is>
          <t>New York, NY</t>
        </is>
      </c>
      <c r="H56" t="inlineStr"/>
      <c r="I56" t="inlineStr">
        <is>
          <t>**Specialty/Competency:** 
 Data Science
**Industry/Sector:** 
 Not Applicable
**Time Type:** 
 Full time
**Travel Requirements:** 
 Up to 40%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Data and Analytics Engineering team you will contribute to the development and implementation of innovative AI solutions. As an Associate you will focus on learning and supporting project tasks while developing your skills to deliver quality work in a fast\-paced environment.
**Responsibilities**
* Assist in the development and execution of innovative AI solutions
* Work with team members to deliver quality outputs
* Analyze data to derive insights and support decision\-making
* Adapt to a fast\-paced environment and changing project needs
* Contribute to team discussions and share ideas for enhancement
* Uphold professional standards and ethical guidelines
* Foster a culture of learning and continuous growth
 What You Must Have
* Bachelor's Degree
* 1 year of experience
 What Sets You Apart
* Master's Degree in Computer Engineering, Data Processing/Analytics/Science, Artificial Intelligence and Robotics, Software Engineering, Computer Science preferred
* Experience in data processing and analytics
* Proficiency in artificial intelligence and robotics
* Skills in software engineering and development
* Knowledge of computer science principles
* Deploying on cloud platforms (AWS, GCP, Azure) and leveraging services such as SageMaker, Vertex AI, or Databricks
* Being Familiar with LLM providers (OpenAI, Anthropic, Meta, etc.)
* Building and integrating multi\-agent frameworks (e.g., LangGraph, LangFlow)
* Designing, training, and deploying machine learning models and Large Language Models (LLMs) into production environments
* Developing scalable, cloud\-native microservices using tools like Docker and Kubernetes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7">
      <c r="A57" t="inlineStr">
        <is>
          <t>li-4365327732</t>
        </is>
      </c>
      <c r="B57" t="inlineStr">
        <is>
          <t>Distinguished Machine Learning Engineer - Bank Tech</t>
        </is>
      </c>
      <c r="C57" t="inlineStr">
        <is>
          <t>Capital One</t>
        </is>
      </c>
      <c r="D57" t="inlineStr">
        <is>
          <t>linkedin</t>
        </is>
      </c>
      <c r="E57">
        <f>HYPERLINK("https://www.linkedin.com/jobs/view/4365327732", "https://www.linkedin.com/jobs/view/4365327732")</f>
        <v/>
      </c>
      <c r="F57">
        <f>HYPERLINK("https://dsp.prng.co/itijI_b&amp;urlHash=nHLl", "https://dsp.prng.co/itijI_b&amp;urlHash=nHLl")</f>
        <v/>
      </c>
      <c r="G57" t="inlineStr">
        <is>
          <t>Philadelphia, PA</t>
        </is>
      </c>
      <c r="H57" t="inlineStr"/>
      <c r="I57" t="inlineStr">
        <is>
          <t>****Overview:****
 As a Capital One Machine Learning Engineer, you'll be providing technical leadership to engineering teams dedicated to productionizing machine learning applications and systems at scale. You’ll participate in the detailed technical design, development, and implementation of machine learning applications using existing and emerging technology platforms. You’ll serve as a technical domain expert in machine learning, guiding machine learning architectural design decisions, developing and reviewing model and application code, and ensuring high availability and performance of our machine learning applications. You'll have the opportunity to continuously learn and apply the latest innovations and best practices in machine learning engineering. You’ll also mentor other engineers and further develop your technical knowledge and skills to keep Capital One at the cutting edge of technology.
****Team Description****
 We are seeking a Distinguished Machine Learning Engineer to partner with fraud, risk, data, and platform teams to advance the bank’s proactive fraud prevention strategy, leveraging generative AI technologies to anticipate emerging threats, accelerate insight generation, and enhance decisioning at scale. This role will help shape how GenAI capabilities are responsibly applied across the organization to move from reactive detection to proactive, intelligence\-driven fraud prevention.
****What you’ll do in the role:****
* Deliver ML models and software components that solve challenging business problems in the financial services industry, working in collaboration with the Product, Architecture, Engineering, and Data Science teams
* Provide guidance on the evaluation and adoption of generative AI techniques and tools, including LangChain, LangGraph, LLMs, RAG, MCP, embeddings, vector stores, and model orchestration frameworks.
* Drive the creation and evolution of ML models and software that enable state\-of\-the\-art intelligent systems
* Lead large\-scale ML initiatives with the customer in mind
* Drive adoption of proven generative AI patterns across teams by influencing platform design, standards, and technical direction.
* Leverage cloud\-based architectures and technologies to deliver optimized ML models at scale
* Optimize data pipelines to feed ML models
* Use programming languages like Python, Scala, C/C\+\+
* Leverage compute technologies such as Dask and RAPIDS
* Evangelize best practices in all aspects of the engineering and modeling lifecycles
* Help recruit, nurture, and retain top engineering talent
****Basic Qualifications:****
* Bachelor’s degree
* At least 10 years of experience designing and building data\-intensive solutions using distributed computing
* At least 6 years of experience programming in C, C\+\+, Python, or Scala
* At least 3 years of experience with the full ML development lifecycle using modern technology in a business critical setting
****Preferred Qualifications:****
* Master's Degree
* 3\+ years of experience designing, implementing, and scaling production\-ready data pipelines that feed ML models
* 2\+ years of experience using Dask, RAPIDS, or in High Performance Computing
* 2\+ years of experience with the PyData ecosystem (NumPy, Pandas, and Scikit\-learn)
* Experience with one or multiple areas of AI technology stack including prompt engineering, guardrails, vector databases/knowledge bases, LLM fine\-tuning, LLM Evaluation.
* Ability to communicate complex technical concepts clearly to a variety of audiences
* ML industry impact through conference presentations, papers, blog posts, or open source contributions
* Ability to attract and develop high\-performing software engineers with an inspiring leadership style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$269,100 \- $307,200 for Distinguished Machine Learning Engineer
 New York, NY: $293,600 \- $335,100 for Distinguished Machine Learning Engineer
 Philadelphia, PA: $244,700 \- $279,200 for Distinguished Machine Learning Engineer
 Wilmington, DE: $244,700 \- $279,200 for Distinguished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8">
      <c r="A58" t="inlineStr">
        <is>
          <t>li-4365329706</t>
        </is>
      </c>
      <c r="B58" t="inlineStr">
        <is>
          <t>Senior AI Engineer (Red Team, LLM, Adversarial Attacks, Prompt Injection, Guardrails, Policy Bypass)</t>
        </is>
      </c>
      <c r="C58" t="inlineStr">
        <is>
          <t>Capital One</t>
        </is>
      </c>
      <c r="D58" t="inlineStr">
        <is>
          <t>linkedin</t>
        </is>
      </c>
      <c r="E58">
        <f>HYPERLINK("https://www.linkedin.com/jobs/view/4365329706", "https://www.linkedin.com/jobs/view/4365329706")</f>
        <v/>
      </c>
      <c r="F58" t="inlineStr"/>
      <c r="G58" t="inlineStr">
        <is>
          <t>San Jose, CA</t>
        </is>
      </c>
      <c r="H58" t="inlineStr"/>
      <c r="I5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9">
      <c r="A59" t="inlineStr">
        <is>
          <t>li-4365319836</t>
        </is>
      </c>
      <c r="B59" t="inlineStr">
        <is>
          <t>Senior AI Engineer (Red Team, LLM, Adversarial Attacks, Prompt Injection, Guardrails, Policy Bypass)</t>
        </is>
      </c>
      <c r="C59" t="inlineStr">
        <is>
          <t>Capital One</t>
        </is>
      </c>
      <c r="D59" t="inlineStr">
        <is>
          <t>linkedin</t>
        </is>
      </c>
      <c r="E59">
        <f>HYPERLINK("https://www.linkedin.com/jobs/view/4365319836", "https://www.linkedin.com/jobs/view/4365319836")</f>
        <v/>
      </c>
      <c r="F59">
        <f>HYPERLINK("https://dsp.prng.co/WwyBQRb&amp;urlHash=tMvU", "https://dsp.prng.co/WwyBQRb&amp;urlHash=tMvU")</f>
        <v/>
      </c>
      <c r="G59" t="inlineStr">
        <is>
          <t>San Francisco, CA</t>
        </is>
      </c>
      <c r="H59" t="inlineStr"/>
      <c r="I5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0">
      <c r="A60" t="inlineStr">
        <is>
          <t>li-4365329699</t>
        </is>
      </c>
      <c r="B60" t="inlineStr">
        <is>
          <t>Senior AI Engineer (Red Team, LLM, Adversarial Attacks, Prompt Injection, Guardrails, Policy Bypass)</t>
        </is>
      </c>
      <c r="C60" t="inlineStr">
        <is>
          <t>Capital One</t>
        </is>
      </c>
      <c r="D60" t="inlineStr">
        <is>
          <t>linkedin</t>
        </is>
      </c>
      <c r="E60">
        <f>HYPERLINK("https://www.linkedin.com/jobs/view/4365329699", "https://www.linkedin.com/jobs/view/4365329699")</f>
        <v/>
      </c>
      <c r="F60" t="inlineStr"/>
      <c r="G60" t="inlineStr">
        <is>
          <t>New York, NY</t>
        </is>
      </c>
      <c r="H60" t="inlineStr"/>
      <c r="I6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61">
      <c r="A61" t="inlineStr">
        <is>
          <t>li-4365336180</t>
        </is>
      </c>
      <c r="B61" t="inlineStr">
        <is>
          <t>Senior AI Engineer (Red Team, LLM, Adversarial Attacks, Prompt Injection, Guardrails, Policy Bypass)</t>
        </is>
      </c>
      <c r="C61" t="inlineStr">
        <is>
          <t>Capital One</t>
        </is>
      </c>
      <c r="D61" t="inlineStr">
        <is>
          <t>linkedin</t>
        </is>
      </c>
      <c r="E61">
        <f>HYPERLINK("https://www.linkedin.com/jobs/view/4365336180", "https://www.linkedin.com/jobs/view/4365336180")</f>
        <v/>
      </c>
      <c r="F61">
        <f>HYPERLINK("https://dsp.prng.co/1yiG4_b&amp;urlHash=w-rQ", "https://dsp.prng.co/1yiG4_b&amp;urlHash=w-rQ")</f>
        <v/>
      </c>
      <c r="G61" t="inlineStr">
        <is>
          <t>Cambridge, MA</t>
        </is>
      </c>
      <c r="H61" t="inlineStr"/>
      <c r="I6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Our AI Foundations team is forming a brand new AI Red Team to focus on adversarial attacks against AI systems, essentially building AI to attack AI so we can make our systems safer and more robust. The team works hands\-on with LLMs, guardrails, prompt injection, policy bypass, and end\-to\-end AI system exploitation across both Internal Foundational and External models. It’s a rare chance to join a team at inception and do deep, impactful work in AI security.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3 years of experience developing AI and ML algorithms or technologies, or a Master's degree in Computer Science, AI, Electrical Engineering, Computer Engineering, or related fields plus at least 1 year of experience developing AI and ML algorithms or technologies
* At least 3 years of experience programming with Python, Go, Scala, or Java
**Preferred Qualifications:**
* 4 years of experience deploying scalable and responsible AI solutions on cloud platforms (e.g. AWS, Google Cloud, Azure, or equivalent private cloud)
* Experience developing, delivering, and supporting AI services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$161,800 \- $184,600 for Senior AI Engineer
 McLean, VA: $161,800 \- $184,600 for Senior AI Engineer
 New York, NY: $176,500 \- $201,400 for Senior AI Engineer
 San Francisco, CA: $176,500 \- $201,400 for Senior AI Engineer
 San Jose, CA: $176,500 \- $201,400 for Senior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2026-01-22T18:25:33Z</dcterms:created>
  <dcterms:modified xsi:type="dcterms:W3CDTF">2026-01-22T18:25:33Z</dcterms:modified>
</cp:coreProperties>
</file>