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in-7dde70af6ab30691</t>
        </is>
      </c>
      <c r="B2" t="inlineStr">
        <is>
          <t>Data Engineer</t>
        </is>
      </c>
      <c r="C2" t="inlineStr">
        <is>
          <t>Halvik</t>
        </is>
      </c>
      <c r="D2" t="inlineStr">
        <is>
          <t>indeed</t>
        </is>
      </c>
      <c r="E2">
        <f>HYPERLINK("https://www.indeed.com/viewjob?jk=7dde70af6ab30691", "https://www.indeed.com/viewjob?jk=7dde70af6ab30691")</f>
        <v/>
      </c>
      <c r="F2">
        <f>HYPERLINK("https://halvik.isolvedhire.com/jobs/1690416-338778.html", "https://halvik.isolvedhire.com/jobs/1690416-338778.html")</f>
        <v/>
      </c>
      <c r="G2" t="inlineStr">
        <is>
          <t>Vienna, VA, US</t>
        </is>
      </c>
      <c r="H2" s="2" t="n">
        <v>46044</v>
      </c>
      <c r="I2"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
Role and Responsibilities
This position supports data engineering for the VISTA (Vehicle Importation Safety and Tracking Application) project at NHTSA. The role focuses on managing large\-scale XML data processing pipelines, PostgreSQL database optimization, and building data reporting solutions from ACE (Automated Commercial Environment) data. This is a specialized mid\-level data engineering role that performs Operations and Maintenance and Development/Modernization/Enhancement work.
Required Skills:
* DatabaseSQL (Expert Level)
* PostgreSQL administration and optimization
* Complex SQL query writing and optimization
* Stored procedure development and debugging (PL/pgSQL)
* Database schema design and normalization
* Understanding of indexes, query plans, and performance tuning Data Processing
* Python 3\.13 for data engineering tasks
* XML parsing and validation at scale
* ETL pipeline design and troubleshooting
* Data quality validation and error handling
* Experience processing millions of records efficiently AWS Services (Working Knowledge)
* RDS PostgreSQL
* S3 for data storage
* Lambda functions for data processing
* SQS for pipeline orchestration
* Basic understanding of AWS data services
ToolsEnvironment
* Git/GitHub Enterprise for version control
* Windows 11 cmd prompt environment
* VS Code with Python extensions
* AWS CLI for database and S3 access
Preferred Skills:
* Experience with data visualization and dashboard creation across multiple platforms (AWS QuickSight, Tableau, Power BI, Python libraries such as matplotlib/plotly)
* Understanding of data visualization best practices and ability to translate business requirements into visual analytics
* Experience with AI/ML model integration and data quality for ML workflows
* Familiarity with AWS Bedrock or similar AI services
* Understanding of document processing and OCR technologies
* Strong analytical and problem\-solving abilities with attention to detail for data quality issues
* Ability to work independently with minimal supervision
* Clear documentation practices and ability to explain technical data issues to non\-technical stakeholders
* Diplomatic communication skills and ability to navigate challenging stakeholder relationships while maintaining project momentum
* **Halvik offers a competitive full benefits package including:**Company\-supported medical, dental, vision, life, STD, and LTD insuranceBenefits include 11 federal holidays and PTOEligible employees may receive performance\-based incentives in recognition of individual and/or team achievements.401(k) with company matchingFlexible Spending Accounts for commuter, medical, and dependent care expensesTuition AssistanceCharitable Contribution matching  
*Halvik Corp is an* *equal opportunity employer. All qualified applicants will receive consideration for employment without regard to race, color, religion, sex, sexual orientation, gender identity, national origin, disability or veteran status.*</t>
        </is>
      </c>
    </row>
    <row r="3">
      <c r="A3" t="inlineStr">
        <is>
          <t>in-184f089edeb3a527</t>
        </is>
      </c>
      <c r="B3" t="inlineStr">
        <is>
          <t>Data Engineer</t>
        </is>
      </c>
      <c r="C3" t="inlineStr">
        <is>
          <t>Numero Data LLC</t>
        </is>
      </c>
      <c r="D3" t="inlineStr">
        <is>
          <t>indeed</t>
        </is>
      </c>
      <c r="E3">
        <f>HYPERLINK("https://www.indeed.com/viewjob?jk=184f089edeb3a527", "https://www.indeed.com/viewjob?jk=184f089edeb3a527")</f>
        <v/>
      </c>
      <c r="F3">
        <f>HYPERLINK("http://www.indeed.com/job/data-engineer-184f089edeb3a527", "http://www.indeed.com/job/data-engineer-184f089edeb3a527")</f>
        <v/>
      </c>
      <c r="G3" t="inlineStr">
        <is>
          <t>Remote, US</t>
        </is>
      </c>
      <c r="H3" s="2" t="n">
        <v>46044</v>
      </c>
      <c r="I3" t="inlineStr">
        <is>
          <t>USC/ GC ONLY,
W2
**Job Overview**  
We are seeking a dynamic and innovative Data Engineer to join our team and drive the development of scalable, high\-performance data solutions. In this role, you will be instrumental in designing, building, and maintaining robust data pipelines and architectures that empower data\-driven decision\-making across the organization. Your expertise will enable seamless integration of diverse data sources, optimize data workflows, and support advanced analytics initiatives. This is an exciting opportunity for a motivated professional eager to leverage cutting\-edge technologies to transform complex data into actionable insights.
**Responsibilities**
* Design, develop, and implement scalable data pipelines using ETL (Extract, Transform, Load) processes to facilitate efficient data flow across various platforms.
* Build and maintain large\-scale data warehouses utilizing tools such as Apache Hive, Hadoop, Spark, and cloud\-based solutions like Azure Data Lake and AWS.
* Collaborate with cross\-functional teams to gather requirements and translate them into effective data models and architectures.
* Manage database systems including Microsoft SQL Server, Oracle, and other relational databases; optimize query performance and ensure data integrity.
* Develop and deploy RESTful APIs for seamless data access and integration with external systems.
* Utilize programming languages such as Python, Java, Bash (Unix shell), VBA, and Shell Scripting to automate workflows and enhance system functionality.
* Support model training, analysis skills development, and looker\-based reporting to provide actionable insights for business stakeholders.
* Implement best practices in database design, data governance, security protocols, and compliance standards within an Agile development environment.
* Conduct analysis of big data sets to identify patterns, trends, and opportunities for process improvements or new product features.
* Stay current with emerging technologies like Informatica, Talend, Linked Data concepts, and cloud platforms such as Azure Data Lake to continually enhance our data infrastructure.
**Experience**
* Proven experience as a Data Engineer or in a similar role with a strong understanding of Big Data ecosystems including Hadoop, Spark, Apache Hive, and related tools.
* Hands\-on expertise with cloud platforms such as AWS or Azure Data Lake for scalable storage solutions.
* Extensive knowledge of SQL databases including Microsoft SQL Server, Oracle, and experience designing efficient database schemas.
* Proficiency in programming languages such as Python and Java for developing data pipelines and automation scripts.
* Familiarity with ETL tools like Talend or Informatica for integrating diverse data sources effectively.
* Experience working within an Agile methodology environment to deliver iterative improvements on complex projects.
* Strong analysis skills with the ability to interpret large datasets using analytics tools like Looker or similar BI platforms.
* Knowledge of RESTful API development for system integration purposes.
* Ability to perform model training tasks and contribute to analytics initiatives that support strategic decision\-making.
* Excellent problem\-solving skills combined with attention to detail in database design and shell scripting tasks. Join us if you're passionate about transforming raw data into strategic assets! Bring your expertise in modern data technologies to a collaborative environment where innovation drives success!
Pay: $70\.00 \- $90\.00 per hour
Work Location: Remote</t>
        </is>
      </c>
    </row>
    <row r="4">
      <c r="A4" t="inlineStr">
        <is>
          <t>in-2f63691c0311bc31</t>
        </is>
      </c>
      <c r="B4" t="inlineStr">
        <is>
          <t>Data Engineer</t>
        </is>
      </c>
      <c r="C4" t="inlineStr">
        <is>
          <t>PiTech Solutions Inc.</t>
        </is>
      </c>
      <c r="D4" t="inlineStr">
        <is>
          <t>indeed</t>
        </is>
      </c>
      <c r="E4">
        <f>HYPERLINK("https://www.indeed.com/viewjob?jk=2f63691c0311bc31", "https://www.indeed.com/viewjob?jk=2f63691c0311bc31")</f>
        <v/>
      </c>
      <c r="F4">
        <f>HYPERLINK("http://www.indeed.com/job/data-engineer-2f63691c0311bc31", "http://www.indeed.com/job/data-engineer-2f63691c0311bc31")</f>
        <v/>
      </c>
      <c r="G4" t="inlineStr">
        <is>
          <t>Durham, NC, US</t>
        </is>
      </c>
      <c r="H4" s="2" t="n">
        <v>46044</v>
      </c>
      <c r="I4" t="inlineStr">
        <is>
          <t>**Job Title: Data Engineer – Oracle Fusion \&amp; Data Platform Integration**
**Location:** Durham, NC (Hybrid)
**Employment Type:** Full\-Time
**About the Role**
Local government municipality is undergoing a transformative modernization of its enterprise systems, including the implementation of Oracle ERP, HCM, and Utility Billing platforms, alongside Fusion Data Intelligence and Fusion Analytics Warehouse (FAW). We are seeking a **Data Engineer** to join our growing data team to help design, build, and extend our citywide data platform.
This role will be instrumental in enabling data extensibility, integrating third\-party systems (e.g., Clariti on Salesforce, Esri GIS), and ensuring robust data governance and security practices across the City’s data ecosystem.
**Key Responsibilities**
* Design and implement ETL/ELT pipelines using Oracle Data Integrator (ODI), Oracle Integration Cloud (OIC), and Fusion Analytics extensibility frameworks.
* Extend and customize Oracle Fusion Analytics data models to support city\-specific reporting and analytics needs.
* Integrate third\-party data sources (e.g., Salesforce, Esri, legacy systems) into the Fusion Analytics Warehouse.
* Collaborate with business analysts, application owners, and data stewards to define data requirements and ensure data quality.
* Implement and enforce data governance policies, metadata management, and data lineage tracking.
* Support the full software development lifecycle (SDLC) for data solutions, including requirements gathering, design, development, testing, deployment, and documentation.
* Ensure data security and compliance with municipal, state, and federal regulations.
* Monitor and optimize data pipelines for performance and reliability.
**Qualifications**
**Required:**
* 5\+ years of experience in data engineering, with a focus on Oracle technologies.
* Strong experience with Oracle Fusion Applications (ERP, HCM, Utilities) and Fusion Analytics Warehouse (FAW).
* Proficiency in Oracle Data Integrator (ODI), Oracle Integration Cloud (OIC), or similar ETL tools.
* Solid understanding of data modeling, SQL, and performance tuning in Oracle environments.
* Experience with data governance frameworks and tools (e.g., Collibra, Informatica, or Oracle Enterprise Metadata Management).
* Familiarity with integrating cloud\-based and on\-premise systems, including Salesforce and Esri GIS.
* Understanding of security best practices for data platforms, including role\-based access control and data masking.
* Experience working in Agile or hybrid SDLC environments.
**Preferred:**
* Experience with Oracle Cloud Infrastructure (OCI) services.
* Knowledge of municipal operations or public sector data domains.
* Familiarity with REST/SOAP APIs and data ingestion from external systems.
Job Type: Full\-time
Pay: Up to $127,000\.00 per year
Benefits:
* 401(k)
* Dental insurance
* Health insurance
* Paid time off
* Vision insurance
Work Location: Hybrid remote in Durham, NC 27709</t>
        </is>
      </c>
    </row>
    <row r="5">
      <c r="A5" t="inlineStr">
        <is>
          <t>in-2e86db449deec039</t>
        </is>
      </c>
      <c r="B5" t="inlineStr">
        <is>
          <t>Data Engineer</t>
        </is>
      </c>
      <c r="C5" t="inlineStr">
        <is>
          <t>NECS (National Energy Control Services, Inc.)</t>
        </is>
      </c>
      <c r="D5" t="inlineStr">
        <is>
          <t>indeed</t>
        </is>
      </c>
      <c r="E5">
        <f>HYPERLINK("https://www.indeed.com/viewjob?jk=2e86db449deec039", "https://www.indeed.com/viewjob?jk=2e86db449deec039")</f>
        <v/>
      </c>
      <c r="F5">
        <f>HYPERLINK("http://www.indeed.com/job/data-engineer-2e86db449deec039", "http://www.indeed.com/job/data-engineer-2e86db449deec039")</f>
        <v/>
      </c>
      <c r="G5" t="inlineStr">
        <is>
          <t>Jasper, IN, US</t>
        </is>
      </c>
      <c r="H5" s="2" t="n">
        <v>46044</v>
      </c>
      <c r="I5" t="inlineStr">
        <is>
          <t>**Company Overview**  
National Energy Control Services, Inc. (NECS) is a dynamic, family\-owned company with over 35 years of experience, headquartered in Jasper Indiana. We specialize in providing tailored fleet services to a diverse range of commercial and government clients across the United States and Canada. Our success stems from a dedicated team committed to delivering exceptional service and fostering long\-term relationships built on trust and shared values.
**Job Summary**  
We are seeking an energetic and detail\-oriented Data Engineer to join our innovative team. In this role, you will be responsible for designing, developing, and maintaining the data architecture for the NECS organization. In this role you will design, build and deploy analytics solutions that impact decision\-making and drive measurable business outcomes. This role will collaborate closely with subject matter experts, business analysts, and technical teams to define and shape NECS’s data strategy.
**Responsibilities**
**Data Architecture \&amp; Engineering**
* Design and maintain data warehouse structures, schemas, models, and supporting pipelines.
* Oversee end‑to‑end data pipeline development, including ingestion, transformation, and storage.
* Build and optimize scalable data pipelines and transformation processes.
**Data Governance \&amp; Quality**
* Ensure data quality, lineage, and security across the entire data lifecycle.
* Implement and monitor data governance standards, lineage tracking, and compliance policies.
**Collaboration \&amp; Strategy**
* Partner with subject matter experts to gather requirements and document data needs.
* Collaborate with cross‑functional teams on analytics solution design.
* Manage partner relationships supporting the Data Transformation strategy.
**Requirements**
* Bachelor’s degree in a related technical field preferred; candidates with demonstrated experience and relevant certifications (e.g., Azure Data Engineer, Databricks, SQL) will also be considered
* Experience with Azure cloud data services including Data Factory, Databricks, ADLS, Synapse, and SQL\-based systems
* Experience with Power BI, Python, and similar analytical tools
* Strong SQL skills and working with large datasets
* Experience working cross\-functional projects with diverse stakeholders and needs
* Experience in Agile/SCRUM product development methodologies
* Proficiency with process\-mapping tools (e.g., Visio, Lucidchart, Miro).
**Characteristics \&amp; Attributes:**
* Strong Analytical and decision\-making skills
* A continuous improvement mindset and ability to lead teams through events to drive and uncover improvements
* Lead with empathy and desire to seek out stakeholder perspectives
* Ability to develop strong relationships with business peers and approach every challenge with a customer\-centric approach
* Strong change management skills and a keen eye to cause and effect relationships of changes
* Ability to influence and gain support from key stakeholders across the organization
* Experience writing user stories and acceptance criteria using industry standard formats
Benefits:
* 401(k) matching
* Dental insurance
* Employee discount
* Flexible schedule
* Health insurance
* Health savings account
* Life insurance
* Paid time off
* Parental leave
* Referral program
* Tuition reimbursement
* Vision insurance
Work Location: In person</t>
        </is>
      </c>
    </row>
    <row r="6">
      <c r="A6" t="inlineStr">
        <is>
          <t>in-098d43034a565be3</t>
        </is>
      </c>
      <c r="B6" t="inlineStr">
        <is>
          <t>ML Engineer/Data Engineer-5</t>
        </is>
      </c>
      <c r="C6" t="inlineStr">
        <is>
          <t>Realign</t>
        </is>
      </c>
      <c r="D6" t="inlineStr">
        <is>
          <t>indeed</t>
        </is>
      </c>
      <c r="E6">
        <f>HYPERLINK("https://www.indeed.com/viewjob?jk=098d43034a565be3", "https://www.indeed.com/viewjob?jk=098d43034a565be3")</f>
        <v/>
      </c>
      <c r="F6">
        <f>HYPERLINK("https://realign-llc.com/careers/job-details/IT80938ML-5", "https://realign-llc.com/careers/job-details/IT80938ML-5")</f>
        <v/>
      </c>
      <c r="G6" t="inlineStr">
        <is>
          <t>McLean, VA, US</t>
        </is>
      </c>
      <c r="H6" s="2" t="n">
        <v>46043</v>
      </c>
      <c r="I6" t="inlineStr">
        <is>
          <t>Job Type: Contract
Job Category: IT
Job Description
**Role: ML Engineer/Data Engineer****Location: Mclean, VA (Hybrid 3 days onsite a week)** **Project overview**
This position is for ML decisioning team that own a platform does which does ML decision for mobile /web properties , does Campaign Arbitration through PV(present value ) to measure the ML scoring and show to UI partners. This team comprises of DE/ SE owns date pipeline /API , feature development of these properties .They are increasing the scope of this project by increasing the team to take on ML engineering hence the need to onboard ML engineer. The team is taking over the existing ML data pipeline own by the data science team/model training pipeline. Team is widespread in NY /Mclean .The team would be responsible to own end to end ML infrastructure. They are moving from Reno fast models to transformers models in later this year  
This role will be responsible for operation \&amp; maintenance of pipelines/built on Quickflow /heads down work on optimization/automation , scaling the infrastructure for additional customer to move discover back to customers /releasing ML models everyweek. They already have 1 Data engineer so this role will be focus on ML engineering side who will be partnering with the DE
Required Skills
DEVOPS ENGINEER
 SENIOR EMAIL SECURITY ENGINEER</t>
        </is>
      </c>
    </row>
    <row r="7">
      <c r="A7" t="inlineStr">
        <is>
          <t>in-25c7d75a03288864</t>
        </is>
      </c>
      <c r="B7" t="inlineStr">
        <is>
          <t>Lead Data Engineer-2</t>
        </is>
      </c>
      <c r="C7" t="inlineStr">
        <is>
          <t>Realign</t>
        </is>
      </c>
      <c r="D7" t="inlineStr">
        <is>
          <t>indeed</t>
        </is>
      </c>
      <c r="E7">
        <f>HYPERLINK("https://www.indeed.com/viewjob?jk=25c7d75a03288864", "https://www.indeed.com/viewjob?jk=25c7d75a03288864")</f>
        <v/>
      </c>
      <c r="F7">
        <f>HYPERLINK("https://realign-llc.com/careers/job-details/IT80989LE-2", "https://realign-llc.com/careers/job-details/IT80989LE-2")</f>
        <v/>
      </c>
      <c r="G7" t="inlineStr">
        <is>
          <t>Sunnyvale, CA, US</t>
        </is>
      </c>
      <c r="H7" s="2" t="n">
        <v>46043</v>
      </c>
      <c r="I7" t="inlineStr">
        <is>
          <t>Job Type: Contract
Job Category: IT
Job Description
**Role: Lead Data Engineer**  
**Location: Sunnyvale, CA (5x/ week onsite)**  
**Duration: 6\-12 months**
**Data Science with Java*** Oracle PL/SQL, Data Migration, Load / Performance testing. Java, Rest API’s
* Build and maintain RESTful APIs using FastAPI, Django REST Framework, and Flask, following established performance, security, and coding standards.
* Develop modular system components and contribute to improving application reliability, performance, and maintainability.
* Assist with data processing and asynchronous workflows using Pandas, NumPy, and frameworks such as Celery or PySpark.
**Role Descriptions:**
mainly looking for Lead Data Engineers with Java knowledge with AWS being nice to have.  
**Essential Skills:** mainly looking for Lead Data Engineers with Java knowledge with AWS being nice to have. Scope includes Understanding the current application\| features and the product Understanding the current data structure and the data (in Oracle database) Collaborate with business\| application team and 3rd party vendors to formulate POC scenarios\| execution plan and data requirements\| etc. Gather all the data required for POC\| anonymizescrub\| format per new SPM product needs. Develop any scripts or code required for data extraction and migration from current infrastructure to new 3rd party SPM product (API based and file transfers) Performance and load testing will be critical part of the POC to evaluate if the new product(s) meet Apples SLA standards Products evaluated will be deployed in SaaS (likely AWS hosted by SPM vendor)\| so SaaS understanding is greatly beneficialGood communication\| analytics thinking and problem solving are must haves to be effective in the role Experience in Sales Performance Management is a big plus\| as space is quite niche and fairly complex  
Desirable Skills:  
Keyword:  
**Skills:** Advanced Java Concepts\~Digital : Google Data Engineering\~PL/SQL  
Experience Required**: 8\-10 years**
Required Skills
CLOUD DEVELOPER
 SQL APPLICATION DEVELOPER</t>
        </is>
      </c>
    </row>
    <row r="8">
      <c r="A8" t="inlineStr">
        <is>
          <t>in-cec294715a8cc54d</t>
        </is>
      </c>
      <c r="B8" t="inlineStr">
        <is>
          <t>Python Developer/Data Engineer</t>
        </is>
      </c>
      <c r="C8" t="inlineStr">
        <is>
          <t>Realign</t>
        </is>
      </c>
      <c r="D8" t="inlineStr">
        <is>
          <t>indeed</t>
        </is>
      </c>
      <c r="E8">
        <f>HYPERLINK("https://www.indeed.com/viewjob?jk=cec294715a8cc54d", "https://www.indeed.com/viewjob?jk=cec294715a8cc54d")</f>
        <v/>
      </c>
      <c r="F8">
        <f>HYPERLINK("https://realign-llc.com/careers/job-details/IT81035PY", "https://realign-llc.com/careers/job-details/IT81035PY")</f>
        <v/>
      </c>
      <c r="G8" t="inlineStr">
        <is>
          <t>Jersey City, NJ, US</t>
        </is>
      </c>
      <c r="H8" s="2" t="n">
        <v>46043</v>
      </c>
      <c r="I8" t="inlineStr">
        <is>
          <t>Job Type: Contract
Job Category: IT
Job Description
**Job Title:** Python Developer/Data Engineer  
**Location –** New York / New Jersey (Hybrid on\-site)  
**Contract \&amp; FTE Both**  
**Must \-** Python Developer/Data Engineer with strong AWS (Glue, Lambda functions), Spark, Oracle / SQL **(Householding program)**
1\. Current system: Legacy older system is with .Net and on\-prem SQL Server
2\. Objective: Plan is to migrate to AWS cloud and rebuild functionality for Commonwealth (new acquisition)
3\. Timeline: Work began in July last year; code is in production in ‘dark mode’ with monthly/bi\-monthly pushes. First go\-live is targeted for Q1 with a subset of users and functionality
4\. Teams: currently 4 to 5 teams exist (about 6 to 8ppl in each team); plan is to scale to about 6 teams; start development in February
5\. The ask:* Need roughly 10 engineers for now; overall slots are around 20; 60/40 onshore/offshore
* Wipro to provide leads who manage delivery without burdening the client
* Python for batch work; Glue (python\+Spark)
* Angular development
* Minimal terraform expected; use existing AWS infrastructure wherever possible
* Quality Engineering is a major pain; can use help here
Skills Needed:\-  
* Python developer for batch work
* AWS Glue, python, Spark
* SQL Server database experience
Required Skills
CLOUD DEVELOPER
 SQL APPLICATION DEVELOPER</t>
        </is>
      </c>
    </row>
    <row r="9">
      <c r="A9" t="inlineStr">
        <is>
          <t>in-5ca898a23b498b56</t>
        </is>
      </c>
      <c r="B9" t="inlineStr">
        <is>
          <t>Data Engineer (AWS+GCP)-1</t>
        </is>
      </c>
      <c r="C9" t="inlineStr">
        <is>
          <t>Realign</t>
        </is>
      </c>
      <c r="D9" t="inlineStr">
        <is>
          <t>indeed</t>
        </is>
      </c>
      <c r="E9">
        <f>HYPERLINK("https://www.indeed.com/viewjob?jk=5ca898a23b498b56", "https://www.indeed.com/viewjob?jk=5ca898a23b498b56")</f>
        <v/>
      </c>
      <c r="F9">
        <f>HYPERLINK("https://realign-llc.com/careers/job-details/IT81006DA-1", "https://realign-llc.com/careers/job-details/IT81006DA-1")</f>
        <v/>
      </c>
      <c r="G9" t="inlineStr">
        <is>
          <t>San Jose, CA, US</t>
        </is>
      </c>
      <c r="H9" s="2" t="n">
        <v>46043</v>
      </c>
      <c r="I9" t="inlineStr">
        <is>
          <t>Job Type: Contract
Job Category: IT
Job Description
**Role: Data Engineer (AWS\+GCP)**
San Jose \-CA  
**Essential Skills: Data Eng AWS Developer**  
**Desirable Skills: Design\| build and maintain ongoing risk metrics\| reports\| analyses and dashboards to drive key business decisions. Identifying areas for improvement and making recommendations for new opportunities to improve customers experience or mitigate potential fraud cases. Plan and execute long\-term projects from start to finish. Work with large amounts of data and build tools to streamline the process. Develop strong partnerships with functional leaders to drive focus on business objectives. Maintain ongoing communication with stakeholders and peers across the company and share updates with senior leaders in a clear manner.** **Data Engineer GCP \| Big Query 6\+ "*** **Relevant Industry Work Experience (6\+ for Dev, 9\+ for Lead)**
* **Experience extracting data from a variety of sources, and a desire to expand those skills (Excellent knowledge in SQL and Spark is mandatory)**
* **Strong knowledge of Google BigQuery and architecting data pipelines from on\-prem to GCP.**
* **Experience building applications using Google Cloud Platform related frameworks such as DataProc and GCS at the minimum.**
* **Excellent Communication Skills to Understand and Pass on Requirements.**
* **Excellent Data Analysis skills. Must be comfortable with querying and analyzing large amounts of data on Hadoop HDFS using Hive and Spark.**
* **Professional experience with a cloud hosting platform (GCP preferred)**
* **GCP certification is preferred**
* **Knowledge of Power BI, Tableau or other BI Tools is preferred.**
* **Experience working with finance / treasury datasets"**
**Keyword:**  
**Skills: Digital : Amazon Web Service(AWS) Cloud Computing\~Digital : Google Data Engineering**  
**Experience Required: 6\-8**
Required Skills
DEVOPS ENGINEER
 SENIOR EMAIL SECURITY ENGINEER</t>
        </is>
      </c>
    </row>
    <row r="10">
      <c r="A10" t="inlineStr">
        <is>
          <t>in-7fef1d06114288be</t>
        </is>
      </c>
      <c r="B10" t="inlineStr">
        <is>
          <t>Data Engineer with Java-2</t>
        </is>
      </c>
      <c r="C10" t="inlineStr">
        <is>
          <t>Realign</t>
        </is>
      </c>
      <c r="D10" t="inlineStr">
        <is>
          <t>indeed</t>
        </is>
      </c>
      <c r="E10">
        <f>HYPERLINK("https://www.indeed.com/viewjob?jk=7fef1d06114288be", "https://www.indeed.com/viewjob?jk=7fef1d06114288be")</f>
        <v/>
      </c>
      <c r="F10">
        <f>HYPERLINK("https://realign-llc.com/careers/job-details/IT80979DA-2", "https://realign-llc.com/careers/job-details/IT80979DA-2")</f>
        <v/>
      </c>
      <c r="G10" t="inlineStr">
        <is>
          <t>Sunnyvale, CA, US</t>
        </is>
      </c>
      <c r="H10" s="2" t="n">
        <v>46043</v>
      </c>
      <c r="I10" t="inlineStr">
        <is>
          <t>Job Type: Contract
Job Category: IT
Job Description
**Role\- Data Engineer with Java****Location: Sunnyvale, CA (5x/ week onsite)**  
**Contract**  
**Experience Required: 8\-10**
Oracle PL/SQL, Data Migration, Load / Performance testing. Java, Rest API’
Build and maintain RESTful APIs using FastAPI, Django REST Framework, and Flask, following established performance, security, and coding standards.
Develop modular system components and contribute to improving application reliability, performance, and maintainability.
Assist with data processing and asynchronous workflows using Pandas, NumPy, and frameworks such as Celery or PySpark.
 **Role Descriptions:**
Mainly looking for Lead Data Engineers with Java knowledge with AWS being nice to have. Scope includes
Understanding the current application\| features and the product
Understanding the current data structure and the data (in Oracle database)Collaborate with business\| application team and 3rd party vendors to formulate POC scenarios\| execution plan and data requirements\| etc.
Gather all the data required for POC\| anonymize scrub\| format per new SPM product needs.
Develop any scripts or code required for data extraction and migration from current infrastructure to new 3rd party SPM product (API based and file transfers)
Performance and load testing will be critical part of the POC to evaluate if the new product(s) meet SLA standards
Products evaluated will be deployed in SaaS (likely AWS hosted by SPM vendor)\| so SaaS understanding is greatly beneficial
Good communication\| analytics thinking and problem solving are must haves to be effective in the role
Experience in Sales Performance Management is a big plus as space is quite niche and fairly complex
 **Keyword Skills:**
Advanced Java Concepts
Digital : Google Data Engineering
PL/SQL
Required Skills
DATA ANALYST</t>
        </is>
      </c>
    </row>
    <row r="11">
      <c r="A11" t="inlineStr">
        <is>
          <t>in-56e9ec80c2c3cf5e</t>
        </is>
      </c>
      <c r="B11" t="inlineStr">
        <is>
          <t>Python Developer/Data Engineer</t>
        </is>
      </c>
      <c r="C11" t="inlineStr">
        <is>
          <t>Realign</t>
        </is>
      </c>
      <c r="D11" t="inlineStr">
        <is>
          <t>indeed</t>
        </is>
      </c>
      <c r="E11">
        <f>HYPERLINK("https://www.indeed.com/viewjob?jk=56e9ec80c2c3cf5e", "https://www.indeed.com/viewjob?jk=56e9ec80c2c3cf5e")</f>
        <v/>
      </c>
      <c r="F11">
        <f>HYPERLINK("https://realign-llc.com/careers/job-details/IT81036PY", "https://realign-llc.com/careers/job-details/IT81036PY")</f>
        <v/>
      </c>
      <c r="G11" t="inlineStr">
        <is>
          <t>New York, NY, US</t>
        </is>
      </c>
      <c r="H11" s="2" t="n">
        <v>46043</v>
      </c>
      <c r="I11" t="inlineStr">
        <is>
          <t>Job Type: Contract
Job Category: IT
Job Description
**Job Title:** Python Developer/Data Engineer  
**Location –** New York / New Jersey (Hybrid on\-site)  
**Contract \&amp; FTE Both**  
**Must \-** Python Developer/Data Engineer with strong AWS (Glue, Lambda functions), Spark, Oracle / SQL **(Householding program)**
1\. Current system: Legacy older system is with .Net and on\-prem SQL Server
2\. Objective: Plan is to migrate to AWS cloud and rebuild functionality for Commonwealth (new acquisition)
3\. Timeline: Work began in July last year; code is in production in ‘dark mode’ with monthly/bi\-monthly pushes. First go\-live is targeted for Q1 with a subset of users and functionality
4\. Teams: currently 4 to 5 teams exist (about 6 to 8ppl in each team); plan is to scale to about 6 teams; start development in February
5\. The ask:* Need roughly 10 engineers for now; overall slots are around 20; 60/40 onshore/offshore
* Wipro to provide leads who manage delivery without burdening the client
* Python for batch work; Glue (python\+Spark)
* Angular development
* Minimal terraform expected; use existing AWS infrastructure wherever possible
* Quality Engineering is a major pain; can use help here
Skills Needed:\-  
* Python developer for batch work
* AWS Glue, python, Spark
* SQL Server database experience
Required Skills
CLOUD DEVELOPER
 SQL APPLICATION DEVELOPER</t>
        </is>
      </c>
    </row>
    <row r="12">
      <c r="A12" t="inlineStr">
        <is>
          <t>in-57328590dc91b01b</t>
        </is>
      </c>
      <c r="B12" t="inlineStr">
        <is>
          <t>Analytics Engineer</t>
        </is>
      </c>
      <c r="C12" t="inlineStr">
        <is>
          <t>Arkatechture</t>
        </is>
      </c>
      <c r="D12" t="inlineStr">
        <is>
          <t>indeed</t>
        </is>
      </c>
      <c r="E12">
        <f>HYPERLINK("https://www.indeed.com/viewjob?jk=57328590dc91b01b", "https://www.indeed.com/viewjob?jk=57328590dc91b01b")</f>
        <v/>
      </c>
      <c r="F12">
        <f>HYPERLINK("https://arkatechture.pinpointhq.com/postings/2556745c-9c6d-40ae-a235-330fd8fe6ce4?utm_medium=job_board&amp;utm_source=indeed", "https://arkatechture.pinpointhq.com/postings/2556745c-9c6d-40ae-a235-330fd8fe6ce4?utm_medium=job_board&amp;utm_source=indeed")</f>
        <v/>
      </c>
      <c r="G12" t="inlineStr">
        <is>
          <t>Remote, US</t>
        </is>
      </c>
      <c r="H12" s="2" t="n">
        <v>46043</v>
      </c>
      <c r="I12" t="inlineStr">
        <is>
          <t>### **Description**
 **Why Work Here?**
At Arkatechture, we have a simple shared mission: to build a sustainable organization built upon three pillars: **Do something meaningful, With a great team, Earning what you deserve.**
Founded in 2012, Arkatechture has grown into a nationally recognized data and technology company, partnering with organizations across the fintech, AI, and financial services spaces. We combine deep industry knowledge with technical expertise to help our clients unlock the full potential of their data. Whether it’s modernizing infrastructure, building analytics platforms, or leveraging AI for smarter decision\-making, we thrive at the intersection of innovation and impact.
Our team is made up of curious, collaborative, and community\-minded professionals who are passionate about solving complex problems and staying ahead of what’s next in data and technology. While our roots are in New England, our reach is nationwide, and we support flexible, remote\-friendly work to match.  
**We offer a competitive benefits package that includes:*** A flexible remote work policy with optional access to our Portland, Maine office
* A 4\-day workweek after 3 years of service
* Generous paid time off, including 11 holidays
* Medical, disability, life insurance, and optional dental/vision
* 401(k) retirement plan with company match
* Training \&amp; certification reimbursement
* Milestone recognition programs, annual PTO increases, and more
All employees share our core values: put the team first, practice humility, take pride in everything we do, stay curious, care for our community \&amp; environment, take work seriously; ourselves not so much.
**The Position**
Arkatechture is seeking candidates for an **Analytics Engineer** to join our Arkalytics Consulting department**.** As an Analytics Engineer, you’ll work directly with our Arkalytics clients to design and deliver tailored data solutions for their unique use cases alongside our BI \&amp; Analytics platform. This role blends the technical and business contexts of analytics, enabling clients to unlock value from their data through well‑modeled, reliable, and scalable datasets and solutions. The ideal candidate for this position is a strong problem solver who can troubleshoot independently, but also a team player who can grow into a subject matter expert within the Arkalytics Consulting team. This is a client\-facing role that requires a candidate with strong communication and analytical skills with a high level of attention to detail.  
You’ll collaborate closely with client stakeholders, as well as our internal product team, to translate requirements into production‑ready data solutions. If you enjoy solving complex data problems and working with clients to help grow and expand their analytics practices and domains, this role is for you!  
***How to Apply***
Please send a cover letter and resume with your application. **You must submit both documents to be considered for the position**. We’re building a diverse team of people who care about doing meaningful work with great people. If that excites you, apply and let’s start the conversation.### **Key Responsibilities**
* Partner directly with clients to understand their business needs, data challenges, and desired outcomes
* Design, build, and maintain production‑grade data models that support client‑specific reporting, analytics, and operational workflows
* Develop and maintain dbt models, tests, documentation, and transformation logic as part of broader client solutions
* Develop, review and test code (SQL, Python, BI tool like Tableau and PowerBI)
* Collaborate with data engineers to ensure upstream data is structured and optimized for downstream use
* Translate client requirements into scalable, well‑documented semantic layers
* Implement data quality checks, testing frameworks, and governance standards across client projects
* Participate in client sessions, including solution design conversations
* Contribute to internal best practices, reusable patterns, and accelerators for future client engagements
* Report work status to team leaders and participate actively in daily standups
* Additional responsibilities as assigned
### **Skills, Knowledge and Expertise**
 **Requirements*** 3\+ years in analytics engineering, data engineering, BI development, or a similar role
* Strong SQL skills and experience building complex, maintainable transformation logic
* Hands‑on experience with dbt (core or Cloud) in a production environment
* Experience with modern cloud data warehouses (Snowflake, BigQuery, Redshift, etc.)
* Familiarity with data modeling concepts
* Experience working directly with clients or stakeholders to gather requirements and deliver solutions
* Strong communication skills and the ability to translate technical concepts into business language
* Experience with Git‑based workflows and collaborative development practices
* Understanding of software engineering best practices (testing, CI/CD, code review)
**Preferred Experience*** Experience with Banking Data and Subject Areas
* Experience with Python for data workflows or automation
* Experience with BI tools (Looker, Tableau, Power BI, Sigma, etc.)
* Experience in consulting or professional services environments
### **About Arkatechture**
**At Arkatechture, we love data — we play with it and learn from it every day, and we want you to love your data, too.**  
We are a data consultation and services company specializing in data quality, visualization, and management, as well as customized enterprise\-level solutions. We work with companies big and small to help solve their data challenges and reveal how they can leverage their data in brand new ways. Need to collect, clean, or visualize your data? We can help.</t>
        </is>
      </c>
    </row>
    <row r="13">
      <c r="A13" t="inlineStr">
        <is>
          <t>in-4d9870e669638b3d</t>
        </is>
      </c>
      <c r="B13" t="inlineStr">
        <is>
          <t>Senior Data Engineer</t>
        </is>
      </c>
      <c r="C13" t="inlineStr">
        <is>
          <t>The Coca-Cola Company</t>
        </is>
      </c>
      <c r="D13" t="inlineStr">
        <is>
          <t>indeed</t>
        </is>
      </c>
      <c r="E13">
        <f>HYPERLINK("https://www.indeed.com/viewjob?jk=4d9870e669638b3d", "https://www.indeed.com/viewjob?jk=4d9870e669638b3d")</f>
        <v/>
      </c>
      <c r="F13">
        <f>HYPERLINK("https://Coca-Cola.contacthr.com/150749970", "https://Coca-Cola.contacthr.com/150749970")</f>
        <v/>
      </c>
      <c r="G13" t="inlineStr">
        <is>
          <t>Atlanta, GA, US</t>
        </is>
      </c>
      <c r="H13" s="2" t="n">
        <v>46043</v>
      </c>
      <c r="I13" t="inlineStr">
        <is>
          <t>**About Us**
CPS (Commercial Products Supply) is a key part of the Advantaged Supply Chain of the Technical Function of The Coca\-Cola Company. CPS manufactures concentrates and beverage bases for sale to bottling partners all over the world. This global organization manages a network of 19 manufacturing plants in 18 different countries along with 2 office locations (Atlanta \&amp; Drogheda, Ireland). CPS also manages complex additional materials supply chains (e.g. juice, coffee, tea, milk, etc.) on behalf of bottling partners.
The **Senior Data Engineer** will be responsible for the design, development, and operational excellence of the CPS data platform across global plant operations and supply networks. This role provides hands\-on technical leadership, architectural ownership, and strategic partnership while remaining actively involved in data engineering, code reviews, and production support. This role enables scalable, reliable, and secure data solutions that support data\-driven decision\-making across global plant operations and supply networks.
**Function Related Activities / Key Responsibilities**
* Serve as the senior\-most individual contributor and subject matter expert for data engineering solutions across CPS
* Own the technical architecture, design decisions, and implementation of the CPS data platform
* Design, develop, and optimize data pipelines using Azure Data Factory (ADF)
* Build and maintain high\-performance, scalable data transformations using PySpark, SQL, and Python
* Actively contribute code and review/approve pull requests, setting quality and engineering standards
* Define, enforce, and evolve data engineering best practices, standards, and architectural patterns
* Partner with CPS stakeholders, plant teams, and analytics partners to translate business needs into technical solutions
* Lead technical design reviews and provide mentorship and guidance to engineers without direct people management
* Ensure data quality, reliability, monitoring, observability, and performance of production data pipelines
* Influence roadmap planning, estimation, and prioritization for data engineering initiatives
* Drive simplification, standardization, and long\-term maintainability of data pipelines
**Functional Skills**
* Expert\-level proficiency in Python, SQL, and PySpark
* Hands\-on experience with Databricks, Snowflake, or similar analytics platforms
* Strong understanding of data warehousing concepts, analytical modeling, and performance optimization
* Expertise in orchestration frameworks such as Azure Data Factory (ADF), AWS Glue, or similar
* Deep understanding of data architecture, ETL/ELT design, and scalable data modeling
* Experience with cloud\-native platforms, CI/CD, and DevOps practices
* Familiarity with data observability, lineage, and monitoring tooling
* Ability to provide technical leadership through code, reviews, and design guidance
* Excellent critical thinking, analytical and problem\-solving skills
**Related Work Experience**
* **5\+ years** of experience in data engineering, analytics engineering, or software engineering
* Experience supporting data platforms for manufacturing, supply chain, or operations environments strongly preferred
* Proven experience designing and scaling **cloud\-based data platforms**, ideally on Microsoft Azure
**Education Requirements**
* Bachelor’s degree in computer science, Engineering, or a related technical field required
* Master’s degree preferred
**Skills**  
Python (Programming Language); Analytics; Business Intelligence (BI); Microsoft Azure; Data Warehousing (DW); Building Architecture; Structured Query Language (SQL); Data Architecture; Programming Languages; PySpark; Data Modeling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Range:$159,600 \- $187,215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14">
      <c r="A14" t="inlineStr">
        <is>
          <t>in-9145194d070cdb24</t>
        </is>
      </c>
      <c r="B14" t="inlineStr">
        <is>
          <t>Lead Data Engineer</t>
        </is>
      </c>
      <c r="C14" t="inlineStr"/>
      <c r="D14" t="inlineStr">
        <is>
          <t>indeed</t>
        </is>
      </c>
      <c r="E14">
        <f>HYPERLINK("https://www.indeed.com/viewjob?jk=9145194d070cdb24", "https://www.indeed.com/viewjob?jk=9145194d070cdb24")</f>
        <v/>
      </c>
      <c r="F14">
        <f>HYPERLINK("https://www.disneycareers.com/job/-/-/391/90824540272", "https://www.disneycareers.com/job/-/-/391/90824540272")</f>
        <v/>
      </c>
      <c r="G14" t="inlineStr">
        <is>
          <t>Santa Monica, CA, US</t>
        </is>
      </c>
      <c r="H14" s="2" t="n">
        <v>46043</v>
      </c>
      <c r="I14"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**Job Summary:**
The Search Machine Learning (ML) team powers the ML aspects of search engines for Disney\+ platform, in a highly collaborative environment. ML\-based services are embedded inside the entire life cycle of search journey, from query understanding, semantic retrieval, and engagement\-based re\-ranking of contents. Working closely with our product stakeholders, we are constantly testing new ideas, and bringing the proven ones into fruition, through experimentation.
In this role, you will be leading the data operation aspects of our ML services, from data warehousing, building and owning ETL pipelines, and standing up feature stores for low\-latency feature access to our ML micro\-services. This is a highly collaborative role, where you will be able to own the entire lifecycle of data pipelines, communicate your requirements with upstream DATA teams, bring your data engineering skills and ideas into life by engineering efficient data pipelines, and help supporting the feature requirements by the ML engineers/data scientists.
**Responsibilities and Duties of the Role:**
* Design, own, and optimize our offline (Spark) and near\-line (Kinesis, Kafka) data pipelines.
* Stand up scalable and performant online feature stores; build SDKs around both customized and provisioned feature stores.
* Integrate online feature stores with the ML service layer to enable real\-time model inference and data serving.
* Scope data lineage dependencies and participate in cross\-team data model design for upstream and downstream systems.
* Mentor junior data engineers on best practices for testing, validation, and deployment of ETL jobs, including pipeline and feature set versioning, and promoting code from non\-prod to prod environments.
**Required Education, Experience/Skills/Training:**
Basic Qualifications
* 7\+ years of data engineering experience, with 2\+ years of relevant Feature Store experience
* Experience with design trade\-offs for low\-latency online feature stores
* Hands\-on experience with sagemaker/Redis or any other equivalent online Feature Stores
* Experience with large\-scale distributed data processing systems, such as Spark, Hadoop, Ray
Preferred Qualifications
* Familiarity with vector databases such as Faiss, Pinecone, Milvus, mongoDB, Qdrant
* Experience building streaming pipelines using Kafka, Kinesis
Required Education
* Bachelor's (MS or PhD preferred) in Computer Science, Software Engineering, or a related field
The hiring range for this position in Santa Monica, CA is $155,700 \- $208,700 per year and in New York City is $163,100 \- $218,700 per year and in San Francisco, CA is $170,500 \- $228,600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5">
      <c r="A15" t="inlineStr">
        <is>
          <t>in-738fb71bdaab1b7e</t>
        </is>
      </c>
      <c r="B15" t="inlineStr">
        <is>
          <t>Data Engineer - Cloud (Databricks)</t>
        </is>
      </c>
      <c r="C15" t="inlineStr">
        <is>
          <t>InfoCepts</t>
        </is>
      </c>
      <c r="D15" t="inlineStr">
        <is>
          <t>indeed</t>
        </is>
      </c>
      <c r="E15">
        <f>HYPERLINK("https://www.indeed.com/viewjob?jk=738fb71bdaab1b7e", "https://www.indeed.com/viewjob?jk=738fb71bdaab1b7e")</f>
        <v/>
      </c>
      <c r="F15">
        <f>HYPERLINK("https://infotalent.infocepts.com/infocepts/jobview/cloud-data-engineer-35060-usa-big-data-aws-2023092712243826?id=367005", "https://infotalent.infocepts.com/infocepts/jobview/cloud-data-engineer-35060-usa-big-data-aws-2023092712243826?id=367005")</f>
        <v/>
      </c>
      <c r="G15" t="inlineStr">
        <is>
          <t>NJ, US</t>
        </is>
      </c>
      <c r="H15" s="2" t="n">
        <v>46043</v>
      </c>
      <c r="I15" t="inlineStr">
        <is>
          <t>**Position:** Data Engineer \- Cloud (Databricks)
**Location:** Remote
**Type of Employment:** Full\-Time
**Purpose of the Position:**
We are seeking a highly skilled Cloud Data Engineer with deep expertise in Databricks and modern cloud platforms such as AWS, Azure, or GCP. This role is ideal for professionals who are passionate about building next\-generation data platforms, optimizing complex data workflows, and enabling advanced analytics and AI in cloud\-native environments. You’ll have the opportunity to work with Fortune\-500 organizations in data and analytics, helping them unlock the full potential of their data through innovative, scalable solutions.
**Key Result Areas and Activities:**
* Design and implement robust, scalable data engineering solutions.
* Build and optimize data pipelines using Databricks, including serverless capabilities, Unity Catalog, and Mosaic AI.
* Collaborate with analytics and AI teams to enable real\-time and batch data workflows.
* Support and improve cloud\-native data platforms (AWS, Azure, GCP).
* Ensure adherence to best practices in data modeling, warehousing, and governance.
* Contribute to automation of data workflows using CI/CD, DevOps, or DataOps practices.
* Implement and maintain workflow orchestration tools like Apache Airflow and dbt.
**Essential Skills**
* 4\+ years of experience in data engineering with a focus on scalable solutions.
* Strong hands\-on experience with Databricks in a cloud environment.
* Proficiency in Spark and Python for data processing.
* Solid understanding of data modeling, data warehousing, and architecture principles.
* Experience working with at least one major cloud provider (AWS, Azure, or GCP).
* Familiarity with CI/CD pipelines and data workflow automation.
**Desirable Skills:**
* Direct experience with Unity Catalog and Mosaic AI within Databricks.
* Working knowledge of DevOps/DataOps principles in a data engineering context.
* Exposure to Apache Airflow, dbt, and modern data orchestration frameworks.
**Qualifications:**
* Bachelor’s or Master’s degree in Computer Science, Data Engineering, Information Systems, or a related field.
* Relevant certifications in cloud platforms (AWS/Azure/GCP) or Databricks are a plus.
**Qualities:**
* Able to consult, write, and present persuasively.
* Able to work in a self\-organized and cross\-functional team.
* Able to iterate based on new information, peer reviews, and feedback.
* Able to work seamlessly with clients across multiple geographies.
* Research focused mindset.
* Excellent analytical, presentation, reporting, documentation and interactive skills.
"Infocepts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**Years Of Exp**4 to 8 years
**Location**New Jersey, USA</t>
        </is>
      </c>
    </row>
    <row r="16">
      <c r="A16" t="inlineStr">
        <is>
          <t>in-c46eeb02ce4401ed</t>
        </is>
      </c>
      <c r="B16" t="inlineStr">
        <is>
          <t>Senior Data Engineer</t>
        </is>
      </c>
      <c r="C16" t="inlineStr">
        <is>
          <t>General Electric Credit Union</t>
        </is>
      </c>
      <c r="D16" t="inlineStr">
        <is>
          <t>indeed</t>
        </is>
      </c>
      <c r="E16">
        <f>HYPERLINK("https://www.indeed.com/viewjob?jk=c46eeb02ce4401ed", "https://www.indeed.com/viewjob?jk=c46eeb02ce4401ed")</f>
        <v/>
      </c>
      <c r="F16">
        <f>HYPERLINK("https://www.gecreditunion.org/about/gecu/who-we-are/careers/open-positions?gnk=job&amp;gni=8a7883ac9881bb700198e7a5196c3c7a&amp;gns=Indeed+Free", "https://www.gecreditunion.org/about/gecu/who-we-are/careers/open-positions?gnk=job&amp;gni=8a7883ac9881bb700198e7a5196c3c7a&amp;gns=Indeed+Free")</f>
        <v/>
      </c>
      <c r="G16" t="inlineStr">
        <is>
          <t>Cincinnati, OH, US</t>
        </is>
      </c>
      <c r="H16" s="2" t="n">
        <v>46043</v>
      </c>
      <c r="I16" t="inlineStr">
        <is>
          <t>**Senior Data Engineer**  
General Electric Credit Union is a not\-for\-profit, member\-owned full service financial institution headquartered in Cincinnati with branches in Ohio and Kentucky. At GECU, we pride ourselves on maintaining quality service, being an employee\-friendly workplace, and developing our team members while teaching you the skills to lead you to career advancement opportunities.  
**Overview:**
The Senior Data Engineer will play a key role in developing and optimizing GECU's data infrastructure to support the organization's data\-driven initiatives. The Senior Data Engineer will be designing, building, and maintaining scalable data pipelines and systems, working with the data and development team
**Essential Responsibilities:**
* Design, implement, and maintain robust, scalable, and high\-performance data pipelines and ETL processes to collect, process, and store large volumes of structured and unstructured data.
* Collaborate with cross\-functional teams to understand data requirements and translate them into technical solutions.
* Develop and maintain data warehouse and data lake solutions, ensuring data quality, integrity, and reliability.
* Optimize data pipelines and ETL processes for performance, efficiency, and cost\-effectiveness, utilizing best practices and technologies.
* Implement data governance and security measures to ensure compliance with regulatory requirements and data privacy standards.
* Troubleshoot and resolve issues related to data processing, data quality, and system performance in a timely manner.
* Evaluate and recommend new technologies, tools, and frameworks to enhance the organization's data infrastructure and capabilities.
* Document technical specifications, data lineage, and system architecture to facilitate knowledge sharing and collaboration.
* Collaborate with other key data employees to maintain and publish data definitions and data catalogue.
* Stay up to date with industry trends and emerging technologies in data engineering and analytics.
**Education and Experience:**
* High school diploma, or GED required; Bachelor's degree in Computer Science, Engineering, or related field; Master's degree is a plus.
* Minimum 6 years' experience in Data Engineering; working with data warehousing concepts, database technologies (e.g., SQL, NoSQL), and distributed computing architectures.
* Experience with Snowflake Data Warehouse preferred
**Knowledge, Skills, and Abilities:**
* Strong programming skills in languages such as Python, Java, Scala, or SQL, with experience in data manipulation, transformation, and analysis.
* Knowledge of cloud platforms such as AWS, Azure, or Google Cloud Platform.
* Extensive knowledge of data modeling, schema design, and optimization techniques for relational and non\-relational databases.
* Excellent problem\-solving and troubleshooting skills, with the ability to diagnose and resolve complex technical issues.
* Strong communication and collaboration skills, with the ability to work effectively in a team environment and interact with stakeholders at all levels.
* Ability to perform independently and competently to accomplish necessary deliverables accurately and on time.
* Ability to assist and mentor Junior Data Engineers
**At GECU, we want to support your wellbeing by offering a wide range of benefits:**
* Health, Dental and Vision insurance
* Life and Disability insurance options
* Paid Time Off starts accruing once hired and take your birthday off \-paid
* 401k Retirement plan with up to a 10% match of your base gross compensation
* Tuition reimbursement opportunities \&amp; professional development
* Volunteer opportunities \-and earn additional PTO hours!
* On\-site clinics for Vaccines and Mammograms
 **And many more!**  
Come join **GECU** as we are a curated culture of respect, understanding, and mutual recognition. We believe forming bonds and connecting with each other only stands to strengthen the service we provide to our members in our mission of improving the Quality of Financial lives!  
*General Electric Credit Union is an Equal Opportunity Employer*</t>
        </is>
      </c>
    </row>
    <row r="17">
      <c r="A17" t="inlineStr">
        <is>
          <t>in-83c040d501c838fa</t>
        </is>
      </c>
      <c r="B17" t="inlineStr">
        <is>
          <t>Lead Data Engineer</t>
        </is>
      </c>
      <c r="C17" t="inlineStr">
        <is>
          <t>Capital One</t>
        </is>
      </c>
      <c r="D17" t="inlineStr">
        <is>
          <t>indeed</t>
        </is>
      </c>
      <c r="E17">
        <f>HYPERLINK("https://www.indeed.com/viewjob?jk=83c040d501c838fa", "https://www.indeed.com/viewjob?jk=83c040d501c838fa")</f>
        <v/>
      </c>
      <c r="F17">
        <f>HYPERLINK("https://www.capitalonecareers.com/job/-/-/1732/90831746272", "https://www.capitalonecareers.com/job/-/-/1732/90831746272")</f>
        <v/>
      </c>
      <c r="G17" t="inlineStr">
        <is>
          <t>Plano, TX, US</t>
        </is>
      </c>
      <c r="H17" s="2" t="n">
        <v>46042</v>
      </c>
      <c r="I17"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in-c82e6f839799c707</t>
        </is>
      </c>
      <c r="B18" t="inlineStr">
        <is>
          <t>Advanced Data Engineer - Assortment Analytics Tech Lead</t>
        </is>
      </c>
      <c r="C18" t="inlineStr"/>
      <c r="D18" t="inlineStr">
        <is>
          <t>indeed</t>
        </is>
      </c>
      <c r="E18">
        <f>HYPERLINK("https://www.indeed.com/viewjob?jk=c82e6f839799c707", "https://www.indeed.com/viewjob?jk=c82e6f839799c707")</f>
        <v/>
      </c>
      <c r="F18">
        <f>HYPERLINK("https://ars2.equest.com/?response_id=cdd4092997f272b919c385105fc89051", "https://ars2.equest.com/?response_id=cdd4092997f272b919c385105fc89051")</f>
        <v/>
      </c>
      <c r="G18" t="inlineStr">
        <is>
          <t>Blue Ash, OH, US</t>
        </is>
      </c>
      <c r="H18" s="2" t="n">
        <v>46042</v>
      </c>
      <c r="I18" t="inlineStr">
        <is>
          <t>The Advanced Data Engineer \- Assortment Analytics Tech Lead will lead our assortment data platform strategy for merchandising analytics using Databricks, Unity Catalog \&amp; AI/ML. You'll architect and build solutions that directly impact key assortment planning and execution in merchandizing.  
* Build world\-class analytics capabilities with Databricks/PowerBI
* Implement AI\-driven assortment optimization \&amp; demand forecasting
* Design data governance for self\-service merchandising analytics
* Develop agentic AI workflows for automated insights \&amp; recommendations
* Lead a team of data engineers, PowerBI developers and analysts
Accountable for leading activities that create deliverables to guide the direction, development, and delivery of technological responses to targeted business outcomes. Provide facilitation, analysis and design tasks required for the development of an enterprise's data and information architecture, focusing on data as an asset for the enterprise. Develop reusable standards, design patterns, guidelines, and configurations to evolve the technical infrastructure related to data and information across the enterprise, including direct collaboration with 84\.51\. Demonstrate the company's core values of respect, honesty, integrity, diversity, inclusion and safety.From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
Whether you're seeking a part\-time position or a new career path, we've got a fresh opportunity for you. Apply today to become part of our Kroger family!
**What you'll receive from us:**
**The Kroger Family of Companies offers comprehensive benefits to support your Associate Well\-Being, including Physical, Emotional, Financial and more. We'll help you thrive, with access to:**  
* A wide range of healthcare coverage, including affordable, comprehensive medical, dental, vision and prescription coverage, through company plans or collective bargaining agreement plans.
* Flexible scheduling in full\- and part\-time roles with paid time off, including holiday and sick pay based on eligibility and length of service.
* Emotional and financial support with free counseling through our Employee Assistance Program and free, confidential financial tools and coaching with Goldman Sachs Ayco.
* Valuable associate discounts on purchases, including food, travel, technology and so much more.
* Up to $21,000 in tuition reimbursement over your career, through our industry\-leading Continuing Education program.
* Vast potential for growth, through an abundance of industry\-leading training programs and diverse career pathways.
**For more information about benefits and eligibility, please visit** **our Benefits Page** **!** **Minimum**  
* Bachelor's Degree computer science, or software engineering, or related field
* Any experience defining evolutionary data solutions and underlying technologies
* 7\+ years successful and applicable experience taking a lead role in building complex data solutions that have been successfully delivered to customers
* 7\+ years proven track record of designing and delivering large scale, high quality operational or analytical data systems
* 7\+ years successful and applicable hands on experience in the data development and principles including end\-to\-end design patterns
* Demonstrated written and oral communication skills
* Knowledge in a minimum of two of the following technical disciplines: data warehousing, data management, analytics development, data science, application programming interfaces (APIs), data integration, cloud, servers and storage, and database management
* Strong knowledge of industry trends and industry competition
* Basic understanding of network and data security architecture
**Desired**  
* Any experience building solutions using elastic architectures (preferably Microsoft Azure and Google Cloud Platform)
* Any experience with data science solutions or platforms
* Any experience with operational data science, machine learning or artificial intelligence solutions
* Any experience with a variety of SQL, NoSQL and Big Data Platforms
* 8\+ years data platform experience (3\+ years Databricks)
* Strong Python/SQL \+ retail/merchandising data expertise
* ML/AI model development \&amp; deployment experience
* Experience with PowerBI integration \&amp; dimensional modeling
* Databricks \&amp; cloud platform certifications (or willingness to obtain)
* Participate in the development and communication of data strategy and roadmaps across the technology organization to support project portfolio and business strategy
* Participate in, and drive, the development and communication of enterprise standards for data domains and data solutions, focusing on simplified integration and streamlined operational and analytical uses
* Provide technical leadership to ensure clarity between ongoing projects, including direct collaboration with 84\.51
* Drive digital innovation by leveraging innovative new technologies and approaches to renovate, extend, and transform the existing core data assets, including SQL\-based, NoSQL\-based, and Cloud\-based data platforms
* Define high\-level migration plans to address the gaps between the current and future state
* Present opportunities with cost/benefit analysis to leadership to shape sound architectural decisions
* Lead the analysis of the technology environment to detect critical deficiencies and recommend solutions for improvement
* Mentor team members in data principles, patterns, processes and practices
* Promote the reuse of data assets, including the management of the data catalog for reference
* Draft and review architectural diagrams, interface specifications and other design documents
* Must be able to perform the essential job functions of this position with or without reasonable accommodation</t>
        </is>
      </c>
    </row>
    <row r="19">
      <c r="A19" t="inlineStr">
        <is>
          <t>in-7795caca1a70c5dd</t>
        </is>
      </c>
      <c r="B19" t="inlineStr">
        <is>
          <t>Data Engineer, Denied Party Screening, AWS Compliance &amp; Security Assurance</t>
        </is>
      </c>
      <c r="C19" t="inlineStr">
        <is>
          <t>Amazon.com</t>
        </is>
      </c>
      <c r="D19" t="inlineStr">
        <is>
          <t>indeed</t>
        </is>
      </c>
      <c r="E19">
        <f>HYPERLINK("https://www.indeed.com/viewjob?jk=7795caca1a70c5dd", "https://www.indeed.com/viewjob?jk=7795caca1a70c5dd")</f>
        <v/>
      </c>
      <c r="F19">
        <f>HYPERLINK("https://www.amazon.jobs/jobs/3160403/data-engineer-denied-party-screening-aws-compliance--security-assurance?cmpid=DA_INAD200785B", "https://www.amazon.jobs/jobs/3160403/data-engineer-denied-party-screening-aws-compliance--security-assurance?cmpid=DA_INAD200785B")</f>
        <v/>
      </c>
      <c r="G19" t="inlineStr">
        <is>
          <t>Dallas, TX, US</t>
        </is>
      </c>
      <c r="H19" s="2" t="n">
        <v>46029</v>
      </c>
      <c r="I1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0">
      <c r="A20" t="inlineStr">
        <is>
          <t>in-7a365b08dcae2ceb</t>
        </is>
      </c>
      <c r="B20" t="inlineStr">
        <is>
          <t>Data Engineer, Denied Party Screening, AWS Compliance &amp; Security Assurance</t>
        </is>
      </c>
      <c r="C20" t="inlineStr">
        <is>
          <t>Amazon.com</t>
        </is>
      </c>
      <c r="D20" t="inlineStr">
        <is>
          <t>indeed</t>
        </is>
      </c>
      <c r="E20">
        <f>HYPERLINK("https://www.indeed.com/viewjob?jk=7a365b08dcae2ceb", "https://www.indeed.com/viewjob?jk=7a365b08dcae2ceb")</f>
        <v/>
      </c>
      <c r="F20">
        <f>HYPERLINK("https://www.amazon.jobs/jobs/3160403/data-engineer-denied-party-screening-aws-compliance--security-assurance?cmpid=DA_INAD200785B", "https://www.amazon.jobs/jobs/3160403/data-engineer-denied-party-screening-aws-compliance--security-assurance?cmpid=DA_INAD200785B")</f>
        <v/>
      </c>
      <c r="G20" t="inlineStr">
        <is>
          <t>Seattle, WA, US</t>
        </is>
      </c>
      <c r="H20" s="2" t="n">
        <v>46029</v>
      </c>
      <c r="I2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1">
      <c r="A21" t="inlineStr">
        <is>
          <t>in-e1d0ae2be3d6d093</t>
        </is>
      </c>
      <c r="B21" t="inlineStr">
        <is>
          <t>Data Engineer</t>
        </is>
      </c>
      <c r="C21" t="inlineStr">
        <is>
          <t>Amazon.com</t>
        </is>
      </c>
      <c r="D21" t="inlineStr">
        <is>
          <t>indeed</t>
        </is>
      </c>
      <c r="E21">
        <f>HYPERLINK("https://www.indeed.com/viewjob?jk=e1d0ae2be3d6d093", "https://www.indeed.com/viewjob?jk=e1d0ae2be3d6d093")</f>
        <v/>
      </c>
      <c r="F21">
        <f>HYPERLINK("https://www.amazon.jobs/jobs/3141339/data-engineer?cmpid=DA_INAD200785B", "https://www.amazon.jobs/jobs/3141339/data-engineer?cmpid=DA_INAD200785B")</f>
        <v/>
      </c>
      <c r="G21" t="inlineStr">
        <is>
          <t>Seattle, WA, US</t>
        </is>
      </c>
      <c r="H21" s="2" t="n">
        <v>46001</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in-99d8d4c7e11e621f</t>
        </is>
      </c>
      <c r="B22" t="inlineStr">
        <is>
          <t>Data Engineer</t>
        </is>
      </c>
      <c r="C22" t="inlineStr">
        <is>
          <t>Amazon.com</t>
        </is>
      </c>
      <c r="D22" t="inlineStr">
        <is>
          <t>indeed</t>
        </is>
      </c>
      <c r="E22">
        <f>HYPERLINK("https://www.indeed.com/viewjob?jk=99d8d4c7e11e621f", "https://www.indeed.com/viewjob?jk=99d8d4c7e11e621f")</f>
        <v/>
      </c>
      <c r="F22">
        <f>HYPERLINK("https://www.amazon.jobs/jobs/3141339/data-engineer?cmpid=DA_INAD200785B", "https://www.amazon.jobs/jobs/3141339/data-engineer?cmpid=DA_INAD200785B")</f>
        <v/>
      </c>
      <c r="G22" t="inlineStr">
        <is>
          <t>San Francisco, CA, US</t>
        </is>
      </c>
      <c r="H22" s="2" t="n">
        <v>46001</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in-f9c944d11d356322</t>
        </is>
      </c>
      <c r="B23" t="inlineStr">
        <is>
          <t>Delivery Consultant - Data Engineer, Data and Machine Learning, WWPS US Federal</t>
        </is>
      </c>
      <c r="C23" t="inlineStr">
        <is>
          <t>Amazon Web Services</t>
        </is>
      </c>
      <c r="D23" t="inlineStr">
        <is>
          <t>indeed</t>
        </is>
      </c>
      <c r="E23">
        <f>HYPERLINK("https://www.indeed.com/viewjob?jk=f9c944d11d356322", "https://www.indeed.com/viewjob?jk=f9c944d11d356322")</f>
        <v/>
      </c>
      <c r="F23">
        <f>HYPERLINK("https://www.amazon.jobs/jobs/3134583/delivery-consultant--data-engineer-data-and-machine-learning-wwps-us-federal?cmpid=DA_INAD200785B", "https://www.amazon.jobs/jobs/3134583/delivery-consultant--data-engineer-data-and-machine-learning-wwps-us-federal?cmpid=DA_INAD200785B")</f>
        <v/>
      </c>
      <c r="G23" t="inlineStr">
        <is>
          <t>Arlington, VA, US</t>
        </is>
      </c>
      <c r="H23" s="2" t="n">
        <v>45991</v>
      </c>
      <c r="I2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in-5f86e50607b3abe7</t>
        </is>
      </c>
      <c r="B24" t="inlineStr">
        <is>
          <t>Delivery Consultant - Data Engineer, Data and Machine Learning, WWPS US Federal</t>
        </is>
      </c>
      <c r="C24" t="inlineStr">
        <is>
          <t>Amazon Web Services</t>
        </is>
      </c>
      <c r="D24" t="inlineStr">
        <is>
          <t>indeed</t>
        </is>
      </c>
      <c r="E24">
        <f>HYPERLINK("https://www.indeed.com/viewjob?jk=5f86e50607b3abe7", "https://www.indeed.com/viewjob?jk=5f86e50607b3abe7")</f>
        <v/>
      </c>
      <c r="F24">
        <f>HYPERLINK("https://www.amazon.jobs/jobs/3134583/delivery-consultant--data-engineer-data-and-machine-learning-wwps-us-federal?cmpid=DA_INAD200785B", "https://www.amazon.jobs/jobs/3134583/delivery-consultant--data-engineer-data-and-machine-learning-wwps-us-federal?cmpid=DA_INAD200785B")</f>
        <v/>
      </c>
      <c r="G24" t="inlineStr">
        <is>
          <t>Herndon, VA, US</t>
        </is>
      </c>
      <c r="H24" s="2" t="n">
        <v>45991</v>
      </c>
      <c r="I2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li-4365331617</t>
        </is>
      </c>
      <c r="B2" t="inlineStr">
        <is>
          <t>Data Engineer</t>
        </is>
      </c>
      <c r="C2" t="inlineStr">
        <is>
          <t>Elder Research</t>
        </is>
      </c>
      <c r="D2" t="inlineStr">
        <is>
          <t>linkedin</t>
        </is>
      </c>
      <c r="E2">
        <f>HYPERLINK("https://www.linkedin.com/jobs/view/4365331617", "https://www.linkedin.com/jobs/view/4365331617")</f>
        <v/>
      </c>
      <c r="F2" t="inlineStr"/>
      <c r="G2" t="inlineStr">
        <is>
          <t>Arlington, VA</t>
        </is>
      </c>
      <c r="H2" t="inlineStr"/>
      <c r="I2" t="inlineStr">
        <is>
          <t>**General Information**
**Requisition \#** 
 643
**Locations** 
 USA\-VA\-Arlington \- Hybrid, USA\-DC\-Washington \- Hybrid, USA\-MD\-Maryland \- Hybrid, USA\-VA\-Virginia \- Hybrid, USA \- Remote \- Eastern Time Zone
**Posting Date** 
 01/22/2026
**Security Clearance Required** 
 \- Active IRS Public Trust w/ Background Investigation
**Remote Type** 
 Onsite/Hybrid
**Time Type** 
 Full time
**Description \&amp; Requirements**
 As a Data Engineer, you will support the Internal Revenue Service’s mission to combat tax fraud, identity theft, and non\-compliance by designing and delivering secure, scalable, and automated data pipelines that power advanced analytics, machine learning models, and decision\-support tools.
 You will work directly with IRS stakeholders, program managers, data scientists, and technical teams to translate complex business and compliance needs into reliable data engineering solutions. Your work will enable fraud detection, audit prioritization, refund review, and compliance risk analysis across large, sensitive tax and financial datasets.
 This role sits within an analytics\-focused business unit supporting IRS enforcement, compliance, and research initiatives, partnering closely with data science and analytics teams to ensure data products are production\-ready, trustworthy, and mission\-aligned.
**Responsibilities Include But Are Not Limited To**
* Troubleshoot and resolve complex data and system issues across cross\-functional and mission\-critical environments with minimal supervision
* Engineer solutions that integrate diverse data types, including transactional, financial, and textual data, to support compliance and fraud analytics
* Collaborate with data scientists and stakeholders to deploy analytics applications, dashboards, and decision\-support tools
* Write, test, and refine reusable, well\-documented code in Python, SQL, Java, and other languages using collaborative development practices
* Build and maintain secure, scalable data pipelines and end\-to\-end systems, including operation within air\-gapped or restricted government environments
* Support the full engineering lifecycle, from concept and design through deployment, monitoring, and ongoing support
* Produce technical documentation and deliver briefings or presentations to technical and non\-technical audiences
* Act as a technical consultant, translating business, compliance, and enforcement needs into effective data solutions
**Minimum Qualifications**
* 2\-7\+ years of experience in data science, analytics, or a related technical field
* Prior programming experience, preferably in Python, including data
* Design, build, and deploy robust, repeatable, and automated data pipelines using Python, SQL to transform raw data into analytics and ML\-ready datasets
* Bachelor of Science degree in a relevant field such as statistics, computer science, economics, mathematics, analytics, data science, data engineering, business, or social sciences
* Engineer data pipelines that support fraud detection, compliance analytics, and predictive risk modeling across structured and unstructured data sources in Databricks
* Develop and maintain end\-to\-end machine learning data workflows across on\-premises and cloud environments, integrating backend systems with analytics platforms and user\-facing applications
* Partner closely with data scientists, analysts, product managers, and government stakeholders to align data engineering solutions with IRS mission objectives
* Modernize and optimize data and ML workflows by implementing best practices for scalability, reliability, maintainability, and security
* Translate client and stakeholder requirements into clear, actionable technical designs and implementation plans
* Contribute effectively within agile, fast\-paced development environments, supporting iterative delivery and continuous improvement
* Demonstrate a strong willingness to learn new technologies, adapt to evolving requirements, and share knowledge across teams
* Willingness to travel and work on\-site with clients as project needs require
**Preferred Qualifications**
* Advanced degree (MS) in analytics, computer science, data science, mathematics, statistics, engineering, management information systems, decision science, or related fields
* Experience with version control systems (Git, SVN, Mercurial) and collaborative programming practices (pair programming, code reviews)
* Experience with containerization and environment management (venv, conda)
* Experience with platforms and technologies such as Databricks and AWS
* Prior Databricks experience in Unity Catalog, Pyspark, Spark SQL, and Jobs
* Familiarity with vector, object, and document\-based data storage systems
* Experience implementing data engineering solutions in remote or austere environments, including use of bash and command\-line tools
* Experience with business intelligence and data visualization tools (Power BI, Tableau)
* Understanding of the data analytics lifecycle (e.g., CRISP\-DM) and how engineering supports downstream analytics and ML use cases
**Clearance \&amp; Other Requirements**
* Must currently possess an IRS Public Trust clearance with Full Background Investigation
**Physical Requirements**
* Must be able to remain in a stationary position 50%
* Needs to occasionally move about inside the office to access file cabinets, office machinery, etc.
* Frequently communicates with co\-workers, management, and customers, which may involve delivering presentations. Must be able to exchange accurate information in these situations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3">
      <c r="A3" t="inlineStr">
        <is>
          <t>li-4365322011</t>
        </is>
      </c>
      <c r="B3" t="inlineStr">
        <is>
          <t>Analytics Engineer</t>
        </is>
      </c>
      <c r="C3" t="inlineStr">
        <is>
          <t>Arkatechture</t>
        </is>
      </c>
      <c r="D3" t="inlineStr">
        <is>
          <t>linkedin</t>
        </is>
      </c>
      <c r="E3">
        <f>HYPERLINK("https://www.linkedin.com/jobs/view/4365322011", "https://www.linkedin.com/jobs/view/4365322011")</f>
        <v/>
      </c>
      <c r="F3" t="inlineStr"/>
      <c r="G3" t="inlineStr">
        <is>
          <t>Portland, ME</t>
        </is>
      </c>
      <c r="H3" t="inlineStr"/>
      <c r="I3" t="inlineStr">
        <is>
          <t>**Department:** 
 Arkalytics \- Services
**Location:** 
 Remote
**Compensation:** 
 $80,000 \- $95,000 / year
**Description**
**Why Work Here?**
 At Arkatechture, we have a simple shared mission: to build a sustainable organization built upon three pillars:
 **Do something meaningful, With a great team, Earning what you deserve.**
 Founded in 2012, Arkatechture has grown into a nationally recognized data and technology company, partnering with organizations across the fintech, AI, and financial services spaces. We combine deep industry knowledge with technical expertise to help our clients unlock the full potential of their data. Whether it’s modernizing infrastructure, building analytics platforms, or leveraging AI for smarter decision\-making, we thrive at the intersection of innovation and impact.
 Our team is made up of curious, collaborative, and community\-minded professionals who are passionate about solving complex problems and staying ahead of what’s next in data and technology. While our roots are in New England, our reach is nationwide, and we support flexible, remote\-friendly work to match.
**We offer a competitive benefits package that includes:** 
* A flexible remote work policy with optional access to our Portland, Maine office
* A 4\-day workweek after 3 years of service
* Generous paid time off, including 11 holidays
* Medical, disability, life insurance, and optional dental/vision
* 401(k) retirement plan with company match
* Training \&amp; certification reimbursement
* Milestone recognition programs, annual PTO increases, and more
 All employees share our core values: put the team first, practice humility, take pride in everything we do, stay curious, care for our community \&amp; environment, take work seriously; ourselves not so much.
**The Position**
 Arkatechture is seeking candidates for an
 **Analytics Engineer** 
 to join our Arkalytics Consulting department
 **.** 
 As an Analytics Engineer, you’ll work directly with our Arkalytics clients to design and deliver tailored data solutions for their unique use cases alongside our BI \&amp; Analytics platform. This role blends the technical and business contexts of analytics, enabling clients to unlock value from their data through well‑modeled, reliable, and scalable datasets and solutions. The ideal candidate for this position is a strong problem solver who can troubleshoot independently, but also a team player who can grow into a subject matter expert within the Arkalytics Consulting team. This is a client\-facing role that requires a candidate with strong communication and analytical skills with a high level of attention to detail.
 You’ll collaborate closely with client stakeholders, as well as our internal product team, to translate requirements into production‑ready data solutions. If you enjoy solving complex data problems and working with clients to help grow and expand their analytics practices and domains, this role is for you!
***How to Apply***
 Please send a cover letter and resume with your application.
 **You must submit both documents to be considered for the position** 
 . We’re building a diverse team of people who care about doing meaningful work with great people. If that excites you, apply and let’s start the conversation.
**Key Responsibilities**
* Partner directly with clients to understand their business needs, data challenges, and desired outcomes
* Design, build, and maintain production‑grade data models that support client‑specific reporting, analytics, and operational workflows
* Develop and maintain dbt models, tests, documentation, and transformation logic as part of broader client solutions
* Develop, review and test code (SQL, Python, BI tool like Tableau and PowerBI)
* Collaborate with data engineers to ensure upstream data is structured and optimized for downstream use
* Translate client requirements into scalable, well‑documented semantic layers
* Implement data quality checks, testing frameworks, and governance standards across client projects
* Participate in client sessions, including solution design conversations
* Contribute to internal best practices, reusable patterns, and accelerators for future client engagements
* Report work status to team leaders and participate actively in daily standups
* Additional responsibilities as assigned
**Skills, Knowledge and Expertise**
**Requirements** 
* 3\+ years in analytics engineering, data engineering, BI development, or a similar role
* Strong SQL skills and experience building complex, maintainable transformation logic
* Hands‑on experience with dbt (core or Cloud) in a production environment
* Experience with modern cloud data warehouses (Snowflake, BigQuery, Redshift, etc.)
* Familiarity with data modeling concepts
* Experience working directly with clients or stakeholders to gather requirements and deliver solutions
* Strong communication skills and the ability to translate technical concepts into business language
* Experience with Git‑based workflows and collaborative development practices
* Understanding of software engineering best practices (testing, CI/CD, code review)
**Preferred Experience** 
* Experience with Banking Data and Subject Areas
* Experience with Python for data workflows or automation
* Experience with BI tools (Looker, Tableau, Power BI, Sigma, etc.)
* Experience in consulting or professional services environments</t>
        </is>
      </c>
    </row>
    <row r="4">
      <c r="A4" t="inlineStr">
        <is>
          <t>li-4317203984</t>
        </is>
      </c>
      <c r="B4" t="inlineStr">
        <is>
          <t>Data Engineer</t>
        </is>
      </c>
      <c r="C4" t="inlineStr">
        <is>
          <t>Carrot</t>
        </is>
      </c>
      <c r="D4" t="inlineStr">
        <is>
          <t>linkedin</t>
        </is>
      </c>
      <c r="E4">
        <f>HYPERLINK("https://www.linkedin.com/jobs/view/4317203984", "https://www.linkedin.com/jobs/view/4317203984")</f>
        <v/>
      </c>
      <c r="F4" t="inlineStr"/>
      <c r="G4" t="inlineStr"/>
      <c r="H4" t="inlineStr"/>
      <c r="I4"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5">
      <c r="A5" t="inlineStr">
        <is>
          <t>li-4365313954</t>
        </is>
      </c>
      <c r="B5" t="inlineStr">
        <is>
          <t>Senior Data Engineer (Banking)</t>
        </is>
      </c>
      <c r="C5" t="inlineStr">
        <is>
          <t>Accord Technologies Inc</t>
        </is>
      </c>
      <c r="D5" t="inlineStr">
        <is>
          <t>linkedin</t>
        </is>
      </c>
      <c r="E5">
        <f>HYPERLINK("https://www.linkedin.com/jobs/view/4365313954", "https://www.linkedin.com/jobs/view/4365313954")</f>
        <v/>
      </c>
      <c r="F5" t="inlineStr"/>
      <c r="G5" t="inlineStr">
        <is>
          <t>New York, NY</t>
        </is>
      </c>
      <c r="H5" t="inlineStr"/>
      <c r="I5" t="inlineStr">
        <is>
          <t>**Job Title: Senior Data Engineer (Banking)
 Location: New York City, NY
 Position type: W2 contract**
 Mandatory skills:
 **Data engineer, Snowflake, Databricks, Python, Pyspark, SQL, Banking**
**Key Responsibilities**
* Design and develop robust ETL/ELT pipelines using Snowflake, Databricks, Python, PySpark, and SQL.
* Build and optimize data warehouses, data marts, and real\-time data solutions for banking applications.
* Collaborate with quantitative analysts, data scientists, and business stakeholders to deliver actionable data products.
* Implement data governance, quality checks, and monitoring frameworks aligned with banking regulations (SOX, GDPR, CCAR).
* Mentor junior engineers and contribute to architectural decisions and best practices.
* 9\+ years of hands\-on data engineering experience, with 3\+ years in banking/financial services.
* Expertise in Snowflake (SnowSQL, performance tuning, security) and Databricks (Delta Lake, Spark optimization).
* Proficiency in Python and PySpark for large\-scale data processing.
* Advanced SQL skills for complex data modeling and query optimization.
* Experience with cloud platforms (AWS/Azure) and CI/CD tools (Jenkins, Git).
* Strong understanding of banking data domains: trading, risk, compliance, customer, transactions.
**Certifications And Additional Skills**
* SnowPro, Databricks Certified, AWS/Azure Cloud.
* Knowledge of real\-time streaming (Kafka, Spark Streaming).
* Experience with data orchestration tools (Airflow, Dagster).
* Familiarity with BI/visualization tools (Tableau, Power BI)</t>
        </is>
      </c>
    </row>
    <row r="6">
      <c r="A6" t="inlineStr">
        <is>
          <t>li-4354265569</t>
        </is>
      </c>
      <c r="B6" t="inlineStr">
        <is>
          <t>#890 - Data Engineer (Python)</t>
        </is>
      </c>
      <c r="C6" t="inlineStr">
        <is>
          <t>Venon Solutions</t>
        </is>
      </c>
      <c r="D6" t="inlineStr">
        <is>
          <t>linkedin</t>
        </is>
      </c>
      <c r="E6">
        <f>HYPERLINK("https://www.linkedin.com/jobs/view/4354265569", "https://www.linkedin.com/jobs/view/4354265569")</f>
        <v/>
      </c>
      <c r="F6" t="inlineStr"/>
      <c r="G6" t="inlineStr">
        <is>
          <t>Miami, FL</t>
        </is>
      </c>
      <c r="H6" t="inlineStr"/>
      <c r="I6" t="inlineStr">
        <is>
          <t>**Job Opportunity only available for Africa residents.**
**Requirements**
* B2 English Level or higher.
* \+5 years of experience in a Data Engineering roles.
* \+4 years of experience with object\-oriented or object function scripting languages such as Python.
* Experience with Big Data tools such as Hadoop, Spark, Kafka, among others, is expected.
* Proven experience with both relational SQL and NoSQL databases, such as PostgresSQL and Cassandra or MongoDB.
* Experience with Azure/AWS cloud services is a must.
**Responsibilities**
* Designing and developing scalable, efficient, and reliable data pipelines to extract, transform, and load data from various sources to a target system.
* Responsible for ingesting data from various sources such as databases, files, APIs, or social media platforms using Python libraries like pandas, NumPy, and requests.
* Designing and implementing data storage solutions using relational databases like MySQL or PostgreSQL, NoSQL databases like MongoDB or Cassandra, or big data stores like Hadoop or Spark.
* Working closely with data scientists to understand their requirements and implement data pipelines that meet their needs.
* Ensuring the security of the data pipeline by implementing access controls, encryption, and authentication mechanisms.
* Working closely with DevOps teams to ensure smooth deployment of the data pipeline to production environments such as AWS or Azure.
**What do we offer?**
* Type of contract: Independent Contractor with Venon Solutions LLC
* Contract duration: Long\-term
* Benefits: 2 weeks of PTO (paid time off)
* Holidays: from the North American calendar
* Working hours: Full\-time EST, fully committed (flexible hours).</t>
        </is>
      </c>
    </row>
    <row r="7">
      <c r="A7" t="inlineStr">
        <is>
          <t>li-4362680032</t>
        </is>
      </c>
      <c r="B7" t="inlineStr">
        <is>
          <t>Data Engineer</t>
        </is>
      </c>
      <c r="C7" t="inlineStr">
        <is>
          <t>AARATECH</t>
        </is>
      </c>
      <c r="D7" t="inlineStr">
        <is>
          <t>linkedin</t>
        </is>
      </c>
      <c r="E7">
        <f>HYPERLINK("https://www.linkedin.com/jobs/view/4362680032", "https://www.linkedin.com/jobs/view/4362680032")</f>
        <v/>
      </c>
      <c r="F7" t="inlineStr"/>
      <c r="G7" t="inlineStr"/>
      <c r="H7" t="inlineStr"/>
      <c r="I7"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8">
      <c r="A8" t="inlineStr">
        <is>
          <t>li-4341309710</t>
        </is>
      </c>
      <c r="B8" t="inlineStr">
        <is>
          <t>Analytics Engineer, Data</t>
        </is>
      </c>
      <c r="C8" t="inlineStr">
        <is>
          <t>Tailscale</t>
        </is>
      </c>
      <c r="D8" t="inlineStr">
        <is>
          <t>linkedin</t>
        </is>
      </c>
      <c r="E8">
        <f>HYPERLINK("https://www.linkedin.com/jobs/view/4341309710", "https://www.linkedin.com/jobs/view/4341309710")</f>
        <v/>
      </c>
      <c r="F8">
        <f>HYPERLINK("https://job-boards.greenhouse.io/tailscale/jobs/4562146005?gh_src=4fd1e7935us&amp;urlHash=4Iqt", "https://job-boards.greenhouse.io/tailscale/jobs/4562146005?gh_src=4fd1e7935us&amp;urlHash=4Iqt")</f>
        <v/>
      </c>
      <c r="G8" t="inlineStr"/>
      <c r="H8" t="inlineStr"/>
      <c r="I8"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looking for a hands\-on Analytics Engineer who thrives in fast\-moving, high\-complexity environments and enjoys bringing clarity to ambiguity. You’ll join a growing data team with many open, high\-impact challenges across billing, finance, product, GTM, and business operations.
 You’re someone who asks thoughtful questions, goes deep to understand how things work, and loves transforming loosely defined user problems into scalable, reliable data solutions. You’re not afraid to challenge assumptions, rethink processes, or dive into complex systems. You help teams work better through clean models, automated workflows, and simple, trustworthy data.
 This role is ideal for someone with solid experience delivering production grade analytics engineering work who is excited to take on broader ownership and grow their scope over time as the team expands.
**Key Responsibilities**
* Partner with teams across Finance, Engineering, Sales, Product, Marketing, and Customer Success to uncover their workflows, challenges, and data needs.
* Design, build, and maintain scalable dbt models and data pipelines supporting financial reporting (ARR, billing, revenue recognition) as well as operational, product, and GTM analytics.
* Tackle ambiguous, high\-complexity problems, untangling systems, manual processes, and unclear logic to produce clear, durable data solutions.
* Translate user challenges and incomplete requirements into structured data models, automated workflows, and end\-to\-end solutions.
* While building towards automation, understanding the user needs to process manual tasks.
* Own solutions from ingestion to transformation to data quality, documentation, and stakeholder enablement.
* Connect data and logic across domains, identifying how systems relate and surfacing opportunities to simplify, standardize, or automate.
* Advocate for high standards in data quality, clarity, documentation, and maintainability.
**What We Are Looking For**
* You have delivered production data models and pipelines that power real business decisions.
* You operate autonomously and make thoughtful tradeoffs in a fast\-paced environment.
* You’re skilled in SQL and modern data modeling, and you write clean, maintainable, well\-organized code.
* A track record of converting manual, ad hoc workflows into automated, durable pipelines or self\-service solutions.
* You can take a vague problem, ask the right questions, and turn it into a clear technical plan and high\-quality solution.
* You work well with both technical and non\-technical partners, helping teams clarify their needs, understand tradeoffs, and driving alignment.
* You’re a generalist who enjoys learning new domains and solving a wide range of challenges from Finance to Product to GTM.
* You are curious, resourceful, and comfortable challenging assumptions thoughtfully and advocating for approaches that improve scalability and data quality.
* You enjoy untangling complexity and turning chaos into clarity.
* You care about building simple, transparent, robust data foundations.
* You think in terms of systems and scalability, not one\-off fixes, and are able to weigh in trade\-offs and build systems to solve problems as needed.
* You’re motivated by helping teams work more effectively through data.
* You’re team\-oriented, collaborative, and communicate with clarity.
* You’re excited to grow your impact and take on increasing ownership as the team expands.
**Nice to Have**
* Experience in a high\-growth product\-led SaaS company
* Familiarity with billing systems, revenue recognition, GAAP accounting, or financial operations
* Experience partnering with Finance and accounting during month\-end/quarter\-end cycles
* Exposure to Stripe, Salesforce, Looker, or other financial and GTM systems
**Our Tech Stack**
 Snowflake, dbt, Fivetran, Hightouch, Looker, Prefect, Stripe, Orb, Salesforce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$136,000—$170,000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9">
      <c r="A9" t="inlineStr">
        <is>
          <t>li-4362545540</t>
        </is>
      </c>
      <c r="B9" t="inlineStr">
        <is>
          <t>Data Engineer</t>
        </is>
      </c>
      <c r="C9" t="inlineStr">
        <is>
          <t>AARATECH</t>
        </is>
      </c>
      <c r="D9" t="inlineStr">
        <is>
          <t>linkedin</t>
        </is>
      </c>
      <c r="E9">
        <f>HYPERLINK("https://www.linkedin.com/jobs/view/4362545540", "https://www.linkedin.com/jobs/view/4362545540")</f>
        <v/>
      </c>
      <c r="F9" t="inlineStr"/>
      <c r="G9" t="inlineStr"/>
      <c r="H9" t="inlineStr"/>
      <c r="I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0">
      <c r="A10" t="inlineStr">
        <is>
          <t>li-4362187189</t>
        </is>
      </c>
      <c r="B10" t="inlineStr">
        <is>
          <t>Data Engineer</t>
        </is>
      </c>
      <c r="C10" t="inlineStr">
        <is>
          <t>AARATECH</t>
        </is>
      </c>
      <c r="D10" t="inlineStr">
        <is>
          <t>linkedin</t>
        </is>
      </c>
      <c r="E10">
        <f>HYPERLINK("https://www.linkedin.com/jobs/view/4362187189", "https://www.linkedin.com/jobs/view/4362187189")</f>
        <v/>
      </c>
      <c r="F10" t="inlineStr"/>
      <c r="G10" t="inlineStr"/>
      <c r="H10" t="inlineStr"/>
      <c r="I1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1">
      <c r="A11" t="inlineStr">
        <is>
          <t>li-4354166543</t>
        </is>
      </c>
      <c r="B11" t="inlineStr">
        <is>
          <t>Senior Data Engineer</t>
        </is>
      </c>
      <c r="C11" t="inlineStr">
        <is>
          <t>Harbor Health</t>
        </is>
      </c>
      <c r="D11" t="inlineStr">
        <is>
          <t>linkedin</t>
        </is>
      </c>
      <c r="E11">
        <f>HYPERLINK("https://www.linkedin.com/jobs/view/4354166543", "https://www.linkedin.com/jobs/view/4354166543")</f>
        <v/>
      </c>
      <c r="F11" t="inlineStr"/>
      <c r="G11" t="inlineStr"/>
      <c r="H11" t="inlineStr"/>
      <c r="I11" t="inlineStr">
        <is>
          <t>COMPANY OVERVIEW
 At Harbor Health, we’re transforming healthcare in Texas through collaboration and innovation. We’re seeking passionate individuals to help us create a member\-centered experience that connects comprehensive care with a modern payment model.
 If you’re ready to make a meaningful impact in a dynamic environment where your contributions are valued, please bring your talents to our team!
 POSITION OVERVIEW
 Harbor Health is rebuilding the operating system of healthcare. The HDS team contributes to this by building "HarborOS", the central nervous system of our clinical operations, tying together information from different clinical sources to drive optimal outcomes for our members. Data
 *is* 
 our product.
 We are looking for Analytics Engineers to build and our data ingestion layer to bring in the data that will help us transform healthcare. You will not just move data, you will convert it into actionable insights to help our clinic network change lives. You will take raw chaos (claims, ADT, clinical data) and architect the trusted data marts that power out patient care, risk adjustment, and financial decisions.
 WHAT YOU WILL DO
* **Build the Semantic Layer:** 
 Design and implement production\-grade dbt models that transform raw source data into clean, documented, and tested Data Marts.
* **Enforce Data Quality:** 
 Move beyond basic NOT NULL checks. Implement semantic validation rules (using dbt tests or Great Expectations) that catch business logic failures before they hit the dashboard.
* **Own the Pipeline:** 
 Manage the lifecycle of your data models from IDE to production, including code review, CI/CD integration, and performance tuning in Snowflake.
* **Bridge the Gap:** 
 Collaborate with Platform Engineers to understand upstream ingestion patterns (Python/Fivetran) and debug data issues at the source.
* Design the core Star Schemas and data models that define our business. You will decide how we model complex concepts like "Attribution," "Risk," and "Claims Adjudication" to ensure historical accuracy and query performance.
* Act as the primary interface between Clinical Operations and Engineering. You will interview stakeholders to uncover the "Why" behind their requests and translate vague business needs into precise technical specifications.
* Mentorship \&amp; Standards: Set the standard for SQL style, dbt macro usage, and testing rigor. Mentor intermediate engineers on healthcare domain nuances (e.g., why a reversal claim behaves differently than a void).
 WHAT WE NEED
* **SQL Mastery:** 
 You can write performant, readable, and complex SQL. You understand window functions, CTEs, and the difference between a LEFT JOIN and a CROSS JOIN intuitively.
* **dbt Fluency:** 
 You have used dbt in production. You understand incremental models, snapshots, and how to structure a project for scale.
* **Python Literacy:** 
 You can read and understand Python scripts. You may not build the ingestion framework from scratch, but you can debug a transformation script if needed.
* **Data Warehouse Fundamentals:** 
 You understand how column\-oriented databases (Snowflake) work and how to write queries that prune partitions effectively.
 STRONGLY PREFERRED
* You bring deep subject matter expertise in healthcare data domains. You are fluent in processing 837 files, modeling the claim lifecycle (Adjudication, Reversal, Denial), and handling provider data nuances (NPI vs. TIN).
* Proven experience designing Dimensional Models (Kimball/Star Schema) from scratch. You know when to denormalize for performance and when to normalize for integrity
 **.**
 OUR STACK
* **Transformation:** 
 dbt (Core/Cloud)
* **Warehouse:** 
 Snowflake
* **Ingestion:** 
 Fivetran, Python (Custom)
* **Orchestration:** 
 Airflow / Dagster
* **BI/Semantic Layer:** 
 Omni
 WHAT WE OFFER
* Opportunity to shape the financial foundation of an innovative healthcare model
* Collaborative and dynamic work environment
* An organization made of people who are passionate about changing the healthcare landscape
* Competitive salary, company equity and robust benefits package
* Professional development and growth opportunities
* A transparent and unique culture
 Harbor Health is an Equal Opportunity Employer. We do not discriminate on the basis of race, color, religion, sex, sexual orientation, gender identity, national origin, age, disability, veteran status, or any other characteristic protected by law. We are committed to creating an inclusive environment for all clinicians and teammates and actively encourage applications from people of all backgrounds.</t>
        </is>
      </c>
    </row>
    <row r="12">
      <c r="A12" t="inlineStr">
        <is>
          <t>li-4362585289</t>
        </is>
      </c>
      <c r="B12" t="inlineStr">
        <is>
          <t>Data Engineer</t>
        </is>
      </c>
      <c r="C12" t="inlineStr">
        <is>
          <t>AARATECH</t>
        </is>
      </c>
      <c r="D12" t="inlineStr">
        <is>
          <t>linkedin</t>
        </is>
      </c>
      <c r="E12">
        <f>HYPERLINK("https://www.linkedin.com/jobs/view/4362585289", "https://www.linkedin.com/jobs/view/4362585289")</f>
        <v/>
      </c>
      <c r="F12" t="inlineStr"/>
      <c r="G12" t="inlineStr"/>
      <c r="H12" t="inlineStr"/>
      <c r="I12"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3">
      <c r="A13" t="inlineStr">
        <is>
          <t>li-4346026028</t>
        </is>
      </c>
      <c r="B13" t="inlineStr">
        <is>
          <t>AI Data Engineer</t>
        </is>
      </c>
      <c r="C13" t="inlineStr">
        <is>
          <t>Clinical ink</t>
        </is>
      </c>
      <c r="D13" t="inlineStr">
        <is>
          <t>linkedin</t>
        </is>
      </c>
      <c r="E13">
        <f>HYPERLINK("https://www.linkedin.com/jobs/view/4346026028", "https://www.linkedin.com/jobs/view/4346026028")</f>
        <v/>
      </c>
      <c r="F13" t="inlineStr"/>
      <c r="G13" t="inlineStr"/>
      <c r="H13" t="inlineStr"/>
      <c r="I13" t="inlineStr">
        <is>
          <t>**Company Information**
 Clinical Ink is the global life science company that brings data, technology, and patient science together to unlock clinical discovery. Our deep therapeutic\-area expertise, coupled with Direct Data Capture, eCOA, eConsent, telehealth, neurocognitive testing, and digital biomarkers advancement, drive the industry standard for data precision and usher in a new generation of clinical trials. With offices in Philadelphia, PA, Winston Salem, NC, and Iowa City, IA, Clinical Ink is rewriting the clinical development experience.
**Job Description**
 Clinical Ink is seeking an
 ***AI Data Engineer***
 to join our Artificial Intelligence and Innovation Lab. In this role, you will lead the design and implementation of robust data pipelines that support rapid prototyping of mobile health applications and device integrations. You will collaborate closely with mobile development, platform engineering, and data science teams to ensure prototype solutions are scalable and compatible with our existing AWS\-based infrastructure and Snowflake data warehouses. This position is ideal for a data engineer excited by early\-stage innovation and improving clinical trial research through connected technology. The AI Data Engineer's responsibilities include:
* Design, build, and maintain real\-time and batch data pipelines using AWS services (e.g., S3\).
* Ingest and normalize data from mobile apps, sensors, and connected health devices.
* Collaborate with platform teams to align proof\-of\-concept pipelines with enterprise data architecture standards.
* Ensure data pipelines meet privacy, security, and compliance standards (e.g., HIPAA, GxP).
* Support data scientists and product teams with structured datasets for analysis and visualization.
* Automate deployment and monitoring of data workflows in a DevOps\-friendly environment.
* Contribute to documentation, knowledge transfer, and rapid prototyping culture of the lab.
**Qualifications**
* 3\+ years experience in data engineering, preferably in digital health, healthcare, or sciences.
* Hands\-on experience with AWS services (e.g., S3, Quicksight).
* Strong Python programming skills.
* ETL tool experience.
* Familiarity with data governance, access controls, and healthcare compliance.
* Experience with connected device data and wearables is a plus.
* Collaborative mindset with ability to work cross\-functionally in a fast\-paced, iterative environment.
**Additional Information**
 Clinical ink is an equal opportunity employer and does not discriminate against otherwise qualified applicants on the basis of race, color, creed, religion, ancestry, age, sex, marital status, national origin, disability or handicap, or veteran status.
 www.clinicalink.com</t>
        </is>
      </c>
    </row>
    <row r="14">
      <c r="A14" t="inlineStr">
        <is>
          <t>li-4362070941</t>
        </is>
      </c>
      <c r="B14" t="inlineStr">
        <is>
          <t>Analytics Engineer</t>
        </is>
      </c>
      <c r="C14" t="inlineStr">
        <is>
          <t>iFIT</t>
        </is>
      </c>
      <c r="D14" t="inlineStr">
        <is>
          <t>linkedin</t>
        </is>
      </c>
      <c r="E14">
        <f>HYPERLINK("https://www.linkedin.com/jobs/view/4362070941", "https://www.linkedin.com/jobs/view/4362070941")</f>
        <v/>
      </c>
      <c r="F14">
        <f>HYPERLINK("https://grnh.se/8i7yjllv9us&amp;urlHash=Sszc", "https://grnh.se/8i7yjllv9us&amp;urlHash=Sszc")</f>
        <v/>
      </c>
      <c r="G14" t="inlineStr"/>
      <c r="H14" t="inlineStr"/>
      <c r="I14" t="inlineStr">
        <is>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At iFIT, we are creating the world's most holistic health and fitness platform. We integrate physical fitness, mental health, nutrition, and active recovery into a seamless, interactive experience. Our proprietary software learns from and adapts to each member, delivering immersive content that guides them on a truly personalized fitness journey. To do this, we need data to be the engine that powers this personalization and our business strategy.
 We are not looking for a traditional analytics engineer who just builds pipelines from a backlog. We are looking for a Forward\-Deployed Analytics Engineer to act as the full\-stack data partner for a key business domain (e.g., Product, Marketing, or Finance).
 Your mission is to embed within that team, deeply understand their challenges and opportunities, and build the end\-to\-end data products that give them a competitive edge. You will be a true owner, moving beyond just transforming data to building the semantic models, BI experiences, and automated insights that drive decisions. Crucially, you will have an AI\-first mindset, relentlessly seeking to leverage generative AI, code assistants, and automated tooling to accelerate development, ensure impeccable data quality, and scale our self\-service capabilities.
 This ambitious pace\-setter will join our team as an Analytics Engineer that will act as the bridge between data engineering and data analysis, ensuring that raw data is transformed into clean, reliable, and accessible datasets that fuel business insights. This role is responsible for building and maintaining robust data models, optimizing data pipelines, and enabling analysts and business teams with trusted, well\-documented data.
 What You'll Achieve
* Become a Strategic Data Partner: Serve as the primary data expert and consultant for your embedded business domain. You won't just take requirements; you will anticipate needs and proactively propose data solutions to strategic business problems.
* Deliver Full\-Stack Data Products: Own the entire analytics development lifecycle, from raw data ingestion and modeling in our data warehouse to the final semantic layer and dashboards that our business teams use every day.
* Champion AI\-Augmented Development: Radically accelerate your workflow by leveraging generative AI and code assistants (e.g., GitHub Copilot, dbt's Semantic Layer) for code generation, automated documentation, and advanced data quality testing.
* Build a Foundation of Trust: Architect and implement robust, scalable, and highly performant data models using dbt and Snowflake, creating a single source of truth that the entire company can rely on.
* Empower the Enterprise: Drive the adoption of self\-service analytics by building intuitive, well\-documented datasets and BI tools (Tableau, Sigma, Looker), enabling stakeholders to answer their own questions with confidence and speed.
 Core Responsibilities
* Collaborate intimately with product managers, marketers, and other stakeholders to translate ambiguous business questions into concrete data requirements and technical specifications.
* Design, build, and own sophisticated data models on Snowflake using dbt, following software engineering best practices (version control, CI/CD, testing).
* Develop and automate AI\-powered data quality checks, anomaly detection, and observability to ensure the highest level of data integrity and trust.
* Optimize our data stack for performance and cost\-efficiency, ensuring our queries are fast and our infrastructure is scalable.
* Build and refine our semantic layer in Snowflake Intelligence, dbt, or BI tools, making data intuitive and accessible for non\-technical users.
* Act as a force multiplier by mentoring analysts and business users, teaching them how to leverage the data products you build.
* Stay on the bleeding edge of the modern data stack and AI in data, constantly experimenting with and recommending new tools and methodologies to improve our capabilities.
 Who You Are
* An Owner: You possess a strong sense of ownership and are driven to see your projects deliver tangible business value from conception to completion.
* A Pragmatic Builder: You have 4\+ years of hands\-on experience in analytics engineering, data engineering, or a similar role, with a strong portfolio of building data models and pipelines in a cloud environment.
* Fluent in Modern Data Tooling:
* Expert\-level SQL and deep experience with data modeling concepts (e.g., star/snowflake schemas, Kimball methodologies).
* Production experience with dbt is a must.
* Hands\-on expertise with a cloud data warehouse like Snowflake, BigQuery, or Redshift.
* Proficiency with Git and CI/CD workflows (e.g., GitHub Actions).
* AI Enthusiast \&amp; Early Adopter: You have demonstrable experience or a palpable passion for using AI tools in your development workflow. You actively seek ways to automate and amplify your impact with intelligent systems.
* A Gifted Translator: You have exceptional communication skills and can effectively bridge the gap between complex technical concepts and business outcomes for non\-technical audiences.
* Business\-Obsessed: You are motivated by solving business problems, not just by technology. You are naturally curious and constantly ask "why" to get to the root of the problem.
**Preferred Qualifications**
* Experience developing in a BI semantic layer (e.g., LookML, Power BI DAX).
* Familiarity with Python for data analysis and orchestration (e.g., Airflow, Dagster).
* Practical experience using LLMs or generative AI tools for code generation, documentation, or data quality.
* Knowledge of data observability and cataloging platforms.
 ROLE COMMITMENTS (align these goals with your team and the company’s goals)
* Optimize the enterprise: Deliver single source of truth data to empower fact based decisions
* Deliver high\-quality consumer experiences: Enable self serve BI coverage and compelling interfaces to serve our internal stakeholders
* Build the most compelling connected health \&amp; fitness platform: Enable fact based decisions across Product Analytics, Customer Analytics, Marketing Analytics, Operational Analytics
**Essential Duties And Responsibilities**
* Design, build, and maintain scalable data models and pipelines that support analytics and business intelligence needs.
* Transform raw data into clean, structured, and accessible datasets using modern data transformation tools (e.g., dbt, SQL).
* Partner with data engineers to ensure reliable data infrastructure and with analysts to deliver usable, well\-documented datasets.
* Implement and maintain data quality frameworks, monitoring systems, and governance practices.
* Optimize SQL queries and data transformations for performance and cost efficiency.
* Collaborate with business stakeholders to understand data requirements and translate them into technical solutions.
* Document data models, definitions, and transformation logic to ensure transparency and knowledge sharing.
* Stay current with industry trends and best practices in analytics engineering and modern data stack technologies.
**Education And Basic Qualifications**
* Bachelor’s degree in Computer Science, Data Science, Engineering, Mathematics, or related field (or equivalent work experience).
* 4\+ years of experience in analytics engineering, data engineering, or business intelligence.
* Strong proficiency in SQL and experience with data modeling (star/snowflake schemas).
* Hands\-on experience with cloud data warehouses (e.g., Snowflake, BigQuery, Redshift)
* Proficiency with data transformation and orchestration tools (e.g., dbt, Airflow, Dagster).
* Experience with version control (Git) and collaborative development workflows.
* Strong problem\-solving skills and attention to detail.
**Preferred Qualifications**
* Familiarity with Python or other scripting languages for data manipulation.
* Experience with BI tools such as Tableau, Sigma, Looker, or Power BI.
* Knowledge of data governance, cataloging, and lineage tracking tools.
* Exposure to DevOps/MLOps practices and CI/CD pipelines.
 Key Competencies
* Analytical mindset with a passion for clean, reliable data.
* Strong communication skills to collaborate across technical and non\-technical teams.
* Ability to translate business needs into scalable technical solutions.
* Continuous learner with an interest in modern data technologies and practices.
**Compensation And Benefits**
 At iFIT, we strive to give our employees a well\-rounded work/life balance and a positive team culture by offering:
* The opportunity to work remotely\-from wherever you are, or the ability to work in beautiful Cache Valley with access to an exceptional outdoor lifestyle, a university campus nearby, and the chance to test the fitness products we create.
* Free mental health resources for employees and dependents
* Career growth and guidance
* Discounts on iFIT Products
* FREE iFIT Membership
* Employee discounts through ADP\-LifeMart
* Full benefits package (Medical, HSA, FSA, Dental, Vision and Life insurance)
* Paid maternity and paid paternity leave
* 401(k) with company match.
* A PTO policy that ensures you can find a happy work\-to\-life balance.
* Access to cutting\-edge technology and hardware for work and fitness.
* Collaborative workspace and environment.
 Compensation may vary based on the job level, your geographic work location, position incentive plan and exemption status.
 Although we can hire in the states listed below, not all positions are available in all locations. List of states we can hire in: AK, AL, AR, AZ, CA, CO, CT, FL, GA, ID, IL, IN, KS, KY, LA, MA, MD, MI, MN, MO, MS, NC, NH, NJ, NV, NY, OH, OK, OR, PA, RI, SC, SD, TN, TX, UT, VA, WA, WI, WY.
 DISCLAIMER
 Your employment at iFIT is "at\-will". You and the company each have the right to terminate the employment relationship at any time for any cause or for no cause at all. Nothing but an express written contract signed by you and a Vice President of this Company can modify this "employment at will" arrangement.
 "We do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
 Pay Range: : $140,000 USD \- $140,000 USD
*iFIT does*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is>
      </c>
    </row>
    <row r="15">
      <c r="A15" t="inlineStr">
        <is>
          <t>li-4365278795</t>
        </is>
      </c>
      <c r="B15" t="inlineStr">
        <is>
          <t>Data Engineer</t>
        </is>
      </c>
      <c r="C15" t="inlineStr">
        <is>
          <t>Hirenza</t>
        </is>
      </c>
      <c r="D15" t="inlineStr">
        <is>
          <t>linkedin</t>
        </is>
      </c>
      <c r="E15">
        <f>HYPERLINK("https://www.linkedin.com/jobs/view/4365278795", "https://www.linkedin.com/jobs/view/4365278795")</f>
        <v/>
      </c>
      <c r="F15" t="inlineStr"/>
      <c r="G15" t="inlineStr"/>
      <c r="H15" t="inlineStr"/>
      <c r="I15" t="inlineStr">
        <is>
          <t>**About The Company**
 Eigen X, LLC is a leading technology solutions provider dedicated to delivering innovative data management and analytics services to a diverse range of clients. Located in King of Prussia, Pennsylvania, our company specializes in leveraging cutting\-edge tools and methodologies to help organizations harness the power of their data. With a focus on excellence and integrity, Eigen X, LLC strives to foster a collaborative environment that promotes continuous learning and growth, enabling our team members to stay ahead in the rapidly evolving data landscape.
**About The Role**
 We are seeking a highly skilled Data Engineer to join our dynamic team at Eigen X, LLC. The ideal candidate will have a strong background in data governance, discovery, lineage, and flow tasks, with proven experience in designing, developing, and maintaining data pipelines and architectures. This role requires expertise in unit testing and working with various data platforms and tools including Oracle, Teradata, SQL Server, DAX, Power BI, ETL processes, SSIS, SSRS, and Windows environments. The Data Engineer will play a critical role in ensuring the integrity, security, and accessibility of our clients’ data assets, supporting strategic decision\-making and operational efficiencies.
**Qualifications**
* A Master's degree in Computer Science, Information Technology, or a related field with a minimum of 3 years of relevant experience, or a Bachelor's degree with at least 5 years of professional experience in data engineering.
* Proven experience in data governance, discovery, lineage, and flow tasks.
* Strong proficiency in SQL and experience working with relational databases such as Oracle, Teradata, and SQL Server.
* Hands\-on experience with ETL tools and processes, particularly SSIS and Power BI.
* Knowledge of unit testing methodologies and practices within data workflows.
* Familiarity with DAX, SSRS, and Windows operating environments.
* Excellent problem\-solving skills and the ability to work effectively in a team\-oriented environment.
* Strong communication skills, with the ability to articulate complex technical concepts clearly to stakeholders.
**Responsibilities**
* Design, develop, and maintain scalable data pipelines and architectures to support business intelligence and analytics initiatives.
* Implement data governance standards to ensure data quality, security, and compliance.
* Conduct data discovery and lineage analysis to facilitate transparency and traceability across data systems.
* Perform unit testing on data workflows to ensure accuracy and reliability.
* Collaborate with data analysts, scientists, and business stakeholders to understand data requirements and translate them into technical solutions.
* Optimize and tune SQL queries and data processes for performance and efficiency.
* Document data processes, workflows, and governance procedures for future reference and compliance.
* Stay updated on emerging data technologies and best practices, recommending improvements as appropriate.
**Benefits**
 Eigen X, LLC offers a comprehensive benefits package that includes competitive salary, health insurance, dental and vision coverage, paid time off, and retirement plans. We promote a flexible work environment that encourages professional development and continuous learning. Our team members have access to training programs, industry conferences, and certifications to enhance their skills and career growth. Additionally, we foster a collaborative and inclusive workplace culture that values diversity and innovation.
 Equal Opportunity
 Eigen X, LLC is an equal opportunity employer. We are committed to creating an inclusive environment for all employees and applicants. We do not discriminate based on race, color, religion, sex, national origin, age, disability, or any other protected characteristic. We believe that diverse perspectives and experiences are vital to our success and strive to provide equal employment opportunities to all qualified individuals.</t>
        </is>
      </c>
    </row>
    <row r="16">
      <c r="A16" t="inlineStr">
        <is>
          <t>li-4365292214</t>
        </is>
      </c>
      <c r="B16" t="inlineStr">
        <is>
          <t>Data Engineer</t>
        </is>
      </c>
      <c r="C16" t="inlineStr">
        <is>
          <t>Best Job Tool</t>
        </is>
      </c>
      <c r="D16" t="inlineStr">
        <is>
          <t>linkedin</t>
        </is>
      </c>
      <c r="E16">
        <f>HYPERLINK("https://www.linkedin.com/jobs/view/4365292214", "https://www.linkedin.com/jobs/view/4365292214")</f>
        <v/>
      </c>
      <c r="F16">
        <f>HYPERLINK("https://www.bestjobtool.com/job-description/3061834827?src=LinkedIn&amp;urlHash=J-oP", "https://www.bestjobtool.com/job-description/3061834827?src=LinkedIn&amp;urlHash=J-oP")</f>
        <v/>
      </c>
      <c r="G16" t="inlineStr"/>
      <c r="H16" t="inlineStr"/>
      <c r="I16" t="inlineStr">
        <is>
          <t>**About The Company**
 Eigen X, LLC is a leading technology solutions provider dedicated to delivering innovative data management and analytics services to a diverse range of clients. Located in King of Prussia, PA, the company specializes in helping organizations harness the power of their data to drive informed decision\-making and strategic growth. With a focus on cutting\-edge technology and a client\-centric approach, Eigen X, LLC has established a reputation for excellence in the data industry, fostering a collaborative environment that promotes continuous learning and professional development.
**About The Role**
 We are seeking a highly skilled Data Engineer to join our dynamic team at Eigen X, LLC. The ideal candidate will possess a strong background in data governance, discovery, lineage, and flow tasks, with extensive experience in designing, developing, and maintaining robust data pipelines. This role involves working closely with cross\-functional teams to ensure data quality, integrity, and accessibility across various platforms. The successful applicant will be responsible for implementing unit testing, optimizing data workflows, and managing data integration processes using a variety of tools and technologies such as Oracle, Teradata, SQL Server, DAX, Power BI, ETL, SSIS, SSRS, and Windows environments. This position offers an exciting opportunity to contribute to innovative data solutions in a fast\-paced, collaborative setting.
**Qualifications**
* A Master's degree in Computer Science, Information Technology, Data Science, or a related field with at least 3 years of professional experience, or a Bachelor's degree with a minimum of 5 years of relevant experience.
* Proven expertise in data governance, discovery, lineage, and flow tasks.
* Strong proficiency in SQL, including experience with Oracle, Teradata, and SQL Server.
* Hands\-on experience with data modeling, ETL processes, and data integration tools such as SSIS and SSRS.
* Knowledge of DAX, Power BI, and related data visualization tools.
* Experience in unit testing and data validation techniques to ensure data accuracy and quality.
* Familiarity with Windows\-based environments and scripting for automation and workflow management.
* Excellent problem\-solving skills, attention to detail, and the ability to work effectively in a team\-oriented environment.
**Responsibilities**
* Design, develop, and maintain scalable data pipelines and workflows to support business intelligence and analytics initiatives.
* Implement data governance standards and ensure compliance across all data\-related activities.
* Perform data discovery, lineage, and flow tasks to facilitate transparency and traceability of data assets.
* Develop and execute unit tests to validate data processes and ensure data quality.
* Collaborate with data analysts, architects, and other stakeholders to understand data requirements and deliver optimal solutions.
* Optimize existing data workflows for performance, reliability, and scalability.
* Manage and monitor data integration processes across multiple platforms, ensuring seamless data flow and consistency.
* Document data processes, workflows, and governance policies to maintain clarity and facilitate future enhancements.
* Stay updated with emerging data technologies and best practices to continuously improve data infrastructure and processes.
**Benefits**
 Eigen X, LLC offers a comprehensive benefits package to support our employees' well\-being and professional growth. This includes competitive salary packages, health insurance plans, retirement savings options, paid time off, and opportunities for continuous learning and development. We foster a collaborative and inclusive work environment that encourages innovation, recognizes achievements, and values diversity. Additionally, employees have access to flexible working arrangements and resources that promote work\-life balance, ensuring a supportive atmosphere for personal and professional success.
 Equal Opportunity
 Eigen X, LLC is an equal opportunity employer committed to creating a diverse and inclusive workplace. We do not discriminate based on race, color, religion, gender, sexual orientation, gender identity or expression, national origin, age, disability, or any other protected characteristic. We believe in fostering a culture of respect and fairness, where all employees are valued and empowered to contribute to our collective success.</t>
        </is>
      </c>
    </row>
    <row r="17">
      <c r="A17" t="inlineStr">
        <is>
          <t>li-4362661679</t>
        </is>
      </c>
      <c r="B17" t="inlineStr">
        <is>
          <t>Data Engineer (ETL)</t>
        </is>
      </c>
      <c r="C17" t="inlineStr">
        <is>
          <t>Harvey Nash</t>
        </is>
      </c>
      <c r="D17" t="inlineStr">
        <is>
          <t>linkedin</t>
        </is>
      </c>
      <c r="E17">
        <f>HYPERLINK("https://www.linkedin.com/jobs/view/4362661679", "https://www.linkedin.com/jobs/view/4362661679")</f>
        <v/>
      </c>
      <c r="F17" t="inlineStr"/>
      <c r="G17" t="inlineStr">
        <is>
          <t>Nashville, TN</t>
        </is>
      </c>
      <c r="H17" t="inlineStr"/>
      <c r="I17" t="inlineStr">
        <is>
          <t>**Job Title:** 
 Data Engineer
**Location:** 
 Nashville, TN (Hybrid)
**Duration:** 
 6 Months Contract to Hire
**We are unable to consider candidates under C2C or third\-party contracting arrangements.** 
**Job Description:** 
 Data Engineer to support Client’s enterprise data strategy by designing, building, and maintaining modern data pipelines and integrations that power analytics, dashboards, AI initiatives, and operational decision\-making across departments. This position is a member of ITS’s Data insights Team and will also serve as a backup system administrator to Snowflake, Metro’s chosen enterprise cloud data platform. This role ensures Metro’s data is secure, reliable, and available, helping departments deliver better, faster, and more equitable services for residents. As the adoption of Metro’s enterprise data program is expanding, we are needing to expand our team size to keep pace with building the data pipelines to support all of our new analytics and AI use cases.
**Scope of Work**
* Design, build, maintain and monitor scalable data pipelines using Fivetran, API integrations, and custom ETL/ELT processes.
* Develop and optimize SQL\-based transformations in Snowflake.
* Build clean, validated datasets that power dashboards, analytics models, and AI tools (e.g., Tableau, Snowflake Cortex).
* Automate recurring workflows using Python or comparable scripting languages.
* Integrate data from on\-prem systems, SaaS applications, and cloud environments into Snowflake.
* Implement data quality checks, lineage, and metadata documentation in line with Metro’s data governance framework.
* Troubleshoot, monitor, and resolve data pipeline issues with IT and application owners.
* Support self\-service analytics by improving dataset structure, documentation, and performance.
**Education and Experience**
 Bachelor’s degree in computer science, Information Systems, Data Engineering, or related field (or equivalent experience).
* Five or more years of experience in data integration, database development, or data engineering.
* Strong SQL skills and experience with relational data modeling.
* Understanding of ETL/ELT concepts and enterprise data warehouse patterns.
 Experience
* Hands\-on experience with Snowflake as a cloud data platform.
* Experience in gathering business and functional requirements and translating into technical data requirements.
* Experience in integrating complex cross\-agency processes and data models.
* Experience with Fivetran connectors and transformations.
* Experience with Python for data workflows, automation, or quality checks.
* Familiarity with Tableau datasets, extracts, and performance considerations.
* Knowledge of data governance, security, and privacy requirements (public\-sector experience is a plus).
**Preferred Knowledge and Skills**
* Designing scalable, maintainable data pipelines and warehouse structures.
* Writing clean, efficient SQL queries and transformation logic.
* Troubleshooting complex data flow issues across multiple systems.
* Automating repetitive or manual data processes to improve efficiency.
* Prioritizing work across multiple projects and deadlines.
* SQL, relational database concepts, and data modeling best practices.
* ETL/ELT development patterns, including automation and orchestration.
* Cloud data warehousing technologies, especially Snowflake.
* Python scripting for data transformation, testing, and automation.
* Business intelligence and reporting platforms (e.g., Tableau).
* Data governance principles, including quality, lineage, and metadata management.
* Security and privacy requirements related to data integration and storage.
* Work collaboratively with cross\-functional teams across ITS and Metro departments.
* Evaluate data source quality, limitations, and appropriate use.
* Maintain high accuracy and attention to detail in fast\-moving environments.
* Adapt to new tools, technologies, and approaches as Metro’s data landscape evolves.
* Support data initiatives that improve transparency, service delivery, and equitable outcomes for residents.
**Security Requirements**
 Selected candidates must agree to and sign the
 ITS Non\-Disclosure Policy
 , ITS
 Employee Security Policy
 and successfully pass a
 **Criminal Record Background Check** 
 performed by the Metropolitan Nashville Police Department that includes:
* An identity verification
* A state of residency check for the last ten (10\) years
* A National Criminal Information Center (NCIC) record and fingerprint check</t>
        </is>
      </c>
    </row>
    <row r="18">
      <c r="A18" t="inlineStr">
        <is>
          <t>li-4362515782</t>
        </is>
      </c>
      <c r="B18" t="inlineStr">
        <is>
          <t>Data Engineer</t>
        </is>
      </c>
      <c r="C18" t="inlineStr">
        <is>
          <t>AARATECH</t>
        </is>
      </c>
      <c r="D18" t="inlineStr">
        <is>
          <t>linkedin</t>
        </is>
      </c>
      <c r="E18">
        <f>HYPERLINK("https://www.linkedin.com/jobs/view/4362515782", "https://www.linkedin.com/jobs/view/4362515782")</f>
        <v/>
      </c>
      <c r="F18" t="inlineStr"/>
      <c r="G18" t="inlineStr"/>
      <c r="H18" t="inlineStr"/>
      <c r="I18"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9">
      <c r="A19" t="inlineStr">
        <is>
          <t>li-4365332140</t>
        </is>
      </c>
      <c r="B19" t="inlineStr">
        <is>
          <t>Data Engineer</t>
        </is>
      </c>
      <c r="C19" t="inlineStr">
        <is>
          <t>Wiraa</t>
        </is>
      </c>
      <c r="D19" t="inlineStr">
        <is>
          <t>linkedin</t>
        </is>
      </c>
      <c r="E19">
        <f>HYPERLINK("https://www.linkedin.com/jobs/view/4365332140", "https://www.linkedin.com/jobs/view/4365332140")</f>
        <v/>
      </c>
      <c r="F19" t="inlineStr"/>
      <c r="G19" t="inlineStr"/>
      <c r="H19" t="inlineStr"/>
      <c r="I19" t="inlineStr">
        <is>
          <t>**About The Company**
 Scott Logic is a reputable technology consultancy that collaborates with some of the UK's leading corporations and government agencies. Our mission is to deliver pragmatic and bespoke software solutions, coupled with expert advice, to help our clients optimize their technological capabilities. We pride ourselves on our data\-driven approach, assisting organizations in harnessing the power of their data through the development of robust data platforms and pipelines. As a B Corp\-certified company, we are committed to fostering a diverse, inclusive, and sustainable environment, driving innovation and positive impact across the industry.
**About The Role**
 We are seeking talented Data Engineers to join our dynamic team. These roles are hands\-on, client\-facing positions, suitable for professionals at senior or lead levels depending on experience. The successful candidates will play a pivotal role in designing, building, and maintaining data infrastructure that supports advanced analytics, data science, and AI initiatives. Responsibilities include leading technical discussions, guiding team members, and providing strategic advice to clients. The role involves a mix of remote work and on\-site client engagements in the London area, with occasional travel as needed.
 Our Data Engineers combine strong software engineering fundamentals with a deep understanding of data architecture. We are technology agnostic, valuing versatility and a problem\-solving mindset. Candidates should be comfortable working with modern tools and methodologies, contributing to the creation of scalable, maintainable, and efficient data solutions that enable insightful decision\-making and innovative AI applications.
**Qualifications**
* Proven experience with modern data engineering technologies and methodologies
* Proficiency in Python, Spark, SQL, Pyspark, PowerBI, or similar tools
* Background in software engineering, including front\-end technologies like JavaScript
* Experience designing and building well\-structured, maintainable data systems
* Excellent communication skills and a collaborative approach to problem\-solving
* Ability to adapt and learn new skills quickly
* Experience working with cloud services such as AWS, Azure, or GCP (preferred but not mandatory)
* Familiarity with Agile methodologies and CI/CD pipelines (preferred)
* Experience with vendor products like Snowflake or Data Bricks (desirable)
**Responsibilities**
* Design, develop, and maintain scalable data pipelines and architectures
* Build data lakes, warehouses, and operational data stores to support analytics and AI initiatives
* Transform siloed datasets into integrated, accessible data models
* Collaborate with clients and internal teams to understand data requirements and deliver solutions
* Lead technical discussions and provide guidance to junior team members
* Ensure data quality, security, and compliance standards are met
* Implement and optimize data querying, reporting, and visualization solutions
* Stay updated with emerging data technologies and industry best practices
**Benefits**
* 25 days of annual leave, increasing to 30 days with each year of service
* Generous family leave policies
* Access to an employer pension scheme
* Private medical insurance
* Group Life Assurance
* Optional benefits including discounted gym memberships and a cycle\-to\-work scheme
* Supportive performance evaluation and feedback processes
 Equal Opportunity
 Scott Logic is an equal opportunity employer. We are committed to creating an inclusive environment where everyone can thrive, regardless of race, religion, gender, sexual orientation, age, marital status, disability, or background. We value diversity as a driver of innovation and are dedicated to fostering a culture of respect, collaboration, and continuous learning.</t>
        </is>
      </c>
    </row>
    <row r="20">
      <c r="A20" t="inlineStr">
        <is>
          <t>li-4365319174</t>
        </is>
      </c>
      <c r="B20" t="inlineStr">
        <is>
          <t>Data Engineer &amp; Modeler</t>
        </is>
      </c>
      <c r="C20" t="inlineStr">
        <is>
          <t>Illumination Works</t>
        </is>
      </c>
      <c r="D20" t="inlineStr">
        <is>
          <t>linkedin</t>
        </is>
      </c>
      <c r="E20">
        <f>HYPERLINK("https://www.linkedin.com/jobs/view/4365319174", "https://www.linkedin.com/jobs/view/4365319174")</f>
        <v/>
      </c>
      <c r="F20" t="inlineStr"/>
      <c r="G20" t="inlineStr"/>
      <c r="H20" t="inlineStr"/>
      <c r="I20" t="inlineStr">
        <is>
          <t>**Location:** 
 Remote
 As a
 **Data Engineer \&amp; Modeler,** 
 you will work hands\-on with challenging data engineering, data management, and analytics projects. You will collaborate with data scientists, analysts, business users, and IT teams to design, implement, and deploy data services and analytics.
**Do you have what it takes?** 
 Are you driven to implement creative solutions that unravel complex and ever\-changing challenges? We value passion, curiosity, and perseverance with an ability to communicate ideas and results to diverse audiences. We look for people who thrive in collaborative and independent assignments, have the aptitude to learn new data quickly, and who are willing to mentor junior team members.
 Key responsibilities and skills for this position include:
* Must have or be willing to obtain Secret Clearance (this requires US Citizenship)
* Advanced SQL skills
* Experience with Databricks, Python, PySpark, and Snowflake
* Cloud experience: Azure, AWS, or GCP
* Develop and maintain ETL pipelines
* Database design and principles
* Data modeling, schema development, and data\-centric documentation
* Experience with both structured and unstructured data
* Experience integrating data from a variety of data source types
* Recommend and advise on optimal data models for data ingestion, integration, and visualization
* Experience improving code performance and query optimization
* Use Continuous Integration/Continuous Delivery (CI/CD) concepts to engineer a standardized data environment
* Outstanding problem\-solving skills
* Excellent verbal and written communication skills and the ability to interact professionally with a diverse group, including executives, managers, and subject matter experts
* Minimum of three (3\) years of experience in a corporate setting in the data engineering field
* Minimum Education: Bachelor’s degree in Computer Science, Mathematics, or comparable academic discipline
* Acceptable candidates must successfully pass a drug test and background screen
**About Illumination Works** 
 At Illumination Works, we know data, and we should, we’ve been doing it since we started in 2006! We specialize in everything data from big data to data science, data engineering, software engineering, and cloud design. We are a trusted technology partner in user\-centered digital transformation—delivering impactful business results to clients. We partner with customers to solve their unique technology and data challenges and stay on top of modern technologies and advancements leveraging our Innovation Lab. Check out our website to learn more at www.ilwllc.com.
**Why choose us?** 
 We invest in our employees in all aspects of their life and we value family. We offer market competitive salary, a generous PTO package, and comprehensive medical, dental, vision and life insurance plans. We also offer 401K, short/long\-term disability insurance, a fun and engaging culture, and training opportunities to keep you up to speed on the latest technologies.
 Illumination Works is committed to hiring and retaining the best workforce. We hire the best talent for our customers’ needs. We make our hiring decisions without regard to race, color, religion, sexual orientation, gender identity or national origin, age, veteran status, disability, or any other protected class. Acceptable candidates must successfully pass a drug test and background screen.</t>
        </is>
      </c>
    </row>
    <row r="21">
      <c r="A21" t="inlineStr">
        <is>
          <t>li-4365306294</t>
        </is>
      </c>
      <c r="B21" t="inlineStr">
        <is>
          <t>Lead Data Engineer</t>
        </is>
      </c>
      <c r="C21" t="inlineStr">
        <is>
          <t>E4E Relief</t>
        </is>
      </c>
      <c r="D21" t="inlineStr">
        <is>
          <t>linkedin</t>
        </is>
      </c>
      <c r="E21">
        <f>HYPERLINK("https://www.linkedin.com/jobs/view/4365306294", "https://www.linkedin.com/jobs/view/4365306294")</f>
        <v/>
      </c>
      <c r="F21" t="inlineStr"/>
      <c r="G21" t="inlineStr">
        <is>
          <t>Charlotte, NC</t>
        </is>
      </c>
      <c r="H21" t="inlineStr"/>
      <c r="I21" t="inlineStr">
        <is>
          <t>**Description**
 Job Summary:
 The Lead Data Engineer is a hands\-on Data Engineer that will own the design, development, and governance of our data platforms. Leveraging Azure, with primary focus on Microsoft SQL Server, Power BI reporting, and cloud\-based data services. This role partners with analytics, product, and engineering teams to deliver scalable data solutions that offer best\-in\-class reporting to our customers while enabling data\-driven decision making across the organization
**Supervisory/Functional Leadership Responsibilities**
* Foster high\-performing and supportive team environment.
**Essential Responsibilities**
 Reasonable accommodations may be made to enable individuals with disabilities to perform these essential functions.
 Data architecture and governance
* Design and maintain scalable data models on Microsoft SQL Server and Azure data services, ensuring data quality, lineage, security, and compliance.
* Define and implement data governance standards, metadata management, and data retention policies.
* Champion data quality initiatives, profiling, and automated validation across the data pipeline.
 Data engineering and platform development
* Build, optimize, and maintain ETL pipelines, preferably using SQL Server SSIS
* Lead migration and modernization efforts from on\-premises SQL Server to cloud\-native architectures, including data lake patterns where appropriate.
* Implement scalable data ingestion from multiple sources, ensuring low\-latency, reliable data delivery to analytics consumers.
 BI and analytics enablement
* Architect and govern data models, datasets, security, and performance optimizations; partner with analysts to deliver self\-serve analytics capabilities, preferably leveraging Power BI
* Create reusable data services and dashboards that enable senior leadership to monitor KPIs and metrics with accuracy and speed.
 Cloud engineering and operations
* Own Azure environment design, cost optimization, security controls (RBAC, data encryption, threat detection), and disaster recovery planning as it relates to the data domain
* Establish CI/CD pipelines for data assets and analytics artifacts; promote best practices for versioning, testing, and deployment.
 Leadership and collaboration
* Mentor data engineers, establish coding standards, code reviews, and best\-practice documentation.
* Collaborate with product managers and business stakeholders to translate requirements into scalable data solutions.
* Manage project timelines, risk, and stakeholder communication, balance delivery speed with data quality and reliability.
* Work with the data or engineering teams to perform root cause analysis of field reported defects
* Report defects in defect tracking system by providing detailed documentation as proof of test failures for repeatability.
* Compare testing metrics to exit criteria to provide QA advice on product release.
**Other Duties**
* Performs other related duties as assigned.
 Please note this job description is not designed to cover or contain a comprehensive listing of activities, duties or responsibilities that are required of the employee for this job. Duties, responsibilities, and activities may change at any time with or without notice.
**Requirements**
 Education and Experience:
* 6\+ years of experience in data engineering or a closely related role, with a track record delivering enterprise\-grade data platforms
* Deep expertise in Microsoft SQL Server (design, tuning, indexing, query optimization) and Azure data services (Azure SQL, Data Factory, Synapse, Data Lake, storage, identity and security features).
* Strong Power BI proficiency (data modeling, DAX, performance optimization, security roles, and report deployment).
* Experience migrating or modernizing data architectures to cloud environments; ability to design scalable, robust, and cost\-conscious solutions.
* Proven ability to lead technical teams, mentor engineers, and drive cross\-functional collaboration.
* Knowledge of data governance, data quality frameworks, and data security/compliance considerations.
* Excellent communication skills, with the ability to translate technical concepts to non\-technical stakeholders.
**Physical Requirements**
* Prolonged periods sitting at a desk and working on a computer.
* Client\-facing interactions both virtual and in\-person.
* Ability to travel to client engagement sessions/conferences.
* Must be able to lift to 10 pounds at times.
**Work Environment**
 Office environment
* Hybrid schedule\- Monday and Fridays are remote; we are in the office Tuesday\- Thursday.
* Business casual office environment with computer workstation and standard office equipment
* Controlled indoor climate with standard office lighting and noise levels.
* Access to reliable internet connection for remote workdays
**Travel Required**
* Travel is not required for this position.</t>
        </is>
      </c>
    </row>
    <row r="22">
      <c r="A22" t="inlineStr">
        <is>
          <t>li-4365299844</t>
        </is>
      </c>
      <c r="B22" t="inlineStr">
        <is>
          <t>Senior Analytics Engineer</t>
        </is>
      </c>
      <c r="C22" t="inlineStr">
        <is>
          <t>Solar Landscape</t>
        </is>
      </c>
      <c r="D22" t="inlineStr">
        <is>
          <t>linkedin</t>
        </is>
      </c>
      <c r="E22">
        <f>HYPERLINK("https://www.linkedin.com/jobs/view/4365299844", "https://www.linkedin.com/jobs/view/4365299844")</f>
        <v/>
      </c>
      <c r="F22" t="inlineStr"/>
      <c r="G22" t="inlineStr">
        <is>
          <t>New York, NY</t>
        </is>
      </c>
      <c r="H22" t="inlineStr"/>
      <c r="I22" t="inlineStr">
        <is>
          <t>**About Us**
 Solar Landscape is the leading commercial rooftop solar developer in the U.S. Only 4% of commercial rooftops host solar today — we’re changing that, fast. Commercial rooftop solar is the fastest, smartest way to build new clean power — delivering megawatts of generation in months, not years, and powering America’s energy and future right where it’s needed most. By turning rooftops into local power plants, we’re reshaping how — and how fast — energy gets built in the U.S.
 Recognized as the \#1 Distributed Generation Developer by New Project Media, the \#1 National Commercial Rooftop Solar Developer by Solar Power World, and winner of the U.S. Department of Energy’s Grand Prize for Clean Energy, Solar Landscape is defining the future of energy generation in America.
 Headquartered in Asbury Park, New Jersey, Solar Landscape has offices in Chicago, Baltimore, and New York City and operates in over a dozen states nationwide.
 We move fast, solve hard problems, and take our work seriously — but never ourselves. We value clear thinking, accountability, and execution. At the same time, we’re collaborative by default, and believe the best work happens when people enjoy working together. Our team is made up of smart, grounded people who show up for each other — whether that’s troubleshooting a system design or catching up over lunch.
 If you’re looking to do meaningful work in a high\-performance environment — and be part of the team reshaping how energy gets built in the U.S. — we’d love to meet you.
**About The Role**
 We are seeking a Senior Analytics Engineer to orchestrate the data needs for Solar Landscape, driving actionable insights through robust analytics solutions. This critical role will involve designing and implementing analytics strategies, defining and tracking KPIs, and developing comprehensive reports to support data\-driven decision\-making throughout the organization. Working closely with our data engineering team, you'll transform data into meaningful business insights that propel Solar Landscape forward.
**Responsibilities**
* Design, develop, and implement analytics strategies to deliver actionable insights and drive data\-driven decisions across the company
* Define, measure, and monitor key performance indicators (KPIs) relevant to subscribers, solar assets, renewable energy credits, and business operations
* Collaborate closely with stakeholders across multiple departments to gather requirements, understand business processes, and ensure alignment with analytics solutions
* Build and maintain robust reporting frameworks and dashboards utilizing tools such as Power BI to clearly communicate insights to stakeholders
* Lead the identification and analysis of trends and opportunities within complex datasets
* Contribute to data ingestion in Microsoft Fabric, following team standards and protocols
* Use Jira for task management to support efficient, transparent, and collaborative development cycles
* Oversee data quality, integrity, and security, ensuring compliance with company standards and industry regulations
**Qualifications**
* 5\+ years of experience in Analytics Engineering, Data Engineering, Data Analytics, or a related field
* Expertise in defining KPIs, building reporting frameworks, and developing insightful data visualizations
* Proficiency with analytics and visualization tools, especially Power BI
* Strong SQL skills, with experience in querying, analyzing, and optimizing complex datasets
* Experience collaborating with distributed teams, including offshore developers
* Demonstrated ability to translate complex data into clear, actionable insights and communicate findings effectively to diverse audiences
* Excellent analytical, problem\-solving, and critical thinking skills
* Effective communicator comfortable working across technical and non\-technical teams
* A passion for clean technology and using software to accelerate positive climate impact
**Nice to Have**
* Experience building Financial reporting (Actual v Budget, SG\&amp;A, etc)
* Prior work in energy, utilities, or Community Solar Subscriber management
* Experience with cloud\-based data engineering solutions, particularly Microsoft Azure
* Proficiency in Business Central platform and with analytics and visualization tools, especially Power BI
* Familiarity with Azure, Microsoft Dynamics 365, PowerApps, or related Microsoft data platforms
**Benefits And Perks**
 We offer competitive compensation and benefits designed to support you inside and outside of work:
* Training / Professional development opportunities
* 401(k) with 4% company match
* Summer Fridays
* Flexible remote/hybrid work options
* Paid parental leave
* Team lunches, events, and stocked kitchens
* Modern, collaborative office spaces in Asbury Park, New York City, Boston, Chicago, and Baltimore
* Medical, dental, and vision coverage
* Company\-paid life and long\-term disability insurance
 Salary will vary depending on your location and job\-related skills and experience. This is an incentive\-based position with the potential to earn more. For part\-time roles, your compensation will be adjusted to reflect your hours.</t>
        </is>
      </c>
    </row>
    <row r="23">
      <c r="A23" t="inlineStr">
        <is>
          <t>li-4362605799</t>
        </is>
      </c>
      <c r="B23" t="inlineStr">
        <is>
          <t>Azure Data Engineer</t>
        </is>
      </c>
      <c r="C23" t="inlineStr">
        <is>
          <t>Precision Technologies</t>
        </is>
      </c>
      <c r="D23" t="inlineStr">
        <is>
          <t>linkedin</t>
        </is>
      </c>
      <c r="E23">
        <f>HYPERLINK("https://www.linkedin.com/jobs/view/4362605799", "https://www.linkedin.com/jobs/view/4362605799")</f>
        <v/>
      </c>
      <c r="F23" t="inlineStr"/>
      <c r="G23" t="inlineStr"/>
      <c r="H23" t="inlineStr"/>
      <c r="I23" t="inlineStr">
        <is>
          <t>💼
 **Senior / Lead Data Engineer** 
**Location:** 
 Multiple Client Locations across the USA (Open to Relocation)
**Experience:** 
 8\+ Years
**Employment Type:** 
 Full\-time
**About the Role** 
 We’re looking for an experienced
 **Senior or Lead Data Engineer** 
 to join our client projects across diverse domains \- finance, healthcare, retail, and cloud\-based ecosystems. This role involves designing, building, and optimizing large\-scale data processing systems, ensuring data availability and integrity across platforms.
**Key Responsibilities:** 
* Architect, build, and maintain scalable
 **data pipelines** 
 and
 **ETL processes** 
 using modern tools and cloud technologies
* Develop and deploy
 **data ingestion frameworks** 
 for structured and unstructured data sources.
* Work closely with
 **data scientists, analysts, and DevOps teams** 
 to design efficient data models and ensure seamless integrations.
* Optimize performance of large\-scale
 **data lakes and warehouses** 
 .
* Implement
 **data governance, lineage, and quality frameworks** 
 .
* Lead and mentor junior data engineers and ensure best practices in data engineering.
**Required Skills:** 
* 8\+ years of hands\-on experience in
 **data engineering, ETL development, and pipeline automation** 
 .
* Strong expertise in at least one cloud platform \-
 **AWS, Azure, or GCP** 
 .
* Hands\-on with
 **Spark, PySpark, Databricks, Kafka, Snowflake, Airflow, SQL, and Python** 
 .
* Experience with
 **data warehousing** 
 (Redshift, BigQuery, Synapse, etc.) and
 **streaming technologies** 
 .
* Solid understanding of
 **data modeling, orchestration, and performance tuning** 
 .
* Excellent communication skills and ability to work in collaborative, cross\-functional teams.
**Nice to Have:** 
* Experience in
 **data modernization or migration projects** 
 .
* Familiarity with
 **CI/CD pipelines** 
 and
 **containerization** 
 (Docker/Kubernetes).
 📩
 **Interested candidates can apply directly or share resumes at** 
**raviteja.d@precisiontechcorp.com** 
 Let’s build the future of data together!</t>
        </is>
      </c>
    </row>
    <row r="24">
      <c r="A24" t="inlineStr">
        <is>
          <t>li-4362586159</t>
        </is>
      </c>
      <c r="B24" t="inlineStr">
        <is>
          <t>Data Engineer</t>
        </is>
      </c>
      <c r="C24" t="inlineStr">
        <is>
          <t>RemoteHunter</t>
        </is>
      </c>
      <c r="D24" t="inlineStr">
        <is>
          <t>linkedin</t>
        </is>
      </c>
      <c r="E24">
        <f>HYPERLINK("https://www.linkedin.com/jobs/view/4362586159", "https://www.linkedin.com/jobs/view/4362586159")</f>
        <v/>
      </c>
      <c r="F24" t="inlineStr"/>
      <c r="G24" t="inlineStr"/>
      <c r="H24" t="inlineStr"/>
      <c r="I24"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li-4365303830</t>
        </is>
      </c>
      <c r="B25" t="inlineStr">
        <is>
          <t>Senior Analytics Engineer</t>
        </is>
      </c>
      <c r="C25" t="inlineStr">
        <is>
          <t>Solar Landscape</t>
        </is>
      </c>
      <c r="D25" t="inlineStr">
        <is>
          <t>linkedin</t>
        </is>
      </c>
      <c r="E25">
        <f>HYPERLINK("https://www.linkedin.com/jobs/view/4365303830", "https://www.linkedin.com/jobs/view/4365303830")</f>
        <v/>
      </c>
      <c r="F25" t="inlineStr"/>
      <c r="G25" t="inlineStr">
        <is>
          <t>Asbury Park, NJ</t>
        </is>
      </c>
      <c r="H25" t="inlineStr"/>
      <c r="I25" t="inlineStr">
        <is>
          <t>**About Us**
 Solar Landscape is the leading commercial rooftop solar developer in the U.S. Only 4% of commercial rooftops host solar today — we’re changing that, fast. Commercial rooftop solar is the fastest, smartest way to build new clean power — delivering megawatts of generation in months, not years, and powering America’s energy and future right where it’s needed most. By turning rooftops into local power plants, we’re reshaping how — and how fast — energy gets built in the U.S.
 Recognized as the \#1 Distributed Generation Developer by New Project Media, the \#1 National Commercial Rooftop Solar Developer by Solar Power World, and winner of the U.S. Department of Energy’s Grand Prize for Clean Energy, Solar Landscape is defining the future of energy generation in America.
 Headquartered in Asbury Park, New Jersey, Solar Landscape has offices in Chicago, Baltimore, and New York City and operates in over a dozen states nationwide.
 We move fast, solve hard problems, and take our work seriously — but never ourselves. We value clear thinking, accountability, and execution. At the same time, we’re collaborative by default, and believe the best work happens when people enjoy working together. Our team is made up of smart, grounded people who show up for each other — whether that’s troubleshooting a system design or catching up over lunch.
 If you’re looking to do meaningful work in a high\-performance environment — and be part of the team reshaping how energy gets built in the U.S. — we’d love to meet you.
**About The Role**
 We are seeking a Senior Analytics Engineer to orchestrate the data needs for Solar Landscape, driving actionable insights through robust analytics solutions. This critical role will involve designing and implementing analytics strategies, defining and tracking KPIs, and developing comprehensive reports to support data\-driven decision\-making throughout the organization. Working closely with our data engineering team, you'll transform data into meaningful business insights that propel Solar Landscape forward.
**Responsibilities**
* Design, develop, and implement analytics strategies to deliver actionable insights and drive data\-driven decisions across the company
* Define, measure, and monitor key performance indicators (KPIs) relevant to subscribers, solar assets, renewable energy credits, and business operations
* Collaborate closely with stakeholders across multiple departments to gather requirements, understand business processes, and ensure alignment with analytics solutions
* Build and maintain robust reporting frameworks and dashboards utilizing tools such as Power BI to clearly communicate insights to stakeholders
* Lead the identification and analysis of trends and opportunities within complex datasets
* Contribute to data ingestion in Microsoft Fabric, following team standards and protocols
* Use Jira for task management to support efficient, transparent, and collaborative development cycles
* Oversee data quality, integrity, and security, ensuring compliance with company standards and industry regulations
**Qualifications**
* 5\+ years of experience in Analytics Engineering, Data Engineering, Data Analytics, or a related field
* Expertise in defining KPIs, building reporting frameworks, and developing insightful data visualizations
* Proficiency with analytics and visualization tools, especially Power BI
* Strong SQL skills, with experience in querying, analyzing, and optimizing complex datasets
* Experience collaborating with distributed teams, including offshore developers
* Demonstrated ability to translate complex data into clear, actionable insights and communicate findings effectively to diverse audiences
* Excellent analytical, problem\-solving, and critical thinking skills
* Effective communicator comfortable working across technical and non\-technical teams
* A passion for clean technology and using software to accelerate positive climate impact
**Nice to Have**
* Experience building Financial reporting (Actual v Budget, SG\&amp;A, etc)
* Prior work in energy, utilities, or Community Solar Subscriber management
* Experience with cloud\-based data engineering solutions, particularly Microsoft Azure
* Proficiency in Business Central platform and with analytics and visualization tools, especially Power BI
* Familiarity with Azure, Microsoft Dynamics 365, PowerApps, or related Microsoft data platforms
**Benefits And Perks**
 We offer competitive compensation and benefits designed to support you inside and outside of work:
* Training / Professional development opportunities
* 401(k) with 4% company match
* Summer Fridays
* Flexible remote/hybrid work options
* Paid parental leave
* Team lunches, events, and stocked kitchens
* Modern, collaborative office spaces in Asbury Park, New York City, Boston, Chicago, and Baltimore
* Medical, dental, and vision coverage
* Company\-paid life and long\-term disability insurance
 Salary will vary depending on your location and job\-related skills and experience. This is an incentive\-based position with the potential to earn more. For part\-time roles, your compensation will be adjusted to reflect your hours.</t>
        </is>
      </c>
    </row>
    <row r="26">
      <c r="A26" t="inlineStr">
        <is>
          <t>li-4362633647</t>
        </is>
      </c>
      <c r="B26" t="inlineStr">
        <is>
          <t>Azure Data Engineer</t>
        </is>
      </c>
      <c r="C26" t="inlineStr">
        <is>
          <t>Precision Technologies</t>
        </is>
      </c>
      <c r="D26" t="inlineStr">
        <is>
          <t>linkedin</t>
        </is>
      </c>
      <c r="E26">
        <f>HYPERLINK("https://www.linkedin.com/jobs/view/4362633647", "https://www.linkedin.com/jobs/view/4362633647")</f>
        <v/>
      </c>
      <c r="F26" t="inlineStr"/>
      <c r="G26" t="inlineStr">
        <is>
          <t>Pennsylvania, United States</t>
        </is>
      </c>
      <c r="H26" t="inlineStr"/>
      <c r="I26" t="inlineStr">
        <is>
          <t>**Job Title: Azure Data Engineer (10\+ Years)** 
**Location:** 
 Pennsylvania
 **(Onsite)** 
**Employment:** 
 Full Time/ W2
 **(NO C2C)** 
**Job Summary:** 
 e are seeking a highly experienced
 **Senior Azure Data Engineer** 
 with
 **10\+ years of data engineering experience** 
 and deep expertise in the
 **Microsoft Azure data ecosystem** 
 . The ideal candidate will design, build, and optimize
 **scalable, secure, and high\-performance data platforms** 
 that support analytics, reporting, and advanced data processing. This role requires strong hands\-on experience with
 **Azure data services, ETL/ELT pipelines, big data technologies, and cloud\-native architectures** 
 , along with the ability to collaborate across teams and provide technical leadership.
**Key Responsibilities:** 
* Design, develop, and maintain
 **end\-to\-end data engineering solutions** 
 on the
 **Azure cloud platform** 
 , supporting structured, semi\-structured, and unstructured data.
* Build and manage
 **data ingestion, transformation, and orchestration pipelines** 
 using
 **Azure Data Factory and Azure Synapse Pipelines** 
 , following best practices for reliability and scalability.
* Develop and optimize
 **enterprise data warehouses and data lakes** 
 using
 **Azure Synapse Analytics, Azure Data Lake Storage (ADLS Gen2\), and Azure SQL** 
 .
* Implement
 **ETL/ELT processes** 
 using
 **PySpark, Spark SQL, SQL, and Python** 
 , ensuring efficient data processing and performance tuning.
* Work with
 **big data and distributed processing frameworks** 
 such as
 **Apache Spark** 
 within
 **Azure Databricks** 
 for large\-scale data transformations.
* Design and enforce
 **data modeling standards** 
 , including dimensional and normalized models, to support analytics and reporting use cases.
* Ensure
 **data quality, data governance, and metadata management** 
 by implementing validation, monitoring, and lineage solutions.
* Integrate data from multiple sources, including
 **relational databases, APIs, streaming sources, and third\-party systems** 
 , into centralized Azure data platforms.
* Leverage
 **Azure security and compliance features** 
 , including role\-based access control, encryption, and secure networking, to protect sensitive data.
* Implement
 **CI/CD pipelines** 
 for data engineering workloads using
 **Azure DevOps, Git, and infrastructure\-as\-code tools** 
 such as ARM templates or Terraform.
* Monitor, troubleshoot, and optimize data pipelines and platforms using
 **Azure Monitor, Log Analytics, and performance metrics** 
 .
* Collaborate with
 **data architects, data scientists, BI developers, and business stakeholders** 
 to deliver scalable and business\-aligned data solutions.
* Provide
 **technical leadership** 
 , conduct code reviews, mentor junior data engineers, and promote best practices in cloud data engineering.
**Required Skills \&amp; Qualifications:** 
* **10\+ years of overall experience** 
 in data engineering, data warehousing, or big data development.
* Strong hands\-on experience with
 **Microsoft Azure data services** 
 , including
 **Azure Data Factory, Azure Synapse Analytics, Azure Data Lake Storage, and Azure Databricks** 
 .
* Advanced proficiency in
 **SQL** 
 , with experience in query optimization and performance tuning.
* Strong programming experience in
 **Python and/or PySpark** 
 for data processing and automation.
* Solid understanding of
 **ETL/ELT architectures** 
 , data integration patterns, and distributed data processing concepts.
* Experience working with
 **large\-scale datasets and big data technologies** 
 , particularly Apache Spark.
* Strong knowledge of
 **data modeling techniques** 
 (dimensional, star/snowflake schemas).
* Experience implementing
 **cloud\-native, scalable, and fault\-tolerant data solutions** 
 .
* Hands\-on experience with
 **CI/CD, version control (Git), and DevOps practices** 
 for data platforms.
* Strong understanding of
 **data security, governance, and compliance** 
 in cloud environments.
* Experience working in
 **Agile/Scrum environments** 
 with excellent communication and collaboration skills.</t>
        </is>
      </c>
    </row>
    <row r="27">
      <c r="A27" t="inlineStr">
        <is>
          <t>li-4340999817</t>
        </is>
      </c>
      <c r="B27" t="inlineStr">
        <is>
          <t>Senior Data Engineer</t>
        </is>
      </c>
      <c r="C27" t="inlineStr">
        <is>
          <t>Vanna Health</t>
        </is>
      </c>
      <c r="D27" t="inlineStr">
        <is>
          <t>linkedin</t>
        </is>
      </c>
      <c r="E27">
        <f>HYPERLINK("https://www.linkedin.com/jobs/view/4340999817", "https://www.linkedin.com/jobs/view/4340999817")</f>
        <v/>
      </c>
      <c r="F27">
        <f>HYPERLINK("https://job-boards.greenhouse.io/vannahealth/jobs/4631805005&amp;urlHash=pJwb", "https://job-boards.greenhouse.io/vannahealth/jobs/4631805005&amp;urlHash=pJwb")</f>
        <v/>
      </c>
      <c r="G27" t="inlineStr"/>
      <c r="H27" t="inlineStr"/>
      <c r="I27" t="inlineStr">
        <is>
          <t>**Salary Range:** 
 $150,000\-$210,000 per year
**Full\-Time \| Remote**
**Note:** 
 This is a remote position.
**About Vanna Health**
 Vanna is reimagining care and community for people living with serious mental illness (SMI).
 The current system is failing individuals with SMI, resulting in a high risk of loneliness (2\.3x), homelessness (6x), unemployment (30x), incarceration (25x), and reduced life expectancy (by 20 years). Vanna believes that no person is too ill to recover and that the solution is social, not just medical. Our mission is to empower people with SMI to flourish by finding purpose and a sense of belonging in their community.
 We are deploying community\-based care teams from diverse backgrounds that have a variety of lived experiences and know their communities inside and out. In close collaboration with existing community organizations and healthcare providers, our teams outreach and build trust with individuals to support the navigation of each individual’s personalized recovery journey.
 We are committed to providing individuals with culturally inclusive support for all races, ethnicities, religions, sexual orientations, gender identities, and other social factors, such as history of incarceration.
**About The Role**
 As Vanna continues to grow, we’re looking for a Senior Data Engineer to build and mature the data platform capabilities that are foundational to Vanna’s success across several key domains, including population evaluation and selection, member outreach and engagement, and optimization of clinical and financial outcomes for both individual members and our populations as a whole. You’ll work closely with our engineering, product, operations, and clinical teams to develop the technology that enables our community\-based teams to provide compassionate care to our members living with severe mental illness.
 This is a unique opportunity to join a small but growing team, where you’ll have the opportunity to develop many of our foundational data capabilities from scratch and own projects end\-to\-end. You have a growth mindset and are excited about expanding your technical skills and stepping into new responsibilities as the team and company grow.
 What you’ll work on
* Design, build, and operate cloud\-based data infrastructure, optimizing for scale, performance, and cost efficiency as the size of our data grows
* Automate data flows, and layer in monitoring, alerting, and data quality tests to ensure data is accurate and up\-to\-date
* Build interfaces that allow for exposing data and associated processing functionality directly to end users and other systems
* Design and implement production\-grade ML/AI infrastructure, and partner with data scientists to take models into production
* Build frameworks and internal self\-service tooling that helps the data team deliver value faster
**About You**
* 6\+ years of experience in data, ML, or back\-end software engineering
* Advanced Python skills
* Databricks and Spark experience strongly preferred
* Experience with analytical data stores (e.g. Delta Lake, Snowflake, BigQuery) and relational databases (e.g. Postgres, MySQL)
* Intermediate to advanced SQL knowledge (experience with dbt a big plus)
* Experience building and operating production\-grade ML/AI systems
* Familiarity with CI/CD
* Obsessive focus on end users and business impact
*Bonus points if you have:*
* Familiarity with healthcare data
* Experience with (or a desire to learn) infrastructure as code tools like Terraform or Databricks Asset Bundles
* Experience working in highly\-regulated environments
* Experience at an early\-stage startup
* Familiarity with streaming and event\-driven architectures
**Benefits**
* Full health, dental, and vision benefits
* Health Savings Account (HSA)
* Flexible Spending Account (FSA) and Dependent Care FSA
* 401K
* Unlimited PTO</t>
        </is>
      </c>
    </row>
    <row r="28">
      <c r="A28" t="inlineStr">
        <is>
          <t>li-4362642882</t>
        </is>
      </c>
      <c r="B28" t="inlineStr">
        <is>
          <t>Lead Data Engineer</t>
        </is>
      </c>
      <c r="C28" t="inlineStr">
        <is>
          <t>The Walt Disney Company</t>
        </is>
      </c>
      <c r="D28" t="inlineStr">
        <is>
          <t>linkedin</t>
        </is>
      </c>
      <c r="E28">
        <f>HYPERLINK("https://www.linkedin.com/jobs/view/4362642882", "https://www.linkedin.com/jobs/view/4362642882")</f>
        <v/>
      </c>
      <c r="F28" t="inlineStr"/>
      <c r="G28" t="inlineStr">
        <is>
          <t>Santa Monica, CA</t>
        </is>
      </c>
      <c r="H28" t="inlineStr"/>
      <c r="I28"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**Job Summary**
 The Search Machine Learning (ML) team powers the ML aspects of search engines for Disney\+ platform, in a highly collaborative environment. ML\-based services are embedded inside the entire life cycle of search journey, from query understanding, semantic retrieval, and engagement\-based re\-ranking of contents. Working closely with our product stakeholders, we are constantly testing new ideas, and bringing the proven ones into fruition, through experimentation.
 In this role, you will be leading the data operation aspects of our ML services, from data warehousing, building and owning ETL pipelines, and standing up feature stores for low\-latency feature access to our ML micro\-services. This is a highly collaborative role, where you will be able to own the entire lifecycle of data pipelines, communicate your requirements with upstream DATA teams, bring your data engineering skills and ideas into life by engineering efficient data pipelines, and help supporting the feature requirements by the ML engineers/data scientists.
**Responsibilities And Duties Of The Role**
* Design, own, and optimize our offline (Spark) and near\-line (Kinesis, Kafka) data pipelines.
* Stand up scalable and performant online feature stores; build SDKs around both customized and provisioned feature stores.
* Integrate online feature stores with the ML service layer to enable real\-time model inference and data serving.
* Scope data lineage dependencies and participate in cross\-team data model design for upstream and downstream systems.
* Mentor junior data engineers on best practices for testing, validation, and deployment of ETL jobs, including pipeline and feature set versioning, and promoting code from non\-prod to prod environments.
**Required Education, Experience/Skills/Training**
 Basic Qualifications
* 7\+ years of data engineering experience, with 2\+ years of relevant Feature Store experience
* Experience with design trade\-offs for low\-latency online feature stores
* Hands\-on experience with sagemaker/Redis or any other equivalent online Feature Stores
* Experience with large\-scale distributed data processing systems, such as Spark, Hadoop, Ray
**Preferred Qualifications**
* Familiarity with vector databases such as Faiss, Pinecone, Milvus, mongoDB, Qdrant
* Experience building streaming pipelines using Kafka, Kinesis
 Required Education
* Bachelor's (MS or PhD preferred) in Computer Science, Software Engineering, or a related field
 The hiring range for this position in Santa Monica, CA is $155,700 \- $208,700 per year and in New York City is $163,100 \- $218,700 per year and in San Francisco, CA is $170,500 \- $228,600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9">
      <c r="A29" t="inlineStr">
        <is>
          <t>li-4365314648</t>
        </is>
      </c>
      <c r="B29" t="inlineStr">
        <is>
          <t>Senior Data Engineer</t>
        </is>
      </c>
      <c r="C29" t="inlineStr">
        <is>
          <t>Phaxis</t>
        </is>
      </c>
      <c r="D29" t="inlineStr">
        <is>
          <t>linkedin</t>
        </is>
      </c>
      <c r="E29">
        <f>HYPERLINK("https://www.linkedin.com/jobs/view/4365314648", "https://www.linkedin.com/jobs/view/4365314648")</f>
        <v/>
      </c>
      <c r="F29" t="inlineStr"/>
      <c r="G29" t="inlineStr">
        <is>
          <t>New York, NY</t>
        </is>
      </c>
      <c r="H29" t="inlineStr"/>
      <c r="I29" t="inlineStr">
        <is>
          <t>Salary is 130k to 145k
 We are seeking a Senior Data Engineer to join our dynamic data team. The ideal candidate will have hands\-on experience designing, building, and optimizing enterprise\-scale data pipelines and reporting solutions. You will work closely with business stakeholders, analysts, and cross\-functional teams to deliver high\-quality, scalable data solutions that enable data\-driven decision\-making.
 Key Responsibilities:
* Design, develop, and maintain robust ETL pipelines using SSIS, Azure Data Factory (ADF), and other Azure services.
* Build, optimize, and maintain SQL Server, Azure SQL, and Snowflake databases for analytical and operational reporting.
* Transform large datasets using Databricks, PySpark, and Delta Lake to deliver unified data models.
* Collaborate with cross\-functional teams to implement datamarts, tabular models, and reporting solutions using Power BI.
* Automate pipeline monitoring, error handling, and data validation to ensure data quality and reliability.
* Optimize SQL queries, execution plans, and ETL processes to improve performance and reduce costs.
* Participate in CI/CD deployment pipelines using Azure DevOps and version control tools like Git.
* Integrate and process data from various APIs, cloud sources, and third\-party platforms, including interacting with web service APIs (SOAP, REST).
* Mentor junior engineers and provide guidance on best practices in ETL, data modeling, and pipeline optimization.
 Qualifications:
* Bachelor's or Master's degree in Computer Science, Information Technology, or a related field.
* 5\+ years of experience in data engineering, ETL, and data pipeline development.
* Strong expertise in SQL, SSIS, ETL, and Azure Data Factory.
* Hands\-on experience with Azure Synapse, Databricks, Python, Spark, and cloud\-based data warehousing.
* Experience in data modeling, tabular modeling, and building analytical reporting solutions.
* Knowledge of Python/PySpark for data transformation and automation.
* Experience interacting with web service APIs (SOAP, REST).
* Familiarity with Snowflake, Delta Lake, or other cloud data platforms is a plus.
* Java or Groovy experience is a plus.
* Strong problem\-solving, analytical thinking, and cross\-team collaboration skills.
 Preferred Skills:
* Experience with Power BI, API integration, and data visualization.
* Familiarity with CI/CD pipelines and automated deployment processes.
* Knowledge of data governance, data quality, and monitoring best practices.</t>
        </is>
      </c>
    </row>
    <row r="30">
      <c r="A30" t="inlineStr">
        <is>
          <t>li-4362506663</t>
        </is>
      </c>
      <c r="B30" t="inlineStr">
        <is>
          <t>Snowflake Data Engineer</t>
        </is>
      </c>
      <c r="C30" t="inlineStr">
        <is>
          <t>GAC Solutions</t>
        </is>
      </c>
      <c r="D30" t="inlineStr">
        <is>
          <t>linkedin</t>
        </is>
      </c>
      <c r="E30">
        <f>HYPERLINK("https://www.linkedin.com/jobs/view/4362506663", "https://www.linkedin.com/jobs/view/4362506663")</f>
        <v/>
      </c>
      <c r="F30" t="inlineStr"/>
      <c r="G30" t="inlineStr">
        <is>
          <t>Nashville, TN</t>
        </is>
      </c>
      <c r="H30" t="inlineStr"/>
      <c r="I30" t="inlineStr">
        <is>
          <t>Data Engineering: Utilize your ETL/Data Engineering expertise in Databricks, Snowflake and Cloud data services to build and maintain robust data solutions. Lead the evaluation of various catalogs and query engines for the Data Lakehouse platform, documenting findings and reviewing them with the architecture teams. SQL, Python, and strong knowledge of the SDLC are required. Build and manage dozens of data pipelines to source and transform data based on business requirements.
 Financial Data Analysis: Apply your knowledge in financial data analysis, risk, and compliance data management to support our financial services customers.
 Data Analysis and Discovery: Leverage Databricks and Snowflake for data analysis and discovery, ensuring data is accessible and actionable. Leverage 10\+ sources of data to derive insights.
 Innovation and Learning: Quickly learn new technologies by applying your current skills, staying ahead of industry trends and advancements. Self\-identify the need for new skills to be developed and adopt new technologies into your skill set in a month’s time.
 Client Collaboration: Work closely with financial services clients to build modern data solutions that transform how they leverage data for key business decisions, investment portfolio performance analysis, and risk and compliance management. Manage multiple stakeholder groups and their requirements.</t>
        </is>
      </c>
    </row>
    <row r="31">
      <c r="A31" t="inlineStr">
        <is>
          <t>li-4365317810</t>
        </is>
      </c>
      <c r="B31" t="inlineStr">
        <is>
          <t>Data Engineer</t>
        </is>
      </c>
      <c r="C31" t="inlineStr">
        <is>
          <t>Systems Planning &amp; Analysis</t>
        </is>
      </c>
      <c r="D31" t="inlineStr">
        <is>
          <t>linkedin</t>
        </is>
      </c>
      <c r="E31">
        <f>HYPERLINK("https://www.linkedin.com/jobs/view/4365317810", "https://www.linkedin.com/jobs/view/4365317810")</f>
        <v/>
      </c>
      <c r="F31" t="inlineStr"/>
      <c r="G31" t="inlineStr">
        <is>
          <t>Arlington, VA</t>
        </is>
      </c>
      <c r="H31" t="inlineStr"/>
      <c r="I31" t="inlineStr">
        <is>
          <t>**Overview**
 Intrepid, an SPA Company, brings more than 20 years of experience supporting the Department of Defense and U.S. Government, consistently setting the standard for excellence in the federal marketplace. Committed to advancing the mission of the U.S. Warfighter, Intrepid leverages technological superiority to deliver innovative solutions across air, space, land, and sea domains. We are proud to foster a collaborative, dynamic work environment, offering competitive compensation and an industry\-leading 401k contribution. Our team is built through merit and achievement, and we’re always looking for the best and brightest to join us in our growth. We treat our people like family, we are mission\-focused, and we give back! Join us today.
 Intrepid, an SPA company, has an immediate need for a Data Engineer.
**Responsibilities**
 Your day\-to\-day work will include: 1\) Providing data organization and accessibility to enable analysis in support of the Army's annual POM development and defense, which includes but is not limited to developing digital data structures and supporting data visualization tool development in support of POM planning, POM build, and Program budget review; 2\) Serving as the senior data engineer providing data structures and synchronization to bolster data storage and usage to enable development of the Program Objective Memorandum; 3\) Developing space and structure for data science applications that address specific organizational needs, such as improving insights into programs, optimizing operations within the directorate, or enhancing decision\-making processes; and 4\) Performing other duties as assigned.
**Qualifications**
* Bachelor's degree in computer science or computer information systems
* 5\+ years of relevant experience
* Programming experience in R or Python with a specific emphasis on data analysis frameworks (Pandas, NumPy, Tidyverse)
* Programming experience in data visualization frameworks (Shiny, Streamlit, Dash, Plotly, ggplot2\) and SQL databases (Postgres, Oracle)
* An active SECRET security clearance and the ability to maintain it throughout employment</t>
        </is>
      </c>
    </row>
    <row r="32">
      <c r="A32" t="inlineStr">
        <is>
          <t>li-4354159249</t>
        </is>
      </c>
      <c r="B32" t="inlineStr">
        <is>
          <t>Data Engineer</t>
        </is>
      </c>
      <c r="C32" t="inlineStr">
        <is>
          <t>Jobot</t>
        </is>
      </c>
      <c r="D32" t="inlineStr">
        <is>
          <t>linkedin</t>
        </is>
      </c>
      <c r="E32">
        <f>HYPERLINK("https://www.linkedin.com/jobs/view/4354159249", "https://www.linkedin.com/jobs/view/4354159249")</f>
        <v/>
      </c>
      <c r="F32" t="inlineStr"/>
      <c r="G32" t="inlineStr">
        <is>
          <t>Birmingham, AL</t>
        </is>
      </c>
      <c r="H32" t="inlineStr"/>
      <c r="I32" t="inlineStr">
        <is>
          <t>Want to learn more about this role and Jobot? Click our Jobot logo and follow our LinkedIn page!
 Job details
 This Jobot Job is hosted by Merwan Zattam
 Are you a fit? Easy Apply now by clicking the "Easy Apply"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3">
      <c r="A33" t="inlineStr">
        <is>
          <t>li-4328990656</t>
        </is>
      </c>
      <c r="B33" t="inlineStr">
        <is>
          <t>Staff Engineer I - Power BI Engineer</t>
        </is>
      </c>
      <c r="C33" t="inlineStr">
        <is>
          <t>Western Alliance Bank</t>
        </is>
      </c>
      <c r="D33" t="inlineStr">
        <is>
          <t>linkedin</t>
        </is>
      </c>
      <c r="E33">
        <f>HYPERLINK("https://www.linkedin.com/jobs/view/4328990656", "https://www.linkedin.com/jobs/view/4328990656")</f>
        <v/>
      </c>
      <c r="F33" t="inlineStr"/>
      <c r="G33" t="inlineStr">
        <is>
          <t>Phoenix, AZ</t>
        </is>
      </c>
      <c r="H33" t="inlineStr"/>
      <c r="I33" t="inlineStr">
        <is>
          <t>**Job Title**
 Staff Engineer I \- Power BI Engineer
**Location:**
 Block 23
**What You'll Do**
 As a Staff Engineer I embedded in the Enterprise Data \&amp; Analytics function, you will be responsible for delivery and operations of technologies and platforms required to model, transform, analyze, report, visualize data.
 As a Staff Engineer I, you'll work in a mid\-level role with proficiency in one or more key products who is responsible for managing and supporting the organization's Data Analytics applications and tooling like Power BI/Fabric, Tableau. As a Staff Engineer I, you will partner with data analysts, business analysts, data engineers, report developers to set standards, enforce best practices, train and enable users using the Power BI platform.
* Take assignments that can be worked on individually without supervision and manage work effort from concept to completion.
* Build, optimize, automate and maintain the Power BI analytics platform, ensuring scalability, security, and performance.
* Implement data analytics principles aimed at business enablement, reliability practices and sound recovery procedures.
* Ensure compliance with IT policies, governance, procedures, and industry standards, including reviewing and refining IT control enhancements.
* Manage Power BI workspaces, gateways, datasets, support business teams with secure, efficient report publishing and data refresh strategies.
* Work closely with business and analytics teams to ensure reliable and governed data access for reporting and visualization.
* Troubleshoot platform issues, optimize performance, and ensure uptime for critical Power BI services.
* Stay current on emerging data analytics technologies, recommending enhancements to improve efficiency and governance.
**What You'll Need**
* 5\+ years of related experience in data analytics roles which includes administration and development.
* Bachelor's degree in related field required.
* Hands\-on experience managing and administering Power BI environments (Capacity management, User access management, gateways, Rest APIs, workspace configuration, DAX optimization, RBAC set up, Disaster Recovery).
* Hands\-on experience with Power BI development (Semantic models, reporting and visualization, DAX).
* Understanding of Microsoft Azure data services, including Azure Data Lake, Azure Data Factory, Azure SQL, Azure Synapse Analytics, Azure Key Vault, Azure Monitor.
* Proficiency in SQL, Python, and/or PySpark.
* Experience with CI/CD pipelines (Azure Devops preferred).
* Intermediate to advanced knowledge of general Financial Services or Banking preferred.
* Advanced proven experience in leading cross\-functional teams and managing multiple projects simultaneously.
* Intermediate to advanced ability to see the big picture and align projects with organizational goals. Capable of leading and motivating cross\-functional teams. Expertise in resolving conflicts and addressing challenges as well as skilled at identifying and mitigating risks at the project level.
* Advanced speaking and writing communication skills.
* Occasional travel might be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34">
      <c r="A34" t="inlineStr">
        <is>
          <t>li-4326625400</t>
        </is>
      </c>
      <c r="B34" t="inlineStr">
        <is>
          <t>Senior Data Management Professional - Data Engineer (Ownership)</t>
        </is>
      </c>
      <c r="C34" t="inlineStr">
        <is>
          <t>Bloomberg</t>
        </is>
      </c>
      <c r="D34" t="inlineStr">
        <is>
          <t>linkedin</t>
        </is>
      </c>
      <c r="E34">
        <f>HYPERLINK("https://www.linkedin.com/jobs/view/4326625400", "https://www.linkedin.com/jobs/view/4326625400")</f>
        <v/>
      </c>
      <c r="F34" t="inlineStr"/>
      <c r="G34" t="inlineStr">
        <is>
          <t>New York, NY</t>
        </is>
      </c>
      <c r="H34" t="inlineStr"/>
      <c r="I34" t="inlineStr">
        <is>
          <t>Location
 New York
 Business Area
 Data
 Ref \#
 10048154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identify innovative workflow efficiencies, and we implement technology solutions to enhance our systems, products and processes.
 Our Team
 The Ownership Data team is responsible for the data management of shareholding disclosures for institutional investors and insiders that fuels functions like HDS. In addition, the group maintains computed statistics like Equity Float and Insider Ownership for publicly listed companies. Overall, this aggregated, cleansed, and normalized data fuels analytics, supports News, and is heavily relied on by market players to understand market sentiment and drive investment decisions. The group is dedicated to crafting best\-in\-class ownership analytics and holdings data while constantly looking to enhance and expand our existing offerings.
 What's the Role?
 The Ownership Data team is seeking a driven and diligent Data Engineer who will be a problem solver, an effective communicator, and versatile at balancing technical expertise with a product\-focused approach. In this role, you will be diving deep into the different types of Ownership disclosures to identify and address the modeling needs of the datasets and ensure our data is fit\-for\-purpose. You will use the tech stack to design and implement efficient data ingestion workflows using programming, machine learning, and AI. As a Senior Data Management Professional, you will help to develop our business outcome\-based data strategies to optimize the value of data for our customers and improve data operations.
**We'll Trust You To**
* Own the end\-to\-end data ingestion of Ownership datasets including long positions and short position holdings data, transactional data, and derived datasets such as the free float field
* Analyze internal processes to find opportunities for improvement, as well as devise and implement innovative solutions
* Communicate and collaborate across team members and complementary teams including Engineering, Product, Enterprise Data, and Bloomberg Intelligence
* Design data models to create data storage solutions for our raw and enriched data and contribute to our data alignment strategy by following the FAIR data principles
* Develop data quality strategies for the Ownership datasets and implement scalable, lasting solutions
* Contribute to the creation of standard methodologies and guidelines for data management and governance
* Use data visualization skills to report on results of ongoing operations and projects, as required
* Keep up with the industry trends, standards, and innovation in the data quality domain
* Work in a fast paced, multifaceted \&amp; collaborative setting
**You'll Need To Have**
* A BA/BS degree or higher in Computer Science, Mathematics, Finance or relevant data technology field, or equivalent professional work experience
* 4\+ years’ experience in data analysis, financial market research, and/or information technology
* Proficiency using scripting languages (preferably Python) to build pre\-processing services that can be integrated in our data pipelines
* A solid grasp of data modeling principles and technologies to perform requirements analysis, conceptual, logical, and physical modeling
* Experience profiling new datasets, and implementing high volume, low\-latency ETL pipelines
* Understanding of quality assurance and quality control from a data and product perspective
* A passion for data and a demonstrated drive to set and uphold standard methodologies for data management
* Proven track record of effective project management and a customer focused mentality
* Good interpersonal skills across various partner groups \- Engineering, Data Analysts, Product Managers, Senior Management
**We'd Love To See**
* Working knowledge of shareholder filings and Equity Float and how they’re used by financial markets players
* Familiarity with use cases of advanced statistical methods such as Machine Learning, Artificial Intelligence, and Natural language Processing
* Experience designing optimal database structures
* Experience working in an Agile development team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5">
      <c r="A35" t="inlineStr">
        <is>
          <t>li-4315043175</t>
        </is>
      </c>
      <c r="B35" t="inlineStr">
        <is>
          <t>Senior Data Engineer</t>
        </is>
      </c>
      <c r="C35" t="inlineStr">
        <is>
          <t>TransUnion</t>
        </is>
      </c>
      <c r="D35" t="inlineStr">
        <is>
          <t>linkedin</t>
        </is>
      </c>
      <c r="E35">
        <f>HYPERLINK("https://www.linkedin.com/jobs/view/4315043175", "https://www.linkedin.com/jobs/view/4315043175")</f>
        <v/>
      </c>
      <c r="F35">
        <f>HYPERLINK("https://transunion.wd5.myworkdayjobs.com/TransUnion/job/Chicago-Illinois/Data-Engineering-Lead_19037178?source=LinkedIn&amp;urlHash=w9Si", "https://transunion.wd5.myworkdayjobs.com/TransUnion/job/Chicago-Illinois/Data-Engineering-Lead_19037178?source=LinkedIn&amp;urlHash=w9Si")</f>
        <v/>
      </c>
      <c r="G35" t="inlineStr">
        <is>
          <t>Chicago, IL</t>
        </is>
      </c>
      <c r="H35" t="inlineStr"/>
      <c r="I35"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3\+ years in database engineering with expertise in Oracle and PostgreSQL
* Proven experience with Oracle GoldenGate bidirectional replication and pglogical
* Strong background in Oracle on NetApp storage (ONTAP, SnapMirror, SnapVault).
* Proficiency in SQL, PL/SQL, Shell scripting, and automation using Ansible
* Experience with incident management, root cause analysis, and performance tuning
* Familiarity with infrastructure automation tools (Ansible, Terraform) and monitoring solutions
* Bachelor’s degree in Computer Science or related field
* Experience supporting Mapr and migration of Mapr
* Experience supporting Abinitio and migration of Abinitio
**We'd Love To See**
* PostgreSQL or Oracle certifications preferred
**Impact You'll Make**
 We are seeking a highly skilled Data Engineer to join the SRE Data Engineering team, specializing in Oracle, PostgreSQL, Oracle GoldenGate, Ab Initio, and related data infrastructure technologies. The ideal candidate will have a strong foundation in database engineering, replication, and automation, with proven experience in large\-scale migrations and operational support.
**Responsibilities**
* Serve as a subject matter expert for Oracle and PostgreSQL database operations, including performance tuning, troubleshooting, and root cause analysis.
* Manage Oracle and PostgreSQL database activities such as Installation,patching, upgrades, and migrations.
* Design and implement backup, replication, and disaster recovery strategies for PostgreSQL and Oracle.
* Provide expertise in Oracle on NetApp storage and related implementations.
* Collaborate with DevOps and SRE teams to automate database operations and integrate with CI/CD pipelines.
* Partner with application teams for schema changes, query optimization, and deployment processes.
* Drive the database modernization roadmap, focusing on PostgreSQL adoption and pglogical replication.
* Ensure compliance with security, audit, and governance standards.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Engineer, Database Engineering
**Company**
 TransUnion LLC</t>
        </is>
      </c>
    </row>
    <row r="36">
      <c r="A36" t="inlineStr">
        <is>
          <t>li-4364902835</t>
        </is>
      </c>
      <c r="B36" t="inlineStr">
        <is>
          <t>Azure Cloud Data Engineer</t>
        </is>
      </c>
      <c r="C36" t="inlineStr">
        <is>
          <t>BCforward</t>
        </is>
      </c>
      <c r="D36" t="inlineStr">
        <is>
          <t>linkedin</t>
        </is>
      </c>
      <c r="E36">
        <f>HYPERLINK("https://www.linkedin.com/jobs/view/4364902835", "https://www.linkedin.com/jobs/view/4364902835")</f>
        <v/>
      </c>
      <c r="F36" t="inlineStr"/>
      <c r="G36" t="inlineStr">
        <is>
          <t>St Louis, MO</t>
        </is>
      </c>
      <c r="H36" t="inlineStr"/>
      <c r="I36" t="inlineStr">
        <is>
          <t>**BCForward is currently seeking a highly motivated Azure Cloud Data Platform / DevOps Engineer for an on\-site opportunity in St. Louis, MO.** 
**Position Title: Azure Cloud Data Platform / DevOps Engineer** 
**Location: St. Louis, MO** 
**Anticipated Start Date:** 
 02/03/2026
 Please note this is the target date and is subject to change. BCforward will send an official notice ahead of a confirmed start date.
**Expected Duration:** 
 1\+ Year
**Job Type:** 
 Contract – onsite
 We are looking for a hands\-on Azure Cloud Platform / DevOps Engineer to build, automate, secure, and operate a Databricks\-based data platform on Azure.
 This role is platform \+ DevOps focused, not a pure Data Engineer position.
**Key Responsibilities:** 
* Build and automate Azure infrastructure using Terraform and CI/CD
* Manage and troubleshoot Kubernetes (AKS) container workloads
* Administer Databricks workspaces, clusters, policies, and Unity Catalog
* Support and operate data pipelines (Databricks, ADF, Airflow)
* Implement Azure RBAC / Azure AD group\-based access and least\-privilege security
* Manage secrets, keys, and certificates using Azure Key Vault
* Set up monitoring and alerts using Dynatrace
* Handle production incidents, root\-cause analysis, and preventive fixes
**Required Skills:** 
* Strong hands\-on Azure DevOps or GitHub Actions (CI/CD)
* Terraform, Helm, Docker, Kubernetes (AKS)
* Databricks platform administration (not just notebook development)
* Azure Data services: Databricks, Azure Data Lake, ADF and/or Airflow
* Azure RBAC, Azure Active Directory (AD), group\-based access
* Azure Key Vault integration
* Monitoring and incident troubleshooting (Dynatrace preferred)
* Scripting: Python, PowerShell, or Bash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37">
      <c r="A37" t="inlineStr">
        <is>
          <t>li-4342688664</t>
        </is>
      </c>
      <c r="B37" t="inlineStr">
        <is>
          <t>Big Data Engineer</t>
        </is>
      </c>
      <c r="C37" t="inlineStr">
        <is>
          <t>SAIC</t>
        </is>
      </c>
      <c r="D37" t="inlineStr">
        <is>
          <t>linkedin</t>
        </is>
      </c>
      <c r="E37">
        <f>HYPERLINK("https://www.linkedin.com/jobs/view/4342688664", "https://www.linkedin.com/jobs/view/4342688664")</f>
        <v/>
      </c>
      <c r="F37" t="inlineStr"/>
      <c r="G37" t="inlineStr">
        <is>
          <t>Chantilly, VA</t>
        </is>
      </c>
      <c r="H37" t="inlineStr"/>
      <c r="I37" t="inlineStr">
        <is>
          <t>Job ID 2511987
**Location** 
 CHANTILLY, VA, US
**Date Posted** 
 2026\-01\-21
**Category** 
 Information Technology
**Subcategory** 
 Big Data Engineer
**Schedule** 
 Full\-time
**Shift** 
 Day Job
**Travel** 
 No
**Minimum Clearance Required TS/SCI With Poly**
**Clearance Level Must Be Able to Obtain** 
 None
**Potential for Remote Work** 
 No
**Description**
 SAIC is seeking a Big Data Engineer to join our team of professionals providing technical and program services to the Air Force, Space and Intelligence Business Group (AFSI). SAIC provides research, engineering, design, analysis, acquisition, development, integration, test, and operations support to USG Intelligence Community (IC) and Department of Defense (DoD) customers. We support development and delivery of next generation and generation after next national security systems based on land, at sea, in air, and in space.
 The Big Data Engineer will support the NRO’s Advanced Systems and Technology (AS\&amp;T) Directorate, which researches and develops the nation’s most advanced technology for space\-based Intelligence, Surveillance and Reconnaissance (ISR) systems. This individual will provide comprehensive technical support across multiple domains, with a focus on data architecture, ETL processes, and data storage solutions. This role is integral to enhancing AS\&amp;T’s technological capabilities and strategic decision\-making processes.
 The primary functions of the candidate will include, but are not limited to
* Designs scalable data architectures, leading ETL processes, and oversees the implementation of data storage solutions to include creating, manipulating, and maintaining large databases
* Support the development, integration, and visualization of advanced analytics tools, ensuring efficient data access and insights generation
* Optimize system performance and scalability, implementing continuous improvement initiatives
* Architect, deploy, and maintain multiple, fast\-turnaround capabilities used to perform various highly\-visible and high\-priority collection efforts
* Strategically apply AI/ML to extract, format, and expose in indexed search tools relevant content such as raw text, tabular (CSV, Parquet, Avro) or nested (JSON, JSONL, XML), and other structured /unstructured data types. Data is expected to be of varying formats, schemas, and structures
* Provide Data Engineering support to include cleaning, modeling, and formatting data of unknown formats
* Move data between different cloud storage environments for critical requests
* Coordinate with multiple entities, including mission partners, to ensure capabilities and deliverables meet defined requirements and tradecraft needs
* Create and maintain collection capabilities and deliverables within the Customer’s Amazon Web Services environment utilizing Customer approved AWS services
* Validate collected data to ensure it meets data format requirements
* Document all source code, including how to execute the code
* Perform operations and maintenance on the collection capabilities and deliverables to adapt to changes in collection target, technologies, data formats, and naming conventions
**Qualifications**
* Active TS/SCI with CI Polygraph
* Bachelors and fourteen (14\) years or more experience; Masters and twelve (12\) years or more experience; PhD or JD and nine (9\) years or more experience.
* Bachelor's degree in Information Technology, Cybersecurity, Computer Science, Information Systems, Data Science, or Software Engineering and 9 years or more experience; Masters 7 years or more experience
* Demonstrated experience with Python
* Ability to maintain SQL and NO\-SQL databases
* Demonstrated experience with Tableau or Salesforce
* Ability to create and manage AWS resources, including provisioning EC2 instances, writing and deploying Lambda functions, creating and writing to S3, and managing authorization appropriately across resources with IAM policies
* One Active Certification CCISO, CISM, CISSP, GSLC, SSCP, Sec\+ or GSEC
* Proven experience optimizing data pipelines, performing large\-scale data processing, and ensuring data quality
* Strong knowledge of data warehousing concepts, ETL processes, and distributed computing environments</t>
        </is>
      </c>
    </row>
    <row r="38">
      <c r="A38" t="inlineStr">
        <is>
          <t>li-3973315938</t>
        </is>
      </c>
      <c r="B38" t="inlineStr">
        <is>
          <t>Senior Consultant - Financial &amp; Operational Business Intelligence / Data Engineer</t>
        </is>
      </c>
      <c r="C38" t="inlineStr">
        <is>
          <t>LevelUp Finance - An Array Company</t>
        </is>
      </c>
      <c r="D38" t="inlineStr">
        <is>
          <t>linkedin</t>
        </is>
      </c>
      <c r="E38">
        <f>HYPERLINK("https://www.linkedin.com/jobs/view/3973315938", "https://www.linkedin.com/jobs/view/3973315938")</f>
        <v/>
      </c>
      <c r="F38" t="inlineStr"/>
      <c r="G38" t="inlineStr"/>
      <c r="H38" t="inlineStr"/>
      <c r="I38" t="inlineStr">
        <is>
          <t>**Position:** 
 Senior Consultant \- Financial \&amp; Operational Business Intelligence / Data Engineer
**Location:** 
 Remote in the United States
**Experience:** 
* At least 5 years of experience using SQL \&amp; Power BI in the workplace.
* Experience with accounting/finance, sales operations, or other data\-intensive business operations is a plus.
* Experience in planning applications (e.g., Adaptive, Anaplan, Vena, etc.) is a plus.
**Education:** 
* Bachelor’s Degree in finance, business, economics or a technical field, such as engineering, math or computer science.
* MBA, CFA or CPA designations are a plus.
**Contract Terms:** 
* W\-2 Full\-Time Employment
* Benefits: 401(k), Medical, Vision, Dental
**LevelUp Finance** 
 is seeking a
 **Senior Consultant** 
 talented with expertise in data engineering, data analytics and business intelligence to serve in its
 **Strategic Finance \&amp; Business Intelligence** 
 consulting practice!
**Job Description:** 
* Collaborate on consulting engagements with CFOs involving financial and operational reporting, budgeting, forecasting and planning in complex data environments
* Manage and assist in planning and implementing data engineering projects using data warehouses, ETL tools and scripting languages to build complete data pipelines for KPI reporting and dashboards
* Lead and present weekly client meetings to demonstrate progress towards engagement goals
* Construct 3\-statement financial operating and strategic models; proficiency in automation techniques is a plus
**Position Requirements :** 
* Prior experience handling large data sets in data warehouses (e.g., Snowflake, BigQuery, etc.) as well as utilizing data analytics and business intelligence tools (e.g., Tableau, Power BI, Power Pivot, etc.) desired
* Knowledge of programming languages (especially Python) is a plus
* Strong analytical skills with the ability to work independently, think objectively and interpret meaningful and insightful narratives from both quantitative and qualitative data
* Ability to dive deep into data with a bottoms\-up approach, while also having an awareness of the bigger picture and the ability to produce a top\-down approach simultaneously
* Proficient in evaluating financial and business indicators, while also being able to translate and distill data into actionable information to drive results
* Apply rigorous logic and sound methods to solve multi\-faceted problems with effective solutions
* Build constructive and effective relationships with a broad and diverse group of business partners, both internal and external
**LevelUp Finance** 
 is part of
 **Array Corporation,** 
 the leading technology\-enabled workforce solutions company whose mission is to fix how work is bought, sold and delivered to enable access to the American Dream.
*We are proud to be an Equal Employment Opportunity and Affirmative Action employer. All qualified applicants will receive consideration for employment without regard to race, color, religion, sex, sexual orientation, gender identity, national origin, disability or veteran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2026-01-22T18:25:33Z</dcterms:created>
  <dcterms:modified xsi:type="dcterms:W3CDTF">2026-01-22T18:25:33Z</dcterms:modified>
</cp:coreProperties>
</file>