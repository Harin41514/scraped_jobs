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in-83fbe09e8f7adbbb</t>
        </is>
      </c>
      <c r="B2" t="inlineStr">
        <is>
          <t>Senior Staff Fullstack Engineer - Time Products</t>
        </is>
      </c>
      <c r="C2" t="inlineStr">
        <is>
          <t>Rippling</t>
        </is>
      </c>
      <c r="D2" t="inlineStr">
        <is>
          <t>indeed</t>
        </is>
      </c>
      <c r="E2">
        <f>HYPERLINK("https://www.indeed.com/viewjob?jk=83fbe09e8f7adbbb", "https://www.indeed.com/viewjob?jk=83fbe09e8f7adbbb")</f>
        <v/>
      </c>
      <c r="F2">
        <f>HYPERLINK("https://ats.rippling.com/rippling/jobs/55c7a0c5-9bb5-4a98-96c4-c582407fcdd1?jobSite=Indeed", "https://ats.rippling.com/rippling/jobs/55c7a0c5-9bb5-4a98-96c4-c582407fcdd1?jobSite=Indeed")</f>
        <v/>
      </c>
      <c r="G2" t="inlineStr">
        <is>
          <t>San Francisco, CA, US</t>
        </is>
      </c>
      <c r="H2" s="2" t="n">
        <v>46044</v>
      </c>
      <c r="I2"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Every year, companies proclaim that their most valuable asset is their people. Yet, they continue to struggle with cumbersome, bespoke time tracking tools that are poorly integrated and challenging for both admins and employees. These inefficiencies waste valuable time and lead to frustrating user experiences.
At Rippling, we're on a mission to revolutionize how businesses manage time with our cutting\-edge Time Products. Our solutions are crafted to not only streamline operations but also to give precious time back to our customers, enhancing productivity across the board.
Rippling's seamlessly integrated Time Products empower companies to manage their workforce with unprecedented efficiency, delighting customers and optimizing operations. Our platform is a cornerstone for the hourly workforce, offering unparalleled global time tracking capabilities. With a highly configurable set of policies, our products accommodate every jurisdiction worldwide, meticulously handling time at work, time away, and scheduling through a robust and flexible rules engine.
Our Time Products are the most actively used solutions at Rippling, renowned for their reliability and availability—they never experience downtime or take a day off. Join us in our quest to redefine time management and create exceptional experiences for companies and their employees worldwide.
**What you will do**
--------------------
* **Write Exceptional Code:** Build scalable, maintainable, and high\-performance backend systems that power critical workforce management products.
* **Move Fast, But with Precision:** Deliver high\-quality features quickly by balancing speed and safety in your code.
* **Drive Architecture \&amp; Design:** Own architectural decisions and guide the full product lifecycle, from ideation to production. Utilize systems thinking to design and ship fault tolerant highly available, scalable and extendable systems.
* **Collaborate Cross\-Functionally:** Work closely with product managers, designers, and other teams to gather customer feedback and refine the product roadmap.
* **Mentor \&amp; Lead:** Support the growth of engineers of all levels by sharing your expertise and promoting engineering best practices across the org.
* **Shape the Future:** As an early member of this team, you’ll have a direct influence on team culture, structure, and processes.
**What you will need**
----------------------
* **Experience:** 10\+ years of expertise building customer facing front end experiences across multiple form factors. Experience in building projects with clean abstractions and architecture and managing the full lifecycle of a mobile or web application on multiple platforms.
* **Frontend Knowledge:** Ideally an expert in React development, otherwise expertise required in JavaScript or TypeScript.
* **Technical Expertise:** Strong grasp of computer science fundamentals, algorithms, and system design. You’re comfortable developing scalable and extendable core services used in many products and can navigate complex technical challenges.
* **Product Focused:** You’re not just a coder—you care deeply about the end user, product design, and delivering an intuitive, polished experience.
* **Entrepreneurial Spirit:** You thrive in a fast\-paced, unstructured environment. You don’t just solve problems—you identify them, own them, and create solutions that have a lasting impact.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198,000 \- 346,500 USD per year(US)</t>
        </is>
      </c>
    </row>
    <row r="3">
      <c r="A3" t="inlineStr">
        <is>
          <t>in-aca6a642e6833768</t>
        </is>
      </c>
      <c r="B3" t="inlineStr">
        <is>
          <t>Senior Staff Fullstack Engineer - Time Products</t>
        </is>
      </c>
      <c r="C3" t="inlineStr">
        <is>
          <t>Rippling</t>
        </is>
      </c>
      <c r="D3" t="inlineStr">
        <is>
          <t>indeed</t>
        </is>
      </c>
      <c r="E3">
        <f>HYPERLINK("https://www.indeed.com/viewjob?jk=aca6a642e6833768", "https://www.indeed.com/viewjob?jk=aca6a642e6833768")</f>
        <v/>
      </c>
      <c r="F3">
        <f>HYPERLINK("https://ats.rippling.com/rippling/jobs/55c7a0c5-9bb5-4a98-96c4-c582407fcdd1?jobSite=Indeed", "https://ats.rippling.com/rippling/jobs/55c7a0c5-9bb5-4a98-96c4-c582407fcdd1?jobSite=Indeed")</f>
        <v/>
      </c>
      <c r="G3" t="inlineStr">
        <is>
          <t>Seattle, WA, US</t>
        </is>
      </c>
      <c r="H3" s="2" t="n">
        <v>46044</v>
      </c>
      <c r="I3"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Every year, companies proclaim that their most valuable asset is their people. Yet, they continue to struggle with cumbersome, bespoke time tracking tools that are poorly integrated and challenging for both admins and employees. These inefficiencies waste valuable time and lead to frustrating user experiences.
At Rippling, we're on a mission to revolutionize how businesses manage time with our cutting\-edge Time Products. Our solutions are crafted to not only streamline operations but also to give precious time back to our customers, enhancing productivity across the board.
Rippling's seamlessly integrated Time Products empower companies to manage their workforce with unprecedented efficiency, delighting customers and optimizing operations. Our platform is a cornerstone for the hourly workforce, offering unparalleled global time tracking capabilities. With a highly configurable set of policies, our products accommodate every jurisdiction worldwide, meticulously handling time at work, time away, and scheduling through a robust and flexible rules engine.
Our Time Products are the most actively used solutions at Rippling, renowned for their reliability and availability—they never experience downtime or take a day off. Join us in our quest to redefine time management and create exceptional experiences for companies and their employees worldwide.
**What you will do**
--------------------
* **Write Exceptional Code:** Build scalable, maintainable, and high\-performance backend systems that power critical workforce management products.
* **Move Fast, But with Precision:** Deliver high\-quality features quickly by balancing speed and safety in your code.
* **Drive Architecture \&amp; Design:** Own architectural decisions and guide the full product lifecycle, from ideation to production. Utilize systems thinking to design and ship fault tolerant highly available, scalable and extendable systems.
* **Collaborate Cross\-Functionally:** Work closely with product managers, designers, and other teams to gather customer feedback and refine the product roadmap.
* **Mentor \&amp; Lead:** Support the growth of engineers of all levels by sharing your expertise and promoting engineering best practices across the org.
* **Shape the Future:** As an early member of this team, you’ll have a direct influence on team culture, structure, and processes.
**What you will need**
----------------------
* **Experience:** 10\+ years of expertise building customer facing front end experiences across multiple form factors. Experience in building projects with clean abstractions and architecture and managing the full lifecycle of a mobile or web application on multiple platforms.
* **Frontend Knowledge:** Ideally an expert in React development, otherwise expertise required in JavaScript or TypeScript.
* **Technical Expertise:** Strong grasp of computer science fundamentals, algorithms, and system design. You’re comfortable developing scalable and extendable core services used in many products and can navigate complex technical challenges.
* **Product Focused:** You’re not just a coder—you care deeply about the end user, product design, and delivering an intuitive, polished experience.
* **Entrepreneurial Spirit:** You thrive in a fast\-paced, unstructured environment. You don’t just solve problems—you identify them, own them, and create solutions that have a lasting impact.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198,000 \- 346,500 USD per year(US)</t>
        </is>
      </c>
    </row>
    <row r="4">
      <c r="A4" t="inlineStr">
        <is>
          <t>in-99f0bdeab44255a7</t>
        </is>
      </c>
      <c r="B4" t="inlineStr">
        <is>
          <t>Senior Staff Fullstack Engineer - Time Products</t>
        </is>
      </c>
      <c r="C4" t="inlineStr">
        <is>
          <t>Rippling</t>
        </is>
      </c>
      <c r="D4" t="inlineStr">
        <is>
          <t>indeed</t>
        </is>
      </c>
      <c r="E4">
        <f>HYPERLINK("https://www.indeed.com/viewjob?jk=99f0bdeab44255a7", "https://www.indeed.com/viewjob?jk=99f0bdeab44255a7")</f>
        <v/>
      </c>
      <c r="F4">
        <f>HYPERLINK("https://ats.rippling.com/rippling/jobs/55c7a0c5-9bb5-4a98-96c4-c582407fcdd1?jobSite=Indeed", "https://ats.rippling.com/rippling/jobs/55c7a0c5-9bb5-4a98-96c4-c582407fcdd1?jobSite=Indeed")</f>
        <v/>
      </c>
      <c r="G4" t="inlineStr">
        <is>
          <t>New York, NY, US</t>
        </is>
      </c>
      <c r="H4" s="2" t="n">
        <v>46044</v>
      </c>
      <c r="I4"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Every year, companies proclaim that their most valuable asset is their people. Yet, they continue to struggle with cumbersome, bespoke time tracking tools that are poorly integrated and challenging for both admins and employees. These inefficiencies waste valuable time and lead to frustrating user experiences.
At Rippling, we're on a mission to revolutionize how businesses manage time with our cutting\-edge Time Products. Our solutions are crafted to not only streamline operations but also to give precious time back to our customers, enhancing productivity across the board.
Rippling's seamlessly integrated Time Products empower companies to manage their workforce with unprecedented efficiency, delighting customers and optimizing operations. Our platform is a cornerstone for the hourly workforce, offering unparalleled global time tracking capabilities. With a highly configurable set of policies, our products accommodate every jurisdiction worldwide, meticulously handling time at work, time away, and scheduling through a robust and flexible rules engine.
Our Time Products are the most actively used solutions at Rippling, renowned for their reliability and availability—they never experience downtime or take a day off. Join us in our quest to redefine time management and create exceptional experiences for companies and their employees worldwide.
**What you will do**
--------------------
* **Write Exceptional Code:** Build scalable, maintainable, and high\-performance backend systems that power critical workforce management products.
* **Move Fast, But with Precision:** Deliver high\-quality features quickly by balancing speed and safety in your code.
* **Drive Architecture \&amp; Design:** Own architectural decisions and guide the full product lifecycle, from ideation to production. Utilize systems thinking to design and ship fault tolerant highly available, scalable and extendable systems.
* **Collaborate Cross\-Functionally:** Work closely with product managers, designers, and other teams to gather customer feedback and refine the product roadmap.
* **Mentor \&amp; Lead:** Support the growth of engineers of all levels by sharing your expertise and promoting engineering best practices across the org.
* **Shape the Future:** As an early member of this team, you’ll have a direct influence on team culture, structure, and processes.
**What you will need**
----------------------
* **Experience:** 10\+ years of expertise building customer facing front end experiences across multiple form factors. Experience in building projects with clean abstractions and architecture and managing the full lifecycle of a mobile or web application on multiple platforms.
* **Frontend Knowledge:** Ideally an expert in React development, otherwise expertise required in JavaScript or TypeScript.
* **Technical Expertise:** Strong grasp of computer science fundamentals, algorithms, and system design. You’re comfortable developing scalable and extendable core services used in many products and can navigate complex technical challenges.
* **Product Focused:** You’re not just a coder—you care deeply about the end user, product design, and delivering an intuitive, polished experience.
* **Entrepreneurial Spirit:** You thrive in a fast\-paced, unstructured environment. You don’t just solve problems—you identify them, own them, and create solutions that have a lasting impact.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198,000 \- 346,500 USD per year(US)</t>
        </is>
      </c>
    </row>
    <row r="5">
      <c r="A5" t="inlineStr">
        <is>
          <t>in-07e2bc41003ef1db</t>
        </is>
      </c>
      <c r="B5" t="inlineStr">
        <is>
          <t>(USA) Senior, Software Engineer (Java)</t>
        </is>
      </c>
      <c r="C5" t="inlineStr">
        <is>
          <t>Walmart</t>
        </is>
      </c>
      <c r="D5" t="inlineStr">
        <is>
          <t>indeed</t>
        </is>
      </c>
      <c r="E5">
        <f>HYPERLINK("https://www.indeed.com/viewjob?jk=07e2bc41003ef1db", "https://www.indeed.com/viewjob?jk=07e2bc41003ef1db")</f>
        <v/>
      </c>
      <c r="F5">
        <f>HYPERLINK("https://click.appcast.io/t/1oL-JAGCT_42e6Fs_cs4CWRzedrX3igtd87AJZ66KB8=", "https://click.appcast.io/t/1oL-JAGCT_42e6Fs_cs4CWRzedrX3igtd87AJZ66KB8=")</f>
        <v/>
      </c>
      <c r="G5" t="inlineStr">
        <is>
          <t>Sunnyvale, CA, US</t>
        </is>
      </c>
      <c r="H5" s="2" t="n">
        <v>46043</v>
      </c>
      <c r="I5" t="inlineStr">
        <is>
          <t>**Position Summary...**
-----------------------
**What you'll do...**
---------------------
The Acquisition and Discovery Engineering team at Walmart is dedicated to  
providing a seamless and delightful shopping experience to millions of  
shoppers worldwide. As a software engineer in this team, you will have the  
opportunity to work on top of the funnel shopping experience – Homepage,  
Content Pages for SEO and SEM, Search \&amp; Browse experiences, Deals and Item  
pages across mobile and web platforms.
This collaborative team made up of Engineering, UX, Product Management,  
Business and Analytics is rapidly iterating on new products and site features  
at scale. We deliver high performing solutions on our next generation front\-  
end platform. Virtual Try\-On, Gen AI integration, personalized complete\-the\-  
look, Video shopping, etc are just a few examples of the features developed by  
this team in collaboration with many other teams. Continuous  
experimentation, innovation and feedback by millions of customers makes  
this work even more exciting!
We are looking for a Sr Software Engineer with expertise in Java platform and  
full stack experience to join this team. This hands\-on role requires expert  
coding skills, strong architecture and design, deep focus and experience of  
operational excellence, and the ability to guide and mentor a small team of  
engineers. You will play a critical role in leading, designing, and developing  
business and technology initiatives that solve mission critical business  
problems for Walmart customers. What you'll do:  
Design and implement scalable, resilient backend systems using Java,  
Spring Boot, and Apache Spark. Build and optimize data processing pipelines on Google Cloud Platform  
(GCP) and Azure, leveraging tools like DataProc, BigQuery, and Data  
Factory.  
* Build scalable and reliable systems that handle large volumes of traffic and
data.  
* Write clean, efficient, and maintainable code while following engineering
best practices.  
* Debug and troubleshoot issues in distributed systems across
environments.  
* Contribute to performance optimization, security improvements, and
system resilience.  
* Collaborate with product managers, front\-end engineers, and other
stakeholders to deliver impactful features and solutions.  
* Participate in code reviews and provide constructive feedback to peers.
What you'll bring:  
* 7\+ years of professional software engineering experience, with a strong
focus on backend development.  
* Proficiency in Java, Golang, Spring Boot, and RESTful API design.
* Demonstrated high efficiency and scalability with distributed databases
including Cassandra, Elasticsearch, and Azure Cosmos DB.  
* Deep understanding of distributed systems, data processing frameworks,
and big data platforms such as Apache Spark and DataProc.  
* Familiarity with event\-driven architectures using Kafka or similar
messaging systems.  
* Hands\-on experience with cloud platforms—ideally both Google Cloud
and Azure.  
* Solid grasp of CI/CD workflows, source control (Git), and infrastructure
automation tools.  
* Strong problem\-solving mindset, strong debugging skills, and a passion for
building resilient, high\-availability systems.  
* Excellent communication skills and ability to work cross\-functionally in a
fast\-paced environment.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6">
      <c r="A6" t="inlineStr">
        <is>
          <t>in-5aee27e5a9c48f4e</t>
        </is>
      </c>
      <c r="B6" t="inlineStr">
        <is>
          <t>Software Engineer</t>
        </is>
      </c>
      <c r="C6" t="inlineStr">
        <is>
          <t>Watchtower Security LLC</t>
        </is>
      </c>
      <c r="D6" t="inlineStr">
        <is>
          <t>indeed</t>
        </is>
      </c>
      <c r="E6">
        <f>HYPERLINK("https://www.indeed.com/viewjob?jk=5aee27e5a9c48f4e", "https://www.indeed.com/viewjob?jk=5aee27e5a9c48f4e")</f>
        <v/>
      </c>
      <c r="F6">
        <f>HYPERLINK("https://workforcenow.adp.com/mascsr/default/mdf/recruitment/recruitment.html?cid=b67d494c-2a2f-4963-8970-0230745d517f&amp;ccId=9201175288793_3&amp;jobId=556614&amp;jwId=9201175288793_1&amp;source=IN&amp;lang=en_US", "https://workforcenow.adp.com/mascsr/default/mdf/recruitment/recruitment.html?cid=b67d494c-2a2f-4963-8970-0230745d517f&amp;ccId=9201175288793_3&amp;jobId=556614&amp;jwId=9201175288793_1&amp;source=IN&amp;lang=en_US")</f>
        <v/>
      </c>
      <c r="G6" t="inlineStr">
        <is>
          <t>Maryland Heights, MO, US</t>
        </is>
      </c>
      <c r="H6" s="2" t="n">
        <v>46043</v>
      </c>
      <c r="I6" t="inlineStr">
        <is>
          <t>Watchtower Security is the nation's leading provider of all\-inclusive, fully managed video surveillance solutions, exclusively dedicated to the multifamily housing industry. For over two decades, we have partnered with property management groups across the nation, empowering them to provide peace of mind to their communities.  
As a rapidly growing and dynamic organization, we pride ourselves on a fast\-paced, collaborative environment where innovation, critical thinking, and a commitment to excellence drive our success. We are seeking passionate individuals eager to contribute to a team that values strong communication, attention to detail, and a shared dedication to making a tangible difference in multi\-family communities.  
Watchtower Security is seeking a highly motivated and skilled Software Engineer to join our rapidly growing engineering team. In this pivotal role, you will be a key contributor to building intuitive, responsive, and scalable applications that deliver exceptional user experiences. The ideal candidate is proficient in TypeScript or similar web technologies, experienced with modern web frameworks such as React, Angular, or Vue.js, and skilled in mobile development using React Native. You will play a crucial role in enhancing our product suite and supporting data\-driven decision\-making within the video surveillance domain. **Essential Job Functions:**  
* Application Development \&amp; Optimization:
	+ Design, develop, test, and maintain responsive and dynamic web applications using TypeScript, React, Angular, Vue.js, or similar modern frameworks.
	+ Build, optimize, and maintain mobile applications using React Native.
	+ Design and implement intuitive user interfaces with a strong focus on usability, accessibility, and performance.
	+ Debug and resolve application issues promptly, ensuring optimal performance, reliability, and user satisfaction.
	+ Ensure a strong emphasis on code quality through robust code reviews, comprehensive testing, and adherence to established best practices.
* Collaboration \&amp; Integration:
	+ Collaborate closely with product managers, UX designers, and backend developers to create seamless user experience (UX) workflows for new features and updates.
	+ Deploy and manage applications on cloud platforms, including participation in CI/CD (Continuous Integration/Continuous Deployment) pipelines and cloud deployment strategies.
	+ Understand backend development concepts and work with RESTful APIs for data integration.
* Continuous Improvement \&amp; Learning:
	+ Stay up to date with emerging web and mobile development trends, tools, and technologies, applying new knowledge to enhance our product offerings.
	+ Contribute to the continuous improvement of development processes and practices.
 **Job Skills and Requirements:**  
* Experience:
	+ 1\-5 years of professional experience in software development.
* Languages \&amp; Frameworks:
	+ Strong proficiency in TypeScript and/or similar web development languages.
	+ Solid experience with modern web frameworks such as React, Angular, Vue.js, or similar.
	+ Proven experience in mobile development using React Native.
	+ Experience with state management libraries (e.g., Redux, MobX) and component libraries.
* Cloud \&amp; Architecture:
	+ Familiarity with cloud deployment processes (e.g., CI/CD pipelines) and platforms like AWS, Azure, or Google Cloud.
	+ Understanding of backend development concepts and experience working with RESTful APIs.
* UX/UI \&amp; Performance:
	+ Ability to design and implement user\-friendly workflows and interfaces with meticulous attention to detail.
	+ Understanding of accessibility standards and performance optimization techniques.
* Testing:
	+ Experience with automated testing tools and frameworks.
* Communication \&amp; Problem\-Solving:
	+ Excellent verbal and written communication skills, with the ability to effectively collaborate with cross\-functional teams.
	+ Strong problem\-solving skills, capable of tackling technical challenges efficiently.</t>
        </is>
      </c>
    </row>
    <row r="7">
      <c r="A7" t="inlineStr">
        <is>
          <t>in-5b42bbf0bf55442b</t>
        </is>
      </c>
      <c r="B7" t="inlineStr">
        <is>
          <t>Technical Lead, Software Engineer</t>
        </is>
      </c>
      <c r="C7" t="inlineStr">
        <is>
          <t>boon technologies</t>
        </is>
      </c>
      <c r="D7" t="inlineStr">
        <is>
          <t>indeed</t>
        </is>
      </c>
      <c r="E7">
        <f>HYPERLINK("https://www.indeed.com/viewjob?jk=5b42bbf0bf55442b", "https://www.indeed.com/viewjob?jk=5b42bbf0bf55442b")</f>
        <v/>
      </c>
      <c r="F7">
        <f>HYPERLINK("https://jobs.ashbyhq.com/boon/845b5f1f-3818-4925-b2a1-8b9662b757fb?utm_source=Zno67xlevA", "https://jobs.ashbyhq.com/boon/845b5f1f-3818-4925-b2a1-8b9662b757fb?utm_source=Zno67xlevA")</f>
        <v/>
      </c>
      <c r="G7" t="inlineStr">
        <is>
          <t>San Francisco Bay Area, CA, US</t>
        </is>
      </c>
      <c r="H7" s="2" t="n">
        <v>46043</v>
      </c>
      <c r="I7" t="inlineStr">
        <is>
          <t>**About Boon**
--------------
Boon is the professional AI platform built specifically for construction. Founded in the San Francisco Bay Area in 2023 by product and engineering leaders from Samsara, Apple, Google and DoorDash. Boon is backed by leading Silicon Valley venture capitalists.  
Our AI agents embed directly into existing workflows, from preconstruction estimating to bid management. They automate the repetitive tasks that drain time and margins while surfacing the insights leaders need to make faster and more confident decisions.  
The result is measurable impact. Teams move faster, bids are submitted sooner, win rates increase, and costs are reduced. Boon enables construction companies to build more, generate more revenue, and grow with confidence.
**About the Role**
------------------
As a Technical Lead, Software Engineer at Boon, you'll build the product that brings our AI capabilities to construction teams. You'll work across core product features and customer integrations, taking models built by our AI team and turning them into polished experiences that solve real customer problems. Our stack is Ruby on Rails on the backend, React on the frontend, with Python microservices supporting the platform.
A significant part of this role is owning customer integrations end\-to\-end. You'll be the technical point of contact working alongside product managers and solutions engineers to understand customer systems, design integration approaches, and ship solutions. Construction software is often legacy, Windows\-only, and lacks modern APIs, so creative problem\-solving is essential. You might find yourself building a desktop app to sync files from a customer's local system, or inventing other workarounds to bridge the gap between old and new.
This is a hands\-on technical leadership role. You'll write code regularly while also driving architecture decisions, coordinating across teams, and mentoring other engineers. You'll work closely with other technical leads and an established engineering team to build a product that delivers real value to construction companies.
**In this role, you will:**
---------------------------
* Build core product features end\-to\-end, from backend APIs to frontend UI.
* Own customer integrations from initial technical discovery through deployment, working alongside product managers and solutions engineers.
* Serve as the technical point of contact for customers, understanding their systems and requirements while designing integration approaches.
* Collaborate with the AI team to integrate ML models into the product, building the UI, monitoring, and traceability needed for a great customer experience.
* Drive architecture decisions and technical direction for integrations and product features.
* Break down complex integration challenges into actionable tasks that the team can tackle together.
* Research and learn new customer systems quickly, using AI tools to prototype and validate solutions.
* Partner with other technical leads and engineers to ship reliable, well\-architected software.
**You’re a Great Fit If:**
--------------------------
* You want to make a big impact in construction, an industry that builds the world around us.
* You excel at creative problem\-solving and lateral thinking. When a customer system has no API, you figure out another way.
* You learn new systems quickly and enjoy the challenge of understanding unfamiliar software to find integration paths.
* You are comfortable being the technical point of contact with customers, explaining complex concepts clearly and building trust.
* You can take ambiguous problems, design solutions, and break them into tasks that a team can execute on.
* You value teamwork, celebrate successes together, and provide mutual support within the team.
* You use AI coding tools (Cursor, Claude Code, GitHub Copilot, or similar) as part of your daily workflow. We use these tools extensively and expect you to as well.
**Minimum requirements for the role:**
--------------------------------------
* 7\+ years of experience in software engineering with full\-stack experience.
* Strong experience with at least one or two end\-to\-end full\-stack frameworks. You don't need to know Rails and React specifically, but you should be able to ramp up quickly.
* Demonstrated ability to solve complex, ambiguous problems creatively. We care more about your problem\-solving approach than specific technology experience.
* Experience owning projects end\-to\-end, from scoping through deployment.
* Strong collaboration and communication skills. You'll work closely with customers, product managers, and fellow engineers.
* Experience working with AI coding tools. Our interview process will include using these tools, and you'll use them daily on the job.
* Ability to learn new systems and technologies quickly, including unfamiliar customer software and integration patterns.
**Compensation**
----------------
At Boon,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This estimate can vary based on the above mentioned factors, so the actual starting annual base salary may be above or below this range. A Boon employee may be eligible for additional forms of compensation, depending on their role, including sales incentives, discretionary bonuses, and/or equity in the company.
**Boon Is An Equal Opportunity Employer**
-----------------------------------------
As an equal\-opportunity employer, Boon is committed to providing employment opportunities to all individuals. All applicants for positions at Boon will be treated without regard to race, color, ethnicity, religion, sex, gender, gender identity and expression, sexual orientation, national origin, disability, age, marital status, veteran status, pregnancy, or any other basis prohibited by applicable law.
Compensation Range: $180K \- $240K</t>
        </is>
      </c>
    </row>
    <row r="8">
      <c r="A8" t="inlineStr">
        <is>
          <t>in-5510cef7802fb129</t>
        </is>
      </c>
      <c r="B8" t="inlineStr">
        <is>
          <t>Senior Software Engineer</t>
        </is>
      </c>
      <c r="C8" t="inlineStr">
        <is>
          <t>OneTrust</t>
        </is>
      </c>
      <c r="D8" t="inlineStr">
        <is>
          <t>indeed</t>
        </is>
      </c>
      <c r="E8">
        <f>HYPERLINK("https://www.indeed.com/viewjob?jk=5510cef7802fb129", "https://www.indeed.com/viewjob?jk=5510cef7802fb129")</f>
        <v/>
      </c>
      <c r="F8">
        <f>HYPERLINK("https://grnh.se/q9qm8czf1us", "https://grnh.se/q9qm8czf1us")</f>
        <v/>
      </c>
      <c r="G8" t="inlineStr">
        <is>
          <t>San Francisco, CA, US</t>
        </is>
      </c>
      <c r="H8" s="2" t="n">
        <v>46043</v>
      </c>
      <c r="I8" t="inlineStr">
        <is>
          <t>### **Strength in Trust**
OneTrust's mission is to enable organizations to use data and AI responsibly. Our platform simplifies the collection of data with consent and preferences, automates the governance of data with integrated risk management across privacy, security, IT/tech, third\-party, and AI risk, and activates the responsible use of data by applying and enforcing data policies across the entire data estate and lifecycle. OneTrust supports seamless collaboration between data teams and risk teams to drive rapid and trusted innovation. Recognized as a market pioneer and leader, OneTrust boasts over 300 patents and serves more than 14,000 customers globally, ranging from industry giants to small businesses.
### **The Challenge**
We're looking for a Senior Software Engineer with a passion for solving problems to join our agile AI Governance team at OneTrust. Senior Software Engineers are responsible for developing, contributing to decisions related to design and architecture of new frontend and/or backend features while supporting existing development efforts for our industry\-leading platform.
### **Your Mission**
Development
* Support development of Java microservices/Libraries while integrating with various AI platforms for OneTrust's AI Governance product. It will involve the designing, development, and unit testing of applications deployed to MS Azure with cloud application architecture using Core Java, REST, and the Spring ecosystem.
* Achieve at least 80% code coverage or per the revised standards set by the team
Collaboration
* Work closely with UX, Product Managers and/or Product Owners, as well as other developers to contribute to planning and grooming sessions and drive team's discussions on system architecture and component design.
* Support the team to ensure all committed stories for the sprint are completed per the sprint goal
Support
* Work toward reducing total number of defects in the module/product to industry standards by catching and fixing issues early in development.
* Ensure critical and high priority CII's are delivered per SLA.
Code Review
* Conduct peer reviews to improve code quality.
* Help junior developers follow development testing, exploratory testing, AI testing and/or test automation.
Lead
* Help build high\-performing teams by mentoring the team on new technical skills.
### **You Are**
A self\-learner who is open to new technologies, processes, or techniques to improve your ability to deliver high\-quality software. Someone who asks questions to clarify gaps in understanding.
Your Experience Includes
* Bachelor's or master's degree in computer science, Engineering, or related technical or business field.
* 5\+ years of professional software engineering/development experience
* Extensive hands\-on experience and expertise in object\-oriented design methodology and application development using Java/J2EE, Design Patterns, Spring MVC, SQL, Web services.
* Experience with elastic search and data streaming tools like Kafka.
* Good understanding of web services and SOA related standards like REST/OAuth/JSON.
* Moderate understanding of code and script (Python, Bash)
* Good experience with SQL and NoSQL databases
* Agile development (Scrum, XP, or Pair Programming) experience
* Ability to use a wide variety of open\-source technologies and cloud services.
* Familiarity with public cloud providers such as (Azure, Google Cloud, or AWS)
Extra Awesome
* Proven experience building production\-grade agentic AI systems with robust tool\-use, guardrails, and observability for enterprise\-scale workloads.
* Working experience with one or more AI platforms like Amazon SageMaker, Google Vertex, AWS Bedrock etc.
* Familiarity with different databases (Relational and document) is a strong asset.
* Familiarity with continuous integration and continuous deployment (CI/CD) tools, such as Jenkins.
* Proficiency in Kubernetes, including cluster deployment, scaling, and management is highly desirable.
### **Where we Work**
We are embracing an office first culture, encouraging three days a week in office for most roles, with meaningful opportunities to collaborate and celebrate in person.
Each role may have specific requirements or flexibility depending on the scope of the position, so we encourage you to verify this with your recruiter during your first interview.
### **Benefits**
As an employee at OneTrust, you will be part of the OneTeam. That means you'll receive support physically, mentally, and emotionally so that you can do your best work both in and out of the office. This includes comprehensive healthcare coverage, flexible PTO, equity RSUs, annual performance bonus opportunities, retirement account support, 14\+ weeks of paid parental leave, career development opportunities, company\-paid privacy certification exam fees, and much more. Specific benefits differ by country. For more information, talk to your recruiter or visit onetrust.com/careers.
### **Resources**
Check out the following to learn more about OneTrust and its people:
* OneTrust Careers on YouTube
* @LifeatOneTrust on Instagram
### **Your Data**
You have the right to have your personal data updated or removed. You also have the right to have a copy of the information OneTrust holds about you. Further details about these rights are available on the website in our Privacy Overview**.** You can change your mind at any time and have your personal data removed from our database. In order to do this you must contact us and let us know you wish to be removed. The request should be made on the Data Subject Request Form.
Recruitment fraud warning: OneTrust is aware of scams involving false offers of employment with our company. The fraudulent jobs, interviews and job offers use fake websites, email addresses, group chat and text messages. Be aware that we never ask candidates for personal information, IDs or bank information during the interview process. We do not interview prospective candidates via instant message or group chat, and do not require candidates to purchase products or services, or process payments on our behalf as a condition of any employment offer. Please note that any legitimate interview availability requests will come directly from a OneTrust recruiter with an "@onetrust.com" email address. You may also receive legitimate emails from "@us.greenhouse\-mail.io". Recruiters will only reach out to candidates who have applied for a role through our ATS (Greenhouse) or prospects via LinkedIn InMail. Job offers will come from a recruiter and may have a "@docusign.net" email address. For more information or if you have been targeted please reach out to askrecruiting@onetrust.com.
### **Our Commitment to You**
When you join OneTrust you are stepping onto a launching pad — the countdown has begun. The destination? A career without boundaries working alongside a diverse and inclusive crew who is passionate about doing meaningful work. As a pioneer, your voice and expertise will help chart the direction of an entirely new category. Our commitment to putting people first starts with you. Your growth is part of the mission. Our goal is to give you the power to embark on the next phase of your uniquely, unique career.
OneTrust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local laws.</t>
        </is>
      </c>
    </row>
    <row r="9">
      <c r="A9" t="inlineStr">
        <is>
          <t>in-6853e4fec84129b3</t>
        </is>
      </c>
      <c r="B9" t="inlineStr">
        <is>
          <t>Software Engineer</t>
        </is>
      </c>
      <c r="C9" t="inlineStr">
        <is>
          <t>Ensora Health</t>
        </is>
      </c>
      <c r="D9" t="inlineStr">
        <is>
          <t>indeed</t>
        </is>
      </c>
      <c r="E9">
        <f>HYPERLINK("https://www.indeed.com/viewjob?jk=6853e4fec84129b3", "https://www.indeed.com/viewjob?jk=6853e4fec84129b3")</f>
        <v/>
      </c>
      <c r="F9">
        <f>HYPERLINK("https://therapybrands.wd1.myworkdayjobs.com/EnsoraHealth/job/Remote---Texas/Software-Engineer_R426", "https://therapybrands.wd1.myworkdayjobs.com/EnsoraHealth/job/Remote---Texas/Software-Engineer_R426")</f>
        <v/>
      </c>
      <c r="G9" t="inlineStr">
        <is>
          <t>Tyler, TX, US</t>
        </is>
      </c>
      <c r="H9" s="2" t="n">
        <v>46043</v>
      </c>
      <c r="I9"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We’re looking for a highly skilled Software Engineer with deep expertise in .NET, C\#, and Microsoft SQL Server to design and deliver robust enterprise applications. In this role, you’ll build scalable back\-end systems, integrate APIs, and optimize database performance while collaborating with cross\-functional teams to create high\-quality software solutions that drive business success.**What You’ll Do**
* Design, develop, test, and deploy applications using .NET (Core and Framework) and C\#.
* Build efficient SQL queries, stored procedures, and database schemas in Microsoft SQL Server.
* Architect scalable solutions using modern design patterns and best practices.
* Collaborate with product managers, QA engineers, and developers in an Agile/Scrum environment.
* Lead code reviews, mentor junior engineers, and uphold coding standards.
* Integrate with third\-party APIs and internal microservices.
* Troubleshoot production issues and optimize application performance.
* Participate in architectural discussions and technical decision\-making.
* Maintain thorough documentation of system designs, processes, and procedures.
**What You Bring**
**Required:**
* Bachelor’s degree in Computer Science, Engineering, or related field (or equivalent experience).
* 3–5 years of professional experience in software development focused on .NET technologies.
* Proficiency in C\#, ASP.NET Core/MVC/Web API, and Entity Framework.
* Strong database development skills in MS SQL Server, including query tuning and indexing.
* Experience with RESTful API design and integration.
* Familiarity with Git and CI/CD pipelines.
* Solid understanding of OOP, SOLID principles, and design patterns.
* Excellent problem\-solving and debugging skills.
**Preferred:**
* Experience with AWS, Azure, or other cloud platforms.
* Familiarity with message queues (RabbitMQ, Azure Service Bus, Kafka).
* Exposure to containerization (Docker, Kubernetes) and microservices architecture.
* Front\-end experience with React, Angular, or Blazor.
* Knowledge of unit testing frameworks (xUnit, NUnit, MSTest).
**Soft Skills:**
* Strong communication and collaboration abilities.
* Self\-motivated with a focus on continuous learning.
* Ability to mentor and lead by example.
* Detail\-oriented and quality\-driven mindset.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0">
      <c r="A10" t="inlineStr">
        <is>
          <t>in-ba0b2c7870cb8bcb</t>
        </is>
      </c>
      <c r="B10" t="inlineStr">
        <is>
          <t>Senior Full Stack Software Engineer</t>
        </is>
      </c>
      <c r="C10" t="inlineStr">
        <is>
          <t>Baylor Miraca Genetics Laboratories LLC</t>
        </is>
      </c>
      <c r="D10" t="inlineStr">
        <is>
          <t>indeed</t>
        </is>
      </c>
      <c r="E10">
        <f>HYPERLINK("https://www.indeed.com/viewjob?jk=ba0b2c7870cb8bcb", "https://www.indeed.com/viewjob?jk=ba0b2c7870cb8bcb")</f>
        <v/>
      </c>
      <c r="F10">
        <f>HYPERLINK("https://recruiting2.ultipro.com/BAY1006BML/JobBoard/0669eed3-5441-4f8e-a7b1-c5df596a4dfe/OpportunityDetail?opportunityId=828bd052-2844-44c3-90dc-b8e8a9426796&amp;postingId=0a726fe0-cc47-4ea1-92c8-6b3f161b36ec", "https://recruiting2.ultipro.com/BAY1006BML/JobBoard/0669eed3-5441-4f8e-a7b1-c5df596a4dfe/OpportunityDetail?opportunityId=828bd052-2844-44c3-90dc-b8e8a9426796&amp;postingId=0a726fe0-cc47-4ea1-92c8-6b3f161b36ec")</f>
        <v/>
      </c>
      <c r="G10" t="inlineStr">
        <is>
          <t>US</t>
        </is>
      </c>
      <c r="H10" s="2" t="n">
        <v>46043</v>
      </c>
      <c r="I10" t="inlineStr">
        <is>
          <t>The Senior Full Stack Software Engineer will architect, develop, and maintain end\-to\-end cloud\-native applications using React, Node.js, and TypeScript as the primary stack. This role demands strong technical depth across front\-end and backend systems, cloud infrastructure, and DevOps/SRE practices. The ideal candidate will be a hands\-on engineer who thrives on solving complex problems, improving scalability, and mentoring others while leveraging technologies like Docker, Kubernetes, C\#, Python, and modern databases including MS SQL, PostgreSQL, and NoSQL systems.
**Qualifications and Experience**
* Bachelor’s or Master’s degree in Computer Science, Engineering, or a related field.
* 6\+ years of professional software engineering experience with strong full stack contributions.
* Proficiency in React and TypeScript for modern front\-end development.
* Strong expertise in Node.js for backend and API development.
* Working knowledge of C\# (.NET Core) and Python for cross\-system integration or scripting.
* Proven experience designing and implementing RESTful APIs and microservices architectures.
* Solid database expertise with MS SQL Server, PostgreSQL, and NoSQL databases (MongoDB, DynamoDB, Redis, etc.).
* Hands\-on experience with containerization (Docker) and orchestration (Kubernetes or ECS).
* Strong familiarity with cloud environments (AWS, Azure, or GCP) and serverless services.
* Hands\-on experience of SRE principles including observability, monitoring, and reliability automation.
* Experience with CI/CD pipelines, Git\-based workflows, and automation tools (e.g., GitHub Actions, Jenkins, ArgoCD).
* Knowledge of Infrastructure as Code tools (Terraform, CloudFormation, or Pulumi).
* Deep understanding of application performance tuning, scalability, and security.
* Experience with automated testing frameworks (Jest, Cypress, xUnit, etc.).
* Excellent communication skills, leadership presence, and ability to mentor and guide technical teams.
**Duties and Responsibilities**
* Design and develop full stack applications using React (TypeScript) for the UI and Node.js for backend APIs.
* Architect scalable and secure microservices that integrate across multiple systems and services.
* Lead technical design discussions, balancing innovation, maintainability, and performance.
* Collaborate with designers and product owners to build intuitive, responsive, and accessible user interfaces.
* Design and optimize data models and queries across SQL and NoSQL databases.
* Implement cloud\-native architectures and manage deployments in AWS, Azure, or GCP environments.
* Build and maintain CI/CD pipelines to ensure smooth and automated deployments.
* Implement observability tools and monitor application performance, uptime, and reliability.
* Apply security best practices to both front\-end and backend systems.
* Troubleshoot, diagnose, and resolve production issues across the full stack.
* Review code, provide constructive feedback, and enforce engineering best practices.
* Mentor junior and mid\-level engineers and promote knowledge\-sharing within the team.
* Research and adopt emerging technologies to improve system performance and developer efficiency.
* Participate in sprint planning, estimations, retrospectives, and architectural reviews.
* Drive a culture of quality, automation, and continuous improvement across the engineering organization.
**Areas of Work**
* Frontend: React, TypeScript, modern UI frameworks, accessibility, and performance.
* Backend: Node.js APIs, C\#, Python, and microservices architecture.
* Databases: MS SQL, PostgreSQL, and NoSQL (MongoDB/Redis/DynamoDB).
* Cloud \&amp; DevOps: Docker, Kubernetes, CI/CD, Infrastructure as Code, and cloud deployments.
* SRE \&amp; Architecture: Observability, reliability, scalability, and cross\-system integration.
#### **Summary:**
The Director, Corporate Financial Planning \&amp; Analysis is responsible for leading Baylor Genetics’ strategic financial planning, budgeting, forecasting, FP\&amp;A process improvement. This role plays a critical part in aligning financial strategy with long\-term business goals. The Director will provide executive\-level insights to leadership and external stakeholders while ensuring financial models and projections reflect the organization’s growth trajectory and performance.
#### **Qualifications and Experience:**
* **Education:**
	+ Bachelor's degree in Finance, Accounting, or a related field; MBA or relevant advanced degree preferred.
#### **Experience:**
* Minimum of 10 years of experience in financial planning and analysis or corporate finance
* At least 3 years in a financial leadership role
* Proven success in FP\&amp;A process improvement, experience in Adaptive planning platform implementation required
* Strong background in financial modeling, budgeting, and strategic forecasting
#### **Duties and Responsibilities:**
* **Strategic Financial Planning \&amp; Forecasting:**
	+ Lead the development of company\-wide financial models and long\-term forecasts
	+ Translate strategic objectives into detailed financial plans aligned with organizational priorities
	+ Collaborate with executive leadership to assess financial performance, risks, and growth opportunities
#### **Budget and Forecast Management:**
* Oversee the annual budgeting process and rolling forecasts
* Ensure alignment between actual results and forecasts, identifying key trends and drivers
* Partner with department heads to develop financially sound operational plans
#### **Revenue Analysis \&amp; Decision Support:**
* Lead revenue and margin analysis to support strategic decision\-making
* Drive business performance by analyzing sales trends, pricing strategies, and market dynamics
* Provide financial insights that support resource allocation and investment decisions
#### **Dashboards, Planning and Reporting:**
* Develop and maintain dashboards, planning and reporting tools for executive and departmental use including Adaptive planning platform
* Provide timely and actionable financial insights to guide company performance
#### **Team Leadership:**
* Build and lead a high\-performing FP\&amp;A team
* Foster a culture of collaboration, continuous improvement, and accountability
#### **Physical Demands and Work Environment:**
* Frequently required to
* Frequently required to utilize hand and finger
* Frequently required to talk or
#### **EEO Statement:**
Baylor Genetics is proud to be an equal opportunity employer dedicated to building an inclusive and diverse workforce. We do not discriminate based on race, religion, color, national origin, sex, sexual orientation, age, gender identity, veteran status, disability, genetic information, pregnancy, childbirth, or related medical conditions, or any other status protected under applicable federal, state, or local law.
**Note to Recruiters:**
**We value building direct relationships with our candidates and prefer to manage our hiring process internally. While we occasionally partner with select recruitment agencies for specialized roles, we do not accept unsolicited resumes from recruiters or agencies without a written agreement executed by the authorized signatory for Baylor Genetics ("Agreement"). Any resumes submitted to Baylor Genetics in the absence of an Agreement executed by Baylor Genetics' authorized signatory will be considered the property of Baylor Genetics, and Baylor Genetics will not be obligated to pay any associated recruitment fees.**</t>
        </is>
      </c>
    </row>
    <row r="11">
      <c r="A11" t="inlineStr">
        <is>
          <t>in-ab4218e415f82269</t>
        </is>
      </c>
      <c r="B11" t="inlineStr">
        <is>
          <t>Software Engineer Level 5</t>
        </is>
      </c>
      <c r="C11" t="inlineStr">
        <is>
          <t>Northrop Grumman</t>
        </is>
      </c>
      <c r="D11" t="inlineStr">
        <is>
          <t>indeed</t>
        </is>
      </c>
      <c r="E11">
        <f>HYPERLINK("https://www.indeed.com/viewjob?jk=ab4218e415f82269", "https://www.indeed.com/viewjob?jk=ab4218e415f82269")</f>
        <v/>
      </c>
      <c r="F11">
        <f>HYPERLINK("https://jsv3.recruitics.com/redirect?rx_cid=3658&amp;rx_jobId=R10219968&amp;rx_url=https%3A%2F%2Fjobs.northropgrumman.com%2Fcareers%2Fjob%2F1340069484693%3Fcode%3DJB-17946%26domain%3Dngc.com%26rx_a%3D0%26rx_c%3D%26rx_ch%3Djobp4p%26rx_group%3D288254%26rx_id%3D2253ec93-f78d-11f0-bea8-670dedc7eaa3%26rx_job%3DR10219968%26rx_medium%3Dcpc%26rx_r%3Dnone%26rx_source%3Dindeed%26rx_ts%3D20260122T180426Z%26rx_vp%3Dcpc%26source%3DJB-17946%26utm_audience%3Dprospectivetalentemployees%26utm_campaign%3Dta-general%26utm_content%3Djobfeed%26utm_format%3Dcpl%26utm_medium%3Djobboard%26utm_source%3Dindeed", "https://jsv3.recruitics.com/redirect?rx_cid=3658&amp;rx_jobId=R10219968&amp;rx_url=https%3A%2F%2Fjobs.northropgrumman.com%2Fcareers%2Fjob%2F1340069484693%3Fcode%3DJB-17946%26domain%3Dngc.com%26rx_a%3D0%26rx_c%3D%26rx_ch%3Djobp4p%26rx_group%3D288254%26rx_id%3D2253ec93-f78d-11f0-bea8-670dedc7eaa3%26rx_job%3DR10219968%26rx_medium%3Dcpc%26rx_r%3Dnone%26rx_source%3Dindeed%26rx_ts%3D20260122T180426Z%26rx_vp%3Dcpc%26source%3DJB-17946%26utm_audience%3Dprospectivetalentemployees%26utm_campaign%3Dta-general%26utm_content%3Djobfeed%26utm_format%3Dcpl%26utm_medium%3Djobboard%26utm_source%3Dindeed")</f>
        <v/>
      </c>
      <c r="G11" t="inlineStr">
        <is>
          <t>Aurora, CO, US</t>
        </is>
      </c>
      <c r="H11" s="2" t="n">
        <v>46040</v>
      </c>
      <c r="I11" t="inlineStr">
        <is>
          <t>RELOCATION ASSISTANCE: Relocation assistance may be available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Multi\-Domain Operations, a division within Northrop Grumman’s Space Systems Sector, is known for pushing the boundaries of innovation, redefining engineering capabilities, and driving advances in various sciences through cutting\-edge technology. Our team is chartered with providing the skills, and innovative technologies to develop, design, produce, and sustain optimized product lines across the sector while providing a decisive advantage to the warfighter.
We are looking for experienced Staff Engineers to augment our team. Successful candidates will be experienced as software engineers and performing as an Agile Product Owner for Processing Services team.
In this position, the candidate will be required to understand system level software architecture and how the software is used in the mission spaces and how to decompose customer requests into stories without formal requirements guiding the process, understanding the best software development practices and the full software development lifecycle. The candidate will be expected to have leadership skills in the areas of motivating a large agile team that supports multiple products, handle prioritization with requests coming from multiple customers and understanding of when to delegate tasks or take them on yourself to prevent distracting the team.
Northrop Grumman Space Systems is seeking a Staff Software Engineer (level 5\) to perform as a software lead and product owner and lead a team of engineers in supporting the Advanced Capabilities Business Unit (BU). This position would be based in Aurora, CO.
**About our organization:** As an engineer, you'll be joining our growing Aurora Software department which has 200\+ Software Engineer, DevOps Engineer, Systems Administrator, Database Administrator, and Network Engineer peers from entry\-level to the most senior chief engineers and architects. Staff Software Engineers frequently get into informal (example: Subject Matter Expert) and formal technical leadership roles within their programs, as applicable and per interest. We have plenty of opportunity for career advancement into higher level technical roles or leadership positions. Our Software Department is part of a larger organization that includes Systems Engineering, Integration, and Test staff as well as a Hardware Engineering unit. This larger organization influences cross\-program collaboration, professional development and training, as well as engagement and inclusion activities such as lunch\-n\-learns, campus events, and leadership mixers.
**Basic Qualifications:**
* **Staff Software Engineer level 5:** Bachelor's degree in a STEM discipline with 14\+ years of relative experience; Master’s degree in a STEM discipline with 12\+ years of relative experience; PhD \+ 9 year of relative experience. An additional 4 years of experience may be considered in lieu of degree.
* **Active Top Secret security clearance/SCI eligibility required at time of application**
* Must be able to obtain a CI Poly after starting work, preferred active CI Poly at time of application.
* Experience with Containerization, Kubernetes, Helm charts, Java and experience with Atlassian tool.
* Experience developing in Java, Javascript, helm, helmfile experience to the extent the candidate can troubleshoot issues, debug code and perform peer reviews.
* Understanding how to decompose customer requests into stories without formal requirements guiding the process.
* Experience developing/mentoring a team using Agile methodology, process, and tools.
Primary Level Salary Range: $177,000\.00 \- $265,600\.00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2">
      <c r="A12" t="inlineStr">
        <is>
          <t>in-17ec1e59f1445c3b</t>
        </is>
      </c>
      <c r="B12" t="inlineStr">
        <is>
          <t>Software Engineer Level 3 or 4</t>
        </is>
      </c>
      <c r="C12" t="inlineStr">
        <is>
          <t>Northrop Grumman</t>
        </is>
      </c>
      <c r="D12" t="inlineStr">
        <is>
          <t>indeed</t>
        </is>
      </c>
      <c r="E12">
        <f>HYPERLINK("https://www.indeed.com/viewjob?jk=17ec1e59f1445c3b", "https://www.indeed.com/viewjob?jk=17ec1e59f1445c3b")</f>
        <v/>
      </c>
      <c r="F12">
        <f>HYPERLINK("https://jsv3.recruitics.com/redirect?rx_cid=3658&amp;rx_jobId=R10219980&amp;rx_url=https%3A%2F%2Fjobs.northropgrumman.com%2Fcareers%2Fjob%2F1340069485629%3Fcode%3DJB-17946%26domain%3Dngc.com%26rx_a%3D0%26rx_c%3D%26rx_ch%3Djobp4p%26rx_group%3D288254%26rx_id%3D22024985-f78d-11f0-bea8-95b68cd919a7%26rx_job%3DR10219980%26rx_medium%3Dcpc%26rx_r%3Dnone%26rx_source%3Dindeed%26rx_ts%3D20260122T180426Z%26rx_vp%3Dcpc%26source%3DJB-17946%26utm_audience%3Dprospectivetalentemployees%26utm_campaign%3Dta-general%26utm_content%3Djobfeed%26utm_format%3Dcpl%26utm_medium%3Djobboard%26utm_source%3Dindeed", "https://jsv3.recruitics.com/redirect?rx_cid=3658&amp;rx_jobId=R10219980&amp;rx_url=https%3A%2F%2Fjobs.northropgrumman.com%2Fcareers%2Fjob%2F1340069485629%3Fcode%3DJB-17946%26domain%3Dngc.com%26rx_a%3D0%26rx_c%3D%26rx_ch%3Djobp4p%26rx_group%3D288254%26rx_id%3D22024985-f78d-11f0-bea8-95b68cd919a7%26rx_job%3DR10219980%26rx_medium%3Dcpc%26rx_r%3Dnone%26rx_source%3Dindeed%26rx_ts%3D20260122T180426Z%26rx_vp%3Dcpc%26source%3DJB-17946%26utm_audience%3Dprospectivetalentemployees%26utm_campaign%3Dta-general%26utm_content%3Djobfeed%26utm_format%3Dcpl%26utm_medium%3Djobboard%26utm_source%3Dindeed")</f>
        <v/>
      </c>
      <c r="G12" t="inlineStr">
        <is>
          <t>Aurora, CO, US</t>
        </is>
      </c>
      <c r="H12" s="2" t="n">
        <v>46040</v>
      </c>
      <c r="I12" t="inlineStr">
        <is>
          <t>RELOCATION ASSISTANCE: Relocation assistance may be available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Multi\-Domain Operations, a division within Northrop Grumman’s Space Systems Sector, is known for pushing the boundaries of innovation, redefining engineering capabilities, and driving advances in various sciences through cutting\-edge technology. Our team is chartered with providing the skills, and innovative technologies to develop, design, produce, and sustain optimized product lines across the sector while providing a decisive advantage to the warfighter.
We are looking for experienced Engineers to augment our team. Successful candidates will be experienced as software engineers and performing as an Agile Product Owner for Processing Services team.
In this position, the candidate will be required to understand system level software architecture and how the software is used in the mission spaces and how to decompose customer requests into stories without formal requirements guiding the process, understanding the best software development practices and the full software development lifecycle. The candidate will be expected to have leadership skills in the areas of motivating a large agile team that supports multiple products, handle prioritization with requests coming from multiple customers and understanding of when to delegate tasks or take them on yourself to prevent distracting the team.
Northrop Grumman Space Systems is seeking a Principal Software Engineer (level 3\) or Sr. Principal Software Engineer (level 4\) to perform as a software lead and product owner and lead a team of engineers in supporting the Advanced Capabilities Business Unit (BU). This position would be based in Aurora, CO.
**About our organization:** As an engineer, you'll be joining our growing Aurora Software department which has 200\+ Software Engineer, DevOps Engineer, Systems Administrator, Database Administrator, and Network Engineer peers from entry\-level to the most senior chief engineers and architects. Staff Software Engineers frequently get into informal (example: Subject Matter Expert) and formal technical leadership roles within their programs, as applicable and per interest. We have plenty of opportunity for career advancement into higher level technical roles or leadership positions. Our Software Department is part of a larger organization that includes Systems Engineering, Integration, and Test staff as well as a Hardware Engineering unit. This larger organization influences cross\-program collaboration, professional development and training, as well as engagement and inclusion activities such as lunch\-n\-learns, campus events, and leadership mixers.
**Basic Qualifications:**
* **Principal Software Engineer level 3:** Bachelor's degree in a STEM discipline with 5\+ years of relative experience; Master’s degree in a STEM discipline with 3\+ years of relative experience; PhD \+ 0 year of relative experience. An additional 4 years of experience may be considered in lieu of degree.
* **Sr. Principal Software Engineer level 4:** Bachelor's degree in a STEM discipline with 8\+ years of relative experience; Master’s degree in a STEM discipline with 6\+ years of relative experience. An additional 4 years of experience may be considered in lieu of degree.
* **Active Top Secret security clearance/SCI eligibility required at time of application**
* Must be able to obtain a CI Poly after starting work, preferred active CI Poly at time of application.
* Experience with Containerization, Kubernetes, Helm charts, Java and experience with Atlassian tool.
* Experience developing in Java, Javascript, helm, helmfile experience to the extent the candidate can troubleshoot issues, debug code and perform peer reviews.
* Understanding how to decompose customer requests into stories without formal requirements guiding the process.
* Experience developing/mentoring a team using Agile methodology, process, and tools.
Primary Level Salary Range: $114,000\.00 \- $171,000\.00
Secondary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3">
      <c r="A13" t="inlineStr">
        <is>
          <t>in-22410a37e996c8ac</t>
        </is>
      </c>
      <c r="B13" t="inlineStr">
        <is>
          <t>Principal AI Software Engineer</t>
        </is>
      </c>
      <c r="C13" t="inlineStr">
        <is>
          <t>Northrop Grumman</t>
        </is>
      </c>
      <c r="D13" t="inlineStr">
        <is>
          <t>indeed</t>
        </is>
      </c>
      <c r="E13">
        <f>HYPERLINK("https://www.indeed.com/viewjob?jk=22410a37e996c8ac", "https://www.indeed.com/viewjob?jk=22410a37e996c8ac")</f>
        <v/>
      </c>
      <c r="F13">
        <f>HYPERLINK("https://jsv3.recruitics.com/redirect?rx_cid=3658&amp;rx_jobId=R10219371&amp;rx_url=https%3A%2F%2Fjobs.northropgrumman.com%2Fcareers%2Fjob%2F1340069416784%3Fcode%3DJB-17946%26domain%3Dngc.com%26rx_a%3D0%26rx_c%3D%26rx_ch%3Djobp4p%26rx_group%3D288254%26rx_id%3D202e73f5-f78d-11f0-bea8-15a1093b8bd5%26rx_job%3DR10219371%26rx_medium%3Dcpc%26rx_r%3Dnone%26rx_source%3Dindeed%26rx_ts%3D20260122T180426Z%26rx_vp%3Dcpc%26source%3DJB-17946%26utm_audience%3Dprospectivetalentemployees%26utm_campaign%3Dta-general%26utm_content%3Djobfeed%26utm_format%3Dcpl%26utm_medium%3Djobboard%26utm_source%3Dindeed", "https://jsv3.recruitics.com/redirect?rx_cid=3658&amp;rx_jobId=R10219371&amp;rx_url=https%3A%2F%2Fjobs.northropgrumman.com%2Fcareers%2Fjob%2F1340069416784%3Fcode%3DJB-17946%26domain%3Dngc.com%26rx_a%3D0%26rx_c%3D%26rx_ch%3Djobp4p%26rx_group%3D288254%26rx_id%3D202e73f5-f78d-11f0-bea8-15a1093b8bd5%26rx_job%3DR10219371%26rx_medium%3Dcpc%26rx_r%3Dnone%26rx_source%3Dindeed%26rx_ts%3D20260122T180426Z%26rx_vp%3Dcpc%26source%3DJB-17946%26utm_audience%3Dprospectivetalentemployees%26utm_campaign%3Dta-general%26utm_content%3Djobfeed%26utm_format%3Dcpl%26utm_medium%3Djobboard%26utm_source%3Dindeed")</f>
        <v/>
      </c>
      <c r="G13" t="inlineStr">
        <is>
          <t>Baltimore, MD, US</t>
        </is>
      </c>
      <c r="H13" s="2" t="n">
        <v>46034</v>
      </c>
      <c r="I13" t="inlineStr">
        <is>
          <t>RELOCATION ASSISTANCE: No relocation assistance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Mission Systems (MS) Sector (MI\&amp;I) Manufacturing Integration and Infrastructure (A\&amp;I) Analytics and Insight organization is seeking a highly skilled **Principal AI Software Engineer** located in **Baltimore, MD** to lead the implementation of strategic operations and program execution Artificial Intelligence initiatives. In support of MS multiple divisions, the individual will be responsible for developing and leading complex data engineering and data science projects. This role will be central in designing and implementing secure, scalable data infrastructure that powers critical decision\-making across manufacturing operations, engineering, and program management, extracting actionable insights from large datasets, collaborating with cross\-functional teams to translate data into business strategies. Responsibilities also include mentoring data engineers and data scientists in ETL workflows development, and ML/AI advanced modelling techniques. This individual will develop and apply advanced technical principles, theories, and concepts across the MS Sector Divisions, Operating and Business units to support strategic planning, project execution, development of operational business opportunities, to drive schedule and cost reductions while maintaining absolute quality. The individual will interact and consult regularly with MS Program leadership, supporting Functional leadership and MS Executive Leadership Team (ELT)
"This position may be filled in a **virtual capacity** at the **Baltimore, MD** location**.** Candidates are required to be local to the area and selection will be based on the most qualified candidate".
**Key Responsibilities**
* Participate in the planning, design, development and implementation of ML/AI solutions to address ongoing business performance opportunities and performance improvement.
* Apply ML algorithms to large sets of structured data to solve broad range of operations, engineering, and program management challenges that include application in pattern recognition, machine learning decision systems and process robotic automation.
* Develop and support data architecture(s), data pipelines and data management solutions.
* Perform all aspects of data engineering from initial data management plan and ICD development through test, implementation, and maintenance.
* Optimize data collection and dissemination to existing software tools and data reduction suites.
* Troubleshoot bus data collection systems and system issues.
* Work in a fast\-paced, Agile/Scrum based environment.
* Implement process changes to improve business outcomes.
* Support cross\-team development efforts for multiple projects, including data cleanup, ingestion, and linkage with other data sets.
* Document design, deployment and operating procedures for each work product.
* Present data in a meaningful way (insights, visualizations) to executive management.
* Other duties as assigned.
**Basic Qualifications for the Principal AI Software Engineer:**
* Bachelor’s degree in engineering, data engineering, data analytics, business analytics, or related field and 5 or more years of experience; OR a master’s degree and 3 or more years of related experience
* Experience communicating effectively to all levels of an organization with the ability to translate concepts into practical applications
* Demonstrated experience using SQL programming and database management skills to architect, optimize and maintain SQL code for databases, tables, views, stored procedures and functions in MS SQL Server
* Experience with one or more of these database systems: Oracle, MySQL, PostgreSQL, SQLite
* Demonstrated experience developing ETL and ETL workflows using a variety of older and newer ETL tools for moving data among networks, such as: Microsoft Access, SSIS, Windows Task Scheduler, batch scripts, Windows PowerShell, Python scripting, Scala, Spark, Alteryx
* Ability to obtain and maintain Active Secret clearance
**Preferred Qualifications for the Principal AI Software Engineer:**
* Master’s degree in information technology, data science, industrial engineering, or related field
* Demonstrated proficiency with Python or R
* Demonstrated knowledge and application of: Lean, Six Sigma, ToC, and Scaled Agile
* Understanding of advanced descriptive, diagnostic, predictive, and prescriptive analysis techniques and methodology
* Demonstrated working knowledge and familiarity with SAP
* Experience and/or training with cloud database tools, especially those in AWS and Azure
* Familiarity with an Oracle based data warehouse
* Demonstrated experience with analysis and visualization of data: Tableau, Power BI
Primary Level Salary Range: $131,500\.00 \- $197,300\.00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4">
      <c r="A14" t="inlineStr">
        <is>
          <t>in-62ba823c89292967</t>
        </is>
      </c>
      <c r="B14" t="inlineStr">
        <is>
          <t>Senior Software Engineer, Twitch</t>
        </is>
      </c>
      <c r="C14" t="inlineStr">
        <is>
          <t>Amazon.com</t>
        </is>
      </c>
      <c r="D14" t="inlineStr">
        <is>
          <t>indeed</t>
        </is>
      </c>
      <c r="E14">
        <f>HYPERLINK("https://www.indeed.com/viewjob?jk=62ba823c89292967", "https://www.indeed.com/viewjob?jk=62ba823c89292967")</f>
        <v/>
      </c>
      <c r="F14">
        <f>HYPERLINK("https://www.amazon.jobs/jobs/3138042/senior-software-engineer-twitch?cmpid=DA_INAD200785B", "https://www.amazon.jobs/jobs/3138042/senior-software-engineer-twitch?cmpid=DA_INAD200785B")</f>
        <v/>
      </c>
      <c r="G14" t="inlineStr">
        <is>
          <t>Seattle, WA, US</t>
        </is>
      </c>
      <c r="H14" s="2" t="n">
        <v>45995</v>
      </c>
      <c r="I1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in-e97c446a6b56a6c6</t>
        </is>
      </c>
      <c r="B15" t="inlineStr">
        <is>
          <t>Senior Software Engineer, Twitch</t>
        </is>
      </c>
      <c r="C15" t="inlineStr">
        <is>
          <t>Amazon.com</t>
        </is>
      </c>
      <c r="D15" t="inlineStr">
        <is>
          <t>indeed</t>
        </is>
      </c>
      <c r="E15">
        <f>HYPERLINK("https://www.indeed.com/viewjob?jk=e97c446a6b56a6c6", "https://www.indeed.com/viewjob?jk=e97c446a6b56a6c6")</f>
        <v/>
      </c>
      <c r="F15">
        <f>HYPERLINK("https://www.amazon.jobs/jobs/3138042/senior-software-engineer-twitch?cmpid=DA_INAD200785B", "https://www.amazon.jobs/jobs/3138042/senior-software-engineer-twitch?cmpid=DA_INAD200785B")</f>
        <v/>
      </c>
      <c r="G15" t="inlineStr">
        <is>
          <t>San Francisco, CA, US</t>
        </is>
      </c>
      <c r="H15" s="2" t="n">
        <v>45995</v>
      </c>
      <c r="I1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in-14b4f7086b5dfb37</t>
        </is>
      </c>
      <c r="B16" t="inlineStr">
        <is>
          <t>Sr. Software Engineer (ML), AGI Customization</t>
        </is>
      </c>
      <c r="C16" t="inlineStr">
        <is>
          <t>Amazon.com</t>
        </is>
      </c>
      <c r="D16" t="inlineStr">
        <is>
          <t>indeed</t>
        </is>
      </c>
      <c r="E16">
        <f>HYPERLINK("https://www.indeed.com/viewjob?jk=14b4f7086b5dfb37", "https://www.indeed.com/viewjob?jk=14b4f7086b5dfb37")</f>
        <v/>
      </c>
      <c r="F16">
        <f>HYPERLINK("https://www.amazon.jobs/jobs/3127625/sr-software-engineer-ml-agi-customization?cmpid=DA_INAD200785B", "https://www.amazon.jobs/jobs/3127625/sr-software-engineer-ml-agi-customization?cmpid=DA_INAD200785B")</f>
        <v/>
      </c>
      <c r="G16" t="inlineStr">
        <is>
          <t>Boston, MA, US</t>
        </is>
      </c>
      <c r="H16" s="2" t="n">
        <v>45964</v>
      </c>
      <c r="I16"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in-c517e826e9ebb060</t>
        </is>
      </c>
      <c r="B17" t="inlineStr">
        <is>
          <t>Sr. Software Engineer (ML), AGI Customization</t>
        </is>
      </c>
      <c r="C17" t="inlineStr">
        <is>
          <t>Amazon.com</t>
        </is>
      </c>
      <c r="D17" t="inlineStr">
        <is>
          <t>indeed</t>
        </is>
      </c>
      <c r="E17">
        <f>HYPERLINK("https://www.indeed.com/viewjob?jk=c517e826e9ebb060", "https://www.indeed.com/viewjob?jk=c517e826e9ebb060")</f>
        <v/>
      </c>
      <c r="F17">
        <f>HYPERLINK("https://www.amazon.jobs/jobs/3127625/sr-software-engineer-ml-agi-customization?cmpid=DA_INAD200785B", "https://www.amazon.jobs/jobs/3127625/sr-software-engineer-ml-agi-customization?cmpid=DA_INAD200785B")</f>
        <v/>
      </c>
      <c r="G17" t="inlineStr">
        <is>
          <t>Sunnyvale, CA, US</t>
        </is>
      </c>
      <c r="H17" s="2" t="n">
        <v>45964</v>
      </c>
      <c r="I17"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in-69f3d98807e41e79</t>
        </is>
      </c>
      <c r="B18" t="inlineStr">
        <is>
          <t>10850 – Sr. Software Engineer, AI &amp; ML Ops</t>
        </is>
      </c>
      <c r="C18" t="inlineStr">
        <is>
          <t>Hyundai AutoEver America</t>
        </is>
      </c>
      <c r="D18" t="inlineStr">
        <is>
          <t>indeed</t>
        </is>
      </c>
      <c r="E18">
        <f>HYPERLINK("https://www.indeed.com/viewjob?jk=69f3d98807e41e79", "https://www.indeed.com/viewjob?jk=69f3d98807e41e79")</f>
        <v/>
      </c>
      <c r="F18">
        <f>HYPERLINK("https://hyundaiautoeveramerica.applytojob.com/apply/J2TQ4Ed0MU/10850-Sr-Software-Engineer-AI-ML-Ops?source=INDE&amp;~", "https://hyundaiautoeveramerica.applytojob.com/apply/J2TQ4Ed0MU/10850-Sr-Software-Engineer-AI-ML-Ops?source=INDE&amp;~")</f>
        <v/>
      </c>
      <c r="G18" t="inlineStr">
        <is>
          <t>Fountain Valley, CA, US</t>
        </is>
      </c>
      <c r="H18" s="2" t="n">
        <v>46043</v>
      </c>
      <c r="I18" t="inlineStr">
        <is>
          <t>**Company Overview**  
**Hyundai AutoEver America (HAEA)** is the dynamic IT powerhouse behind Hyundai Motor Corporation, a Fortune 500 global leader in the automotive industry. As a key affiliate, we provide cutting\-edge IT services and support to top brands including Kia, Genesis, Hyundai Translead, Hyundai Mobis, Hyundai Capital, and Glovis.  
HAEA offers a truly global and collaborative environment. Here, you’ll drive innovation, boost operational efficiency, and help shape the future of mobility for the Hyundai Motor Group.  
At HAEA, we understand that IT is the cornerstone of today’s fast\-evolving digital world. By uniting all IT resources under one roof, we deliver consistent, top\-quality solutions while serving as the crucial information link between Hyundai’s Global Headquarters and North American operations.  
If you’re passionate about technology and eager to make a real impact at a world\-class company, Hyundai AutoEver America is the place to grow your career. Join us and be part of the transformation that’s driving the future of automotive innovation.  
**Role overview:**
Hyundai AutoEver America seeks a seasoned Senior AI/ML Engineer to architect, develop, and deploy advanced AI solutions, including LLMs, RAG systems, and intelligent agents—to transform automotive industry applications. This role drives end‑to‑end AI innovation across cloud environments, leads technical strategy, mentors engineers, and collaborates cross‑functionally to deliver scalable, secure, and user‑centric AI systems.
**What you will do**
* Architect and develop scalable AI/ML and LLM\-based systems, including RAG pipelines, agentic workflows, predictive models, and generative AI solutions.
* Build full‑stack AI applications, including React\-based dashboards and front‑end interfaces integrated with backend services and cloud infrastructure.
* Develop data pipelines and ML Ops workflows using Python, SQL, AWS/Azure platforms, and monitoring tools to train, deploy, and optimize models.
* Lead cross\-functional AI initiatives, deliver PoCs/MVPs, ensure compliance with AI governance, and integrate AI features into enterprise and user\-facing systems.
* Provide technical leadership and mentorship, guiding standards, code reviews, model documentation, and best practices in AI/ML development.
* Continuously improve AI performance and reliability through prompt engineering, architecture enhancements, and data optimization.
 **Basic Qualifications**
* Bachelor’s or Master’s degree in Computer Science, Engineering, AI, or related field; advanced degrees/certifications are a plus.
* 8\+ years of software engineering experience, including 3\+ years in AI/ML solution development.
* Proven experience designing and deploying LLM\-based solutions, traditional ML models, RAG systems, and agent workflows.
* Strong expertise in Python, TensorFlow/PyTorch, Hugging Face, prompt engineering, vector databases, and AI orchestration.
* Hands\-on experience with AWS SageMaker/Bedrock, Azure OpenAI, or Azure ML Studio, plus MLOps best practices (CI/CD, testing, model monitoring).
* Proficiency in frontend frameworks (React), cloud\-native deployment (Docker/Kubernetes), microservice APIs, and relational/NoSQL databases.
**Preferred Qualifications**
* Experience in the automotive or mobility domain, including telematics, diagnostics, or intelligent vehicle systems.
* Background implementing GenAI across poly‑cloud or hybrid environments (Azure, AWS, GCP).
* Experience with LLM fine‑tuning, multimodal AI, or autonomous agent frameworks.
* Familiarity with LangChain, MLflow, Vertex AI, Dialogflow, Azure Monitor, or similar AI lifecycle tools.
* Awareness of ethical/responsible AI, AI security, and emerging GenAI trends.
*Please note this job description is not designed to cover or contain a comprehensive listing of activities, duties or responsibilities that are required of the employee for this job. Duties, responsibilities, and activities may change at any time with or without notice.*
Salary range:
**Company Overview**  
**Hyundai AutoEver America (HAEA)** is the dynamic IT powerhouse behind Hyundai Motor Corporation, a Fortune 500 global leader in the automotive industry. As a key affiliate, we provide cutting\-edge IT services and support to top brands including Kia, Genesis, Hyundai Translead, Hyundai Mobis, Hyundai Capital, and Glovis.  
HAEA offers a truly global and collaborative environment. Here, you’ll drive innovation, boost operational efficiency, and help shape the future of mobility for the Hyundai Motor Group.  
At HAEA, we understand that IT is the cornerstone of today’s fast\-evolving digital world. By uniting all IT resources under one roof, we deliver consistent, top\-quality solutions while serving as the crucial information link between Hyundai’s Global Headquarters and North American operations.  
If you’re passionate about technology and eager to make a real impact at a world\-class company, Hyundai AutoEver America is the place to grow your career. Join us and be part of the transformation that’s driving the future of automotive innovation.  
**Role overview:**
Hyundai AutoEver America seeks a seasoned Senior AI/ML Engineer to architect, develop, and deploy advanced AI solutions, including LLMs, RAG systems, and intelligent agents—to transform automotive industry applications. This role drives end‑to‑end AI innovation across cloud environments, leads technical strategy, mentors engineers, and collaborates cross‑functionally to deliver scalable, secure, and user‑centric AI systems.
**What you will do**
* Architect and develop scalable AI/ML and LLM\-based systems, including RAG pipelines, agentic workflows, predictive models, and generative AI solutions.
* Build full‑stack AI applications, including React\-based dashboards and front‑end interfaces integrated with backend services and cloud infrastructure.
* Develop data pipelines and ML Ops workflows using Python, SQL, AWS/Azure platforms, and monitoring tools to train, deploy, and optimize models.
* Lead cross\-functional AI initiatives, deliver PoCs/MVPs, ensure compliance with AI governance, and integrate AI features into enterprise and user\-facing systems.
* Provide technical leadership and mentorship, guiding standards, code reviews, model documentation, and best practices in AI/ML development.
* Continuously improve AI performance and reliability through prompt engineering, architecture enhancements, and data optimization.
 **Basic Qualifications**
* Bachelor’s or Master’s degree in Computer Science, Engineering, AI, or related field; advanced degrees/certifications are a plus.
* 8\+ years of software engineering experience, including 3\+ years in AI/ML solution development.
* Proven experience designing and deploying LLM\-based solutions, traditional ML models, RAG systems, and agent workflows.
* Strong expertise in Python, TensorFlow/PyTorch, Hugging Face, prompt engineering, vector databases, and AI orchestration.
* Hands\-on experience with AWS SageMaker/Bedrock, Azure OpenAI, or Azure ML Studio, plus MLOps best practices (CI/CD, testing, model monitoring).
* Proficiency in frontend frameworks (React), cloud\-native deployment (Docker/Kubernetes), microservice APIs, and relational/NoSQL databases.
**Preferred Qualifications**
* Experience in the automotive or mobility domain, including telematics, diagnostics, or intelligent vehicle systems.
* Background implementing GenAI across poly‑cloud or hybrid environments (Azure, AWS, GCP).
* Experience with LLM fine‑tuning, multimodal AI, or autonomous agent frameworks.
* Familiarity with LangChain, MLflow, Vertex AI, Dialogflow, Azure Monitor, or similar AI lifecycle tools.
* Awareness of ethical/responsible AI, AI security, and emerging GenAI trends.
*Please note this job description is not designed to cover or contain a comprehensive listing of activities, duties or responsibilities that are required of the employee for this job. Duties, responsibilities, and activities may change at any time with or without notice.*
Salary range: 103,170 to $158,873
In addition to a competitive salary, this position offers a fantastic benefits package that includes comprehensive medical/dental coverage, generous PTO, education assistance, and annual merit increase eligibility in a growth\-focused work environment.
 **Team Culture:**  
Our team thrives on collaboration, innovation, and continuous learning. We foster a supportive environment where every member is encouraged to share ideas and contribute to problem\-solving. We value:
* Passion for Technology: We are enthusiastic about emerging technologies and their potential to transform the automotive industry.
* Agility: We work in an agile environment, adapting quickly to changes and continuously improving our processes.
* Teamwork: We believe in the power of teamwork and collaboration, supporting each other to achieve common goals.
* Growth: We prioritize personal and professional growth, offering opportunities for learning and development.
* Inclusivity: We maintain an inclusive culture where diverse perspectives are valued and everyone feels welcome.
*Our Company adheres to the equal employment opportunity guidelines set forth by federal, state and local laws. The information requested on this form is sought in good faith and will not be used to discriminate against the applicant based on race, religion or creed, color, national origin, ancestry, physical disability, mental disability, medical condition, genetic characteristics, marital status, sex or gender (which includes pregnancy, childbirth, or related circumstances), gender identity, gender expression, age, citizenship, sexual orientation, family care or medical leave status, military and veteran status, political affiliation, or any other characteristic protected by federal, state and local laws.*
In addition to a competitive salary, this position offers a fantastic benefits package that includes comprehensive medical/dental coverage, generous PTO, education assistance, and annual merit increase eligibility in a growth\-focused work environment.
 **Team Culture:**  
Our team thrives on collaboration, innovation, and continuous learning. We foster a supportive environment where every member is encouraged to share ideas and contribute to problem\-solving. We value:
* Passion for Technology: We are enthusiastic about emerging technologies and their potential to transform the automotive industry.
* Agility: We work in an agile environment, adapting quickly to changes and continuously improving our processes.
* Teamwork: We believe in the power of teamwork and collaboration, supporting each other to achieve common goals.
* Growth: We prioritize personal and professional growth, offering opportunities for learning and development.
* Inclusivity: We maintain an inclusive culture where diverse perspectives are valued and everyone feels welcome.
*Our Company adheres to the equal employment opportunity guidelines set forth by federal, state and local laws. The information requested on this form is sought in good faith and will not be used to discriminate against the applicant based on race, religion or creed, color, national origin, ancestry, physical disability, mental disability, medical condition, genetic characteristics, marital status, sex or gender (which includes pregnancy, childbirth, or related circumstances), gender identity, gender expression, age, citizenship, sexual orientation, family care or medical leave status, military and veteran status, political affiliation, or any other characteristic protected by federal, state and local laws.*
J2TQ4Ed0MU</t>
        </is>
      </c>
    </row>
    <row r="19">
      <c r="A19" t="inlineStr">
        <is>
          <t>in-1ada5cda7cf0de45</t>
        </is>
      </c>
      <c r="B19" t="inlineStr">
        <is>
          <t>Principal Software Engineer</t>
        </is>
      </c>
      <c r="C19" t="inlineStr">
        <is>
          <t>Microsoft</t>
        </is>
      </c>
      <c r="D19" t="inlineStr">
        <is>
          <t>indeed</t>
        </is>
      </c>
      <c r="E19">
        <f>HYPERLINK("https://www.indeed.com/viewjob?jk=1ada5cda7cf0de45", "https://www.indeed.com/viewjob?jk=1ada5cda7cf0de45")</f>
        <v/>
      </c>
      <c r="F19">
        <f>HYPERLINK("https://apply.careers.microsoft.com/careers/job/1970393556744931?utm_source=indeed&amp;domain=microsoft.com", "https://apply.careers.microsoft.com/careers/job/1970393556744931?utm_source=indeed&amp;domain=microsoft.com")</f>
        <v/>
      </c>
      <c r="G19" t="inlineStr">
        <is>
          <t>Redmond, WA, US</t>
        </is>
      </c>
      <c r="H19" s="2" t="n">
        <v>46041</v>
      </c>
      <c r="I19" t="inlineStr">
        <is>
          <t>**Overview**  
Our team is at the forefront of transforming digital advertising through intelligent automation and large\-scale optimization. We design and build the auto\-bidding platform that powers real\-time ad auctions across Microsoft’s marketplaces—leveraging cutting\-edge AI, machine learning, and large\-scale distributed systems to bid on behalf of millions of advertisers.
Our systems process billions of auction events daily, optimizing bids in milliseconds to maximize performance and return on ad spend. Engineers and scientists work hand\-in\-hand, blending algorithmic innovation, reinforcement learning, and large\-scale data pipelines to create the intelligence that drives Microsoft Advertising’s success.
We’re looking for a Principal Software Engineer who thrives at the intersection of AI systems, real\-time decision\-making, and scalable cloud infrastructure. You’ll help shape the next generation of our agentic auto\-bidding platform — one that learns, adapts, and optimizes autonomously. Your work will directly influence advertiser ROI and drive billions of dollars in revenue across Bing, MSN, and the Microsoft ecosystem.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Collaborate with data scientists, ML engineers, and product teams to define requirements for agentic AI\-driven bidding capabilities that observe, reason, and adapt autonomously.
* Architect and implement the next\-generation agentic bidding platform, enabling AI agents to monitor marketplace signals, interpret advertiser and user behavior, and continuously optimize bidding strategies.
* Build large\-scale data validation and quality frameworks to ensure correctness, consistency, and reliability across all auction\-critical signals feeding the AI agents.
* Act as a Designated Responsible Individual (DRI): drive operational excellence, incident management, on\-call readiness, and high\-availability practices for mission\-critical bidding services.
* Develop experimentation and simulation frameworks to validate agent behavior and optimize policies before deployment in live auctions.
* Proactively adopt new patterns, technologies, and engineering practices to improve availability, efficiency, performance, and scalability across the bidding stack.
* Mentor engineers, and foster a culture of high\-quality execution, innovation, and accountability.
* Explore and invest in emerging AI techniques — multi\-agent systems, adaptive optimization—to enhance the autonomy, intelligence, and impact of the bidding platform.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5\+ years of experience developing and deploying large\-scale distributed systems in production environments.
* 5\+ years of hands\-on experience in machine learning operations (MLOps), including pipeline automation, monitoring, and lifecycle management
* 3\+ years of hands\-on experience with large\-scale streaming platforms such as Apache Spark or Flink
* Experience building real world applications using AI techniques.
\#MicrosoftAI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
      <c r="A20" t="inlineStr">
        <is>
          <t>in-20b854cb77f02dee</t>
        </is>
      </c>
      <c r="B20" t="inlineStr">
        <is>
          <t>Senior Software Engineer</t>
        </is>
      </c>
      <c r="C20" t="inlineStr">
        <is>
          <t>Microsoft</t>
        </is>
      </c>
      <c r="D20" t="inlineStr">
        <is>
          <t>indeed</t>
        </is>
      </c>
      <c r="E20">
        <f>HYPERLINK("https://www.indeed.com/viewjob?jk=20b854cb77f02dee", "https://www.indeed.com/viewjob?jk=20b854cb77f02dee")</f>
        <v/>
      </c>
      <c r="F20">
        <f>HYPERLINK("https://apply.careers.microsoft.com/careers/job/1970393556726333?utm_source=indeed&amp;domain=microsoft.com", "https://apply.careers.microsoft.com/careers/job/1970393556726333?utm_source=indeed&amp;domain=microsoft.com")</f>
        <v/>
      </c>
      <c r="G20" t="inlineStr">
        <is>
          <t>US</t>
        </is>
      </c>
      <c r="H20" s="2" t="n">
        <v>46035</v>
      </c>
      <c r="I20" t="inlineStr">
        <is>
          <t>**Overview**  
The Azure Compute team builds a fault\-tolerant, distributed system on top of commodity datacenter hardware to deliver infrastructure for hosting cloud applications in virtual machines (VMs). The team creates the illusion that resources are limitless, infinitely elastic, and always available.
This role is in the Availability Platform team within Azure Compute, which focuses on ensuring every Azure virtual machine achieves a Service Level Agreement (SLA) of 99\.99 percent or higher. Meeting this target requires innovative thinking, data\-driven decisions, and intelligent automation. The team owns services that monitor the health of millions of Azure machines and the control plane services that make all repair decisions. We use artificial intelligence (AI) and machine learning to build predictive failure models that proactively live\-migrate virtual machines before failures occur, minimizing customer impact and improving platform resilience.
We are also exploring the use of generative artificial intelligence to enhance diagnostics, automate root cause analysis, and accelerate incident resolution. Our collaboration with data scientists and AI researchers enables us to continuously evolve our platform with smarter, self\-healing capabilities. As a Software Engineer, you will join a team that emphasizes comprehensive designs, incremental development with high quality, frequent shipping, and rapid adaptation to customer feedback. This role offers hands\-on experience with services architecture at hyperscale while pushing the boundaries of scale, reliability, availability, and efficiency.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Leverages expertise with appropriate stakeholders to develop project plans, release plans, and work items. Develops high quality, extensible, maintainable code and coaches others to do the same.
* Supports livesite as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 Collaborates with data scientists and ML engineers to design and integrate predictive models that proactively detect hardware anomalies and trigger live migrations, improving VM uptime and SLA compliance.Leads initiatives to embed AI\-driven diagnostics and root cause analysis into availability services, reducing time\-to\-resolution for incidents and improving operational efficiency.
* Drives the adoption of generative AI tools to automate documentation, incident summaries, and engineering workflows, enhancing team productivity and knowledge sharing.
* Partners with platform teams to build intelligent observability pipelines that leverage anomaly detection and trend analysis for early warning systems.
* Evaluates and integrates large\-scale AI models into control plane services to enable smarter, context\-aware repair decisions across millions of Azure VMs.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1">
      <c r="A21" t="inlineStr">
        <is>
          <t>in-03fc50cef5cde28d</t>
        </is>
      </c>
      <c r="B21" t="inlineStr">
        <is>
          <t>Software Engineer- AI/ML, AWS Neuron Distributed Training</t>
        </is>
      </c>
      <c r="C21" t="inlineStr">
        <is>
          <t>Amazon Web Services</t>
        </is>
      </c>
      <c r="D21" t="inlineStr">
        <is>
          <t>indeed</t>
        </is>
      </c>
      <c r="E21">
        <f>HYPERLINK("https://www.indeed.com/viewjob?jk=03fc50cef5cde28d", "https://www.indeed.com/viewjob?jk=03fc50cef5cde28d")</f>
        <v/>
      </c>
      <c r="F21">
        <f>HYPERLINK("https://www.amazon.jobs/jobs/2937757/software-engineer-aiml-aws-neuron-distributed-training?cmpid=DA_INAD200785B", "https://www.amazon.jobs/jobs/2937757/software-engineer-aiml-aws-neuron-distributed-training?cmpid=DA_INAD200785B")</f>
        <v/>
      </c>
      <c r="G21" t="inlineStr">
        <is>
          <t>Seattle, WA, US</t>
        </is>
      </c>
      <c r="H21" s="2" t="n">
        <v>45727</v>
      </c>
      <c r="I2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in-899d0d0345dfab56</t>
        </is>
      </c>
      <c r="B22" t="inlineStr">
        <is>
          <t>Software Engineer- AI/ML, AWS Neuron Distributed Training</t>
        </is>
      </c>
      <c r="C22" t="inlineStr">
        <is>
          <t>Amazon Web Services</t>
        </is>
      </c>
      <c r="D22" t="inlineStr">
        <is>
          <t>indeed</t>
        </is>
      </c>
      <c r="E22">
        <f>HYPERLINK("https://www.indeed.com/viewjob?jk=899d0d0345dfab56", "https://www.indeed.com/viewjob?jk=899d0d0345dfab56")</f>
        <v/>
      </c>
      <c r="F22">
        <f>HYPERLINK("https://www.amazon.jobs/jobs/2937757/software-engineer-aiml-aws-neuron-distributed-training?cmpid=DA_INAD200785B", "https://www.amazon.jobs/jobs/2937757/software-engineer-aiml-aws-neuron-distributed-training?cmpid=DA_INAD200785B")</f>
        <v/>
      </c>
      <c r="G22" t="inlineStr">
        <is>
          <t>Cupertino, CA, US</t>
        </is>
      </c>
      <c r="H22" s="2" t="n">
        <v>45727</v>
      </c>
      <c r="I2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in-0300ea80ea63fb08</t>
        </is>
      </c>
      <c r="B23" t="inlineStr">
        <is>
          <t>Sr. Software Engineer- AI/ML, AWS Neuron Distributed Training</t>
        </is>
      </c>
      <c r="C23" t="inlineStr">
        <is>
          <t>Amazon Web Services</t>
        </is>
      </c>
      <c r="D23" t="inlineStr">
        <is>
          <t>indeed</t>
        </is>
      </c>
      <c r="E23">
        <f>HYPERLINK("https://www.indeed.com/viewjob?jk=0300ea80ea63fb08", "https://www.indeed.com/viewjob?jk=0300ea80ea63fb08")</f>
        <v/>
      </c>
      <c r="F23">
        <f>HYPERLINK("https://www.amazon.jobs/jobs/2912412/sr-software-engineer-aiml-aws-neuron-distributed-training?cmpid=DA_INAD200785B", "https://www.amazon.jobs/jobs/2912412/sr-software-engineer-aiml-aws-neuron-distributed-training?cmpid=DA_INAD200785B")</f>
        <v/>
      </c>
      <c r="G23" t="inlineStr">
        <is>
          <t>Seattle, WA, US</t>
        </is>
      </c>
      <c r="H23" s="2" t="n">
        <v>45713</v>
      </c>
      <c r="I2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in-c36bbd602a92136b</t>
        </is>
      </c>
      <c r="B24" t="inlineStr">
        <is>
          <t>Sr. Software Engineer- AI/ML, AWS Neuron Distributed Training</t>
        </is>
      </c>
      <c r="C24" t="inlineStr">
        <is>
          <t>Amazon Web Services</t>
        </is>
      </c>
      <c r="D24" t="inlineStr">
        <is>
          <t>indeed</t>
        </is>
      </c>
      <c r="E24">
        <f>HYPERLINK("https://www.indeed.com/viewjob?jk=c36bbd602a92136b", "https://www.indeed.com/viewjob?jk=c36bbd602a92136b")</f>
        <v/>
      </c>
      <c r="F24">
        <f>HYPERLINK("https://www.amazon.jobs/jobs/2912412/sr-software-engineer-aiml-aws-neuron-distributed-training?cmpid=DA_INAD200785B", "https://www.amazon.jobs/jobs/2912412/sr-software-engineer-aiml-aws-neuron-distributed-training?cmpid=DA_INAD200785B")</f>
        <v/>
      </c>
      <c r="G24" t="inlineStr">
        <is>
          <t>Cupertino, CA, US</t>
        </is>
      </c>
      <c r="H24" s="2" t="n">
        <v>45713</v>
      </c>
      <c r="I2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in-3b492ec6ad7ce616</t>
        </is>
      </c>
      <c r="B25" t="inlineStr">
        <is>
          <t>Software Engineer - Co-Ops</t>
        </is>
      </c>
      <c r="C25" t="inlineStr">
        <is>
          <t>Crio</t>
        </is>
      </c>
      <c r="D25" t="inlineStr">
        <is>
          <t>indeed</t>
        </is>
      </c>
      <c r="E25">
        <f>HYPERLINK("https://www.indeed.com/viewjob?jk=3b492ec6ad7ce616", "https://www.indeed.com/viewjob?jk=3b492ec6ad7ce616")</f>
        <v/>
      </c>
      <c r="F25">
        <f>HYPERLINK("https://ats.rippling.com/crio/jobs/22bba6bf-ed97-4dca-87c7-83fa4609080f?jobSite=Indeed", "https://ats.rippling.com/crio/jobs/22bba6bf-ed97-4dca-87c7-83fa4609080f?jobSite=Indeed")</f>
        <v/>
      </c>
      <c r="G25" t="inlineStr">
        <is>
          <t>Remote, US</t>
        </is>
      </c>
      <c r="H25" s="2" t="n">
        <v>46044</v>
      </c>
      <c r="I25" t="inlineStr">
        <is>
          <t>CRIO (Clinical Research IO) is a health tech company helping pharma, biotech, research sites, and academic research centers streamline regulatory workflows with one system and a single source of clinical data capture. Our modules allow sites to capture data electronically in real\-time, providing data managers and monitors with enhanced transparency, and enabling remote monitoring by sponsors and CROs.
CRIO’s eSource and CTMS system is a leading, modern, enterprise platform built for clinical research sites. Since CRIO’s launch in 2015, CRIO has established the leading brand position in eSource and has won close to 50% of the emerging class of enterprise\-grade site networks, many of whom are backed by institutional investors such as VC, PE and corporations. CRIO has achieved the attached metrics, all with little to no serious outbound sales or marketing.
Job Responsibilities:
* Architect and implement new features based on customer requirements and UX design specifications
* Address customer technical issues, data fixes, and production bugs as they arise
* Contribute to the continuous improvement of existing code and features
* Provide support to the QA team as needed
* Participate in regular stand\-ups and an agile work environment
Qualifications:
* Strong problem\-solving and analytical skills
* Excellent communication skills and awareness of strengths and weaknesses
* Knowledge of and/or working experience with relational database systems (MySQL, PostgreSQL, Oracle, etc.)
* Strong software knowledge in a high\-level programming language (Java, C\+\+)
* Experience with front end languages (HTML, CSS, JSP)
* Ability to work independently and take ownership of projects while also being a good team player
Salary Range: $20\-25 per hour</t>
        </is>
      </c>
    </row>
    <row r="26">
      <c r="A26" t="inlineStr">
        <is>
          <t>in-5f06fd8dae78d13d</t>
        </is>
      </c>
      <c r="B26" t="inlineStr">
        <is>
          <t>Software Developer</t>
        </is>
      </c>
      <c r="C26" t="inlineStr">
        <is>
          <t>PioneerTech</t>
        </is>
      </c>
      <c r="D26" t="inlineStr">
        <is>
          <t>indeed</t>
        </is>
      </c>
      <c r="E26">
        <f>HYPERLINK("https://www.indeed.com/viewjob?jk=5f06fd8dae78d13d", "https://www.indeed.com/viewjob?jk=5f06fd8dae78d13d")</f>
        <v/>
      </c>
      <c r="F26">
        <f>HYPERLINK("http://www.indeed.com/job/software-developer-5f06fd8dae78d13d", "http://www.indeed.com/job/software-developer-5f06fd8dae78d13d")</f>
        <v/>
      </c>
      <c r="G26" t="inlineStr">
        <is>
          <t>Fairfax, VA, US</t>
        </is>
      </c>
      <c r="H26" s="2" t="n">
        <v>46044</v>
      </c>
      <c r="I26" t="inlineStr">
        <is>
          <t>**Full Time**
**PioneerTech Company Overview**
PioneerTech is a recognized leader in delivering innovative technology, leading\-edge software engineering, cybersecurity, and program management solutions that enable Federal agencies to achieve their missions securely and efficiently. Our teams drive value through advanced engineering, rigorous compliance, and a customer\-first approach. PioneerTech supports the Department of Defense and other Federal clients with robust enterprise IT, data analytics, and cybersecurity solutions that protect the nation’s most critical systems. We cultivate a collaborative culture that prioritizes professional growth, thought leadership, and operational excellence.
**Candidate MUST meet the following:**
* **Full\-time W2 only** (1099/Corp\-to Corp are **unacceptable**)
* **On\-Site** – PioneerTech HQ (Fairfax, Va) and customer site (Ft Belvoir, VA)
* **Active Secret Clearance:** Must possess and maintain a Secret clearance valid in DISS; eligibility for SIPR/NIPR network access required (**Minimum**)
* **Minimum of five (5\) years** of relevant experience as a Software Developer on enterprise\-scale programs.
* Extensive experience with Oracle Application Express (APEX) for rapid, low\-code/no\-code solution delivery, including sustaining, upgrading, and modernizing core business applications.
* Demonstrated ability to support and enhance APIs in Oracle APEX and .NET, as well as integration with Microsoft SQL Server and modern BPMN business process automation platforms.
* Strong familiarity with migrating authentication services (on\-premises to cloud) and supporting cloud\-hosted environments (MS Azure, DISA, DLA datacenters).
* Proficient in applying software patches, STIGs, security compliance controls, and producing architecture documentation to System Engineering Lifecycle (SELC) standards.
* **Relevant certification** from a nationally recognized authority **(Oracle Certification, Appian/Salesforce/Nintex Developer, or comparable).**
* Experience directing the work of other software developers, guiding and validating software design and delivery.
**Key Responsibilities:**
* Lead development, modernization, and sustainment of Oracle APEX\-based enterprise applications, with a particular mandate for mission continuity, performance optimization, and technical currency.
* Drive authentication, cloud migration, and application modernization initiatives—migrating authentication and leading complex, multi\-environment deployments (development, test, stage, prod) in MS Azure and multi\-cloud settings.
* Proactively implement patches, upgrades, Security Technical Implementation Guides (STIGs), and compliance documentation within development environments; ensure rapid remediation of vulnerabilities and sustained audit readiness.
* Perform daily operations using GITLAB/GITHUB, Subversion, Confluence, and related configuration and lifecycle management tools.
* Execute advanced troubleshooting of Oracle and .NET applications, ensuring high availability, timely incident response (e.g., 3\-day resolution targets), and thorough root cause analysis in complex multi\-cloud environments.
* Support implementations of Oracle Fusion Middleware components, including Oracle WebLogic, Oracle Identity Management, Oracle Business Intelligence Publisher, and related technologies.
* Develop, document, and test robust database schema health procedures, recovery protocols, backup routines, and data integrity checks.
* Mentor junior developers and facilitate effective knowledge transfer sessions for DoD/DLA technical staff and end users.
* Lead disaster recovery, contribute to Continuity of Operations Plans (COOP), and participate in scheduled and emergency system recovery efforts as part of the 24/7 support team.
* Maintain comprehensive, audit\-ready documentation to SELC and DLA standards, and participate in scheduled system reviews, quality assurance, and project status meetings.
**Key technologies include:**
* **Core Development \&amp; Application Platforms:** Oracle Application Express (APEX), .NET Framework / .NET Applications, BPMN\-based business process automation tools (Appian, Salesforce, Nintex, etc.)
* **Databases \&amp; Data Technologies:** Oracle Database, Microsoft SQL Server, Oracle REST Data Services (ORDS), Database schema management, backups, recovery, integrity checks
* **Cloud \&amp; Hosting Environments:** Microsoft Azure, DISA \&amp; DLA Cloud Environments, on\-premise to cloud authentication migration
* **Oracle Fusion Middleware Stack:** Oracle WebLogic, Oracle Identity Management (OIM), Oracle Business Intelligence Publisher (BI Publisher), Oracle Fusion Middleware (12c\+)
* **Version Control \&amp; DevOps Tools:** GitLab / GitHub, Subversion (SVN), Confluence, Configuration and Lifecycle Management Tools
* Security, Compliance \&amp; STIG Work
**Preferred/Desired Qualifications**
* 10\+ years’ combined experience in APEX or .NET enterprise solution development, particularly in DoD/DLA environments.
* Direct experience supporting DIACAP\-to\-RMF transitions, embedding RMF controls, or enabling audit readiness and compliance documentation.
* Advanced expertise with Oracle Fusion Middleware (12c\+), Oracle Restful Data Services, and integration in DLA/DISA and Azure cloud settings.
* Demonstrated excellence in administering and tuning mission\-critical Oracle databases, including schema/user management and performance recommendation delivery.
* Proven track record developing reliable backup/recovery, business continuity, and rapid failover solutions for production DoD/PEO applications.
* Experience supporting ServiceNow\-driven service request and incident management, with tickets closed in established timeframes (e.g., \&lt;5 days for critical systems).
* Record of achieving minimal customer impact during large\-scale migrations and delivering 100% of contractual deliverables on time.
* Strong written and verbal communication skills, with demonstrated ability to document solutions using SELC standards and provide actionable technical recommendations to both technical and non\-technical stakeholders.
**Start Date: 15 March 2026**
**Schedule:** 8\-hour shift Monday to Friday within Core Hours of 07:30 – 17:30
**Benefits:**
* 401(k)
* 401(k) matching
* Dental insurance
* Health insurance
* Life insurance
* Paid time off
* Tuition reimbursement
* Vision insurance
PioneerTech is an Equal Opportunity Employer
Security clearance:
* Secret (Required)
Ability to Commute:
* Fairfax, VA 22030 (Required)
Work Location: In person</t>
        </is>
      </c>
    </row>
    <row r="27">
      <c r="A27" t="inlineStr">
        <is>
          <t>in-d0de80162b44fb48</t>
        </is>
      </c>
      <c r="B27" t="inlineStr">
        <is>
          <t>Agentic Software Developer</t>
        </is>
      </c>
      <c r="C27" t="inlineStr">
        <is>
          <t>Alliance Technical Group</t>
        </is>
      </c>
      <c r="D27" t="inlineStr">
        <is>
          <t>indeed</t>
        </is>
      </c>
      <c r="E27">
        <f>HYPERLINK("https://www.indeed.com/viewjob?jk=d0de80162b44fb48", "https://www.indeed.com/viewjob?jk=d0de80162b44fb48")</f>
        <v/>
      </c>
      <c r="F27">
        <f>HYPERLINK("https://recruiting2.ultipro.com/ALL1037ALNC/JobBoard/281665a5-6db2-4e7a-8885-7900fe799f07/OpportunityDetail?opportunityId=bb829f44-ab70-4400-b16d-db786c6e2184&amp;postingId=574a6ad8-1505-4dff-b4e0-f84e8adc39fe", "https://recruiting2.ultipro.com/ALL1037ALNC/JobBoard/281665a5-6db2-4e7a-8885-7900fe799f07/OpportunityDetail?opportunityId=bb829f44-ab70-4400-b16d-db786c6e2184&amp;postingId=574a6ad8-1505-4dff-b4e0-f84e8adc39fe")</f>
        <v/>
      </c>
      <c r="G27" t="inlineStr">
        <is>
          <t>US</t>
        </is>
      </c>
      <c r="H27" s="2" t="n">
        <v>46044</v>
      </c>
      <c r="I27" t="inlineStr">
        <is>
          <t>**Alliance Technical Group,** a premier partner in environmental solutions, is seeking a curious, disciplined, and high\-energy software developer ready to help define the future of agentic software development. This role blends traditional engineering craftsmanship with next\-generation AI\-assisted workflows — using code generators, automation, and intelligent agents to build faster, learn faster, and ship better.
This is not a passive coding job. The Software Developer I is expected to think critically, experiment boldly, and take ownership of their work from concept to completion. We want developers who thrive on learning, value precision, and view AI as a force multiplier — not a shortcut.
**Essential Functions**
* Design, code, and maintain scalable applications and system components across multiple platforms.
* Use agentic development tools (AI code generators, prompt\-based automation, refactoring assistants, etc.) to enhance productivity and software quality.
* Collaborate with cross\-functional teams to define requirements, design architectures, and deliver solutions that meet business and customer needs.
* Take full ownership of assigned features, ensuring timely delivery with attention to performance, maintainability, and testing.
* Troubleshoot and debug software issues, leveraging AI\-assisted tools to diagnose and resolve problems quickly.
* Actively explore emerging technologies and development patterns, applying new insights to improve products and workflows.
* Participate in peer reviews, Agile ceremonies, and sprint planning with a mindset of craftsmanship and growth.
* Maintain clear documentation for all developed software and agentic workflows.
* Contribute ideas to improve team velocity, reliability, and overall software quality.
* Perform other job\-related duties as assigned.
**Supervisor Responsibilities**
No supervisory responsibilities
**Required Qualifications**
* Bachelor’s Degree in computer science, engineering, information technology, or related field.
* Can be substituted with equivalent relevant Agentic coding experience.
**Knowledge, Skills \&amp; Abilities**
* Strong programming and software development skills with a drive to continuously improve your craft.
* Familiarity with agentic programming and AI\-assisted development tools (e.g., GitHub Copilot, ChatGPT, Cody, or similar).
* Experience coding in C\#, or JavaScript/TypeScript with frameworks such as .NET, or Svelte.
* Understanding of cloud environments (Azure preferred) and version control (Git/GitHub).
* Awareness of software architecture, system design, and coding best practices.
* Curiosity and adaptability in exploring new tools and technologies.
* Strong analytical, debugging, and problem\-solving skills.
* Self\-motivated with the ability to manage time and priorities independently.
* Excellent collaboration and communication skills.
* Positive, proactive attitude toward challenges and change.
**Compensation**
Salary starting at $100\-120k DOE
**Key Benefits Include**
* Medical, Dental, and Vision Insurance
* Flexible Spending Accounts
* 401(K) Plan with Competitive Match
* Continuing Education and Tuition Assistance
* Employer\-Sponsored Disability Benefits
* Life Insurance
* Employee Assistance Program (EAP)
* Paid Time Off (PTO), Paid Holidays, \&amp; Bonus Floating Holiday (if hired before July 1st)
* Profit Sharing or Individual Bonus Programs
* Referral Program
* Per Diem \&amp; Paid Travel
* Employee Discount Hub
**Work Environment**
While performing the duties of this job, the employee regularly works in an office setting with constant sitting and occasional standing.
**Physical Demands**
Regular use of computers and communication tools is essential. Sitting for extended periods and manual dexterity are common. Hearing and vision within normal ranges are helpful for normal conversations and document preparation. Exertion of up to 10 lbs. of force is rare.
**Travel**
Not applicable
**Other Duties**
Please note this job description is intended to describe the general nature and level of work performed by employees assigned to this position. It is not designed to contain or be interpreted as a comprehensive list of all duties, responsibilities, and qualifications. Additional job\-related duties may be assigned. Alliance reserves the right to amend and change responsibilities to meet business and organizational needs as necessary with or without notice.
*Alliance Technical Group is an Equal Opportunity Employer. All qualified applicants will receive consideration for employment without regard to race, color, sex, sexual orientation, gender identity, religion, national origin, disability, veteran status, age, marital status, pregnancy, genetic information, or other legally protected status.*</t>
        </is>
      </c>
    </row>
    <row r="28">
      <c r="A28" t="inlineStr">
        <is>
          <t>in-c6ab6ab180202b9c</t>
        </is>
      </c>
      <c r="B28" t="inlineStr">
        <is>
          <t>Sr. Software Engineer</t>
        </is>
      </c>
      <c r="C28" t="inlineStr">
        <is>
          <t>Bamboo Health</t>
        </is>
      </c>
      <c r="D28" t="inlineStr">
        <is>
          <t>indeed</t>
        </is>
      </c>
      <c r="E28">
        <f>HYPERLINK("https://www.indeed.com/viewjob?jk=c6ab6ab180202b9c", "https://www.indeed.com/viewjob?jk=c6ab6ab180202b9c")</f>
        <v/>
      </c>
      <c r="F28">
        <f>HYPERLINK("https://ats.rippling.com/bamboo-health-careers/jobs/8c178cee-d1e3-4f8a-acde-5edc7ad6c2f7?jobSite=Indeed", "https://ats.rippling.com/bamboo-health-careers/jobs/8c178cee-d1e3-4f8a-acde-5edc7ad6c2f7?jobSite=Indeed")</f>
        <v/>
      </c>
      <c r="G28" t="inlineStr">
        <is>
          <t>Remote, US</t>
        </is>
      </c>
      <c r="H28" s="2" t="n">
        <v>46044</v>
      </c>
      <c r="I28" t="inlineStr">
        <is>
          <t>Bamboo Health is the leader in Real\-Time Care Intelligence™ solutions aimed at improving lives for everyone experiencing physical and behavioral health challenges. We are driven by our mission to empower clients to deliver seamless, high\-quality and cost\-effective care during pivotal moments to improve health outcomes. From coast to coast, Bamboo Health partners with all major retail pharmacy chains, 52 states and territories, 100% of the top 10 best hospitals and more than half of the country’s largest health plans to improve more than 1 billion patient encounters annually. Join us in improving lives during pivotal care moments!
 **Summary:**
The Sr. Software Engineer ensures the reliability, stability, and performance of production systems across multiple applications and services. This role owns the investigation and resolution of production issues, improves observability and incident response, and partners closely with Product, Engineering, and Customer Success to minimize customer impact. Success in this role comes from driving durable reliability improvements through monitoring, automation, and resilient system design.
 **What You’ll Do:**
* Own the end\-to\-end lifecycle of production issues, including triage, investigation, incident response, postmortems, and follow\-up actions.
* Troubleshoot complex, cross\-system issues, identify root causes, and implement long\-term fixes.
* Design, implement, and maintain monitoring, alerting, and dashboards to proactively detect reliability and performance issues.
* Use AI\-assisted tools responsibly to accelerate debugging, log analysis, incident response, and knowledge sharing.
* Partner with Product, Engineering, and Customer Success to resolve customer\-impacting issues efficiently and transparently.
* Reduce recurring operational issues through automation, improved tooling, and process improvements.
* Contribute code to improve reliability, observability, scalability, and operational safety.
* Document incidents and standard operating procedures to improve response consistency and team effectiveness.
 **What Success Looks Like…**
**In 3 months…**
* Become familiar with supported applications, infrastructure, and operational workflows.
* Understand common issues, escalation paths, and customer use cases.
* Independently resolve routine production issues and contribute to incident investigations.
* Begin contributing improvements to monitoring and alerting.
* **In 6 months…**
* Resolve complex, high\-impact production issues with minimal guidance.
* Proactively identify reliability risks and propose system, monitoring, or process improvements.
* Use AI and automation to speed investigations, documentation, and root cause analysis.
* Deliver code or tooling changes that reduce recurring incidents or manual effort.
 **In 12 months…**
* Be a trusted partner during incidents and escalations across Product, Engineering, and Customer Success.
* Own meaningful portions of the team’s monitoring, alerting, and reliability strategy.
* Drive long\-term reliability improvements and influence operational best practices.
* Consistently deliver high\-quality incident resolution and measurable reliability gains.
**What You Need:**
* 4\+ years of experience in Site Reliability Engineering, Production Support, or a similar role focused on system reliability and operations.
* Strong experience supporting and troubleshooting production systems, including ownership of support tickets and incident response.
* Proficiency in Ruby and the ability to read, debug, and contribute to application code when needed.
* Experience with monitoring, alerting, and observability tools (metrics, logs, traces, dashboards).
* Solid understanding of SQL and database fundamentals, including performance and troubleshooting.
* Familiarity with cloud platforms (AWS preferred), including serverless architectures and distributed systems.
* Experience using automation, scripting, or tooling (e.g., Python) to reduce operational effort.
* Comfort using or learning AI\-supported tools (e.g., ChatGPT, CoPilot, or role\-specific tools) to improve daily workflows.
* A forward\-thinking, curious mindset with an openness to experimenting with new technologies.
* Strong analytical and problem\-solving skills, with sound judgment and creativity in designing solutions.
* Proven ability to thrive in fast\-paced, high\-growth, and rapidly evolving environments.
* Ability to work effectively in a remote\-first environment, ensuring high\-quality virtual interactions with minimal distractions.
* The ability to travel periodically for work.
**What You Get:**
* Join one of the most innovative healthcare technology companies in the country.
* Have the autonomy to build something with an enthusiastically supportive team.
* Learn from working at the highest levels and on the most strategic priorities of the company, including from world class investors and advisors.
* Receive competitive compensation including health, dental, vision and other benefits.
 **Belonging at Bamboo**
 **We Care. \#BambooHealthValuesCare**
Every human being has the right to the best possible healthcare. Our Real\-Time Care Intelligence™ solutions enable healthcare professionals to see and treat every individual as a whole person by providing the right information, at the right time – regardless of physical, behavioral or social barriers.
We’re a great place to work because we care. We continually seek to learn about our differences and ensure the unique perspectives and contributions of all employees are welcome, valued and celebrated.
Our commitment to making a positive impact starts by recognizing and leveraging our differences, building inclusive teams and cultivating a sense of belonging.
 ***Bamboo Health is proud to provide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To protect our applicants from fraudulent recruitment activity, we recommend that all applicants verify the validity of an interview and hiring process by visiting our website www.bamboohealth.com. All valid job postings will be listed on our careers page. Bamboo Health does not conduct interviews via text and will not request sensitive information such as banking details during the application process.
 *\#LI\-Remote*</t>
        </is>
      </c>
    </row>
    <row r="29">
      <c r="A29" t="inlineStr">
        <is>
          <t>in-7ecd3f4e263b609f</t>
        </is>
      </c>
      <c r="B29" t="inlineStr">
        <is>
          <t>Staff Software Engineer - Enterprise Customer Experience</t>
        </is>
      </c>
      <c r="C29" t="inlineStr">
        <is>
          <t>Rippling</t>
        </is>
      </c>
      <c r="D29" t="inlineStr">
        <is>
          <t>indeed</t>
        </is>
      </c>
      <c r="E29">
        <f>HYPERLINK("https://www.indeed.com/viewjob?jk=7ecd3f4e263b609f", "https://www.indeed.com/viewjob?jk=7ecd3f4e263b609f")</f>
        <v/>
      </c>
      <c r="F29">
        <f>HYPERLINK("https://ats.rippling.com/rippling/jobs/f8ea2073-358d-4922-baf5-f24f33ca0b42?jobSite=Indeed", "https://ats.rippling.com/rippling/jobs/f8ea2073-358d-4922-baf5-f24f33ca0b42?jobSite=Indeed")</f>
        <v/>
      </c>
      <c r="G29" t="inlineStr">
        <is>
          <t>San Francisco, CA, US</t>
        </is>
      </c>
      <c r="H29" s="2" t="n">
        <v>46044</v>
      </c>
      <c r="I29"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Payroll is the core engine of Rippling, and we are currently undertaking the most strategic engineering initiative in the company’s history: converging our legacy US Payroll system into our modern, country\-agnostic Global Payroll architecture. This is not a standard maintenance role; it is a high\-stakes architectural transformation that is currently the top priority for our Engineering leadership.
As a Staff Engineer on the Enterprise Customer Experience team, you will report directly to the VP of Engineering to lead this critical transition. You will architect the migration pipeline required to move our largest, most complex enterprise customers to the new Global Payroll platform, while ensuring the legacy system remains rock\-solid during the shift. Your work will remove the biggest bottleneck to Rippling’s growth and lay the foundation for the next generation of "intelligent payroll"—ensuring millions of employees get paid on time and accurately no matter where they are and how they work.
**What you will do**
--------------------
* **Architect Complex Migrations:** Design and build the high\-scale migration tooling and strategies required to move massive enterprise datasets from our legacy US system to the Global Payroll platform with zero data loss or downtime.
* **Drive Performance Engineering:** Solve critical database performance challenges. You will optimize query patterns, design application\-level sharding strategies, and architect the Global Payroll system to handle the scale of our largest enterprise clients.
* **Ensure System Stability:** Own the reliability and performance of the legacy US Payroll system for our top\-tier customers, ensuring they receive a seamless experience even as we transition the underlying architecture.
* **Lead Technical Vision:** Collaborate with Principal Engineers and the SVP of Engineering to define the technical roadmap for the convergence of our payroll stacks, turning ambiguous "special project" requirements into concrete engineering execution.
* **Hands\-on Execution:** Operate as a prolific individual contributor. You will be hands\-on with the code, debugging complex production issues, building observability dashboards, and shipping critical features.
* **Mentorship:** Raise the technical bar for the team by leading design reviews, advocating for best practices in distributed systems, and mentoring senior engineers.
**What you will need**
----------------------
* **8\+ years of professional experience** as a software engineer, with a proven track record of technical leadership in high\-growth environments.
* **Deep Distributed Systems Expertise:** Experience architecting and maintaining large\-scale distributed computing systems. You understand the nuances of application\-level partitioning, sharding, and data consistency.
* **Migration Experience:** A strong track record of executing large\-scale system migrations. You have experience moving complex production systems without disrupting the customer experience.
* **Database Optimization Skills:** You are comfortable debugging critical database performance issues, optimizing complex queries, and designing schemas for scale.
* **Backend Proficiency:** Strong proficiency in Python and Django (or similar frameworks) is highly preferred, along with experience using MongoDB or similar NoSQL databases.
* **Bias for Action:** You thrive in ambiguous environments and can take a high\-level business goal (e.g., "Migrate all Enterprise customers") and break it down into a technical execution plan.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180,000 \- 315,000 USD per year(US San Francisco Bay Area)</t>
        </is>
      </c>
    </row>
    <row r="30">
      <c r="A30" t="inlineStr">
        <is>
          <t>in-58afa2e9cd187d33</t>
        </is>
      </c>
      <c r="B30" t="inlineStr">
        <is>
          <t>Senior Mobile Software Engineer (iOS &amp; Android)</t>
        </is>
      </c>
      <c r="C30" t="inlineStr">
        <is>
          <t>DroneUp, LLC</t>
        </is>
      </c>
      <c r="D30" t="inlineStr">
        <is>
          <t>indeed</t>
        </is>
      </c>
      <c r="E30">
        <f>HYPERLINK("https://www.indeed.com/viewjob?jk=58afa2e9cd187d33", "https://www.indeed.com/viewjob?jk=58afa2e9cd187d33")</f>
        <v/>
      </c>
      <c r="F30">
        <f>HYPERLINK("https://ats.rippling.com/droneup/jobs/a878e7bf-f0f5-48d3-9d3c-ffd385f37a2e?jobSite=Indeed", "https://ats.rippling.com/droneup/jobs/a878e7bf-f0f5-48d3-9d3c-ffd385f37a2e?jobSite=Indeed")</f>
        <v/>
      </c>
      <c r="G30" t="inlineStr">
        <is>
          <t>Remote, US</t>
        </is>
      </c>
      <c r="H30" s="2" t="n">
        <v>46044</v>
      </c>
      <c r="I30" t="inlineStr">
        <is>
          <t>**DroneUp, LLC is a technology company built on years of complex airspace management and UAS operations experience with a foundation that uniquely positions us to deliver autonomous airspace management solutions that serve both regulators and operators.**
It is a company with a vision to make autonomous flight great for communities, great for business, and great for the world. Yet more than visionaries; we have the tools, instruments, focus, and expertise to execute while utilizing a “People Matter Most” mentality.
Our founder envisioned a massive, untapped opportunity to leverage autonomous flight that would revolutionize how the world may "pitch" and "roll" in the future. To start, we have harnessed the power of airspace technology, analytics platforms, and drone services to transform business operations. Our long\-term mission is to be “Safe and Be Exceptional” while building and deploying the world's most accessible drone ecosystem.
Knowing that our mission critical success comes directly from the people we bring onboard, we strive to provide opportunities for our employees to learn, grow, and go beyond the normal Field of View! Come fly with us as our team goes through our checklists that will “Inspire Fast Action” and take an entire industry to new heights. “Be a Person Others Want to Follow!”
 **About the role**
* Field operators control drones in environments with poor connectivity, harsh conditions, and zero tolerance for app crashes. As a Senior Mobile Software Engineer, you will build the iOS and Android applications that provide mission\-critical situational awareness—real\-time telemetry, maps, and controls that work reliably in the field.
* You will build offline\-capable, high\-performance mobile experiences that integrate with hardware and handle live data streams. We use AI\-assisted development tools (GitHub Copilot) to accelerate delivery, and expect engineers who can leverage these while building apps that meet the reliability standards our operators depend on.
**What you'll do**
* Lead the architecture and development of primary mobile applications for iOS (iPad focus) and Android, ensuring maximum performance and reliability in the field.
* Develop complex real\-time visualization features, including maps, live video streaming, and dynamic telemetry overlays.
* Drive the selection and implementation of mobile\-first technologies, balancing the speed of cross\-platform frameworks with the performance and hardware access of native development.
* Optimize mobile applications for battery efficiency, memory usage, and low\-latency data processing—critical for long\-duration field operations.
* Implement robust offline\-first synchronization patterns to ensure mission continuity in areas with intermittent connectivity.
* Collaborate with backend and hardware teams to define efficient API contracts and low\-level communication protocols.
* Work closely with UI/UX designers to implement interfaces adapted for varying field conditions.
* Mentor junior developers and establish mobile best practices for CI/CD, automated testing, and crash reporting.
* Ensure compliance with high\-security standards and data privacy regulations across all mobile touchpoints.
**Qualifications**
Core Technical Skills
* Mobile Expertise: 5\+ years of experience building and shipping high\-quality mobile applications for both iOS and Android.
* Native \&amp; Cross\-Platform: Expert proficiency in cross\-platform frameworks, with a strong ability to write native modules in Swift (iOS) and Kotlin (Android).
* Real\-time Data: Experience with real\-time data streaming and complex state management for high\-frequency updates.
* Hardware Integration: Previous experience interfacing mobile apps with external hardware via Bluetooth or proprietary controllers.
* Mapping \&amp; GIS: Hands\-on experience with mobile mapping SDKs.
* Performance Tuning: Proficient in using profiling tools to debug memory leaks and CPU bottlenecks.
Ideal Background \&amp; Attributes
* Mission\-Critical Experience: Background in autonomous vehicles, robotics, or public safety software.
* Field\-First Mindset: Understanding of the unique challenges of mobile apps used in real\-world environments.
* Security Conscious: Experience with encrypted local storage, biometric auth, and secure communication protocols.
* Portfolio: A history of shipping complex, data\-heavy apps currently available on app stores.
* Prototyping to Production: Ability to quickly iterate on novel UI concepts while maintaining a path to stable, production\-grade code.
***Security Responsibility Statement:*** Employees are expected to provide a high level of security to any personal or private information accessed as part of their work, whether at a DroneUp facility or remotely. This includes participating in security training, remaining sensitive to individual rights to personal privacy, and complying with company policies. Employees who have access to sensitive data that is protected by regulation, such as HIPAA, or by contract, such as credit card data, must comply with any additional requirements dictated by the governing regulations or associated contracts.
 **The pay range for this role is:**  
130,000 \- 155,000 USD per year(NCR)</t>
        </is>
      </c>
    </row>
    <row r="31">
      <c r="A31" t="inlineStr">
        <is>
          <t>in-850e4fa74323bd50</t>
        </is>
      </c>
      <c r="B31" t="inlineStr">
        <is>
          <t>Full-Stack Frontend Software Engineer</t>
        </is>
      </c>
      <c r="C31" t="inlineStr">
        <is>
          <t>DroneUp, LLC</t>
        </is>
      </c>
      <c r="D31" t="inlineStr">
        <is>
          <t>indeed</t>
        </is>
      </c>
      <c r="E31">
        <f>HYPERLINK("https://www.indeed.com/viewjob?jk=850e4fa74323bd50", "https://www.indeed.com/viewjob?jk=850e4fa74323bd50")</f>
        <v/>
      </c>
      <c r="F31">
        <f>HYPERLINK("https://ats.rippling.com/droneup/jobs/9f4d92fd-e9af-40c0-983b-43dbe85f816b?jobSite=Indeed", "https://ats.rippling.com/droneup/jobs/9f4d92fd-e9af-40c0-983b-43dbe85f816b?jobSite=Indeed")</f>
        <v/>
      </c>
      <c r="G31" t="inlineStr">
        <is>
          <t>Remote, US</t>
        </is>
      </c>
      <c r="H31" s="2" t="n">
        <v>46044</v>
      </c>
      <c r="I31" t="inlineStr">
        <is>
          <t>**DroneUp, LLC is a technology company built on years of complex airspace management and UAS operations experience with a foundation that uniquely positions us to deliver autonomous airspace management solutions that serve both regulators and operators.**
It is a company with a vision to make autonomous flight great for communities, great for business, and great for the world. Yet more than visionaries; we have the tools, instruments, focus, and expertise to execute while utilizing a “People Matter Most” mentality.
Our founder envisioned a massive, untapped opportunity to leverage autonomous flight that would revolutionize how the world may "pitch" and "roll" in the future. To start, we have harnessed the power of airspace technology, analytics platforms, and drone services to transform business operations. Our long\-term mission is to be “Safe and Be Exceptional” while building and deploying the world's most accessible drone ecosystem.
Knowing that our mission critical success comes directly from the people we bring onboard, we strive to provide opportunities for our employees to learn, grow, and go beyond the normal Field of View! Come fly with us as our team goes through our checklists that will “Inspire Fast Action” and take an entire industry to new heights. “Be a Person Others Want to Follow!”
 **About the role**
* Drone operators need to make split\-second decisions based on complex, real\-time data—your interfaces will make that possible. As a Full\-Stack Frontend Software Engineer, you will build the operational dashboards and visualization tools that display live telemetry, maps, and system state to users who depend on clarity and speed.
* You will work across the stack, with emphasis on advanced frontend visualization and Node.js services. We use AI\-assisted development tools (GitHub Copilot) to accelerate delivery, and expect engineers who can leverage these effectively while building interfaces that meet safety\-critical standards.
**What you'll do**
* Lead the development of complex, real\-time mapping and visualization interfaces using modern frameworks to render dense data and live telemetry—including the simultaneous display of multiple data models with real\-time updates.
* Design and implement intuitive UX/UI for complex multi\-tenant workflows.
* Build and scale robust Node.js services and RESTful APIs to handle high\-frequency streaming telemetry and surveillance data.
* Work closely with Product and Engineering teams in a matrixed organization to translate concepts into production\-ready software.
* Balance rapid prototyping for novel concepts with the delivery of high\-quality, production\-grade code capable of meeting security standards.
* Ensure all applications adhere to design patterns, consolidating disparate data sources into a cohesive operational view.
* Provide technical leadership in state management for complex workflows and approval states.
* Collaborate with designers to bridge UX gaps, bringing a strong design sensibility to every technical implementation.
* Participate in peer code reviews, document system architectures, and mentor junior engineers on frontend best practices.
**Qualifications**
Core Technical Skills
* Frontend Mastery: Expert proficiency in TypeScript, React, and Node.js.
* Mapping \&amp; 3D: Extensive experience with mapping and data visualization frameworks.
* Real\-time Systems: Deep understanding of handling streaming telemetry, WebSockets, and high\-frequency data updates.
* Security \&amp; Compliance: Experience developing in highly regulated environments.
* Architecture: Familiarity with Containerization and multi\-tenant system design.
* Testing: Proficiency in writing and automating Unit, Functional, and Integration tests.
Ideal Background \&amp; Attributes
* Domain Expertise: Previous experience in critical infrastructure software.
* UI/UX Design: Strong design sensibility and a portfolio demonstrating operational interfaces.
* Agility: Ability to balance rapid prototyping with production\-quality code under aggressive timelines.
* Communication: Comfort working in a matrix organization and communicating complex technical concepts to non\-technical stakeholders.
* Regulatory Knowledge: Familiarity with workflows and jurisdictional concepts.
***Security Responsibility Statement:*** Employees are expected to provide a high level of security to any personal or private information accessed as part of their work, whether at a DroneUp facility or remotely. This includes participating in security training, remaining sensitive to individual rights to personal privacy, and complying with company policies. Employees who have access to sensitive data that is protected by regulation, such as HIPAA, or by contract, such as credit card data, must comply with any additional requirements dictated by the governing regulations or associated contracts.
 **The pay range for this role is:**  
125,000 \- 155,000 USD per year(NCR)</t>
        </is>
      </c>
    </row>
    <row r="32">
      <c r="A32" t="inlineStr">
        <is>
          <t>in-ec7f28f18df2e3a7</t>
        </is>
      </c>
      <c r="B32" t="inlineStr">
        <is>
          <t>IT Software Engineer 3 (SDET/Automation Engineer)</t>
        </is>
      </c>
      <c r="C32" t="inlineStr">
        <is>
          <t>NS IT Solutions</t>
        </is>
      </c>
      <c r="D32" t="inlineStr">
        <is>
          <t>indeed</t>
        </is>
      </c>
      <c r="E32">
        <f>HYPERLINK("https://www.indeed.com/viewjob?jk=ec7f28f18df2e3a7", "https://www.indeed.com/viewjob?jk=ec7f28f18df2e3a7")</f>
        <v/>
      </c>
      <c r="F32">
        <f>HYPERLINK("https://nsitsolutions.oorwin.ai/#/careers/index.html/job/details/7f31157fa6b9ce4ff6504214f2bf1b6431c3b848?source=indeed&amp;postedby=115", "https://nsitsolutions.oorwin.ai/#/careers/index.html/job/details/7f31157fa6b9ce4ff6504214f2bf1b6431c3b848?source=indeed&amp;postedby=115")</f>
        <v/>
      </c>
      <c r="G32" t="inlineStr">
        <is>
          <t>Peoria, IL, US</t>
        </is>
      </c>
      <c r="H32" s="2" t="n">
        <v>46044</v>
      </c>
      <c r="I32" t="inlineStr">
        <is>
          <t>**Job Title: IT Software Engineer 3 (SDET/Automation Engineer)**  
**Location: Chicago or Peoria, IL.**  
**Work Arrangement: Hybrid Role. Onsite 1 day/week (Wednesday) to start, with potential for more in\-office days later.**  
**Contract Type: 12 Months of Contract**  
**Education \&amp; Experience:**  
* A degree is required.
* 6\+ years of experience as an SDET/Automation Engineer.
**Technical Skills (Required \- Must Have):**  
1\. Back\-end/API Automation (6\+ yrs): Rest Assured, Java, Spring Boot. Must have experience with RESTful APIs, Postman, and Swagger.  
2\. Front\-end/UI Automation (3\+ yrs): Cypress or Playwright with TypeScript. Must understand web fundamentals (HTML, JavaScript, CSS).  
3\. Framework \&amp; Methodology: Proven experience with BDD, Cucumber, and Gherkin for both API and UI testing.  
4\. CI/CD: Good working experience integrating automation into CI/CD pipelines.  
**Desired Skills**  
* Designing and maintaining API test automation frameworks.
* Experience with Agile/Scrum teams (2\+ years).
* End\-to\-end and integration testing (full\-stack, 3rd parties).
* SQL for database querying.
* DevOps tools (Azure DevOps, Jenkins, Git).
* Apigee or other API gateways (a plus).
* Load and performance testing experience.
**Critical Soft Skills:**  
* Exceptional communication and stakeholder management.
* Ability to adapt quickly to a complex environment.
* Proactive, flexible, and creative collaborator.
**Arushi Khanna \| Associate \- Hiring \&amp; Recruitment**  
**Email: arushi@nsitsolutions.com**  
**\&amp;**  
**Vishal (Victor) Verma \| Assistant Manager**  
**vishal@nsitsolutions.com**  
**NS IT Solutions**  
**www.nsitsolutions.com**</t>
        </is>
      </c>
    </row>
    <row r="33">
      <c r="A33" t="inlineStr">
        <is>
          <t>in-db62a193f6bbae0e</t>
        </is>
      </c>
      <c r="B33" t="inlineStr">
        <is>
          <t>Senior Staff Software Engineer - Benefits</t>
        </is>
      </c>
      <c r="C33" t="inlineStr">
        <is>
          <t>Rippling</t>
        </is>
      </c>
      <c r="D33" t="inlineStr">
        <is>
          <t>indeed</t>
        </is>
      </c>
      <c r="E33">
        <f>HYPERLINK("https://www.indeed.com/viewjob?jk=db62a193f6bbae0e", "https://www.indeed.com/viewjob?jk=db62a193f6bbae0e")</f>
        <v/>
      </c>
      <c r="F33">
        <f>HYPERLINK("https://ats.rippling.com/rippling/jobs/a64bebd5-814b-4736-a2d5-5b0014a7d015?jobSite=Indeed", "https://ats.rippling.com/rippling/jobs/a64bebd5-814b-4736-a2d5-5b0014a7d015?jobSite=Indeed")</f>
        <v/>
      </c>
      <c r="G33" t="inlineStr">
        <is>
          <t>Seattle, WA, US</t>
        </is>
      </c>
      <c r="H33" s="2" t="n">
        <v>46044</v>
      </c>
      <c r="I33"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Come help us reinvent one of the largest, most important industries in the world: **global employee benefits.**
Every year, companies and their people spend **over $5 trillion** on benefits—from healthcare to retirement savings to life insurance. These products shape some of the most critical decisions in a family’s life. And yet, despite their importance, the experience today is outdated, fragmented, and unnecessarily expensive.
At Rippling, we’re building the **first\-ever modern, multi\-sided Global Benefits Marketplace**—a platform that brings together brokers, employers, and employees, making benefits discovery, purchase, and usage effortless and transparent. Our benefits vertical spans:
* **Benefits Platform** – the core engine powering eligibility, recommendations, payments, and configuration.
* **Benefits Marketplace** – already 100\+ partners strong and growing.
* **Rippling\-native Products** – beautifully built, deeply integrated offerings that set a new standard for experience.
If you want to work on a truly **global, high\-impact problem** and architect a product used by millions, this is it.
 **What you will do**
* **Architect the future:** Design a configurable platform that can onboard entirely new benefit types without writing new code—own schemas, validation, pricing logic, and self\-serve configuration.
* **Think global, build global:** Define a unified data model and lead complex migrations (shadowing, dual\-writes, safe rollbacks) to deliver a seamless worldwide experience.
* **Make customer impact real:** Prioritize work that drives adoption, win\-rates, and retention—closing feature and integration gaps for SMBs and enterprises alike.
* **Supercharge brokers \&amp; admins:** Build dashboards, alerts, and insights that surface under\-used benefits and drive real engagement.
* **Be the connector:** Align infra, security, compliance, and product stakeholders; communicate tradeoffs clearly; and keep programs on track from kickoff to delivery.
* **Innovate \&amp; lead:** Own architectural decisions, drive full product lifecycle delivery, and set the standard for technical excellence.
* **Collaborate \&amp; execute:** Partner across teams, bring customer feedback into the roadmap, and ship with urgency and impact.
* **Mentor \&amp; inspire:** Uplift teammates, guide junior engineers, and foster a culture of curiosity, craftsmanship, and bold thinking.
**What you will need**
* **Deep experience:** 10\+ years of professional software engineering, with a track record of building large\-scale, high\-impact platforms.
* **Technical mastery:** Expertise in distributed systems and services, ideally using Python, Golang, or Java.
* **Cloud fluency (bonus):** Experience building on AWS or similar cloud platforms.
* **Ownership mindset:** You don’t just write code—you own the problem, the product, and the customer outcome.
* **Customer obsession:** A passion for product\-focused engineering and for solving real, meaningful problems for people.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t>
        </is>
      </c>
    </row>
    <row r="34">
      <c r="A34" t="inlineStr">
        <is>
          <t>in-fdaf5f361de03b78</t>
        </is>
      </c>
      <c r="B34" t="inlineStr">
        <is>
          <t>Senior Staff Software Engineer - Benefits</t>
        </is>
      </c>
      <c r="C34" t="inlineStr">
        <is>
          <t>Rippling</t>
        </is>
      </c>
      <c r="D34" t="inlineStr">
        <is>
          <t>indeed</t>
        </is>
      </c>
      <c r="E34">
        <f>HYPERLINK("https://www.indeed.com/viewjob?jk=fdaf5f361de03b78", "https://www.indeed.com/viewjob?jk=fdaf5f361de03b78")</f>
        <v/>
      </c>
      <c r="F34">
        <f>HYPERLINK("https://ats.rippling.com/rippling/jobs/a64bebd5-814b-4736-a2d5-5b0014a7d015?jobSite=Indeed", "https://ats.rippling.com/rippling/jobs/a64bebd5-814b-4736-a2d5-5b0014a7d015?jobSite=Indeed")</f>
        <v/>
      </c>
      <c r="G34" t="inlineStr">
        <is>
          <t>San Francisco, CA, US</t>
        </is>
      </c>
      <c r="H34" s="2" t="n">
        <v>46044</v>
      </c>
      <c r="I34"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Come help us reinvent one of the largest, most important industries in the world: **global employee benefits.**
Every year, companies and their people spend **over $5 trillion** on benefits—from healthcare to retirement savings to life insurance. These products shape some of the most critical decisions in a family’s life. And yet, despite their importance, the experience today is outdated, fragmented, and unnecessarily expensive.
At Rippling, we’re building the **first\-ever modern, multi\-sided Global Benefits Marketplace**—a platform that brings together brokers, employers, and employees, making benefits discovery, purchase, and usage effortless and transparent. Our benefits vertical spans:
* **Benefits Platform** – the core engine powering eligibility, recommendations, payments, and configuration.
* **Benefits Marketplace** – already 100\+ partners strong and growing.
* **Rippling\-native Products** – beautifully built, deeply integrated offerings that set a new standard for experience.
If you want to work on a truly **global, high\-impact problem** and architect a product used by millions, this is it.
 **What you will do**
* **Architect the future:** Design a configurable platform that can onboard entirely new benefit types without writing new code—own schemas, validation, pricing logic, and self\-serve configuration.
* **Think global, build global:** Define a unified data model and lead complex migrations (shadowing, dual\-writes, safe rollbacks) to deliver a seamless worldwide experience.
* **Make customer impact real:** Prioritize work that drives adoption, win\-rates, and retention—closing feature and integration gaps for SMBs and enterprises alike.
* **Supercharge brokers \&amp; admins:** Build dashboards, alerts, and insights that surface under\-used benefits and drive real engagement.
* **Be the connector:** Align infra, security, compliance, and product stakeholders; communicate tradeoffs clearly; and keep programs on track from kickoff to delivery.
* **Innovate \&amp; lead:** Own architectural decisions, drive full product lifecycle delivery, and set the standard for technical excellence.
* **Collaborate \&amp; execute:** Partner across teams, bring customer feedback into the roadmap, and ship with urgency and impact.
* **Mentor \&amp; inspire:** Uplift teammates, guide junior engineers, and foster a culture of curiosity, craftsmanship, and bold thinking.
**What you will need**
* **Deep experience:** 10\+ years of professional software engineering, with a track record of building large\-scale, high\-impact platforms.
* **Technical mastery:** Expertise in distributed systems and services, ideally using Python, Golang, or Java.
* **Cloud fluency (bonus):** Experience building on AWS or similar cloud platforms.
* **Ownership mindset:** You don’t just write code—you own the problem, the product, and the customer outcome.
* **Customer obsession:** A passion for product\-focused engineering and for solving real, meaningful problems for people.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t>
        </is>
      </c>
    </row>
    <row r="35">
      <c r="A35" t="inlineStr">
        <is>
          <t>in-ea5021c888c59288</t>
        </is>
      </c>
      <c r="B35" t="inlineStr">
        <is>
          <t>Senior Staff Software Engineer - Time</t>
        </is>
      </c>
      <c r="C35" t="inlineStr">
        <is>
          <t>Rippling</t>
        </is>
      </c>
      <c r="D35" t="inlineStr">
        <is>
          <t>indeed</t>
        </is>
      </c>
      <c r="E35">
        <f>HYPERLINK("https://www.indeed.com/viewjob?jk=ea5021c888c59288", "https://www.indeed.com/viewjob?jk=ea5021c888c59288")</f>
        <v/>
      </c>
      <c r="F35">
        <f>HYPERLINK("https://ats.rippling.com/rippling/jobs/8e2a6a81-1fe1-4a0a-9d7c-11d880336400?jobSite=Indeed", "https://ats.rippling.com/rippling/jobs/8e2a6a81-1fe1-4a0a-9d7c-11d880336400?jobSite=Indeed")</f>
        <v/>
      </c>
      <c r="G35" t="inlineStr">
        <is>
          <t>San Francisco, CA, US</t>
        </is>
      </c>
      <c r="H35" s="2" t="n">
        <v>46044</v>
      </c>
      <c r="I35"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Every year, companies proclaim that their most valuable asset is their people. Yet, they continue to struggle with cumbersome, bespoke time tracking tools that are poorly integrated and challenging for both admins and employees. These inefficiencies waste valuable time and lead to frustrating user experiences.
At Rippling, we're on a mission to revolutionize how businesses manage time with our cutting\-edge Time Products. Our solutions are crafted to not only streamline operations but also to give precious time back to our customers, enhancing productivity across the board.
Rippling's seamlessly integrated Time Products empower companies to manage their workforce with unprecedented efficiency, delighting customers and optimizing operations. Our platform is a cornerstone for the hourly workforce, offering unparalleled global time tracking capabilities. With a highly configurable set of policies, our products accommodate every jurisdiction worldwide, meticulously handling time at work, time away, and scheduling through a robust and flexible rules engine.
Our Time Products are the most actively used solutions at Rippling, renowned for their reliability and availability—they never experience downtime or take a day off. Join us in our quest to redefine time management and create exceptional experiences for companies and their employees worldwide.
**What you will do**
--------------------
The technical challenges we are facing are complex. We need a seasoned technical expert who has built complex platforms and products for global technology companies before. Your responsibilities will include:
* Acting as a technical leader within the engineering organization.
* Identifying and advocating for projects of high complexity that involve multiple stakeholders across the organization
* Taking ambiguous technical problem statements and turning them into an actionable plan, and then executing on it with the team
* Modeling and executing against requirements involving complex and interdependent systems related to time tracking, scheduling, country\-specific requirements, vendor integrations, and more
* Crafting a technical vision for a team whose goals are to unlock business outcomes by making it easier to work with time, job and schedule platform and data
* Excellent written and verbal communication skills. You will be expected to dive in deep and emerge with a written plan for execution that represents the collective needs of multiple teams
* Owning the overall quality, engineering excellence and technical competence of Time Products.
* In addition to execution of projects, you will regularly sync up with leaders of other teams on our engineering strategy to ensure that the products being built are truly elevating the organization and enabling us to move the business forward
**What you will need**
----------------------
* 10\+ years of professional experience as a software engineer
* You have seen systems operating at significant technical and organizational scale
* Experience working in a fast\-paced, dynamic environment
* Experience in building projects with good abstractions and architecture
* Comfortable at developing scalable and extendable core services used in many products
* Expertise building complex, distributed services with Python, Golang, or Java
* Strong CS knowledge
* Bonus points if you’ve previously worked with AWS
* You care about product ownership and solving problems for our customers.
* You’re passionate about being in a product\-focused environment where everyone cares deeply about customer impact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t>
        </is>
      </c>
    </row>
    <row r="36">
      <c r="A36" t="inlineStr">
        <is>
          <t>in-da0ce586863a888f</t>
        </is>
      </c>
      <c r="B36" t="inlineStr">
        <is>
          <t>Senior Staff Software Engineer - Time</t>
        </is>
      </c>
      <c r="C36" t="inlineStr">
        <is>
          <t>Rippling</t>
        </is>
      </c>
      <c r="D36" t="inlineStr">
        <is>
          <t>indeed</t>
        </is>
      </c>
      <c r="E36">
        <f>HYPERLINK("https://www.indeed.com/viewjob?jk=da0ce586863a888f", "https://www.indeed.com/viewjob?jk=da0ce586863a888f")</f>
        <v/>
      </c>
      <c r="F36">
        <f>HYPERLINK("https://ats.rippling.com/rippling/jobs/8e2a6a81-1fe1-4a0a-9d7c-11d880336400?jobSite=Indeed", "https://ats.rippling.com/rippling/jobs/8e2a6a81-1fe1-4a0a-9d7c-11d880336400?jobSite=Indeed")</f>
        <v/>
      </c>
      <c r="G36" t="inlineStr">
        <is>
          <t>Seattle, WA, US</t>
        </is>
      </c>
      <c r="H36" s="2" t="n">
        <v>46044</v>
      </c>
      <c r="I36"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Every year, companies proclaim that their most valuable asset is their people. Yet, they continue to struggle with cumbersome, bespoke time tracking tools that are poorly integrated and challenging for both admins and employees. These inefficiencies waste valuable time and lead to frustrating user experiences.
At Rippling, we're on a mission to revolutionize how businesses manage time with our cutting\-edge Time Products. Our solutions are crafted to not only streamline operations but also to give precious time back to our customers, enhancing productivity across the board.
Rippling's seamlessly integrated Time Products empower companies to manage their workforce with unprecedented efficiency, delighting customers and optimizing operations. Our platform is a cornerstone for the hourly workforce, offering unparalleled global time tracking capabilities. With a highly configurable set of policies, our products accommodate every jurisdiction worldwide, meticulously handling time at work, time away, and scheduling through a robust and flexible rules engine.
Our Time Products are the most actively used solutions at Rippling, renowned for their reliability and availability—they never experience downtime or take a day off. Join us in our quest to redefine time management and create exceptional experiences for companies and their employees worldwide.
**What you will do**
--------------------
The technical challenges we are facing are complex. We need a seasoned technical expert who has built complex platforms and products for global technology companies before. Your responsibilities will include:
* Acting as a technical leader within the engineering organization.
* Identifying and advocating for projects of high complexity that involve multiple stakeholders across the organization
* Taking ambiguous technical problem statements and turning them into an actionable plan, and then executing on it with the team
* Modeling and executing against requirements involving complex and interdependent systems related to time tracking, scheduling, country\-specific requirements, vendor integrations, and more
* Crafting a technical vision for a team whose goals are to unlock business outcomes by making it easier to work with time, job and schedule platform and data
* Excellent written and verbal communication skills. You will be expected to dive in deep and emerge with a written plan for execution that represents the collective needs of multiple teams
* Owning the overall quality, engineering excellence and technical competence of Time Products.
* In addition to execution of projects, you will regularly sync up with leaders of other teams on our engineering strategy to ensure that the products being built are truly elevating the organization and enabling us to move the business forward
**What you will need**
----------------------
* 10\+ years of professional experience as a software engineer
* You have seen systems operating at significant technical and organizational scale
* Experience working in a fast\-paced, dynamic environment
* Experience in building projects with good abstractions and architecture
* Comfortable at developing scalable and extendable core services used in many products
* Expertise building complex, distributed services with Python, Golang, or Java
* Strong CS knowledge
* Bonus points if you’ve previously worked with AWS
* You care about product ownership and solving problems for our customers.
* You’re passionate about being in a product\-focused environment where everyone cares deeply about customer impact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t>
        </is>
      </c>
    </row>
    <row r="37">
      <c r="A37" t="inlineStr">
        <is>
          <t>in-d467eb1320178456</t>
        </is>
      </c>
      <c r="B37" t="inlineStr">
        <is>
          <t>Senior Staff Software Engineer - HRIS</t>
        </is>
      </c>
      <c r="C37" t="inlineStr">
        <is>
          <t>Rippling</t>
        </is>
      </c>
      <c r="D37" t="inlineStr">
        <is>
          <t>indeed</t>
        </is>
      </c>
      <c r="E37">
        <f>HYPERLINK("https://www.indeed.com/viewjob?jk=d467eb1320178456", "https://www.indeed.com/viewjob?jk=d467eb1320178456")</f>
        <v/>
      </c>
      <c r="F37">
        <f>HYPERLINK("https://ats.rippling.com/rippling/jobs/e5493e61-5b04-4b54-a3d7-ddb28d03abd2?jobSite=Indeed", "https://ats.rippling.com/rippling/jobs/e5493e61-5b04-4b54-a3d7-ddb28d03abd2?jobSite=Indeed")</f>
        <v/>
      </c>
      <c r="G37" t="inlineStr">
        <is>
          <t>Seattle, WA, US</t>
        </is>
      </c>
      <c r="H37" s="2" t="n">
        <v>46044</v>
      </c>
      <c r="I37"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Rippling is rapidly expanding its global footprint and product ecosystem, and the HRIS (Human Resources Information System) is at the center of that growth. Every Rippling product—from Payroll and Benefits to Time and Identity—depends on HRIS as its source of truth.
As a **Senior Staff Engineer spanning the entire HRIS org,** you will serve as a technical leader responsible for both the foundational platform primitives and the complex product experiences built on top of them. You’ll design and scale the systems that power HRIS globally while also owning the end\-to\-end engineering of mission\-critical workflows relied on by millions of employees and administrators. This role requires broad technical vision, deep hands\-on execution, and the ability to influence across multiple teams and functions.
**What you will do**
--------------------
* Set and drive the technical strategy for the HRIS org, defining long\-term direction for architecture, scalability, reliability, and usability across both platform and product surfaces.
* Design and deliver core data models, APIs, services, and abstractions that underpin HRIS and are adopted broadly across product teams.
* Own end\-to\-end engineering of critical HRIS product flows (e.g. hiring, onboarding, benefits, time, compliance), ensuring robustness, performance, and extensibility.
* Lead cross\-org initiatives such as global scale\-out, regulatory compliance, and high\-availability architecture that cut across multiple teams.
* Raise the engineering bar by influencing design and execution across the org, mentoring senior engineers, and driving best practices in both system design and product engineering.
* Collaborate closely with engineering leadership across HRIS and adjacent domains to align technical vision and deliver cohesive solutions.
**What you will need**
----------------------
* 10\+ years of professional software engineering experience, including technical leadership roles driving org\-wide impact.
* Strong track record spanning both platform and product engineering: designing distributed systems and building complex, user\-facing applications at scale.
* Expertise in system architecture, data modeling, and service design, with an ability to balance long\-term vision with iterative delivery.
* Experience operating in high\-growth, fast\-paced environments where platform primitives and product requirements evolve rapidly.
* Strong technical leadership and mentorship skills, with proven influence across multiple teams and organizations.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t>
        </is>
      </c>
    </row>
    <row r="38">
      <c r="A38" t="inlineStr">
        <is>
          <t>in-0430158cf6eb1721</t>
        </is>
      </c>
      <c r="B38" t="inlineStr">
        <is>
          <t>Senior Staff Software Engineer - HRIS</t>
        </is>
      </c>
      <c r="C38" t="inlineStr">
        <is>
          <t>Rippling</t>
        </is>
      </c>
      <c r="D38" t="inlineStr">
        <is>
          <t>indeed</t>
        </is>
      </c>
      <c r="E38">
        <f>HYPERLINK("https://www.indeed.com/viewjob?jk=0430158cf6eb1721", "https://www.indeed.com/viewjob?jk=0430158cf6eb1721")</f>
        <v/>
      </c>
      <c r="F38">
        <f>HYPERLINK("https://ats.rippling.com/rippling/jobs/e5493e61-5b04-4b54-a3d7-ddb28d03abd2?jobSite=Indeed", "https://ats.rippling.com/rippling/jobs/e5493e61-5b04-4b54-a3d7-ddb28d03abd2?jobSite=Indeed")</f>
        <v/>
      </c>
      <c r="G38" t="inlineStr">
        <is>
          <t>San Francisco, CA, US</t>
        </is>
      </c>
      <c r="H38" s="2" t="n">
        <v>46044</v>
      </c>
      <c r="I38"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Rippling is rapidly expanding its global footprint and product ecosystem, and the HRIS (Human Resources Information System) is at the center of that growth. Every Rippling product—from Payroll and Benefits to Time and Identity—depends on HRIS as its source of truth.
As a **Senior Staff Engineer spanning the entire HRIS org,** you will serve as a technical leader responsible for both the foundational platform primitives and the complex product experiences built on top of them. You’ll design and scale the systems that power HRIS globally while also owning the end\-to\-end engineering of mission\-critical workflows relied on by millions of employees and administrators. This role requires broad technical vision, deep hands\-on execution, and the ability to influence across multiple teams and functions.
**What you will do**
--------------------
* Set and drive the technical strategy for the HRIS org, defining long\-term direction for architecture, scalability, reliability, and usability across both platform and product surfaces.
* Design and deliver core data models, APIs, services, and abstractions that underpin HRIS and are adopted broadly across product teams.
* Own end\-to\-end engineering of critical HRIS product flows (e.g. hiring, onboarding, benefits, time, compliance), ensuring robustness, performance, and extensibility.
* Lead cross\-org initiatives such as global scale\-out, regulatory compliance, and high\-availability architecture that cut across multiple teams.
* Raise the engineering bar by influencing design and execution across the org, mentoring senior engineers, and driving best practices in both system design and product engineering.
* Collaborate closely with engineering leadership across HRIS and adjacent domains to align technical vision and deliver cohesive solutions.
**What you will need**
----------------------
* 10\+ years of professional software engineering experience, including technical leadership roles driving org\-wide impact.
* Strong track record spanning both platform and product engineering: designing distributed systems and building complex, user\-facing applications at scale.
* Expertise in system architecture, data modeling, and service design, with an ability to balance long\-term vision with iterative delivery.
* Experience operating in high\-growth, fast\-paced environments where platform primitives and product requirements evolve rapidly.
* Strong technical leadership and mentorship skills, with proven influence across multiple teams and organizations.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t>
        </is>
      </c>
    </row>
    <row r="39">
      <c r="A39" t="inlineStr">
        <is>
          <t>in-431144dd1b8e66d0</t>
        </is>
      </c>
      <c r="B39" t="inlineStr">
        <is>
          <t>Senior Software Engineer</t>
        </is>
      </c>
      <c r="C39" t="inlineStr">
        <is>
          <t>COMPA Industries</t>
        </is>
      </c>
      <c r="D39" t="inlineStr">
        <is>
          <t>indeed</t>
        </is>
      </c>
      <c r="E39">
        <f>HYPERLINK("https://www.indeed.com/viewjob?jk=431144dd1b8e66d0", "https://www.indeed.com/viewjob?jk=431144dd1b8e66d0")</f>
        <v/>
      </c>
      <c r="F39">
        <f>HYPERLINK("https://portal.compa.com/#/jobs/149?source=Indeed", "https://portal.compa.com/#/jobs/149?source=Indeed")</f>
        <v/>
      </c>
      <c r="G39" t="inlineStr">
        <is>
          <t>Los Alamos, NM, US</t>
        </is>
      </c>
      <c r="H39" s="2" t="n">
        <v>46043</v>
      </c>
      <c r="I39" t="inlineStr">
        <is>
          <t>**Senior Software Engineer**  
Compa Industries is searching for qualified candidates for a **Senior Software Engineer** position supporting **Savannah River Nuclear Solutions (SRNS)** in **Aiken, South Carolina**.
**Pay:** $65/hr – $70/hr  
**Location:** Aiken, SC (Savannah River Site) – Remote  
**Citizenship:** U.S. Citizenship Required  
**Work Schedule:** Full\-time (5/8s, 4/10s, or 9/80s as approved)  
**Clearance:** Ability to obtain and maintain a DOE “Q” security clearance
### **?? Mandatory Experience Requirement – Read Before Applying**
Candidates must have the following qualifications to be considered:
* 15\+ years of software engineering experience, including **10\+ years supporting DOE or federal programs**
* Demonstrated experience in **software development, application lifecycle management, and systems engineering**
* Strong proficiency in **JavaScript, VB, C\+\+, and/or Python**
* Experience supporting **moderately complex to complex enterprise applications**
* Experience participating in **systems engineering teams** supporting mission\-critical environments
Applications that do not meet these minimum software engineering experience requirements will not be considered.
### **Important Employment Eligibility Notice**
* **No C2C (Corp\-to\-Corp) arrangements are permitted**
* **No third\-party recruiting firms, agencies, or solicitations will be accepted**
* **Candidates must be eligible for direct engagement with COMPA Industries**
### **Impact**
This role supports **mission\-critical software systems** used across the DOE nuclear enterprise. The Senior Software Engineer ensures reliable, secure, and compliant software solutions in a highly regulated environment supporting national security objectives.
### **Responsibilities and Duties**
* Maintain and support assigned software applications, ensuring operational availability
* Design, develop, test, and maintain moderately complex software solutions
* Perform root cause analysis and implement corrective actions for complex software issues
* Lead analysis and development of system requirements, design specifications, and test plans
* Support application lifecycle activities including upgrades, deployments, and enhancements
* Utilize software engineering tools including configuration management, change management, and debugging tools
* Participate in cross\-functional IT and systems engineering teams
* Provide technical guidance and mentoring to less experienced engineers
* Support cybersecurity posture and compliance requirements for federal Authority to Operate (ATO)
* Document software designs, processes, and technical decisions
### **Minimum Qualifications**
* Bachelor’s degree in an IT\-related discipline with 5\+ years of experience  
*(or equivalent combinations of education and experience as outlined below)*
* Strong applied knowledge of software engineering principles and methodologies
* Experience developing and supporting enterprise\-level applications
* Ability to work independently and within multidisciplinary teams
* Strong analytical, problem\-solving, and communication skills
**Education Substitutions Accepted:**
* Non\-IT Bachelor’s \+ 7 years experience
* Associate Degree \+ 7–9 years experience
* High School Diploma \+ 11\+ years equivalent experience
### **Desired Skills**
* Prior **SRNS or DOE facility experience**
* Experience with **Rational DOORS requirements management**
* Familiarity with **Java, Spring Boot, REST APIs, SQL Server or Oracle**
* Experience with **Agile methodologies and DevOps tools**
* Prior or active **DOE Q or L clearance**
### **Education and Experience Requirements**
* Bachelor’s degree in an IT\-related field preferred
* Equivalent experience will be considered in lieu of formal education
### **Why Work at COMPA Industries?**
COMPA Industries provides **careers—not just jobs**. For over 30 years, we have supported the Department of Energy and national laboratories with high\-impact technical talent.
Join a collaborative, mission\-driven team where your software expertise directly supports **critical national security and nuclear operations**.
COMPA is an **Equal Opportunity/Affirmative Action employer**.  
COMPA’s policy may disqualify candidates with certain criminal histories from specific roles.  
\#LI\-Remote</t>
        </is>
      </c>
    </row>
    <row r="40">
      <c r="A40" t="inlineStr">
        <is>
          <t>in-debea57deeaa7eab</t>
        </is>
      </c>
      <c r="B40" t="inlineStr">
        <is>
          <t>Software Engineer II</t>
        </is>
      </c>
      <c r="C40" t="inlineStr">
        <is>
          <t>University of Rochester</t>
        </is>
      </c>
      <c r="D40" t="inlineStr">
        <is>
          <t>indeed</t>
        </is>
      </c>
      <c r="E40">
        <f>HYPERLINK("https://www.indeed.com/viewjob?jk=debea57deeaa7eab", "https://www.indeed.com/viewjob?jk=debea57deeaa7eab")</f>
        <v/>
      </c>
      <c r="F40">
        <f>HYPERLINK("https://rochester.wd5.myworkdayjobs.com/en-US/UR_Staff/job/30-Corporate-Woods/Software-Engineer-II_R267990", "https://rochester.wd5.myworkdayjobs.com/en-US/UR_Staff/job/30-Corporate-Woods/Software-Engineer-II_R267990")</f>
        <v/>
      </c>
      <c r="G40" t="inlineStr">
        <is>
          <t>Brighton, NY, US</t>
        </is>
      </c>
      <c r="H40" s="2" t="n">
        <v>46043</v>
      </c>
      <c r="I40" t="inlineStr">
        <is>
          <t>As a community, the University of Rochester is defined by a deep commitment to Meliora \- Ever Better. Embedded in that ideal are the values we share: equity, leadership, integrity, openness, respect, and accountability. Together, we will set the highest standards for how we treat each other to ensure our community is welcoming to all and is a place where all can thrive.
**Job Location (Full Address):**
30 Corporate Woods, Brighton, New York, United States of America, 14623
**Opening:**
Worker Subtype:
Regular
Time Type:
Full time
Scheduled Weekly Hours:
40
Department:
900082 ISD Chief Technical Office
Work Shift:
UR \- Day (United States of America)
Range:
UR URG 112
Compensation Range:
$70,197\.00 \- $105,295\.00
*The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**Responsibilities:**
The Software Engineer II works closely in collaboration with team leads, application build teams, and business, financial, operational, clinical and other stakeholders as designated to support their assigned projects. Interacts with multiple disciplines across the Medical Center and external customers to ensure integration needs are met. Translates integration data requirements between the vendor specifications, requester, and ISD to characterize the business or clinical problem, categorizes the request, states business or clinical objectives, records timing requirements, and identifies deliverables. Provides clarification of needs as development proceeds, providing a quality assurance checkpoint for deliverables, and assists the requester with deliverable validation. Reports to and takes direction from the Team IT Manager.
**ESSENTIAL FUNCTIONS**
* Utilizes modern programming languages to build software to meet business requirements, including full\-stack functional code development, implementing data integration and building APIs for data sharing. Designs functional processes, user experiences and user interfaces. Designs data models and database schemas. Assists newer team members as needed.
* Adds functionality and features to existing applications. Replaces aging code with modern best practices and coding practices.
* Investigates reported issues with applications and systems. Resolves issues through critical thinking and debugging. Maintains legacy applications and systems and replaces them when deemed appropriate. Documents systems, procedures and policies to assist with ongoing support.
* Participates in project management and planning of projects. Estimates efforts for assigned tasks and sets milestones for project deliverables. Communicates expectations and status regarding project tasks.
* Keeps abreast of the latest application development trends and applies them when appropriate. Participates in knowledge sharing efforts within the team and across the organization and code reviews.
Other duties as assigned.  
* 
**MINIMUM EDUCATION \&amp; EXPERIENCE**
* High School diploma or equivalent required
* Bachelor’s degree in related discipline such as Computer Science, Software Engineering or Web and Mobile Computing preferred
* 2 years of relevant experience required
* Or an equivalent combination of education and experience
* Experience with and knowledge of a modern object\-oriented programming language and framework required
* Experience retrieving and writing to databases required
* Experience with industry standard development tools and technologies, including IDEs, such as Visual Studio, and source control tools, such as Git required
* Experience in the healthcare industry preferred
* Experience with Epic Bridges, Rhapsody or other integration platforms preferred
Experience with healthcare messaging protocols: HL7 v2, HL7 v3 CDA, HL7 FHIR, X12 preferred  
* 
**KNOWLEDGE, SKILLS AND ABILITIES**
* Excellent verbal and written communication skills required
* Strong attention to detail, analysis, and documentation skills preferred
**LICENSES AND CERTIFICATIONS (Preferred)**
* Epic Bridges certification (to be completed within 12 months of hire)
* Rhapsody Associates Certification (to be completed within 12 months of hire)
The University of Rochester is committed to fostering, cultivating, and preserving an inclusive and welcoming culture to advance the University’s Mission to Learn, Discover, Heal, Create – and Make the World Ever Better. In support of our values and those of our society, the University is committed to not discriminating on the basis of age, color, disability, ethnicity, gender identity or expression, genetic information, marital status, military/veteran status, national origin, race, religion, creed, sex, sexual orientation, citizenship status, or any other characteristic protected by federal, state, or local law (Protected Characteristics). This commitment extends to non\-discrimination in the administration of our policies, admissions, employment, access, and recruitment of candidates, for all persons consistent with our values and based on applicable law.</t>
        </is>
      </c>
    </row>
    <row r="41">
      <c r="A41" t="inlineStr">
        <is>
          <t>in-2d213d272080f1d0</t>
        </is>
      </c>
      <c r="B41" t="inlineStr">
        <is>
          <t>Senior Software Engineer</t>
        </is>
      </c>
      <c r="C41" t="inlineStr">
        <is>
          <t>Siemens</t>
        </is>
      </c>
      <c r="D41" t="inlineStr">
        <is>
          <t>indeed</t>
        </is>
      </c>
      <c r="E41">
        <f>HYPERLINK("https://www.indeed.com/viewjob?jk=2d213d272080f1d0", "https://www.indeed.com/viewjob?jk=2d213d272080f1d0")</f>
        <v/>
      </c>
      <c r="F41">
        <f>HYPERLINK("https://jobs.siemens.com/en_US/externaljobs/JobDetail/492682", "https://jobs.siemens.com/en_US/externaljobs/JobDetail/492682")</f>
        <v/>
      </c>
      <c r="G41" t="inlineStr">
        <is>
          <t>Austin, TX, US</t>
        </is>
      </c>
      <c r="H41" s="2" t="n">
        <v>46043</v>
      </c>
      <c r="I41" t="inlineStr">
        <is>
          <t>**Job ID**492682
**Posted since**22\-Jan\-2026
**Organization**Digital Industries
**Field of work**Research \&amp; Development
**Company**Siemens Industry Software Inc.
**Experience level**Experienced Professional
**Job type**Full\-time
**Work mode**Hybrid (Remote/Office)
**Employment type**Permanent
**Location(s)*** Austin \- \- United States of America
Siemens EDA is a global technology leader in Electronic Design Automation software. Our software tools enable companies around the world to develop highly innovative electronic products faster and more cost\-effectively. Our customers use our tools to push the boundaries of technology and physics to deliver better products in the increasingly complex world of chip, board, and system design.
We are seeking a passionate and highly skilled software engineer to join the QuestaSim (Simulation) R\&amp;D team at Siemens EDA.
**In this role, you will:**
* Develop cutting\-edge algorithms and software design/architecture for industry\-leading simulation tools.
* Contribute to the development and enhancement of production\-quality components, algorithms, and engines while supporting and improving existing codebases.
* Solve complex software problems in collaboration with a senior group of engineers in a fast\-paced and dynamic environment.
* Apply your technical expertise, problem\-solving skills, and analytical thinking to achieve project milestones and deliver high\-quality software solutions.
* Stay self\-motivated, disciplined, and focused on achieving personal and team goals.
**Should have**:
* Experience with conceptualizing, defining, architecting, and implementation of an open\-ended problem scope or new ideas.
* Strong proficiency in C/C\+\+, data structures, and algorithms.
* Expertise in Compiler Concepts and Optimizations
* Experience working on UNIX and/or LINUX platforms.
* Excellent problem\-solving and analytical skills.
* Proven ability to work independently, take ownership of tasks, and deliver results.
**Good to have**
* Basic knowledge of Digital Electronics and concepts related to SystemVerilog, Verilog, and VHDL.
* Familiarity with parallel algorithms and job distribution techniques.
* Exposure to Simulation or Formal\-based Verification methodologies.
**Education**  
A Bachelor’s or master’s degree in computer science, Electrical Engineering, Electronics Engineering, or a related technical field from an accredited institution.
This position will be subject to U.S. export control requirements under the International Traffic in Arms Regulations (ITAR) and/or Export Administration Regulations (EAR). Employment is contingent on either verifying the U.S. Person status or obtaining any necessary export license.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Software.** ***Transform the Everyday with US***
\#LI\-EDA
\#LI\-HYBRID
\#DVT  
**You’ll Benefit From**  
Siemens offers a variety of health and wellness benefits to our employees. Details regarding our benefits can be found here: https://www.benefitsquickstart.com/siemens/index.html  
The pay range for this position is 129,600 \- 233,300 annually with a target incentive of 5\-10 of the base salary. The actual wage offered may be lower or higher depending on budget and candidate experience, knowledge, skills, qualifications, and premium geographic location.  
**Equal Employment Opportunity Statement**  
Siemens is an Equal Opportunity Employer encouraging inclusion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from discrimination on the basis of race, color, religion, sex, national origin, or any characteristic protected by Federal or other applicable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**Pay Transparency**  
Siemens follows Pay Transparency laws.
**California Privacy Notice**  
California residents have the right to receive additional notices about their personal information. To learn more, click here.
 **Criminal History**  
Qualified applications with arrest or conviction records will be considered for employment in accordance with applicable local and state laws.</t>
        </is>
      </c>
    </row>
    <row r="42">
      <c r="A42" t="inlineStr">
        <is>
          <t>in-9da69fd0575b3658</t>
        </is>
      </c>
      <c r="B42" t="inlineStr">
        <is>
          <t>Software Engineer III (Senior)-4</t>
        </is>
      </c>
      <c r="C42" t="inlineStr">
        <is>
          <t>Realign</t>
        </is>
      </c>
      <c r="D42" t="inlineStr">
        <is>
          <t>indeed</t>
        </is>
      </c>
      <c r="E42">
        <f>HYPERLINK("https://www.indeed.com/viewjob?jk=9da69fd0575b3658", "https://www.indeed.com/viewjob?jk=9da69fd0575b3658")</f>
        <v/>
      </c>
      <c r="F42">
        <f>HYPERLINK("https://realign-llc.com/careers/job-details/IT80945SO-4", "https://realign-llc.com/careers/job-details/IT80945SO-4")</f>
        <v/>
      </c>
      <c r="G42" t="inlineStr">
        <is>
          <t>Detroit, MI, US</t>
        </is>
      </c>
      <c r="H42" s="2" t="n">
        <v>46043</v>
      </c>
      <c r="I42" t="inlineStr">
        <is>
          <t>Job Type: Contract
Job Category: IT
Job Description
Job Title: Software Engineer III (Senior)
Location: Detroit, MI  
Duration: 6 months  
Core .NET Technologies  
Role Description:  
Software Engineer III (Senior)  
Performing analysis of existing solutions to understand how to satisfy business needs.  
Ability to work with independence.  
Developing clean, efficient, and maintainable code for applications using C and JavaScript.  
Creating unit tests within our .NET applications.  
Implementing configuration changes within the third\-party application, Stibo.  
Documenting all changes made and presenting enhanced functionality to our support team.  
The ideal candidate for this role has 5 years of relevant work experience.  
Understands customer needs as they conduct research and work with other software developers to produce code to meet system requirements.  
Designs, modifies, develops, writes and implements software programming applications.  
Supports and/or installs software applications systems.  
Participates in the testing process through test review and analysis, test witnessing and certification of software.  
Familiar with a variety of the fields concepts, practices, and procedures.  
Relies on experience and judgment to plan and accomplish goals.  
Performs a variety of complicated tasks.  
A wide degree of creativity and latitude is expected.
Required Skills
DEVOPS ENGINEER
 SENIOR EMAIL SECURITY ENGINEER</t>
        </is>
      </c>
    </row>
    <row r="43">
      <c r="A43" t="inlineStr">
        <is>
          <t>in-8c593c45e3f800fc</t>
        </is>
      </c>
      <c r="B43" t="inlineStr">
        <is>
          <t>Senior Frontend Engineer (React/Next.js)-1</t>
        </is>
      </c>
      <c r="C43" t="inlineStr">
        <is>
          <t>Realign</t>
        </is>
      </c>
      <c r="D43" t="inlineStr">
        <is>
          <t>indeed</t>
        </is>
      </c>
      <c r="E43">
        <f>HYPERLINK("https://www.indeed.com/viewjob?jk=8c593c45e3f800fc", "https://www.indeed.com/viewjob?jk=8c593c45e3f800fc")</f>
        <v/>
      </c>
      <c r="F43">
        <f>HYPERLINK("https://realign-llc.com/careers/job-details/IT81013SE-1", "https://realign-llc.com/careers/job-details/IT81013SE-1")</f>
        <v/>
      </c>
      <c r="G43" t="inlineStr">
        <is>
          <t>Bentonville, AR, US</t>
        </is>
      </c>
      <c r="H43" s="2" t="n">
        <v>46043</v>
      </c>
      <c r="I43" t="inlineStr">
        <is>
          <t>Job Type: Contract
Job Category: IT
Job Description
**Role: Senior Frontend Engineer (React/Next.js)**
**Location: Bentonville, AR**
**Duration: Long Term Contract**
Role Descriptions:
Tech Skills \- ReactJS\| React Hooks\| NextJS\| JavaScript\| ES6\| Typescript\| HTML and CSS. Kubernetes Docker.
Significant experience working with React web and mobile along with tools like Flux\| Flow\| Redux\| etc.
Strong knowledge of React fundamentals such as Virtual DOM\| component lifecycle\| and component state.
Have experience with Azure Cloud Stack\| GCP or other cloud stacks.
Create front\-end modules Experience building a responsive\| cross\-browser compatible and high\-performance web application with maximum code reusability and efficiency.
Ability to develop functional\| technical and user interface designs for an application that meets the defined requirements.
 **Essential Skills:**
Tech Skills \- ReactJS\| React Hooks\| NextJS\| JavaScript\| ES6\| Typescript\| HTML and CSS.
Kubernetes Docker\|
 **Desirable Skills:**
Skills: Digital : Node.js\~Digital : ReactJS
Experience Required: 4\-6
Required Skills
DEVOPS ENGINEER
 SENIOR EMAIL SECURITY ENGINEER</t>
        </is>
      </c>
    </row>
    <row r="44">
      <c r="A44" t="inlineStr">
        <is>
          <t>in-08a1dcac57e4fa4c</t>
        </is>
      </c>
      <c r="B44" t="inlineStr">
        <is>
          <t>AI Backend Engineer / Python Full Stack Developer</t>
        </is>
      </c>
      <c r="C44" t="inlineStr">
        <is>
          <t>Realign</t>
        </is>
      </c>
      <c r="D44" t="inlineStr">
        <is>
          <t>indeed</t>
        </is>
      </c>
      <c r="E44">
        <f>HYPERLINK("https://www.indeed.com/viewjob?jk=08a1dcac57e4fa4c", "https://www.indeed.com/viewjob?jk=08a1dcac57e4fa4c")</f>
        <v/>
      </c>
      <c r="F44">
        <f>HYPERLINK("https://realign-llc.com/careers/job-details/IT81026AI", "https://realign-llc.com/careers/job-details/IT81026AI")</f>
        <v/>
      </c>
      <c r="G44" t="inlineStr">
        <is>
          <t>Rosemead, CA, US</t>
        </is>
      </c>
      <c r="H44" s="2" t="n">
        <v>46043</v>
      </c>
      <c r="I44" t="inlineStr">
        <is>
          <t>Job Type: Contract
Job Category: IT
Job Description
**Job Title** **: AI Backend Engineer / Python Full Stack Developer****Location :** **:** **Rosemead, CA****Duration****: Long term contract** **Job Title: AI Backend Engineer**  
**Relevant Experience (in Yrs) 10\+**  
**Must Have Technical/Functional Skills**  
* **Python Full Stack Developer**
* **Versatile in constructing AI pipelines using LangChain, LlamaIndex, and AutoRAG, with model optimization through Optuna and GridSearchCV.**
**Experience Required 10\+**  
**Roles \&amp; Responsibilities**  
* **Implement Python microservices and APIs (FastAPI/Flask/Django) with clean contracts, versioning, pagination, and rate limiting.**
* **Build REST/GraphQL endpoints and internal SDKs to enable AI enhanced features (prompt routing, retrieval, redaction) while maintaining strict separation from model ownership.**
* **Implement asynchronous and event driven processing (e.g., Celery/Kafka/queues) for high throughput pipelines and background jobs.**
* **Integrate services with enterprise AI platforms / LLM APIs (e.g., Azure OpenAI via enterprise gateway), handling prompt orchestration, tool invocation, moderation hooks, and response validation.**
* **Enforce runtime guardrails: input sanitization, PII redaction, toxicity/NSFW filters, output signing, and fallbacks.**
* **Implement semantic retrieval and vector search via approved platforms; do not train or host custom models.**
Required Skills
CLOUD DEVELOPER
 SQL APPLICATION DEVELOPER</t>
        </is>
      </c>
    </row>
    <row r="45">
      <c r="A45" t="inlineStr">
        <is>
          <t>in-16f60ffc931c9574</t>
        </is>
      </c>
      <c r="B45" t="inlineStr">
        <is>
          <t>Software Engineer 3 - Linux/Apache NiFi/Grafana/Jira/Bash/Python</t>
        </is>
      </c>
      <c r="C45" t="inlineStr">
        <is>
          <t>Captivation Software</t>
        </is>
      </c>
      <c r="D45" t="inlineStr">
        <is>
          <t>indeed</t>
        </is>
      </c>
      <c r="E45">
        <f>HYPERLINK("https://www.indeed.com/viewjob?jk=16f60ffc931c9574", "https://www.indeed.com/viewjob?jk=16f60ffc931c9574")</f>
        <v/>
      </c>
      <c r="F45">
        <f>HYPERLINK("https://grnh.se/24jvew8d8us", "https://grnh.se/24jvew8d8us")</f>
        <v/>
      </c>
      <c r="G45" t="inlineStr">
        <is>
          <t>Annapolis Junction, MD, US</t>
        </is>
      </c>
      <c r="H45" s="2" t="n">
        <v>46043</v>
      </c>
      <c r="I45"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senior level software engineer who shall be responsible for creating, sustaining, and troubleshooting complex operational data flows including data storage, data transport, data management, data security, data compliance, and knowledge store management. Additional tasking shall include working with the mission customer to perform exploratory data analysis on raw data to clean, enrich, transform and convert the raw data into the required formats. The Software Engineer shall also be responsible for devising methods to improve existing operational data flow processing, distribution, and reliability.
**Requirements**
================
### **Security Clearance:**
* Must currently hold a Top Secret/SCI U.S. Government security clearance with a favorable Polygraph, therefore all candidates must be a U.S. citizen
### **Minimum Qualifications:**
* Master's degree in Computer Science or related discipline from an accredited college or university, plus Five (5\) years of experience as a SWE, in programs and contracts of similar scope, type, and complexity.
* Bachelor's degree in Computer Science or related discipline from an accredited college or university, plus Seven (7\) years of experience as a SWE, in programs and contracts of similar scope, type, and complexity
* Nine (9\) years of experience as a SWE, in programs and contracts of similar scope, type, and complexity.
### **Required Skills:**
* Experience using the Linux CLI
* Experience creating, managing, and troubleshooting complex operational data flows
* Experience using Apache NiFi canvas to process and distribute data
* Experience with monitoring and observability tools such as Grafana and Prometheus
* Experience with IaC principles and automation tools including Ansible
* Experience with the Atlassian Tool Suite (JIRA, Confluence)
### **Desired Skills:**
* General HPC technical knowledge regarding compute, networks, memory, and storage components
* Experience with Corporate data flow processes and tools
* Experience with Corporate data security and compliance procedures and policies
* Experience writing scripts using Bash/Python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46">
      <c r="A46" t="inlineStr">
        <is>
          <t>in-fe4f36278c52358f</t>
        </is>
      </c>
      <c r="B46" t="inlineStr">
        <is>
          <t>Software Engineer 3 -Linux/Bash/Python/Git/Ansible/Kafka/Docker/Splunk</t>
        </is>
      </c>
      <c r="C46" t="inlineStr">
        <is>
          <t>Captivation Software</t>
        </is>
      </c>
      <c r="D46" t="inlineStr">
        <is>
          <t>indeed</t>
        </is>
      </c>
      <c r="E46">
        <f>HYPERLINK("https://www.indeed.com/viewjob?jk=fe4f36278c52358f", "https://www.indeed.com/viewjob?jk=fe4f36278c52358f")</f>
        <v/>
      </c>
      <c r="F46">
        <f>HYPERLINK("https://grnh.se/fk55bt0z8us", "https://grnh.se/fk55bt0z8us")</f>
        <v/>
      </c>
      <c r="G46" t="inlineStr">
        <is>
          <t>Annapolis Junction, MD, US</t>
        </is>
      </c>
      <c r="H46" s="2" t="n">
        <v>46043</v>
      </c>
      <c r="I46"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senior level software engineer who shall be responsible for the development, enhancement, and sustainment of automation tools in support of system management infrastructure software and services for High Performance Computing (HPC) systems in a Linux environment.
**Requirements**
================
### **Security Clearance:**
* Must currently hold a Top Secret/SCI U.S. Government security clearance with a favorable Polygraph, therefore all candidates must be a U.S. citizen
### **Minimum Qualifications:**
* Master's degree in Computer Science or related discipline from an accredited college or university, plus Five (5\) years of experience as a SWE, in programs and contracts of similar scope, type, and complexity.
* Bachelor's degree in Computer Science or related discipline from an accredited college or university, plus Seven (7\) years of experience as a SWE, in programs and contracts of similar scope, type, and complexity
* Nine (9\) years of experience as a SWE, in programs and contracts of similar scope, type, and complexity.
### **Required Skills:**
* Experience using the Linux CLI and Linux tools
* Experience developing Bash scripts to automate manual processes
* Recent software development experience using Python
* Experience with automation frameworks including Ansible for orchestrating deployment
* Experience performing troubleshooting and debugging issues in an operational system
* Experience with CI/CD principles, methodologies, and tools such as GitLab CI and Jenkins
* Experience with Git Source Control System
### **Desired Skills:**
* Familiar with Datacenter Infrastructure Management (DCIM) tools such as Netbox
* Familiar with Observability and Analytics platform solutions such as Splunk
* Familiar with Identity and Access Management (IAM) solutions such as Keycloak
* Familiar with Secret Management tools such as HashiCorp Vault
* Familiar with Message Brokers such as Kafka
* Familiar with containerization technologies such as Docker, PodMan, containers
* Familiar with Agile, Scrum, or Scaled Agile Framework (SAFe) methodologies
* Experience with the Atlassian Tool Suite (JIRA, Confluence)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47">
      <c r="A47" t="inlineStr">
        <is>
          <t>in-13818a0ecfe5e046</t>
        </is>
      </c>
      <c r="B47" t="inlineStr">
        <is>
          <t>Staff Software Engineer, Design System</t>
        </is>
      </c>
      <c r="C47" t="inlineStr">
        <is>
          <t>NinjaTrader</t>
        </is>
      </c>
      <c r="D47" t="inlineStr">
        <is>
          <t>indeed</t>
        </is>
      </c>
      <c r="E47">
        <f>HYPERLINK("https://www.indeed.com/viewjob?jk=13818a0ecfe5e046", "https://www.indeed.com/viewjob?jk=13818a0ecfe5e046")</f>
        <v/>
      </c>
      <c r="F47">
        <f>HYPERLINK("https://grnh.se/eu1k0afv6us", "https://grnh.se/eu1k0afv6us")</f>
        <v/>
      </c>
      <c r="G47" t="inlineStr">
        <is>
          <t>Chicago, IL, US</t>
        </is>
      </c>
      <c r="H47" s="2" t="n">
        <v>46043</v>
      </c>
      <c r="I47" t="inlineStr">
        <is>
          <t>***Disclaimer:****Please be advised that the most accurate and up\-to\-date information about our open roles—including job descriptions, compensation, and benefits—can only be guaranteed on our official job board. For the latest listings and details, please visit:* *https://job\-boards.greenhouse.io/ninjatrader**.*
**JOIN US ON OUR MISSION TO BECOME THE \#1 RETAIL TRADING PLATFORM IN THE WORLD**
Welcome to the dynamic world of NinjaTrader! As an industry\-leading trading platform and futures broker, we're empowering traders to take control of their financial destiny. How do we do it? We provide cutting\-edge products and services that enhance the trading journey. Whether a seasoned pro or just starting out, NinjaTrader equips traders with award\-winning software and brokerage services to navigate the world's leading financial markets with confidence.
Our growth story is nothing short of exhilarating. Since 2003, NinjaTrader has been dedicated to understanding and supporting traders on their journey toward trading triumph. Through those efforts, our user base has grown to over 2 million users and we have become the number one rated futures brokerage worldwide.
But we're not stopping there. We're constantly evolving, pushing boundaries, and modernizing the futures industry. Our commitment to innovation means users will always have access to dynamic tools, real\-time support, and a community of like\-minded traders.
So, why work at NinjaTrader? Here, you're not just part of a team; you're part of a movement. We empower employees to reach new heights in their careers by providing a dynamic culture focused on social connection, professional development, and employee recognition initiatives. Sounds too good to be true? Take it from our employees.
Join us as we redefine what's possible in trading, advocate for our customers, and continue our journey toward becoming the world's top retail\-focused trading platform in the world.
**What you'll do:**
We are seeking a highly skilled and experienced Design Systems Engineer. You will be the foundational engineer responsible for designing, building, and scaling NinjaTrader's new enterprise\-grade design system, which will serve as a core frontend platform across multiple product teams in a regulated, high\-availability trading environment. This role is expected to help shape the long\-term evolution of the design systems function, including mentoring future contributors and team members, and carries clear technical ownership and decision\-making authority for the design system as a shared frontend platform across the organization.
**In this role you will:**
* Own the development, maintenance, and evolution of NinjaTrader's design system, including UI components, patterns, tokens, and documentation; this includes defining system standards, architectural direction, and long\-term technical strategy
* Act as the technical authority for how designs are translated into production UI, partnering with Design while maintaining final responsibility for engineering quality, performance, and maintainability
* Make and defend tradeoffs between consistency, flexibility, velocity, and performance on behalf of the broader engineering organization
* Build and maintain a component library using modern frontend technologies, ensuring components are accessible, performant, and easy to consume across teams
* Establish and enforce best practices for consistency, accessibility (WCAG), responsiveness, and cross\-browser compatibility
* Collaborate with other frontend engineers to support adoption of the design system, guide implementation, and continuously improve developer experiences
* Influence adoption through technical leadership rather than direct reporting authority
* Design scalable CSS and styling architectures (e.g., tokens, theming, variables) that support multiple products, themes, and future growth
* Create and maintain comprehensive documentation, examples, and usage guidelines for designers and engineers
* Work closely with Product, Design, and Engineering leadership to align the design system roadmap with business and product needs
**What you'll need:**
* 8\+ years of professional experience in frontend engineering, design engineering, or design systems development
* Demonstrated experience building or leading a design system from early or intermediate stages, including architectural decisions, adoption challenges, and long\-term maintenance
* Strong expertise in modern CSS and styling approaches (CSS\-in\-JS, CSS Modules, Tailwind, or similar), including theming and design tokens
* Proven experience partnering deeply with designers and translating design tools (e.g., Figma) into high\-fidelity, production\-ready components
* Strong knowledge of web accessibility standards (WCAG 2\.2 AA) and experience building inclusive, accessible interfaces
* Experience supporting shared systems used by multiple teams or products, balancing consistency with flexibility
* Ability to balance design fidelity, performance, and accessibility in production systems
* Familiarity with modern frontend tooling and workflows (Storybook, Vite/Webpack, Yarn/NPM, testing frameworks)
**Compensation:**
The salary range for this role will be $160,000\.00 \- $210,000\.00 USD. In addition, this position will also receive an annual target bonus of 15%. Bonus pay at NinjaTrader is based on individual performance (50%) as well as company/team performance (50%).
Salary and bonus earnings are only two components of the total compensation package offered by NinjaTrader. NinjaTrader offers a 401K plan through ADP under which the company will match up to 3\.5% of employee contributions. Annual paid time off allowance accrues at a rate of 23 days per year plus seven paid holidays.
**Location:**
This role is based in Chicago, IL. \*There may be remote flexibility for exceptional candidates in the following states: California, Colorado, Florida, Georgia, Illinois, Indiana, Minnesota, Missouri, Montana, New Jersey, New York, North Carolina, Ohio, Oregon, Pennsylvania, South Carolina, Texas, Utah, Vermont, Virginia, Washington, Washington DC, Wisconsin.
**Hybrid:**
For Chicago\-based employees, we follow a hybrid work schedule: In\-office Tuesday through Thursday, with remote work on Mondays and Fridays. In addition to these weekly remote days, we offer:
* 20 additional flex remote days annually
* 5 Company Wide Office\-Optional weeks tied to major holidays
**Our Core Benefits Include:**
* Generous PTO
* 7 Paid Holidays Annually \+ 5 Conditional Holidays Annually
* 1 Service Day Annually
* 401k with 3\.5% Company Match
* Paid Parental Bonding Leave
* Health, Vision, Dental Coverage
* Life and Disability Insurance Covered 100% by NinjaTrader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is>
      </c>
    </row>
    <row r="48">
      <c r="A48" t="inlineStr">
        <is>
          <t>in-f3c6bc9e0c7a6fc3</t>
        </is>
      </c>
      <c r="B48" t="inlineStr">
        <is>
          <t>Staff Software Engineer, Agent Building</t>
        </is>
      </c>
      <c r="C48" t="inlineStr">
        <is>
          <t>Decagon</t>
        </is>
      </c>
      <c r="D48" t="inlineStr">
        <is>
          <t>indeed</t>
        </is>
      </c>
      <c r="E48">
        <f>HYPERLINK("https://www.indeed.com/viewjob?jk=f3c6bc9e0c7a6fc3", "https://www.indeed.com/viewjob?jk=f3c6bc9e0c7a6fc3")</f>
        <v/>
      </c>
      <c r="F48">
        <f>HYPERLINK("https://jobs.ashbyhq.com/decagon/f83f5c1d-a4d7-4c63-beb5-611c97a9e11d?utm_source=mzlB4L64Bb", "https://jobs.ashbyhq.com/decagon/f83f5c1d-a4d7-4c63-beb5-611c97a9e11d?utm_source=mzlB4L64Bb")</f>
        <v/>
      </c>
      <c r="G48" t="inlineStr">
        <is>
          <t>New York, NY, US</t>
        </is>
      </c>
      <c r="H48" s="2" t="n">
        <v>46043</v>
      </c>
      <c r="I48" t="inlineStr">
        <is>
          <t>**About Decagon**
Decagon is the leading conversational AI platform empowering every brand to deliver concierge customer experience. Our AI agents provide intelligent, human\-like responses across chat, email, and voice, resolving millions of customer inquiries across every language and at any time.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
We’re an in\-office company, driven by a shared commitment to excellence and velocity. Our values—*customers are everything*, *relentless momentum*, *winner’s mindset*, and *stronger together*—shape how we work and grow as a team.
**About the Team**
The Agent Building team creates the platform that customers use to build, maintain, and improve their AI agents. We transform complex engineering work into intuitive self\-serve products, making sophisticated AI capabilities accessible to both technical and non\-technical Customer Experience teams.
**About the Role**
You'll be a technical leader for a full\-stack product engineering team, shaping the platform that empowers customers to create and optimize their AI agents. This means working closely with the Agent Software Engineering and Agent PM teams to understand current workflows, then defining technical strategy and establishing patterns that scale those capabilities across our customer base. You'll work day\-to\-day with the core product and design teams, joining discovery, defining requirements, reviewing designs, and iterating through launch. Beyond building features, you'll mentor engineers as the team grows, supervising projects and providing technical direction for their work.
**In this role, you will**
* Drive technical direction for the Agent Building platform, establishing patterns and architecture that scale with our customer base and features
* Lead complex initiatives from ambiguous requirements to shipped products
* Create AI\-powered tools that enable non\-technical teams to create and manage sophisticated workflows without writing code
* Build monitoring and analytics that surface actionable insights, helping customers identify where their agents can improve
* Partner directly with customers and cross\-functional teams to identify opportunities and validate product direction
* Mentor engineers and elevate team practices through code review, technical design, and knowledge sharing
**Your background looks something like this**
* 6\+ years building full\-stack software products, with demonstrated impact on technical direction and strong product thinking
* Deep expertise in TypeScript and/orPython, with strong architecture and system design skills
* Proven ability to design abstractions and platforms that serve diverse use cases elegantly
* Track record of leading technical initiatives and driving consensus across teams
* Experience balancing technical excellence with rapid iteration and customer needs
* Strong product intuition and history of translating user feedback into technical solutions
* History of mentoring engineers and establishing technical standards
**Even better**
* Experience building and scaling developer tools, APIs, platforms, or infrastructure products
* Familiarity with LLMs, AI agent systems, prompt engineering, or building products on top of AI capabilities
* Familiarity with asynchronous programming and building scalable systems
* Experience with observability, data visualization, or analytics products
* History of establishing technical standards, design patterns, or architectural principles adopted across teams
**Benefits:**
* Medical, dental, and vision benefits
* Take what you need vacation policy
* Daily lunches, dinners and snacks in the office to keep you at your best
**Compensation**
$300K – $430K \+ Offers Equity
Compensation Range: $300K \- $430K</t>
        </is>
      </c>
    </row>
    <row r="49">
      <c r="A49" t="inlineStr">
        <is>
          <t>in-49e16474c9ccd23d</t>
        </is>
      </c>
      <c r="B49" t="inlineStr">
        <is>
          <t>Staff Software Engineer, Agent Building</t>
        </is>
      </c>
      <c r="C49" t="inlineStr">
        <is>
          <t>Decagon</t>
        </is>
      </c>
      <c r="D49" t="inlineStr">
        <is>
          <t>indeed</t>
        </is>
      </c>
      <c r="E49">
        <f>HYPERLINK("https://www.indeed.com/viewjob?jk=49e16474c9ccd23d", "https://www.indeed.com/viewjob?jk=49e16474c9ccd23d")</f>
        <v/>
      </c>
      <c r="F49">
        <f>HYPERLINK("https://jobs.ashbyhq.com/decagon/f83f5c1d-a4d7-4c63-beb5-611c97a9e11d?utm_source=mzlB4L64Bb", "https://jobs.ashbyhq.com/decagon/f83f5c1d-a4d7-4c63-beb5-611c97a9e11d?utm_source=mzlB4L64Bb")</f>
        <v/>
      </c>
      <c r="G49" t="inlineStr">
        <is>
          <t>San Francisco, CA, US</t>
        </is>
      </c>
      <c r="H49" s="2" t="n">
        <v>46043</v>
      </c>
      <c r="I49" t="inlineStr">
        <is>
          <t>**About Decagon**
Decagon is the leading conversational AI platform empowering every brand to deliver concierge customer experience. Our AI agents provide intelligent, human\-like responses across chat, email, and voice, resolving millions of customer inquiries across every language and at any time.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
We’re an in\-office company, driven by a shared commitment to excellence and velocity. Our values—*customers are everything*, *relentless momentum*, *winner’s mindset*, and *stronger together*—shape how we work and grow as a team.
**About the Team**
The Agent Building team creates the platform that customers use to build, maintain, and improve their AI agents. We transform complex engineering work into intuitive self\-serve products, making sophisticated AI capabilities accessible to both technical and non\-technical Customer Experience teams.
**About the Role**
You'll be a technical leader for a full\-stack product engineering team, shaping the platform that empowers customers to create and optimize their AI agents. This means working closely with the Agent Software Engineering and Agent PM teams to understand current workflows, then defining technical strategy and establishing patterns that scale those capabilities across our customer base. You'll work day\-to\-day with the core product and design teams, joining discovery, defining requirements, reviewing designs, and iterating through launch. Beyond building features, you'll mentor engineers as the team grows, supervising projects and providing technical direction for their work.
**In this role, you will**
* Drive technical direction for the Agent Building platform, establishing patterns and architecture that scale with our customer base and features
* Lead complex initiatives from ambiguous requirements to shipped products
* Create AI\-powered tools that enable non\-technical teams to create and manage sophisticated workflows without writing code
* Build monitoring and analytics that surface actionable insights, helping customers identify where their agents can improve
* Partner directly with customers and cross\-functional teams to identify opportunities and validate product direction
* Mentor engineers and elevate team practices through code review, technical design, and knowledge sharing
**Your background looks something like this**
* 6\+ years building full\-stack software products, with demonstrated impact on technical direction and strong product thinking
* Deep expertise in TypeScript and/orPython, with strong architecture and system design skills
* Proven ability to design abstractions and platforms that serve diverse use cases elegantly
* Track record of leading technical initiatives and driving consensus across teams
* Experience balancing technical excellence with rapid iteration and customer needs
* Strong product intuition and history of translating user feedback into technical solutions
* History of mentoring engineers and establishing technical standards
**Even better**
* Experience building and scaling developer tools, APIs, platforms, or infrastructure products
* Familiarity with LLMs, AI agent systems, prompt engineering, or building products on top of AI capabilities
* Familiarity with asynchronous programming and building scalable systems
* Experience with observability, data visualization, or analytics products
* History of establishing technical standards, design patterns, or architectural principles adopted across teams
**Benefits:**
* Medical, dental, and vision benefits
* Take what you need vacation policy
* Daily lunches, dinners and snacks in the office to keep you at your best
**Compensation**
$300K – $430K \+ Offers Equity
Compensation Range: $300K \- $430K</t>
        </is>
      </c>
    </row>
    <row r="50">
      <c r="A50" t="inlineStr">
        <is>
          <t>in-ce6e9a4bc0709ee7</t>
        </is>
      </c>
      <c r="B50" t="inlineStr">
        <is>
          <t>Senior Software Engineer, Agent Building</t>
        </is>
      </c>
      <c r="C50" t="inlineStr">
        <is>
          <t>Decagon</t>
        </is>
      </c>
      <c r="D50" t="inlineStr">
        <is>
          <t>indeed</t>
        </is>
      </c>
      <c r="E50">
        <f>HYPERLINK("https://www.indeed.com/viewjob?jk=ce6e9a4bc0709ee7", "https://www.indeed.com/viewjob?jk=ce6e9a4bc0709ee7")</f>
        <v/>
      </c>
      <c r="F50">
        <f>HYPERLINK("https://jobs.ashbyhq.com/decagon/dc7c3b51-5be0-4890-a481-5bb200df48eb?utm_source=mzlB4L64Bb", "https://jobs.ashbyhq.com/decagon/dc7c3b51-5be0-4890-a481-5bb200df48eb?utm_source=mzlB4L64Bb")</f>
        <v/>
      </c>
      <c r="G50" t="inlineStr">
        <is>
          <t>San Francisco, CA, US</t>
        </is>
      </c>
      <c r="H50" s="2" t="n">
        <v>46043</v>
      </c>
      <c r="I50" t="inlineStr">
        <is>
          <t>**About Decagon**
Decagon is the leading conversational AI platform empowering every brand to deliver concierge customer experience. Our AI agents provide intelligent, human\-like responses across chat, email, and voice, resolving millions of customer inquiries across every language and at any time.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
We’re an in\-office company, driven by a shared commitment to excellence and velocity. Our values—*customers are everything*, *relentless momentum*, *winner’s mindset*, and *stronger together*—shape how we work and grow as a team.
**About the Team**
The Agent Building team creates the platform that customers use to build, maintain, and improve their AI agents. We transform complex engineering work into intuitive self\-serve products, making sophisticated AI capabilities accessible to both technical and non\-technical Customer Experience teams.
**About the Role**
You'll be a full\-stack product engineer building the tools that empower customers to create and optimize their AI agents. This means working closely with the Agent Software Engineering and Agent PM teams to understand current workflows, then designing elegant abstractions and interfaces that scale those capabilities across our customer base. You’ll work day\-to\-day with the core product and design teams, joining discovery, defining requirements, reviewing designs, and iterating through launch.
**In this role, you will**
* Eliminate manual engineering work by building self\-serve functionality for agent configuration, training, and deployment
* Create AI\-powered tools that enable non\-technical teams to create and manage sophisticated workflows without writing code
* Design configuration abstractions that balance power and simplicity \- handling diverse use cases while remaining accessible to non\-technical teams
* Build monitoring and analytics that surface actionable insights, helping customers identify where their agents can improve
* Own features end\-to\-end, from technical architecture through deployment and iteration
**Your background looks something like this**
* 4\+ years building full\-stack software products with strong product thinking
* Proficient in TypeScript and/or Python, comfortable working across the entire stack
* Experience translating complex technical capabilities into simple, usable interfaces
* Track record of balancing technical excellence with pragmatic shipping
**Even better**
* Experience building developer tools, APIs, platforms, or internal tools that became customer\-facing
* Background with LLMs, prompt engineering, or AI agent systems
* Familiarity with asynchronous programming and building scalable systems
* Experience with observability, data visualization, or analytics products
**Benefits**
* Medical, dental, and vision benefits
* Take what you need vacation policy
* Daily lunches, dinners, and snacks in the office to keep you at your best
**Compensation**
$250K – $330K \+ Offers Equity
Compensation Range: $250K \- $330K</t>
        </is>
      </c>
    </row>
    <row r="51">
      <c r="A51" t="inlineStr">
        <is>
          <t>in-60ca609a8b81ce11</t>
        </is>
      </c>
      <c r="B51" t="inlineStr">
        <is>
          <t>Senior Software Engineer, Agent Building</t>
        </is>
      </c>
      <c r="C51" t="inlineStr">
        <is>
          <t>Decagon</t>
        </is>
      </c>
      <c r="D51" t="inlineStr">
        <is>
          <t>indeed</t>
        </is>
      </c>
      <c r="E51">
        <f>HYPERLINK("https://www.indeed.com/viewjob?jk=60ca609a8b81ce11", "https://www.indeed.com/viewjob?jk=60ca609a8b81ce11")</f>
        <v/>
      </c>
      <c r="F51">
        <f>HYPERLINK("https://jobs.ashbyhq.com/decagon/dc7c3b51-5be0-4890-a481-5bb200df48eb?utm_source=mzlB4L64Bb", "https://jobs.ashbyhq.com/decagon/dc7c3b51-5be0-4890-a481-5bb200df48eb?utm_source=mzlB4L64Bb")</f>
        <v/>
      </c>
      <c r="G51" t="inlineStr">
        <is>
          <t>New York, NY, US</t>
        </is>
      </c>
      <c r="H51" s="2" t="n">
        <v>46043</v>
      </c>
      <c r="I51" t="inlineStr">
        <is>
          <t>**About Decagon**
Decagon is the leading conversational AI platform empowering every brand to deliver concierge customer experience. Our AI agents provide intelligent, human\-like responses across chat, email, and voice, resolving millions of customer inquiries across every language and at any time.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
We’re an in\-office company, driven by a shared commitment to excellence and velocity. Our values—*customers are everything*, *relentless momentum*, *winner’s mindset*, and *stronger together*—shape how we work and grow as a team.
**About the Team**
The Agent Building team creates the platform that customers use to build, maintain, and improve their AI agents. We transform complex engineering work into intuitive self\-serve products, making sophisticated AI capabilities accessible to both technical and non\-technical Customer Experience teams.
**About the Role**
You'll be a full\-stack product engineer building the tools that empower customers to create and optimize their AI agents. This means working closely with the Agent Software Engineering and Agent PM teams to understand current workflows, then designing elegant abstractions and interfaces that scale those capabilities across our customer base. You’ll work day\-to\-day with the core product and design teams, joining discovery, defining requirements, reviewing designs, and iterating through launch.
**In this role, you will**
* Eliminate manual engineering work by building self\-serve functionality for agent configuration, training, and deployment
* Create AI\-powered tools that enable non\-technical teams to create and manage sophisticated workflows without writing code
* Design configuration abstractions that balance power and simplicity \- handling diverse use cases while remaining accessible to non\-technical teams
* Build monitoring and analytics that surface actionable insights, helping customers identify where their agents can improve
* Own features end\-to\-end, from technical architecture through deployment and iteration
**Your background looks something like this**
* 4\+ years building full\-stack software products with strong product thinking
* Proficient in TypeScript and/or Python, comfortable working across the entire stack
* Experience translating complex technical capabilities into simple, usable interfaces
* Track record of balancing technical excellence with pragmatic shipping
**Even better**
* Experience building developer tools, APIs, platforms, or internal tools that became customer\-facing
* Background with LLMs, prompt engineering, or AI agent systems
* Familiarity with asynchronous programming and building scalable systems
* Experience with observability, data visualization, or analytics products
**Benefits**
* Medical, dental, and vision benefits
* Take what you need vacation policy
* Daily lunches, dinners, and snacks in the office to keep you at your best
**Compensation**
$250K – $330K \+ Offers Equity
Compensation Range: $250K \- $330K</t>
        </is>
      </c>
    </row>
    <row r="52">
      <c r="A52" t="inlineStr">
        <is>
          <t>in-745918cff31b0003</t>
        </is>
      </c>
      <c r="B52" t="inlineStr">
        <is>
          <t>Sr. Cybersecurity Software Engineer II (6106)</t>
        </is>
      </c>
      <c r="C52" t="inlineStr">
        <is>
          <t>Metrostar Systems</t>
        </is>
      </c>
      <c r="D52" t="inlineStr">
        <is>
          <t>indeed</t>
        </is>
      </c>
      <c r="E52">
        <f>HYPERLINK("https://www.indeed.com/viewjob?jk=745918cff31b0003", "https://www.indeed.com/viewjob?jk=745918cff31b0003")</f>
        <v/>
      </c>
      <c r="F52">
        <f>HYPERLINK("https://grnh.se/yh9bmnrg3us", "https://grnh.se/yh9bmnrg3us")</f>
        <v/>
      </c>
      <c r="G52" t="inlineStr">
        <is>
          <t>Tysons, VA, US</t>
        </is>
      </c>
      <c r="H52" s="2" t="n">
        <v>46043</v>
      </c>
      <c r="I52" t="inlineStr">
        <is>
          <t>As a **Sr. Cybersecurity Software Engineer II**, you'll design and develop technical architecture components enabling application teams to integrate with zero trust authentication and authorization services. You will work closely with application developers, security architects, and infrastructure teams to build secure\-by\-design integration patterns and accelerate adoption of zero trust principles across the enterprise.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develop, and maintain reusable frameworks, libraries, APIs, and reference implementations for zero trust authentication and authorization.
* Create developer guides, documentation, and best practices to enable smooth integration with security services.
* Implement and support fine\-grained authorization patterns (entitlements, row\-level security, ABAC).
* Collaborate with architects and engineers to ensure security services meet performance, usability, and compliance requirements.
* Conduct code reviews and provide guidance to development teams on secure coding and integration practices.
* Research emerging zero trust and identity/access management technologies to recommend improvements.
**What you'll need to succeed:**
* Minimum 7 years professional experience in software engineering, security engineering, or related roles.
* Bachelors degree OR experience may used in lieu of degree.
* Must have an active TS, and the ability to obtain and maintain a TS/SCI CI Poly.
* Experience designing, developing, and deploying application components leveraging AWS cloud services in IL6\+ classified environments.
* Proven experience implementing authentication and authorization frameworks (e.g., OAuth 2\.0, OIDC, SAML).
* Hands\-on expertise with fine\-grained access control models (entitlements, row\-level security, ABAC).
* Strong proficiency in at least one programming language (e.g., Java, Go, Python) for building frameworks and libraries.
* Solid experience with zero trust architecture and principles.
* Experience creating developer documentation and integration guides.
* Strong grasp of secure coding practices and software development lifecycle (SDLC) security.
SALARY RANGE: $133,000 \- $161,000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53">
      <c r="A53" t="inlineStr">
        <is>
          <t>in-de95b1040efb4d61</t>
        </is>
      </c>
      <c r="B53" t="inlineStr">
        <is>
          <t>Lead Software Engineer - Environments (Dev Infra)</t>
        </is>
      </c>
      <c r="C53" t="inlineStr">
        <is>
          <t>Klaviyo</t>
        </is>
      </c>
      <c r="D53" t="inlineStr">
        <is>
          <t>indeed</t>
        </is>
      </c>
      <c r="E53">
        <f>HYPERLINK("https://www.indeed.com/viewjob?jk=de95b1040efb4d61", "https://www.indeed.com/viewjob?jk=de95b1040efb4d61")</f>
        <v/>
      </c>
      <c r="F53">
        <f>HYPERLINK("https://grnh.se/y2lwkzdv3us", "https://grnh.se/y2lwkzdv3us")</f>
        <v/>
      </c>
      <c r="G53" t="inlineStr">
        <is>
          <t>Boston, MA, US</t>
        </is>
      </c>
      <c r="H53" s="2" t="n">
        <v>46043</v>
      </c>
      <c r="I53"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**Why You Should Join the Environments Team**
Join our mission to revolutionize developer velocity by removing the friction of infrastructure management. As the Lead Software Engineer for the Environments team, you will be a hands\-on technical leader responsible for the tools and systems that allow our engineers to spin up fully provisioned, short\-lived environments instantly. You will bridge the gap between local development and production\-scale testing, ensuring that our 'reproducible anywhere' philosophy translates into high\-quality code delivery. From refining local workflows to scaling our ephemeral environment platform, you will design, code, and ship the foundational systems that empower every engineer at the company to test and deploy with confidence.
**What You'll Achieve: Key Responsibilities**
You will be the primary technical driver behind our environment strategy, focusing on making "production\-parity" accessible to every engineer:
* **Technical Leadership:** Act as the Lead Individual Contributor (IC) and subject matter expert for environment orchestration, mentoring other engineers and championing a culture of seamless, on\-demand testing.
* **Architecture \&amp; Scalability:** Lead the design and evolution of our existing platform to support complex, multi\-service architectures, ensuring environments are isolated, secure, and performant.
* **Abstract Complexity:** Productize our internal infrastructure by architecting self\-service tools that automate the heavy lifting of service provisioning. You will eliminate manual setup and 'it works on my machine' hurdles, enabling developers to focus their energy on building world\-class application logic and UX.
* **Drive Reproducibility:** Future\-proof the platform by exploring "reproducible anywhere" capabilities, enabling these short\-lived environments to run seamlessly across cloud providers and local development setups.
* **Optimize E2E \&amp; Manual Testing:** Partner with QA and Product teams to ensure ephemeral environments are the gold standard for end\-to\-end testing and stakeholder reviews.
* **Operational Excellence:** Define standards for environment lifecycle management, including automated cleanup (reaping), cost\-tracking, and observability for transient infrastructure.
### **What Makes This Role Exciting**
* **Hot Start \&amp; High Impact:** This project already exists and has momentum. Your first 90 days will involve taking the reins of a functional system and identifying the architectural leaps needed to bring it into the future.
* **Shape the Future of DevEx:** You will define how a rapidly growing engineering organization interacts with infrastructure. You aren't just managing servers; you are building a product where the "customers" are your fellow engineers.
* **Ownership and Ambition:** As a Lead IC, you have significant autonomy to choose the right tools and patterns. You'll solve complex problems like data sanitization for test environments and service mesh routing that directly impact company\-wide velocity.
**Who You Are:**
* **7\+ years of software engineering experience**, with a recent focus on Platform Engineering, Cloud Infrastructure, or Full\-Stack Development.
* Architectural Visionary: You have a proven track record of leading large\-scale technical projects as an individual contributor, navigating complexity without needing a management title.
* **Architectural Visionary \&amp; Lead Individual Contributor:** You have a proven track record of leading large\-scale technical projects. You are a "Lead by doing" engineer who prefers to be in the IDE, navigating complexity through direct implementation rather than just management.
* **Full\-Stack Practitioner:** You are a hands\-on expert across the stack. You can build intuitive, self\-service interfaces in React and TypeScript just as effectively as you develop robust, scalable backend services in Python/Django.
* **Cloud \&amp; Orchestration Expert:** Deep hands\-on experience with Kubernetes, Terraform, and the AWS ecosystem (EC2, RDS, Networking).
* **Internal Product Mindset:** You treat your platform as a product. You are obsessed with making it easy for other engineering teams to onboard their specific products and services into our environments with minimal manual configuration.
* **AI Enthusiast:** You are excited about using AI to accelerate the SDLC. You see ephemeral environments as the key to unlocking automated AI testing and faster time\-to\-completion for features.
* You've already experimented with AI in work or personal projects, and you're excited to dive in and learn fast. You're hungry to responsibly explore new AI tools and workflows, finding ways to make your work smarter and more efficient.
* **Quality \&amp; Testing Mindset:** You understand the nuances of E2E testing and how high\-fidelity environments are the secret ingredient to preventing production regressions.
**Technologies we use (not exhaustive):**
* **Backend:** Python, Django, Celery, Go
* **Infrastructure:** AWS (EKS, RDS, Aurora), Kubernetes, Terraform, Helm
* **Data \&amp; Messaging:** MySQL, Redis, Pulsar, Kafka
* **AI Tools:** Integration with Claude, Cursor, Copilot, or internal AI enablement frameworks
* **Frontend:** React, TypeScript, JavaScript, HTML, CSS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application.***You can find our Job Applicant Privacy Notice* *here* *and* *here* *(FR).*</t>
        </is>
      </c>
    </row>
    <row r="54">
      <c r="A54" t="inlineStr">
        <is>
          <t>in-e6badbfcf995b6e1</t>
        </is>
      </c>
      <c r="B54" t="inlineStr">
        <is>
          <t>Staff Software Engineer</t>
        </is>
      </c>
      <c r="C54" t="inlineStr">
        <is>
          <t>Fetch</t>
        </is>
      </c>
      <c r="D54" t="inlineStr">
        <is>
          <t>indeed</t>
        </is>
      </c>
      <c r="E54">
        <f>HYPERLINK("https://www.indeed.com/viewjob?jk=e6badbfcf995b6e1", "https://www.indeed.com/viewjob?jk=e6badbfcf995b6e1")</f>
        <v/>
      </c>
      <c r="F54">
        <f>HYPERLINK("https://grnh.se/xx3a4rx53us", "https://grnh.se/xx3a4rx53us")</f>
        <v/>
      </c>
      <c r="G54" t="inlineStr">
        <is>
          <t>Madison, WI, US</t>
        </is>
      </c>
      <c r="H54" s="2" t="n">
        <v>46043</v>
      </c>
      <c r="I54" t="inlineStr">
        <is>
          <t>**What we're building and why we're building it.**
Every month, millions of people use Fetch earning rewards for buying brands they love, and a whole lot more. Whether shopping in the grocery aisle, grabbing a bite at the drive\-through or playing a favorite mobile game, Fetch empowers consumers to live rewarded throughout their day. To date, we've delivered more than $1 billion in rewards and earned more than 5 million five\-star reviews from happy users.
It's not just our users who believe in Fetch: with investments from SoftBank, Univision, and Hamilton Lane, and partnerships ranging from challenger brands to Fortune 500 companies, Fetch is reshaping how brands and consumers connect in the marketplace. When you work at Fetch, you play a vital role in a platform that drives brand loyalty and creates lifelong consumers with the power of Fetch points. User and partner success are at the heart of everything we do, and we extend that same commitment to our employees.
At Fetch, we value curiosity, adaptability, and the confidence to explore new tools, especially AI, to drive smarter, faster work. You don't need to be an expert, but you should be ready to learn quickly and think critically. We welcome learners who move fast, challenge the status quo, and shape what's next, with us. Ranked as one of America's Best Startup Employers by Forbes for two years in a row, Fetch fosters a people\-first culture rooted in trust, accountability, and innovation. We encourage our employees to challenge ideas, think bigger, and always bring the fun to Fetch.
*Fetch is an equal employment opportunity employer.*
**Meet Fetch Engineering:**
At Fetch, we are passionate about solving challenging problems and embracing ambiguity. Our engineering philosophy promotes adaptability and innovation over rigid adherence to rules. Our engineers thrive in complex environments, making well\-informed decisions even in uncertain situations. We seek out the necessary information and focus on action and impact, while consistently upholding high technical standards. In this role, you will be a technical leader, shaping best practices to build world\-class, user\-facing technology. You will mentor fellow engineers, fostering technical growth and collaboration within the team. As a hands\-on leader, you will actively contribute to the codebase and deliver features alongside your team.
**About the Role**
------------------
Fetch's Core Services team is building the next generation of support experiences, powered by an LLM, grounded in trusted data, and designed with safety and accountability from day one. This work is user\-facing and directly shapes how quickly and accurately customers get help, and how confidently agents can resolve issues.
We're hiring a Staff Backend Engineer to design and evolve the systems behind an LLM\-enabled support toolchain. You'll build the backend architecture that allows a chatbot or LLM to make personalized, data\-driven determinations about ticket type and recommended resolutions, while ensuring all actions, such as awarding points, are initially routed to human agents for review and approval. Recommendations will be evaluated for accuracy, monitored over time, and progressively unlocked so that in a later phase, ticket types that consistently meet accuracy and safety thresholds can be resolved end to end through automation with strong safeguards and auditability.
This is a high\-impact role at the intersection of backend systems, data, and applied AI, where reliability, observability, and responsible automation are non\-negotiable.
This is a full\-time role that can be held from one of our US offices or remotely in the United States.
**Responsibilities**
--------------------
* Design and scale core services for LLM\-driven support tooling by building modular systems that classify customer issues, recommend ticket types, and propose resolution paths using real\-time, trusted data.
* Build user\-facing and agent\-facing APIs for support decisioning by developing well\-structured APIs that support consistent ticket intake, enrichment, routing, and recommendation outputs across automated chat surfaces and internal agent tools.
* Implement a secure customer context retrieval layer by building services that assemble only the necessary contextual data with strict access controls, PII minimization, and auditing, enabling safe, data\-driven personalization.
* Build human\-in\-the\-loop workflows for action approval by designing mechanisms that route LLM recommendations to agents for review with clear rationale, supporting evidence, and suggested responses, ensuring humans remain the final approvers in early phases.
* Develop evaluation, monitoring, and observability for LLM\-powered support by instrumenting tracing, structured logs, and metrics to monitor end\-to\-end flows including latency, success rate, recommendation acceptance rate, accuracy, escalation rate, and error modes, and by enabling offline evaluation and controlled online experiments.
* Enable phased automation with confidence gates and risk controls by building a path to no\-human\-in\-the\-loop execution for specific ticket types only after defined accuracy and safety thresholds are met, with safeguards including confidence scoring, tiered permissions, rate limiting, anomaly detection, kill switches, and comprehensive audit trails.
* Partner across Support, Product, Data Science/ML, and Risk/Compliance to define what "accuracy" and "safe automation" mean, establish review processes, align on policies, and ensure the system meets operational and regulatory requirements.
* Raise the bar on backend architecture, reliability, privacy and security, and responsible automation patterns, helping the team build systems that are both fast to iterate and safe to deploy at scale.
**Minimum Qualifications**
--------------------------
* 8\+ years of experience designing, building, and operating backend systems that support critical, user\-facing workflows at scale.
* Demonstrated ownership of backend architecture for complex, multi\-service systems, including long\-term evolution, failure modes, and operational maturity.
* Deep expertise in API design and service boundaries for decisioning systems that ingest signals, enrich context, and produce deterministic, explainable outcomes.
* Proven experience building secure data access layers that aggregate sensitive customer data with strict authorization, PII minimization, and auditable access patterns.
* Strong track record of designing systems with explicit human\-in\-the\-loop controls, approvals, and escalation paths for high\-impact actions.
* Hands\-on experience instrumenting production systems with end\-to\-end observability, including traceability of decisions, accuracy signals, and error analysis.
* Ability to independently translate ambiguous product and policy requirements into robust backend designs with clear risk tradeoffs.
* Demonstrated influence beyond direct ownership, including mentoring senior engineers and setting engineering standards for reliability, safety, and maintainability.
**Preferred Qualifications**
----------------------------
* Direct experience building backend platforms that integrate LLMs or ML models into real\-time decisioning or recommendation workflows.
* Experience defining and operationalizing accuracy, confidence scoring, and acceptance thresholds for automated or semi\-automated systems.
* Background in building systems that transition from human\-reviewed actions to gated automation with explicit risk controls and rollback mechanisms.
* Experience in domains where correctness, explainability, and auditability are mandatory, such as support tooling, trust \&amp; safety, fraud, payments, or compliance.
* Familiarity with retrieval patterns that safely provide contextual data to models, including RAG, tool invocation, or structured prompting pipelines.
* Experience designing systems that support offline evaluation, shadow mode execution, and controlled production experiments.
* Prior Staff\- or Principal\-level experience driving architectural direction across teams or platforms.
**At Fetch, we'll give you the tools to feel healthy, happy and secure through:**
* **Equity:** We offer employees equity in Fetch, so that everyone can benefit from Fetch's growth.
* **401k Match:** Dollar\-for\-dollar match up to 4%.
* **Benefits for humans and pets**: We offer comprehensive medical, dental and vision plans for everyone including your pets.
* **Continuing Education**: Fetch provides ten thousand per year in education reimbursement.
* **Employee Resource Groups**: Take part in employee\-led groups that are centered around fostering a diverse and inclusive workplace through events, dialogue and advocacy. The ERGs participate in our Inclusion Council with members of executive leadership.
* **Paid Time Off:** On top of our flexible PTO, Fetch observes 9 paid holidays, including Juneteenth and Indigenous People's Day, as well as our year\-end week\-long break.
* **Robust Leave Policies:** 20 weeks of paid parental leave for primary caregivers, 14 weeks for secondary caregivers, and a flexible return to work schedule.
* **Calvin Care Cash**: Employees who are welcoming new family members will also receive a one time $2,000 incentive to assist employees with covering the cost of childcare, clothing, diapers and much more!
* **Flexible Work Environment**: Collaborate with your team in one of our stunning offices in Madison, Birmingham, or Chicago. Or you can work fully remotely from anywhere in the US. We'll ensure you are equally equipped with the hardware and software you need to get your job done in the comfort of your home.
Fetch is an equal opportunity employer that embraces diversity, inclusion, and respect for all individuals. We do not discriminate on the basis of race, color, religion, gender, gender identity or expression, sexual orientation, age, national origin, marital status, veteran status, disability, or any other characteristic protected by applicable law. Our commitment to inclusivity ensures that everyone is treated with dignity and has the opportunity to succeed based on their talent, skills, and potential.
Fetch also provides reasonable accommodations to qualified individuals with disabilities or those with sincerely held religious beliefs, as required by law. If you need assistance with the application process or require an accommodation, please contact us at accommodations@fetch.com.
**Learn more:** **Fetch Recruitment Scam Warning****.**</t>
        </is>
      </c>
    </row>
    <row r="55">
      <c r="A55" t="inlineStr">
        <is>
          <t>in-8f47102e02e55364</t>
        </is>
      </c>
      <c r="B55" t="inlineStr">
        <is>
          <t>Software Engineer, Execution Services</t>
        </is>
      </c>
      <c r="C55" t="inlineStr">
        <is>
          <t>Point72</t>
        </is>
      </c>
      <c r="D55" t="inlineStr">
        <is>
          <t>indeed</t>
        </is>
      </c>
      <c r="E55">
        <f>HYPERLINK("https://www.indeed.com/viewjob?jk=8f47102e02e55364", "https://www.indeed.com/viewjob?jk=8f47102e02e55364")</f>
        <v/>
      </c>
      <c r="F55">
        <f>HYPERLINK("https://careers.point72.com/CSJobDetail?jobName=software-engineer-execution-services&amp;jobCode=PIT-0014307&amp;location=New%20York&amp;locale=English&amp;retURL=/CSCareerSearch", "https://careers.point72.com/CSJobDetail?jobName=software-engineer-execution-services&amp;jobCode=PIT-0014307&amp;location=New%20York&amp;locale=English&amp;retURL=/CSCareerSearch")</f>
        <v/>
      </c>
      <c r="G55" t="inlineStr">
        <is>
          <t>New York, NY, US</t>
        </is>
      </c>
      <c r="H55" s="2" t="n">
        <v>46043</v>
      </c>
      <c r="I55" t="inlineStr">
        <is>
          <t>**EXPERIENCE**
Experienced Professionals
**LOCATION**
New York
**FOCUS**
Software \&amp; System Engineering
**BUSINESS**
Point72
### **A Career with Point72’s Technology Team**
 As Point72 reimagines the future of investing, our Technology team is constantly evolving our firm’s IT infrastructure and engineering capabilities, positioning us at the forefront of a rapidly evolving technology landscape. We’re a team of experts who experiment and work to discover new ways to harness open\-source solutions, modern cloud architectures, and sophisticated Artificial Intelligence (AI) solutions, while embracing enterprise agile methodologies. Our commitment to building and innovating in the AI space provides the framework intended to drive smarter decision making and enhance how we build and operate our platforms and applications.
As a member of Point72’s Technology team, we encourage and support your professional development from day one—helping you advance your technical skills, contribute innovative ideas, and satisfy your own intellectual curiosity—all while delivering real business impact for our multi\-billion\-dollar global business.
### **What you’ll do**
* Design, build, and maintain React and TypeScript applications for order entry, blotters, dashboards, and risk/position views
* Implement real\-time, event\-driven UIs (WebSockets/streaming) that handle large, rapidly updating datasets with low latency
* Develop reusable component libraries and contribute to a shared design system, ensuring accessibility, consistent theming, and responsive designOptimize application performance by implementing strategies such as data virtualization, memorization, concurrent processing, efficient network usage, and rendering improvements to ensure smooth and responsive user experiences
* Integrate front\-end applications with market data feeds, order and execution management systems (OMS/EMS), and internal APIs by collaborating closely with backend engineers to define and refine data contracts
* Develop and maintain reliable automated tests—such as unit, integration, and end\-to\-end tests—and manage deployments using CI/CD pipelines, feature flags, and comprehensive monitoring tools to ensure stability and quality in production
* Work directly with traders and product stakeholders to gather business requirements, present demos, receive feedback, and rapidly iterate on features to meet evolving business needs
* Uphold engineering best practices, including code reviews, documentation, security, and accessibility (WCAG/ARIA)
* Help modernize or interoperate with Angular\-based applications where needed
* Mentor teammates, share knowledge, and contribute to technical roadmaps
### **What’s required**
* 5\+ years of experience building modern web applications, and 3\+ years of experience with React and TypeScript in production
* Experience successfully delivering complex, high‑performance user interfaces for trading platforms, market data visualization, or other real‑time finance\-based applications
* Deep fluency in TypeScript, React hooks, state management (Redux Toolkit, Zustand, MobX, or RxJS), and component architecture
* Experience building high\-performance data grids, charts, and dashboards, and comfortability with virtualization and diffing strategies
* Experience with streaming patterns like WebSockets and Server\-Sent Events
* Familiarity with Observables/RxJS
* Proficient with testing tools (Jest, React Testing Library, Cypress/Playwright) and modern build tooling (Vite/Webpack, ESLint, Prettier)
* Strong understanding of modern web browsers, including their rendering pipelines, asynchronous programming patterns, use of Web Workers, handling of local storage, and adherence to security best practices.
* Excellent communication skills with the ability to translate trader needs into specs, reduce ambiguity, and drive alignment across engineering, product, and UX
* Strong problem\-solving skills, an ownership mindset, and calm execution under time\-sensitive conditions
* Commitment to the highest ethical standards
### **We take care of our people**
We invest in our people, their careers, their health, and their well\-being. When you work here, we provide:
* Fully\-paid health care benefits
* Generous parental and family leave policies
* Mental and physical wellness programs
* Volunteer opportunities
* Non\-profit matching gift program
* Support for employee\-led affinity groups representing women, minorities and the LGBTQ\+ community
* Tuition assistance
* A 401(k) savings program with an employer match and more
### **About Point72**
Point72 is a leading global alternative investment firm led by Steven A. Cohen. Building on more than 30 years of investing experience, Point72 seeks to deliver superior returns for its investors through fundamental and systematic investing strategies across asset classes and geographies. We aim to attract and retain the industry’s brightest talent by cultivating an investor\-led culture and committing to our people’s long\-term growth. For more information, visit **https://point72\.com/**.
The annual base salary range for this role is $175,000\-$245,000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t>
        </is>
      </c>
    </row>
    <row r="56">
      <c r="A56" t="inlineStr">
        <is>
          <t>in-68d11203dd5a65e0</t>
        </is>
      </c>
      <c r="B56" t="inlineStr">
        <is>
          <t>Manager, Software Engineering</t>
        </is>
      </c>
      <c r="C56" t="inlineStr">
        <is>
          <t>Bridgeway Benefit Technologies</t>
        </is>
      </c>
      <c r="D56" t="inlineStr">
        <is>
          <t>indeed</t>
        </is>
      </c>
      <c r="E56">
        <f>HYPERLINK("https://www.indeed.com/viewjob?jk=68d11203dd5a65e0", "https://www.indeed.com/viewjob?jk=68d11203dd5a65e0")</f>
        <v/>
      </c>
      <c r="F56">
        <f>HYPERLINK("https://grnh.se/45j6jyf62us", "https://grnh.se/45j6jyf62us")</f>
        <v/>
      </c>
      <c r="G56" t="inlineStr">
        <is>
          <t>Maple Shade, NJ, US</t>
        </is>
      </c>
      <c r="H56" s="2" t="n">
        <v>46043</v>
      </c>
      <c r="I56" t="inlineStr">
        <is>
          <t>Bridgeway is seeking an experienced **Manager, Software Engineering** to lead and mentor a team of engineers, drive best practices, and ensure the successful delivery of software solutions. The ideal candidate will have a strong technical background, leadership experience, and a passion for building high\-quality products in a fast\-paced environment.
The is a remote position with preference given to East Coast candidates.
**Responsibilities:**
* Collaborate closely with engineering, product, and business leaders to align technical execution with business goals.
* Foster a culture of technical excellence, continuous learning, and innovation within the team.
* Drive best practices for software development, including code reviews, testing, and CI/CD pipelines.
* Ensure timely delivery of high\-quality software solutions in an agile environment.
* Mentor and develop engineers, helping them grow their skills and advance their careers.
* Lead and manage a team of software engineers to develop scalable, secure, and high\-performance applications \- including hiring, training, and completing performance evaluations.
* Work closely with architecture and platform teams to align on technical strategies and implementation.
* Promote cross\-functional collaboration.
* Monitor KPIs and metrics to report out monthly to the CTO's leadership team.
* Stay current with emerging technologies and industry trends and integrate relevant innovations into the company's IT infrastructure.
* Participating in software solution design and architecture.
* Ensuring code quality through unit testing and automated testing frameworks.
* Working with other developers, stakeholders, and clients to understand requirements and deliver solutions.
* Providing technical support and troubleshooting issues.
* Creating and maintaining documentation throughout the software development lifecycle.
**Qualifications:**
* 7\+ years of experience in software development, with at least 3 years in a leadership role.
* Strong background in building and maintaining SaaS applications at scale.
* Hands\-on experience with Azure and modern development practices.
* Strong understanding of the .NET framework, ASP.NET, and related technologies.
* Knowledge of database design and SQL.
* Familiarity with version control systems, Git preferred.
* Experience with Agile methodologies, DevOps, and CI/CD best practices.
* Excellent leadership, communication, and stakeholder management skills.
* Ability to balance technical leadership with business priorities and team dynamics.
* Experience with AI/ML, data engineering, or serverless computing.
* Bachelor's degree in Information Technology, Computer Science, or a related field.
Bridgeway is an equal opportunity employer.</t>
        </is>
      </c>
    </row>
    <row r="57">
      <c r="A57" t="inlineStr">
        <is>
          <t>in-d2ed104a6d5392e6</t>
        </is>
      </c>
      <c r="B57" t="inlineStr">
        <is>
          <t>Senior Software Engineer, Backend</t>
        </is>
      </c>
      <c r="C57" t="inlineStr">
        <is>
          <t>Motive</t>
        </is>
      </c>
      <c r="D57" t="inlineStr">
        <is>
          <t>indeed</t>
        </is>
      </c>
      <c r="E57">
        <f>HYPERLINK("https://www.indeed.com/viewjob?jk=d2ed104a6d5392e6", "https://www.indeed.com/viewjob?jk=d2ed104a6d5392e6")</f>
        <v/>
      </c>
      <c r="F57">
        <f>HYPERLINK("https://grnh.se/zr4oyr362us", "https://grnh.se/zr4oyr362us")</f>
        <v/>
      </c>
      <c r="G57" t="inlineStr">
        <is>
          <t>San Francisco, CA, US</t>
        </is>
      </c>
      <c r="H57" s="2" t="n">
        <v>46043</v>
      </c>
      <c r="I57" t="inlineStr">
        <is>
          <t>**Who we are:**
Motive empowers the people who run physical operations with tools to make their work safer, more productive, and more profitable. For the first time ever, safety, operations and finance teams can manage their drivers, vehicles, equipment, and fleet related spend in a single system. Combined with industry leading AI, the Motive platform gives you complete visibility and control, and significantly reduces manual workloads by automating and simplifying tasks.
Motive serves nearly 100,000 customers – from Fortune 500 enterprises to small businesses – across a wide range of industries, including transportation and logistics, construction, energy, field service, manufacturing, agriculture, food and beverage, retail, and the public sector.
Visit gomotive.com to learn more.
### **About the Role:**
As a Senior Software Engineer, you will be responsible for designing and building products that will modernize the Compliance, Fleet, and Driver management solutions for our Enterprise and Public Sector customers to increase productivity, and more importantly to keep the roads safe. As part of this role you will build scalable infrastructure, APIs/services and work with a team that is passionate and makes an impact on the trucking industry which is the driving force of the economy. We are looking for accomplished engineers to not just deliver products to bolster Motive's success in providing Enterprise and Public Sector solutions, but to go beyond using the latest technologies.
### **What You'll Do:**
* Collaborate across teams to design, deliver and support scalable product features
* Make scalable design choices, while championing quality and simplicity
* Leverage AI tools such as Cursor, CoPilot to increase productivity and code quality
* Build appropriate monitoring, logging, debugging for the health of the system
* Mentor and learn from the developers within the engineering organisation.
### **What We're Looking For:**
* A degree in computer science, software engineering, or a related field
* 6\+ years software development experience
* Experience building product infrastructure, distributed systems and data models
* Experience in Ruby on Rails, Go Lang, Java, Javascript/Node.js or similar language
* Experience with relational and NoSQL databases such as PostgreSQL, DynamoDB, Redis, and Cassandra
* Experience building for Cloud Infrastructure such as AWS, GCP, Azure or private clouds
 This is a **hybrid role**, with the expectation of being in the San Francisco office 2 days per week.
*Creating a diverse and inclusive workplace is one of Motive's core values. We are an equal opportunity employer and welcome people of different backgrounds, experiences, abilities and perspectives.*
*Please review our Candidate Privacy Notice* *here**.*
*UK Candidate Privacy Notice* *here**.*
*The applicant must be authorized to receive and access those commodities and technologies controlled under U.S. Export Administration Regulations.* *It is Motive's policy to require that employees be authorized to receive access to Motive products and technology.*</t>
        </is>
      </c>
    </row>
    <row r="58">
      <c r="A58" t="inlineStr">
        <is>
          <t>in-9b30e1137516c31a</t>
        </is>
      </c>
      <c r="B58" t="inlineStr">
        <is>
          <t>Senior Software Engineer, Backend</t>
        </is>
      </c>
      <c r="C58" t="inlineStr">
        <is>
          <t>Motive</t>
        </is>
      </c>
      <c r="D58" t="inlineStr">
        <is>
          <t>indeed</t>
        </is>
      </c>
      <c r="E58">
        <f>HYPERLINK("https://www.indeed.com/viewjob?jk=9b30e1137516c31a", "https://www.indeed.com/viewjob?jk=9b30e1137516c31a")</f>
        <v/>
      </c>
      <c r="F58">
        <f>HYPERLINK("https://grnh.se/u8yr09w62us", "https://grnh.se/u8yr09w62us")</f>
        <v/>
      </c>
      <c r="G58" t="inlineStr">
        <is>
          <t>San Francisco, CA, US</t>
        </is>
      </c>
      <c r="H58" s="2" t="n">
        <v>46043</v>
      </c>
      <c r="I58" t="inlineStr">
        <is>
          <t>**Who we are:**
Motive empowers the people who run physical operations with tools to make their work safer, more productive, and more profitable. For the first time ever, safety, operations and finance teams can manage their drivers, vehicles, equipment, and fleet related spend in a single system. Combined with industry leading AI, the Motive platform gives you complete visibility and control, and significantly reduces manual workloads by automating and simplifying tasks.
Motive serves nearly 100,000 customers – from Fortune 500 enterprises to small businesses – across a wide range of industries, including transportation and logistics, construction, energy, field service, manufacturing, agriculture, food and beverage, retail, and the public sector.
Visit gomotive.com to learn more.
### **About the Role:**
As a Senior Software Engineer, you will be responsible for designing and building products that will modernize the Compliance, Fleet, and Driver management solutions for our Enterprise and Public Sector customers to increase productivity, and more importantly to keep the roads safe. As part of this role you will build scalable infrastructure, APIs/services and work with a team that is passionate and makes an impact on the trucking industry which is the driving force of the economy. We are looking for accomplished engineers to not just deliver products to bolster Motive's success in providing Enterprise and Public Sector solutions, but to go beyond using the latest technologies.
### **What You'll Do:**
* Collaborate across teams to design, deliver and support scalable product features
* Make scalable design choices, while championing quality and simplicity
* Leverage AI tools such as Cursor, CoPilot to increase productivity and code quality
* Build appropriate monitoring, logging, debugging for the health of the system
* Mentor and learn from the developers within the engineering organisation.
### **What We're Looking For:**
* A degree in computer science, software engineering, or a related field
* 6\+ years software development experience
* Experience building product infrastructure, distributed systems and data models
* Experience in Ruby on Rails, Go Lang, Java, Javascript/Node.js or similar language
* Experience with relational and NoSQL databases such as PostgreSQL, DynamoDB, Redis, and Cassandra
* Experience building for Cloud Infrastructure such as AWS, GCP, Azure or private clouds
 This is a **hybrid role**, with the expectation of being in the San Francisco office 2 days per week.
*Creating a diverse and inclusive workplace is one of Motive's core values. We are an equal opportunity employer and welcome people of different backgrounds, experiences, abilities and perspectives.*
*Please review our Candidate Privacy Notice* *here**.*
*UK Candidate Privacy Notice* *here**.*
*The applicant must be authorized to receive and access those commodities and technologies controlled under U.S. Export Administration Regulations.* *It is Motive's policy to require that employees be authorized to receive access to Motive products and technology.*</t>
        </is>
      </c>
    </row>
    <row r="59">
      <c r="A59" t="inlineStr">
        <is>
          <t>in-6557dd276c15bfa2</t>
        </is>
      </c>
      <c r="B59" t="inlineStr">
        <is>
          <t>Senior Software Engineer II</t>
        </is>
      </c>
      <c r="C59" t="inlineStr">
        <is>
          <t>Compass</t>
        </is>
      </c>
      <c r="D59" t="inlineStr">
        <is>
          <t>indeed</t>
        </is>
      </c>
      <c r="E59">
        <f>HYPERLINK("https://www.indeed.com/viewjob?jk=6557dd276c15bfa2", "https://www.indeed.com/viewjob?jk=6557dd276c15bfa2")</f>
        <v/>
      </c>
      <c r="F59">
        <f>HYPERLINK("https://grnh.se/ndx6l4241us", "https://grnh.se/ndx6l4241us")</f>
        <v/>
      </c>
      <c r="G59" t="inlineStr">
        <is>
          <t>New York, NY, US</t>
        </is>
      </c>
      <c r="H59" s="2" t="n">
        <v>46043</v>
      </c>
      <c r="I59"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**About the Role**
As a Senior Software Engineer (Fullstack) focused on our Lifecycle Management team, you will use your experience with microservices based architecture to build products that deliver high business impact for our customers. You will lead design and develop services and data pipelines to support an industry leading platform experience while also supporting the growth of the world's most scalable brokerage.
You are an engineer who is passionate about creating well\-defined APIs that are easy to use. You feel it is critical that your voice is heard in product and business decisions. You love to learn, and equally love to share your knowledge with others. You are a great communicator and you take care to understand before making yourself understood.
You are adept at designing highly available, scalable, and fault\-tolerant systems that are well\-tested and follow best practices like the single responsibility principle and eventual consistency. You possess the full\-stack capability to operate on both the backend and frontend components of the application.
Your code is designed for modularity and re\-use. You take pride in delivering solid code that is well\-tested, peer\-reviewed, and follows best practices. You have strong opinions on code structure, style, and development processes.
**At Compass You Will:**
* Lead in the architecting of our distributed microservices architecture.
* Collaborate with designers to implement user interface designs.
* Operate in a scalable engineering culture that leverages modern principles of decoupled systems and automated CI/CD/testing/monitoring to drive efficiencies
* Write unit tests and integration tests for the delivered features
* Serve as a subject matter expert on monitoring and incident response
* Execute on standard agile development methodology, provide development estimates, and create descriptive jira tickets
* Join a great team with a lot of visibility and some challenging projects on the horizon
* Help with recruitment efforts, mentor your engineering colleagues, write technical documentation, and participate in our backend guilds
**What we look for:**
* 7\+ years of experience writing complete, well\-tested, database\-driven web applications
* 7\+ years of experience programming in languages like Java, Python, and Go (we use all three here at Compass)
* 5\+ years of experience with front end design frameworks such as React.
* Experience with multiple products life cycles, from idea conception to product release and maintenance
* Track record as a technical leader with cross\-team impact
* Experience designing larger systems: particularly web services and RESTful APIs, microservice architectures, and data ingestion with a particular emphasis of industry\-standard best practices
* Strong critical thinking skills, great communication skills and passion for delivering an operational excellence
* In\-depth understanding and hands\-on experience with PostgreSQL, DynamoDB, and Redis
* Experience with AWS services such as EC2, S3, Managed kubernetes, SQS, SNS, and Lambda
* Experience with Kafka and event\-driven systems
* BS in CS or EE or comparable job/training experience
**Compensation:** The base pay range for this position is $155K\-$197K annually;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row>
    <row r="60">
      <c r="A60" t="inlineStr">
        <is>
          <t>in-af5adfc03aa0d460</t>
        </is>
      </c>
      <c r="B60" t="inlineStr">
        <is>
          <t>Senior Software Engineer II</t>
        </is>
      </c>
      <c r="C60" t="inlineStr">
        <is>
          <t>Compass</t>
        </is>
      </c>
      <c r="D60" t="inlineStr">
        <is>
          <t>indeed</t>
        </is>
      </c>
      <c r="E60">
        <f>HYPERLINK("https://www.indeed.com/viewjob?jk=af5adfc03aa0d460", "https://www.indeed.com/viewjob?jk=af5adfc03aa0d460")</f>
        <v/>
      </c>
      <c r="F60">
        <f>HYPERLINK("https://grnh.se/w3e4ddr21us", "https://grnh.se/w3e4ddr21us")</f>
        <v/>
      </c>
      <c r="G60" t="inlineStr">
        <is>
          <t>Seattle, WA, US</t>
        </is>
      </c>
      <c r="H60" s="2" t="n">
        <v>46043</v>
      </c>
      <c r="I60"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**About the Role**
As a Senior Software Engineer (Fullstack) focused on our Lifecycle Management team, you will use your experience with microservices based architecture to build products that deliver high business impact for our customers. You will lead design and develop services and data pipelines to support an industry leading platform experience while also supporting the growth of the world's most scalable brokerage.
You are an engineer who is passionate about creating well\-defined APIs that are easy to use. You feel it is critical that your voice is heard in product and business decisions. You love to learn, and equally love to share your knowledge with others. You are a great communicator and you take care to understand before making yourself understood.
You are adept at designing highly available, scalable, and fault\-tolerant systems that are well\-tested and follow best practices like the single responsibility principle and eventual consistency. You possess the full\-stack capability to operate on both the backend and frontend components of the application.
Your code is designed for modularity and re\-use. You take pride in delivering solid code that is well\-tested, peer\-reviewed, and follows best practices. You have strong opinions on code structure, style, and development processes.
**At Compass You Will:**
* Lead in the architecting of our distributed microservices architecture.
* Collaborate with designers to implement user interface designs.
* Operate in a scalable engineering culture that leverages modern principles of decoupled systems and automated CI/CD/testing/monitoring to drive efficiencies
* Write unit tests and integration tests for the delivered features
* Serve as a subject matter expert on monitoring and incident response
* Execute on standard agile development methodology, provide development estimates, and create descriptive jira tickets
* Join a great team with a lot of visibility and some challenging projects on the horizon
* Help with recruitment efforts, mentor your engineering colleagues, write technical documentation, and participate in our backend guilds
**What we look for:**
* 7\+ years of experience writing complete, well\-tested, database\-driven web applications
* 7\+ years of experience programming in languages like Java, Python, and Go (we use all three here at Compass)
* 5\+ years of experience with front end design frameworks such as React.
* Experience with multiple products life cycles, from idea conception to product release and maintenance
* Track record as a technical leader with cross\-team impact
* Experience designing larger systems: particularly web services and RESTful APIs, microservice architectures, and data ingestion with a particular emphasis of industry\-standard best practices
* Strong critical thinking skills, great communication skills and passion for delivering an operational excellence
* In\-depth understanding and hands\-on experience with PostgreSQL, DynamoDB, and Redis
* Experience with AWS services such as EC2, S3, Managed kubernetes, SQS, SNS, and Lambda
* Experience with Kafka and event\-driven systems
* BS in CS or EE or comparable job/training experience
**Compensation:** The base pay range for this position is $155K\-$197K annually;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row>
    <row r="61">
      <c r="A61" t="inlineStr">
        <is>
          <t>in-7f94a964cc9369d7</t>
        </is>
      </c>
      <c r="B61" t="inlineStr">
        <is>
          <t>Senior Software Engineer II</t>
        </is>
      </c>
      <c r="C61" t="inlineStr">
        <is>
          <t>Compass Group</t>
        </is>
      </c>
      <c r="D61" t="inlineStr">
        <is>
          <t>indeed</t>
        </is>
      </c>
      <c r="E61">
        <f>HYPERLINK("https://www.indeed.com/viewjob?jk=7f94a964cc9369d7", "https://www.indeed.com/viewjob?jk=7f94a964cc9369d7")</f>
        <v/>
      </c>
      <c r="F61">
        <f>HYPERLINK("https://grnh.se/zygkh8il1us", "https://grnh.se/zygkh8il1us")</f>
        <v/>
      </c>
      <c r="G61" t="inlineStr">
        <is>
          <t>Boston, MA, US</t>
        </is>
      </c>
      <c r="H61" s="2" t="n">
        <v>46043</v>
      </c>
      <c r="I61"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**About the Role**
As a Senior Software Engineer (Fullstack) focused on our Lifecycle Management team, you will use your experience with microservices based architecture to build products that deliver high business impact for our customers. You will lead design and develop services and data pipelines to support an industry leading platform experience while also supporting the growth of the world's most scalable brokerage.
You are an engineer who is passionate about creating well\-defined APIs that are easy to use. You feel it is critical that your voice is heard in product and business decisions. You love to learn, and equally love to share your knowledge with others. You are a great communicator and you take care to understand before making yourself understood.
You are adept at designing highly available, scalable, and fault\-tolerant systems that are well\-tested and follow best practices like the single responsibility principle and eventual consistency. You possess the full\-stack capability to operate on both the backend and frontend components of the application.
Your code is designed for modularity and re\-use. You take pride in delivering solid code that is well\-tested, peer\-reviewed, and follows best practices. You have strong opinions on code structure, style, and development processes.
**At Compass You Will:**
* Lead in the architecting of our distributed microservices architecture.
* Collaborate with designers to implement user interface designs.
* Operate in a scalable engineering culture that leverages modern principles of decoupled systems and automated CI/CD/testing/monitoring to drive efficiencies
* Write unit tests and integration tests for the delivered features
* Serve as a subject matter expert on monitoring and incident response
* Execute on standard agile development methodology, provide development estimates, and create descriptive jira tickets
* Join a great team with a lot of visibility and some challenging projects on the horizon
* Help with recruitment efforts, mentor your engineering colleagues, write technical documentation, and participate in our backend guilds
**What we look for:**
* 7\+ years of experience writing complete, well\-tested, database\-driven web applications
* 7\+ years of experience programming in languages like Java, Python, and Go (we use all three here at Compass)
* 5\+ years of experience with front end design frameworks such as React.
* Experience with multiple products life cycles, from idea conception to product release and maintenance
* Track record as a technical leader with cross\-team impact
* Experience designing larger systems: particularly web services and RESTful APIs, microservice architectures, and data ingestion with a particular emphasis of industry\-standard best practices
* Strong critical thinking skills, great communication skills and passion for delivering an operational excellence
* In\-depth understanding and hands\-on experience with PostgreSQL, DynamoDB, and Redis
* Experience with AWS services such as EC2, S3, Managed kubernetes, SQS, SNS, and Lambda
* Experience with Kafka and event\-driven systems
* BS in CS or EE or comparable job/training experience
**Compensation:** The base pay range for this position is $155K\-$197K annually;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row>
    <row r="62">
      <c r="A62" t="inlineStr">
        <is>
          <t>in-163298c83d5d66f3</t>
        </is>
      </c>
      <c r="B62" t="inlineStr">
        <is>
          <t>Software Engineering Managers #IN1218</t>
        </is>
      </c>
      <c r="C62" t="inlineStr">
        <is>
          <t>Cummins</t>
        </is>
      </c>
      <c r="D62" t="inlineStr">
        <is>
          <t>indeed</t>
        </is>
      </c>
      <c r="E62">
        <f>HYPERLINK("https://www.indeed.com/viewjob?jk=163298c83d5d66f3", "https://www.indeed.com/viewjob?jk=163298c83d5d66f3")</f>
        <v/>
      </c>
      <c r="F62">
        <f>HYPERLINK("https://rr.jobsyn.org/AD77600CD4D84852B1F72A9F40509FA81554", "https://rr.jobsyn.org/AD77600CD4D84852B1F72A9F40509FA81554")</f>
        <v/>
      </c>
      <c r="G62" t="inlineStr">
        <is>
          <t>Columbus, IN, US</t>
        </is>
      </c>
      <c r="H62" s="2" t="n">
        <v>46043</v>
      </c>
      <c r="I62" t="inlineStr">
        <is>
          <t>**DESCRIPTION**
Lead teams of Software Engineers in the day\-to\-day performance of their jobs, ensuring the work follows best practices around software development including the use of modern software engineering practices. Lead team building and development including organization structure, recruiting, and global team management. Compile and present Management Reports on team performance including metrics, deliverable status, etc. and communicate status to Senior Management. Develop and maintain a technology roadmap with full\-stack software development deliverables, role models, and technical excellence in at least one area of expertise related to Software Engineering. Ensure both the product and organization milestones/goals are met and adhering to approved budgets. Supervise team adherence to all internal IT processes, policies, and procedures including IT Security and Compliance. Manage financial aspects of their respective teams and software expenses including AOP (Annual Operating Plan), budget management, and forecasting. Identify and apply critical skills and Lean\-Agile principles and practices in the creating of high\-performing Agile teams to construct high\-quality, well designed technical solutions. Implement DevOps and a continuous delivery pipeline by providing the enterprise with the capability to release value on demand at any time necessary to meet market and customer demand. Leverage a vendor management framework to manage strategic IT supplier relationships and supplier performance based on business need throughout the contract life using the required processes and tools to control costs, drive service excellence, mitigate risks, and gain increased value from suppliers. Evaluate the design and effectiveness of controls against established industry frameworks and regulations to assess adherence with legal and regulatory requirements as part of Regulatory Risk Compliance Management. Plan and manage the release of capabilities, features and products using inputs from the prioritized roadmap, planning, available resources and skills to communicate expected availability and releases of capability. Work in Agile and DevSecOps Environments using fundamental Software Engineering technical skill sets and professional Software Engineering best practices for the full software development life cycle, including coding standards, code reviews, source control management, build processes, testing and operations. Utilize strong analytic capability to create innovative solutions and anticipate and adopt innovations in business\-building digital and technology applications.
**RESPONSIBILITIES**
Positions require a Master’s degree in Software Engineering, Computer Science, Information Technology, or related field and 3 years of experience as a Software, Systems or Controls Engineer, IT Analyst or Consultant, or related position. Alternatively, the employer will accept a Bachelor’s degree in Software Engineering, Computer Science, Information Technology, or related field and 6 years of experience as a Software, Systems or Controls Engineer, IT Analyst or Consultant, or related position. Experience to include: Full\-stack software development deliverables; IT Security and Compliance; Financial management of software expenses including AOP (Annual Operating Plan); Lean\-Agile principles and practices to construct technical solutions; DevOps and Release on Demand; Strategic IT supplier relationship management; Regulatory Risk Compliance Management; Release planning using inputs from the prioritized roadmap; Agile and DevSecOps Environments; Software development life cycle, including coding standards, testing and operations.
**QUALIFICATIONS**
Start Date of Posting: 01/22/2026
End Date of Posting: 02/06/2026
Position: Hybrid
Location: Columbus, IN and various unanticipated worksites throughout the
U.S.
* **Annual USD Salary Minimum – Maximum**
$157,900 to $192,900
**Job** Systems/Information Technology
**Organization** Cummins Inc.
**Role Category** Off\-site Remote
**Job Type** Exempt \- Experienced
**Min Salary** $
**Max Salary** $
**ReqID** 2423835
**Relocation Package** Yes
**100% On\-Site** No
**Cummins and E\-Verify**
At Cummins, we are an equal opportunity and affirmative action employer dedicated to diversity in the workplace. Our policy is to provide equal employment opportunities to all qualified persons without regard to race, gender, color, disability, national origin, age, religion, union affiliation, sexual orientation, veteran status, citizenship, gender identity and/or expression, or other status protected by law. Cummins validates the right to work using E\-Verify and will provide the Social Security Administration (SSA) and, if necessary, the Department of Homeland Security (DHS), with information from each new employee’s Form I\-9 to confirm work authorization. Visit http://EEOC.gov to know your rights on workplace discrimination.</t>
        </is>
      </c>
    </row>
    <row r="63">
      <c r="A63" t="inlineStr">
        <is>
          <t>in-a8018da0a15abe91</t>
        </is>
      </c>
      <c r="B63" t="inlineStr">
        <is>
          <t>Back-End Software Engineer (Contractor)</t>
        </is>
      </c>
      <c r="C63" t="inlineStr">
        <is>
          <t>Dimensional Fund Advisors</t>
        </is>
      </c>
      <c r="D63" t="inlineStr">
        <is>
          <t>indeed</t>
        </is>
      </c>
      <c r="E63">
        <f>HYPERLINK("https://www.indeed.com/viewjob?jk=a8018da0a15abe91", "https://www.indeed.com/viewjob?jk=a8018da0a15abe91")</f>
        <v/>
      </c>
      <c r="F63">
        <f>HYPERLINK("https://dimensional.wd5.myworkdayjobs.com/en-US/DFA_Careers/job/Remote---Austin-Metro/Back-End-Software-Engineer--Contractor-_2026-8654", "https://dimensional.wd5.myworkdayjobs.com/en-US/DFA_Careers/job/Remote---Austin-Metro/Back-End-Software-Engineer--Contractor-_2026-8654")</f>
        <v/>
      </c>
      <c r="G63" t="inlineStr">
        <is>
          <t>Austin, TX, US</t>
        </is>
      </c>
      <c r="H63" s="2" t="n">
        <v>46043</v>
      </c>
      <c r="I63" t="inlineStr">
        <is>
          <t>Notes to applicants:* Dimensional sees great value from collaborating in our offices and appreciates the benefits of flexibility. Most roles fit our office\-first hybrid approach: We are together on our campuses Tuesdays, Wednesdays, and Thursdays and have the choice to work in the office or remotely, depending on what is best for that work day, on Mondays and Fridays. This approach maximizes in\-person collaboration and interaction while simultaneously providing flexibility and applies to most roles globally with a few exceptions that require more or less time in the office. Please discuss with your Recruiter to confirm the details for this specific role.
* Resumes and portfolios (when applicable) are required as part of your application. When applying from a mobile device or tablet, you may not be able to attach a resume. If you cannot include an attachment at the time of your application, you will receive a follow up email asking you to attach your resume from a computer.
* Here at Dimensional, we strive to be an inclusive workplace for all. Even if you do not match every qualification listed, if you are interested in who we are, what we do, and why we do it, we suggest and encourage you to apply.
* The use of Artificial Intelligence during interviews and skill testing is prohibited, unless Dimensional Fund Advisors has authorized such use.
* If you require reasonable accommodation in completing this application, interviewing, or otherwise participating in the employee selection process, such accommodation is available upon request.
Job Description:
About Dimensional:
Dimensional was built around a set of ideas bigger than the firm itself. With a confidence in markets, deep connections to the academic community, and a focus on implementation, we go where the science leads, and continue to pursue new insights, both large and small, that can benefit our clients.
The Technology Department at Dimensional leverages the rapidly evolving state of the art to engineer scalable, innovative, and research driven solutions to improve our client’s financial lives.
Software Engineers at Dimensional participate in the design and development of software solutions across an array of domains from Research and Investments to Sales and Marketing; collaboratively developing MVPs to test their ideas and rapidly iterate with constant feedback from users. Dimensional invests heavily in developer tools, platforms, paradigms and experience enabling teams to provide modern solutions that contribute profoundly to our client’s success.
We are looking for Senior Back\-End Software Engineer to join our team and translate our customers’ goals into working software from automated configurations to model definitions, and calculation APIs. The most important qualifications are a passion for quality software and enthusiasm for learning new technologies and approaches.
You may be a fit for this role if you:* Are open\-minded, curious, and resourceful
* Are passionate about/stay current with modern technologies
* Solve problems systematically and transparently
* Share ideas, solicit/integrate feedback, design and solve collaboratively
* Take a software engineering approach and demonstrate automation and security mindsets
 What you might work on:
 As a back\-end engineer at Dimensional, you will have the opportunity to understand the users’ needs and solve problems like complex calculation engines in an ETL pipeline, database design, API and microservice design and engineering.* Collaborate with subject matter experts in a variety of areas to drive the success of our clients
* Collaborate with front\-end engineers on the design of solutions and APIs
* Perform software and data architecture and design
* Develop complex software solutions using back\-end technologies
* Demonstrate and mentor software engineering best practices and participate in code reviews
* Develop configurations and automations to enable testing, infrastructure and deployments
* The successful candidate will be self\-motivated and have a strong drive for learning and self\-improvement.
 Qualifications:* Bachelor’s degree in a technical field or equivalent practical experience
* 6\+ years of software development experience in a professional and/or academic setting
* Experience with Python, Ruby, JavaScript, or equivalent dynamic languages
* Experience with C\#, Java, C/C\+\+, Typescript, or equivalent static languages
* Experience with any of the following: data engineering, web/mobile application development, systems/security software development
 Preferred Competencies:* Interest and ability to learn other coding languages as needed
* Ability to write in English fluently and idiomatically
* Advanced degree or equivalent experience in engineering, computer science or other technical related field
* Experience with agile/scrum methodologies
* Financial services industry experience
* Experience with any of the following: Redis, Postgresql, MongoDB, SQLServer
* Airflow, Kafka, AWS, serverless/microservice architecture
* TDD, BDD, Numpy/Scipy/Pandas, React, Angular, Vue.js, Node, Ansible
\#LI\-Remote  
Dimensional offers a variety of programs to help take care of you, your family, and your career, including comprehensive benefits, educational initiatives, and special celebrations of our history, culture, and growth.
It is the policy of the Company to provide equal opportunity for all employees and applicants. The Company recruits, hires, trains, promotes, compensates, and administers all personnel actions without regard to actual or perceived race, color, religion, religious practice, creed, sex, sex stereotyping, pregnancy (which includes pregnancy, childbirth, and medical conditions related to pregnancy, childbirth, or breastfeeding), caregiver status, gender, gender identity, gender expression, transgender identity, national origin, age, mental or physical disability, ancestry, medical condition, marital status, familial status, domestic partnership status, military or veteran status or service, unemployment status, citizenship status or alienage, sexual orientation, status as a victim of domestic violence, status as a victim of stalking, status as a victim of sex offenses, genetic information, political activities or recreational activities, arrest or conviction record, salary history, natural hairstyle or any other status protected by applicable law except as otherwise required or permitted by law or regulation applicable to the Company or its affiliates.</t>
        </is>
      </c>
    </row>
    <row r="64">
      <c r="A64" t="inlineStr">
        <is>
          <t>in-60d317e9d6bce350</t>
        </is>
      </c>
      <c r="B64" t="inlineStr">
        <is>
          <t>Senior Software Engineer, Network Tools</t>
        </is>
      </c>
      <c r="C64" t="inlineStr">
        <is>
          <t>Zayo Group</t>
        </is>
      </c>
      <c r="D64" t="inlineStr">
        <is>
          <t>indeed</t>
        </is>
      </c>
      <c r="E64">
        <f>HYPERLINK("https://www.indeed.com/viewjob?jk=60d317e9d6bce350", "https://www.indeed.com/viewjob?jk=60d317e9d6bce350")</f>
        <v/>
      </c>
      <c r="F64">
        <f>HYPERLINK("https://zayo.wd1.myworkdayjobs.com/en-US/Zayo_Careers/job/United-States/Senior-Software-Engineer--Network-Tools_R0015863", "https://zayo.wd1.myworkdayjobs.com/en-US/Zayo_Careers/job/United-States/Senior-Software-Engineer--Network-Tools_R0015863")</f>
        <v/>
      </c>
      <c r="G64" t="inlineStr">
        <is>
          <t>US</t>
        </is>
      </c>
      <c r="H64" s="2" t="n">
        <v>46043</v>
      </c>
      <c r="I64" t="inlineStr">
        <is>
          <t>**Company Description**
Zayo provides mission\-critical bandwidth to the world’s most impactful companies, fueling the innovations that are transforming our society. Zayo’s 141,000\-mile network in North America and Europe includes extensive metro connectivity to thousands of buildings and data centers. Zayo’s communications infrastructure solutions include dark fiber, private data networks, wavelengths, Ethernet, and dedicated Internet access. Zayo serves wireless and wireline carriers, media, tech, content, finance, healthcare and other large enterprises.
Do you dream of IP addresses and want to build tools for the networks that power the future? Are you passionate about automating repetitive tasks for users and delighting them with easy buttons? If so, then we want you on our team!
We're looking for a talented **Senior Software Engineer** to join our growing Network Automation team. In this role, you'll be a key player in building, scaling, and automating the next generation of our network tooling infrastructure.  
**Responsibilities**
* Design, build, and maintain innovative tools and solutions to meet evolving business needs. This could be something as simple as developing a Mustache email template library for streamlined responses, or as complex as ML tools for automated troubleshooting
* Leverage open source automation tools and scripting languages in commercial tools (e.g., Python, Ansible, ServiceNow, Salesforce, etc ) to streamline NOC information gathering, internal communication, and communication with customers
* Contribute to solving complex technical and process problems, such as mass customer communication, automating responses to trouble tickets, and injecting enrichment information into trouble tickets
* Refactor and consolidate existing tools to be a cohesive suite of tools that improve ease of use and reduce swivel\-chairing to get the job done
* Collaborate with cross\-functional teams (DevOps, Security, SRE) to ensure security and optimal application performance
* Own new features through the project lifecycle, working collaboratively with a team of software developers to ensure timely delivery of high\-quality software solutions
* Stay up\-to\-date on emerging network technologies and best practices, becoming the beacon for best practices and efficient processes through the organization
**Qualifications**
* Self\-motivated and demonstrates a strong attention to detail.
* Experience working with various databases such as Postgres, MySQL, MongoDB, and Oracle
* Experience with network automation tools and scripting languages (Python, Ansible, Terraform)
* Experience in both building and integrating with RESTful APIs
* Experience with async processing and message bus communications (RabbitMQ, Kafka)
* Experience creating and executing automated software testing
* Strong abilities on the Linux command line, working with various flavors of Linux and Docker/Kubernetes
* Strong understanding of applied statistics and the ability to code systems that identify outlier behavior in large systems.
* Previous experience delivering, maintaining and promoting a production software product
* Excellent communication, collaboration skills, and experience using a variety of remote collaboration tools including Jira, Confluence, Google Suite, Zoom, etc
* Experience using Git for code management, review and deployment
* A passion for tackling complex problems and combining technical and process solutions
*Bonus Points if you have:*
* Experience working with various network device vendors (via API or Netconf) including Juniper, Nokia, Infinera, Ciena, Fujitsu and Cisco
* Command\-Line experience with networking equipment (Juniper, Nokia, etc.)
* Experience with various network orchestration platforms, such as Ciena Blue Planet MDSO, Cisco NSO, or others
* Experience with monitoring platforms such as SevOne , Assure1, and Nagios
* Certifications such as CCNA, JNCIP, or other networking certifications
* Experience with Perl
**Education \&amp; Experience**
* Bachelor's degree in Computer Science , Networking, or a related field (or equivalent experience)
* Minimum of seven (7\) years of experience in software development with a variety of languages such as Python, Javascript , SQL, HTML, and GraphQL
**Estimated base salary range: $112,800 \- $173,600 USD/annually.**
The base pay range shown is a guideline and reasonable estimate for this role. It takes into account the wide variety of factors that are considered in making compensation decisions. Actual compensation offered may vary from the posted range based upon geographic location, work experience, skill level, certifications, and other business and organizational needs. Non\- sales roles may be eligible to participate in a discretionary annual incentive plan. Sales roles may be eligible to participate in a sales incentive plan.
Additionally, this position may be eligible for certain benefits, such as health insurance, life insurance, disability retirement plans, paid time off.
The posting will be active for a minimum of 3 days. The active posting will continue to extend by 3 days until the position is filled.
**Benefits, Rewards \&amp; Wellness**
* Excellent Health, Dental \&amp; Vision Insurance
* Retirement 401(k) Savings Plan
* Generous paid time off policy including paid parental leave
Zayo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provincial or local laws.
This policy applies to all terms and conditions of employment, including recruiting, hiring, placement, promotion, termination, layoff, recall, transfer, leaves of absence, compensation and training.</t>
        </is>
      </c>
    </row>
    <row r="65">
      <c r="A65" t="inlineStr">
        <is>
          <t>in-aba06b3c56fb7ffe</t>
        </is>
      </c>
      <c r="B65" t="inlineStr">
        <is>
          <t>Principal Software Engineer in Test</t>
        </is>
      </c>
      <c r="C65" t="inlineStr">
        <is>
          <t>Fidelity Investments</t>
        </is>
      </c>
      <c r="D65" t="inlineStr">
        <is>
          <t>indeed</t>
        </is>
      </c>
      <c r="E65">
        <f>HYPERLINK("https://www.indeed.com/viewjob?jk=aba06b3c56fb7ffe", "https://www.indeed.com/viewjob?jk=aba06b3c56fb7ffe")</f>
        <v/>
      </c>
      <c r="F65">
        <f>HYPERLINK("https://jobs.fidelity.com/en/jobs/2121165/principal-software-engineer-in-test/", "https://jobs.fidelity.com/en/jobs/2121165/principal-software-engineer-in-test/")</f>
        <v/>
      </c>
      <c r="G65" t="inlineStr">
        <is>
          <t>Westlake, TX, US</t>
        </is>
      </c>
      <c r="H65" s="2" t="n">
        <v>46043</v>
      </c>
      <c r="I65" t="inlineStr">
        <is>
          <t>### **Job Description:**
**The Role**
Fidelity Investments is looking for a Principal Software Engineer in Test who is passionate about cutting edge technologies, frameworks, and design patterns. You will be joining a team of engineers focused on engineering testing solutions for the Fidelity Insurance Agency (FIA) product area. You will apply your strong software development and test automation skills to design, develop, test, deploy, maintain, and improve Fidelity investments software solutions. You will also be supporting your team in adopting best practices to ensure we are building the right product and we are building it right. Overall, you will have an appetite for learning, evaluating, and recommending new technologies. Software Engineers at Fidelity Investments pride themselves on their experience, leadership, and ability to establish relationships across teams.
**The Expertise and Skills You Bring**
* 12 \+ years experience with a Bachelor’s or 6 \+ years experience with a Master’s degree in Computer Science (or closely related field)
* Experience in designing and implementing robust QA strategies and test frameworks for API, Web with deep expertise in end\-to\-end validation
* Experience in test automation (Playwright/Cypress, Selenium, Rest Assured, JUnit, ,,Test NG, Maven, ETL Batch)
* Experience with DevOps/Pipelines (Jenkins Core, LWC, Monorepo, etc.)
* Experience with source control (GitHub, Stash (Bitbucket), Sourcetree)
* Cloud experience preferred \- Amazon Web Services (AWS)
* Top skills needed: Front end, Playwright, Xray, chaos, Splunk, Datadog, node.js, Java, Java Script, Jenkins core
* Minimum 6 years of experience with architecting automation test platforms
* Minimum 6 years of experience with architecting and implementing development pipelines (CI / CD)
* Good understanding of accessibility features and building and testing accessible experiences on Web
* Focus on the deployment automation and orchestration
* Assist with code branches, merges, builds pipelines, manage versioning etc.
* Use your knowledge of testing and testability to influence better software design, promote proper software engineering and bug prevention strategies, testability and security
* Actively participate in the development process through writing and maintain application features and automated tests including unit tests, component tests, integration tests, functional tests, performance tests, scenario tests and interoperability tests
* Collaborate with team members on improving team's test coverage, release velocity and production health
* Good understanding on write SQL queries and implementing the data seeding for automation.
* Good to have AWS certification and experience
**The Team**
The Engineering Excellence (EE) chapter resides in the Wealth business unit of Fidelity Investments. The EE chapter’s support spans across all of Wealth and provides domain specialists to squads who develop products with the highest customer quality, security, stability, and experience. The chapter is made up of multi\-stacked engineers with a passion around customer experience and with the engineering tool set to seek challenges including automated testing, performance testing, chaos testing, application cloud migration and management, CI / CD implementation, security testing, and application development.
### **Certifications:**
### **Category:**
Information Technology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66">
      <c r="A66" t="inlineStr">
        <is>
          <t>in-fb1f0b6b7a3fac1f</t>
        </is>
      </c>
      <c r="B66" t="inlineStr">
        <is>
          <t>Front End Software Engineer</t>
        </is>
      </c>
      <c r="C66" t="inlineStr">
        <is>
          <t>SpectraWAVE</t>
        </is>
      </c>
      <c r="D66" t="inlineStr">
        <is>
          <t>indeed</t>
        </is>
      </c>
      <c r="E66">
        <f>HYPERLINK("https://www.indeed.com/viewjob?jk=fb1f0b6b7a3fac1f", "https://www.indeed.com/viewjob?jk=fb1f0b6b7a3fac1f")</f>
        <v/>
      </c>
      <c r="F66">
        <f>HYPERLINK("https://recruiting.paylocity.com/recruiting/jobs/Details/3836194/SpectraWAVE/Front-End-Software-Engineer?source=Indeed_Feed", "https://recruiting.paylocity.com/recruiting/jobs/Details/3836194/SpectraWAVE/Front-End-Software-Engineer?source=Indeed_Feed")</f>
        <v/>
      </c>
      <c r="G66" t="inlineStr">
        <is>
          <t>Bedford, MA, US</t>
        </is>
      </c>
      <c r="H66" s="2" t="n">
        <v>46043</v>
      </c>
      <c r="I66" t="inlineStr">
        <is>
          <t>Description:
**The Company**
At SpectraWAVE, our mission is bold yet simple: to provide unrivaled optical and computational insights to improve the treatment and outcomes for patients with coronary artery disease (CAD) the leading cause of death worldwide. Our FDA\-cleared HyperVue™ Imaging System integrates DeepOCT™, near\-infrared spectroscopy (NIRS), and advanced machine learning to give interventional cardiologists real\-time clarity inside the artery, where it matters most.
SpectraWAVE recently received FDA 510(k) clearance for X1\-FFR, an AI\-enabled, wire free, drug\-free, single angiogram physiology solution that delivers powerful insights without disrupting workflow. Together, HyperVue™ and X1\-FFR represent a new era of precision and simplicity in coronary imaging and physiology.
Backed by Johnson \&amp; Johnson Innovation – JJDC, Inc. and other leading MedTech investors, SpectraWAVE recently completed a $50M Series B funding round to accelerate commercialization and product innovation. We’re a fast\-growing, collaborative team united by the belief that technology can save lives. If you’re inspired by innovation, energized by challenge, and ready to make a measurable impact on patient outcomes, we’d love to meet you.
 **Job Summary**
We are seeking a passionate and driven Front End Software Engineer to join our growing team. In this role, you will be responsible for translating Figma visual designs into high\-quality, interactive user interfaces using Qt/QML, with a potential to utilize low\-code technologies and tools. You will collaborate closely with designers, customer stakeholders, and developers to bring our product vision to life, ensuring a seamless and engaging user experience.
Requirements:
**Key Responsibilities**
* Work closely with ‘Voice of the Customer’ stakeholders to translate visual design into user interface with the intended user experience
* Become proficient with visual design to code translation technology and tools
* Define and implement front end\-backend interface to support a thin GUI architecture
* Integrate backend services with front end GUI interface using asynchronous design patterns as required
* Follow industry best practices and company guidelines for DevOps
* Participate in agile planning and development execution process
* Cross\-functional collaboration with customer\-facing, technical, and software quality collaborators including:
	+ Realization of intended product UX via implementation of user interfaces with specified visual design and functional behavior
	+ Participation in release planning
	+ Participation in software risk management
	+ Participation in verification and validation planning
**REQUIREMENTS**
**Minimum Qualifications**
* Bachelor’s degree in computer science, software engineering, or related field
* 1\-3 years’ experience with GUI development targeting Windows or Linux using a UI framework
* Familiarity with C\+\+, Java, or other object\-oriented development language
* Familiarity with objected\-oriented software development
* Experience with Qt/QML or a strong interest in learning it.
* Strong desire to become proficient with visual design to code translation technology and tools
* Strong problem\-solving skills
* Strong communication and interpersonal skills
* Ability to work effectively in a team environment
* Strong attention to detail and a commitment to quality
* Results oriented
**Desired Qualifications**
* This with the Qt Development Framework and QML based GUI development
* Familiarity with the use of a visual design to code translation tool or technology (i.e. Qt Design Studio)
* Familiarity with thin\-GUI application architecture
* Experience with cross\-platform development
* Experience with GUI custom control development
* Familiarity with the application of software development patterns – including interface\-based design and dependency injection
* Familiarity with multi\-threaded asynchronous programming patterns involving the use of applicable synchronization mechanisms
* Familiarity with medical device development</t>
        </is>
      </c>
    </row>
    <row r="67">
      <c r="A67" t="inlineStr">
        <is>
          <t>in-387df60a7d4d5404</t>
        </is>
      </c>
      <c r="B67" t="inlineStr">
        <is>
          <t>Software Engineer Manager (Scrum Master)</t>
        </is>
      </c>
      <c r="C67" t="inlineStr">
        <is>
          <t>Securiport</t>
        </is>
      </c>
      <c r="D67" t="inlineStr">
        <is>
          <t>indeed</t>
        </is>
      </c>
      <c r="E67">
        <f>HYPERLINK("https://www.indeed.com/viewjob?jk=387df60a7d4d5404", "https://www.indeed.com/viewjob?jk=387df60a7d4d5404")</f>
        <v/>
      </c>
      <c r="F67">
        <f>HYPERLINK("https://securiport1.bamboohr.com/careers/218", "https://securiport1.bamboohr.com/careers/218")</f>
        <v/>
      </c>
      <c r="G67" t="inlineStr">
        <is>
          <t>Reston, VA, US</t>
        </is>
      </c>
      <c r="H67" s="2" t="n">
        <v>46043</v>
      </c>
      <c r="I67" t="inlineStr">
        <is>
          <t>**Job Summary** : The Software Engineering Manager manages a team responsible for the design, development and testing of software systems and software applications. Leads and directs the work of software engineers and has full responsibilities on project resources, scope and schedule performance. The Software Engineering Manager is responsible for coordinating the processes within the software development lifecycle and to deliver on software releases of the company’s core products. In addition, is responsible for solving software development issues, project performance, productivity, resource management and deadlines. This includes contribution on requirements gathering, documenting engineering specifications, removing blockers, planning, tasking, as well as providing overall project management leadership using waterfall/agile hybrid methodologies.  
**Essential Functions**
* Perform full lifecycle software systems/applications development to achieve corporate goals and clients’ requirements for the designated software development team.
* Plan, budget, oversee and document all aspects of its team software development projects
* Develop and maintain detailed program schedules, project scopes and objectives, and software development plans involving relevant stakeholders and product owner. Ensure technical feasibility in conjunction with the technical leads
* Coordinate internal resources to execute projects. Ensure resource availability and allocation
* Delivering quality software products on schedule within cost
* Lead the resources for designing, coding, integrating, and debugging systems /applications
* Requirements analysis, System/Software design \&amp; analysis, code standards, reviews development/software metrics, system risk analysis, Integration and Test metrics
* Translate product requirements into engineering specifications
* Manages and oversees the software development tasks and individual resources productivity
* Provide leadership to the software engineering team and enforce standard company policies and procedures that adhere to the software development standards
* Work closely with Chief Information Officer to define product direction and design. Anticipates future system needs, proactive in identifying solutions
* Ensure that the project scope is reflected in the technical requirements/user stories and that they are understood and accepted by the product owner and ready for developers to work off.
* Measure project performance using appropriate tools and techniques
* Manage and report scope changes and the impact of required operational changes on the projects
* Coordinate between the team and third\-party suppliers/vendors.
* Maintain project documentation. Facilitate team huddles, meetings, or Scrum events as needed.
* Coaching engineers in self\-organization, cross\-functionality, and technical guidance
* Help engineers create high\-value products with quality
Remove impediments to the engineers’ progress and motivate team members  
* 
**Required Knowledge, Skills, Abilities**  
* Strong written and verbal communication skills and good presentation skills
* Ability to lead a team of Software Engineers
* Extensive experience with developing and delivering commercial/enterprise software
* 5\+ years of software development management, project management, or scrum master experience
* Experience with MSFT Visual Studio, C\#, .NET, MSFT SQL Server, and MSFT
* Experience with Azure DevOps, Jenkins, Confluence, and GIT is a plus
Excellent work ethic – professionalism, responsibility, proactive  
* 
**Required Education, Certifications/ Licenses, Related Experience**
* Bachelor’s Degree in Computer Science, Engineering, or related field required
* A Master’s degree in Information Technology or a related field is a plus
* 8 years of experience in a related field required
* At least 2 years of progressively responsible management positions
* In lieu of a degree, a total number of 12 years of experience in a related field (in addition to the management experience required) will meet the education and related experience requirements listed above
* Related field certifications are a plus:
	+ Certified Scrum Master (CSM)
	+ Project Management Professional (PMP)
	+ Certified Scrum Product Owner (CSPO)
	+ Software Engineering Master Certification (SEMC)
	+ Master Project Manager (MPM)
	+ Advanced Project Management Certified Professional
	Certified Manager Certification (CM)  
	+
**Physical Job Requirements**
* This position requires the ability to remain in a stationary position (standing and/or seated) all the time.
This position requires the ability to spend all the time viewing computer monitors.  
* 
**Travel Requirements**
This position has no travel requirements.  
* 
Securiport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Securiport is committed to working with and providing reasonable accommodations to applicants with physical and mental disabilities. Please see the United States Department of Labor's EEO poster and EEO poster supplement for additional information.  
***Disclaimer:*** *Nothing in this job description restricts management's right to assign or reassign duties and responsibilities to this job at any time. The above statements are intended to describe the general nature and level of work being performed by people assigned to this position at the time this job description was written. They are not intended to be an exhaustive list of all duties, responsibilities and skills required of personnel so classified. This document does not create an employment contract, implied or otherwise, and all employees in this position are employed* *“at* *\-will.* *”*</t>
        </is>
      </c>
    </row>
    <row r="68">
      <c r="A68" t="inlineStr">
        <is>
          <t>in-7fa8894b956bbb5f</t>
        </is>
      </c>
      <c r="B68" t="inlineStr">
        <is>
          <t>Staff Software Engineer - Observability Knowledge Graph Backend | USA | Remote</t>
        </is>
      </c>
      <c r="C68" t="inlineStr">
        <is>
          <t>Grafana Labs</t>
        </is>
      </c>
      <c r="D68" t="inlineStr">
        <is>
          <t>indeed</t>
        </is>
      </c>
      <c r="E68">
        <f>HYPERLINK("https://www.indeed.com/viewjob?jk=7fa8894b956bbb5f", "https://www.indeed.com/viewjob?jk=7fa8894b956bbb5f")</f>
        <v/>
      </c>
      <c r="F68">
        <f>HYPERLINK("https://job-boards.greenhouse.io/grafanalabs/jobs/5778252004", "https://job-boards.greenhouse.io/grafanalabs/jobs/5778252004")</f>
        <v/>
      </c>
      <c r="G68" t="inlineStr">
        <is>
          <t>Remote, US</t>
        </is>
      </c>
      <c r="H68" s="2" t="n">
        <v>46043</v>
      </c>
      <c r="I68"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full\-time remote position, and we're seeking candidates in the US or Canada.**
#### **The Opportunity**
The Grafana Observability (O11y) group builds end\-to\-end observability solutions that span **Application**, **Infrastructure**, **Database**, **Browser** and **Mobile** observability. At the core of this experience is the **Grafana Knowledge Graph**—the platform that powers true full\-stack observability across Grafana Cloud.
The **Knowledge Graph** is a suite of distributed, multi\-tenant microservices that connects signals across the stack and delivers automated Root Cause Insights by actively analyzing Metrics, Traces, and Logs stored in Grafana Cloud. These services process and store data across SQL, graph, and time\-series databases and are designed for high availability and scale.
Used by thousands of self\-service customers and trusted by some of the world’s largest organizations to monitor mission\-critical infrastructure, the Knowledge Graph is a foundational platform at Grafana. As adoption continues to grow, our focus is on continuously improving performance, increasing reliability, and scaling efficiently—without compromising on quality.
At Grafana, we value collective creativity and diverse perspectives. Every team member is encouraged to bring ideas forward and help shape a platform that our users depend on every day.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**What will you be doing?**
* Work with your team to build and roll out new features, then use the results to iterate and improve.
* Drive projects from initial ideation all the way to operations once it is in the hands of customers.
* Take on complex challenges and break them down to achieve short feedback loops: to analyze, design, and build modular solutions, deliver MVPs, gather data and feedback, and then progress iteratively
* Maintain critical systems, and own their reliability, performance, and availability.
* Be a part of your team’s on\-call rotations and take ownership of the services you’re running.
* Mentor and support other team members, participate in design discussions, and collaborate with the team
* Learn new skills by gaining a deeper understanding of our cloud product and our customers and getting to know the codebase.
* Take an active role in influencing our roadmap and your own career objectives
**What Makes You a Great Fit?**
* You are a motivated self starter with a bias towards action.
* You have strong coding skills and operational experience; you were responsible for operating the software you have built.
* You have worked on a SaaS platform and dealt with common distributed systems problems (e.g. scalability, multi\-tenancy, data isolation, HA, …)
* You have excellent written and spoken communication skills. You’ll be working with your team mates in a fully remote setup. Good communication skills are a must.
* You are willing to work across teams. Your work has to be aligned with the needs of other squads and external stakeholders. You make your plans transparent, bring stakeholders on board, and are open to feedback and suggestions.
* You are pragmatic; you prioritize progress over perfection; you can handle ambiguity.
* We use Java on the backend and deploy on AWS/Azure/GCP Clouds using Kubernetes. You must have programming experience in Java and experience with Kubernetes and any one of the cloud platforms.
* You are customer focused. We build everything with our users in mind.
**Compensation \&amp; Rewards:**
In the United States, the Base compensation range for this role is USD 174,986 \- USD 209,983\. Actual compensation may vary based on level, experience, and skillset as assessed in the interview process. Benefits include equity, bonus (if applicable) and other benefits listed here.
All of our roles include Restricted Stock Units (RSUs), giving every team member ownership in Grafana Labs' success. We believe in shared outcomes—RSUs help us stay aligned and invested as we scale globally.
* *Compensation ranges are country specific. If you are applying for this role from a different location than listed above, your recruiter will discuss your specific market’s defined pay range \&amp; benefits at the beginning of the process*
* *Compensation ranges are country specific. If you are applying for this role from a different location than listed above, your recruiter will discuss your specific market’s defined pay range \&amp; benefits at the beginning of the process.*
**Why You’ll Thrive at Grafana Labs:**
* **100% Remote, Global Culture \-** As a remote\-only company, we bring together talent from around the world, united by a culture of collaboration and shared purpose.
* **Scaling Organization** – Tackle meaningful work in a high\-growth, ever\-evolving environment.
* **Transparent Communication** – Expect open decision\-making and regular company\-wide updates.
* **Innovation\-Driven** – Autonomy and support to ship great work and try new things.
* **Open Source Roots** – Built on community\-driven values that shape how we work.
* **Empowered Teams** – High trust, low ego culture that values outcomes over optics.
* **Career Growth Pathways** – Defined opportunities to grow and develop your career.
* **Approachable Leadership** – Transparent execs who are involved, visible, and human.
* **Passionate People** – Join a team of smart, supportive folks who care deeply about what they do.
* **In\-Person onboarding** \- We want you to thrive from day 1 with your fellow new ‘Grafanistas’ to learn all about what we do and how we do it.
* **Balance is Key** \- We operate a global annual leave policy of 30 days per annum. 3 days of your annual leave entitlement are reserved for Grafana Shutdown Days to allow the team to really disconnect. *\*We will comply with local legislation where applicable.*
**Equal Opportunity Employer:**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t>
        </is>
      </c>
    </row>
    <row r="69">
      <c r="A69" t="inlineStr">
        <is>
          <t>in-0ca9911f5c67edd7</t>
        </is>
      </c>
      <c r="B69" t="inlineStr">
        <is>
          <t>Java Software Engineer-Mid-Level</t>
        </is>
      </c>
      <c r="C69" t="inlineStr">
        <is>
          <t>USAA</t>
        </is>
      </c>
      <c r="D69" t="inlineStr">
        <is>
          <t>indeed</t>
        </is>
      </c>
      <c r="E69">
        <f>HYPERLINK("https://www.indeed.com/viewjob?jk=0ca9911f5c67edd7", "https://www.indeed.com/viewjob?jk=0ca9911f5c67edd7")</f>
        <v/>
      </c>
      <c r="F69">
        <f>HYPERLINK("https://www.usaajobs.com/job/-/-/1207/90835025632", "https://www.usaajobs.com/job/-/-/1207/90835025632")</f>
        <v/>
      </c>
      <c r="G69" t="inlineStr">
        <is>
          <t>San Antonio, TX, US</t>
        </is>
      </c>
      <c r="H69" s="2" t="n">
        <v>46042</v>
      </c>
      <c r="I69"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dedicated Mid\-Level Software Engineer who will be working with the P\&amp;C IT Property Platform Team in the P\&amp;C Infrastructure organization. The position plays an essential role in ensuring the operations and maintenance of the P\&amp;C Property applications and systems. This role will work closely with business and IT partners to ensure the availability and continuity of IT operations. This role will work actively to ensure alignment to existing processes, integrate disparate systems and technology and drive continuous improvement Property Systems.
Provides support to the Enterprise through delivering best in class technology solutions. Engaged in all phases of the software systems and application development lifecycle which include gathering and analyzing requirements, designing, testing, documenting, and implementing software, responding to outages.
We offer a flexible work environment that requires an individual to be **in the office 4 days per week.** This position can be based in one of the following locations: San Antonio, TX or Plano, TX. Relocation assistance is **not** available for this position.
**What you'll do:**
* Design, develop, code, and test complex technical solutions
* Investigates and resolves complex application and system technical problems and production issues through troubleshooting techniques.
* Continually improves operations by conducting complex systems analysis and recommending changes in policies and procedures.
* Prepares and installs complex solutions by determining and designing system specifications, standards, and programming.
* Follows the software development lifecycle.
* Participates in design reviews and learns key system design principles.
* Mentors junior engineers and may begin mentoring peer engineers; Review teammates’ code.
* Ensures risks associated with business activities are effectively identified, measured, monitored, and controlled in accordance with risk and compliance policies and procedures.
**What you have:**
* Bachelor’s Degree or 4 additional years of experience beyond the minimum requirement can be used in lieu of a degree OR Approved certification from CodeUp, Galvanize, VetFIT (Veterans for IT) or eFIT (Employees for IT).
* 4 years of software development experience demonstrating depth of technical understanding within a specific discipline(s)/technology(s).
* 2 years of experience delivering technology solutions in all phases of the software systems and application development lifecycle to include leading code/design reviews.
* Basic Understanding of one or more of the following: Java, Swift, Objective\-C, Cobol, JavaScript, Kotlin, C\+\+, HTML, CSS, SQL, Go, and Python
* Developing level of business sense in the areas of business operations, risk management, industry practices and emerging trends.
* Experience supporting efforts to address production issues through troubleshooting applications and systems.
* Experience articulating technical challenges and solutions.
* Basic understanding of cloud technologies and tools.
**What sets you apart:**
* 4\+ years of development experience using Java and JavaScript with React.
* 4\+ years’ experience working with REST API development and building container\-based APIs with Spring Boot \&amp; OpenLiberty.
* Experienced with AWS services (e.g. EC2, S3, Lambda).
* Experienced in fixing security issues on APIs.
* Experience in supporting the upgrades of APIs for both OnPrem environments and Cloud environments (such as AWS and Azure).
* Familiar with Gradle, Git, GitHub, GitLab, etc. around continuous integration and continuous delivery infrastructure.
* Experience with Elastic/Kibana tools
* API Portal/Gloo gateway
* IDE (Intellij, Eclipse, VSCode)
* Automated testing tools (jmeter, selenium, postman, etc)
**Compensation range:** The salary range for this position is: $93,770 \- $179,240\.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70">
      <c r="A70" t="inlineStr">
        <is>
          <t>in-b1912428f6667583</t>
        </is>
      </c>
      <c r="B70" t="inlineStr">
        <is>
          <t>Sentinel Software Engineer - 17541</t>
        </is>
      </c>
      <c r="C70" t="inlineStr">
        <is>
          <t>Northrop Grumman</t>
        </is>
      </c>
      <c r="D70" t="inlineStr">
        <is>
          <t>indeed</t>
        </is>
      </c>
      <c r="E70">
        <f>HYPERLINK("https://www.indeed.com/viewjob?jk=b1912428f6667583", "https://www.indeed.com/viewjob?jk=b1912428f6667583")</f>
        <v/>
      </c>
      <c r="F70">
        <f>HYPERLINK("https://jsv3.recruitics.com/redirect?rx_cid=3658&amp;rx_jobId=R10220156&amp;rx_url=https%3A%2F%2Fjobs.northropgrumman.com%2Fcareers%2Fjob%2F1340069498216%3Fcode%3DJB-17946%26domain%3Dngc.com%26rx_a%3D0%26rx_c%3D%26rx_ch%3Djobp4p%26rx_group%3D288254%26rx_id%3D23d20157-f78d-11f0-bea8-c5b985adead7%26rx_job%3DR10220156%26rx_medium%3Dcpc%26rx_r%3Dnone%26rx_source%3Dindeed%26rx_ts%3D20260122T180426Z%26rx_vp%3Dcpc%26source%3DJB-17946%26utm_audience%3Dprospectivetalentemployees%26utm_campaign%3Dta-general%26utm_content%3Djobfeed%26utm_format%3Dcpl%26utm_medium%3Djobboard%26utm_source%3Dindeed", "https://jsv3.recruitics.com/redirect?rx_cid=3658&amp;rx_jobId=R10220156&amp;rx_url=https%3A%2F%2Fjobs.northropgrumman.com%2Fcareers%2Fjob%2F1340069498216%3Fcode%3DJB-17946%26domain%3Dngc.com%26rx_a%3D0%26rx_c%3D%26rx_ch%3Djobp4p%26rx_group%3D288254%26rx_id%3D23d20157-f78d-11f0-bea8-c5b985adead7%26rx_job%3DR10220156%26rx_medium%3Dcpc%26rx_r%3Dnone%26rx_source%3Dindeed%26rx_ts%3D20260122T180426Z%26rx_vp%3Dcpc%26source%3DJB-17946%26utm_audience%3Dprospectivetalentemployees%26utm_campaign%3Dta-general%26utm_content%3Djobfeed%26utm_format%3Dcpl%26utm_medium%3Djobboard%26utm_source%3Dindeed")</f>
        <v/>
      </c>
      <c r="G70" t="inlineStr">
        <is>
          <t>Huntsville, AL, US</t>
        </is>
      </c>
      <c r="H70" s="2" t="n">
        <v>46041</v>
      </c>
      <c r="I70"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Northrop Grumman Defense Systems is seeking **Software Engineer** This position will be located in **Huntsville, AL** **or** **Roy, Utah** and will support the Sentinel program.
**What You'll Get To Do:**
Responsible for development and execution of automated and manual test cases to verify functional software requirements.
This will include the following activities:
* Assist in the design, development, and implementation of testing methods and equipment.
* Test planning, execution, reporting, and integration support.
* Prepare detailed test reports and support formal verification of the system.
* Compile data and define changes required in test equipment, test procedures, or new test requirements.
* Perform data analysis against requirements and interfaces for each software build or hardware component.
* Interface with software developers and systems engineers in support of verification.
* Product integration, regression, and verification testing including checkout in system test labs.
**Position Benefits:**
As a full\-time employee of Northrop Grumman, you are eligible for our robust benefits package including
* Medical, Dental \&amp; Vision coverage
* 401k
* Educational Assistance
* Life Insurance
* Employee Assistance Programs \&amp; Work/Life Solutions
* Paid Time Off
* Health \&amp; Wellness Resources
* Employee Discounts
This positions standard work schedule is a 9/80\. The 9/80 schedule allows employees who work a nine\-hour day Monday through Thursday to take every other Friday off. This role may offer a competitive relocation assistance package
 **Basic Qualifications**
* Bachelor's degree in Science with 2 years of experience or Master's degree with 0 years of experience. 4 additional years of experience may be substituted in lieu of a degree.
* Must be a US citizen with an active U.S. Government DoD Secret security clearance at time of application, current and within scope, with an ability to obtain and maintain Special Access Program (SAP) approval within a reasonable period of time, as determined by the company to meet its business need
* 1\+ year(s) of experience working Software Test, SW Development and/or Systems Engineering
* 1\+ year(s) of experience with Java, C\+\+, Python
* Experience writing test scripts
* Understanding of the software development lifecycle and agile development methodology
**Preferred Qualifications:**
* Bachelor's degree or higher in a Science, Technology, Engineering, and Mathematics (STEM) discipline from an accredited University/College with engineering related experience
* Experience with IBM Rational tool suite (DOORS and Jazz)
* Experience with Atlassian tool suite (JIRA, Git, Confluence)
* Experience using software test automation tools/frameworks
* Experience with test tool design
\#Sentinelsoftware
Primary Level Salary Range: $79,300\.00 \- $131,400\.00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71">
      <c r="A71" t="inlineStr">
        <is>
          <t>in-c3836532cf101415</t>
        </is>
      </c>
      <c r="B71" t="inlineStr">
        <is>
          <t>Sentinel Software Engineer - 17541</t>
        </is>
      </c>
      <c r="C71" t="inlineStr">
        <is>
          <t>Northrop Grumman</t>
        </is>
      </c>
      <c r="D71" t="inlineStr">
        <is>
          <t>indeed</t>
        </is>
      </c>
      <c r="E71">
        <f>HYPERLINK("https://www.indeed.com/viewjob?jk=c3836532cf101415", "https://www.indeed.com/viewjob?jk=c3836532cf101415")</f>
        <v/>
      </c>
      <c r="F71">
        <f>HYPERLINK("https://jsv3.recruitics.com/redirect?rx_cid=3658&amp;rx_jobId=R10220156-2&amp;rx_url=https%3A%2F%2Fjobs.northropgrumman.com%2Fcareers%2Fjob%2F1340069498216%3Fcode%3DJB-17946%26domain%3Dngc.com%26rx_a%3D0%26rx_c%3D%26rx_ch%3Djobp4p%26rx_group%3D288254%26rx_id%3D1ed302d9-f78d-11f0-bea8-2914ba4c129e%26rx_job%3DR10220156-2%26rx_medium%3Dcpc%26rx_r%3Dnone%26rx_source%3Dindeed%26rx_ts%3D20260122T180426Z%26rx_vp%3Dcpc%26source%3DJB-17946%26utm_audience%3Dprospectivetalentemployees%26utm_campaign%3Dta-general%26utm_content%3Djobfeed%26utm_format%3Dcpl%26utm_medium%3Djobboard%26utm_source%3Dindeed", "https://jsv3.recruitics.com/redirect?rx_cid=3658&amp;rx_jobId=R10220156-2&amp;rx_url=https%3A%2F%2Fjobs.northropgrumman.com%2Fcareers%2Fjob%2F1340069498216%3Fcode%3DJB-17946%26domain%3Dngc.com%26rx_a%3D0%26rx_c%3D%26rx_ch%3Djobp4p%26rx_group%3D288254%26rx_id%3D1ed302d9-f78d-11f0-bea8-2914ba4c129e%26rx_job%3DR10220156-2%26rx_medium%3Dcpc%26rx_r%3Dnone%26rx_source%3Dindeed%26rx_ts%3D20260122T180426Z%26rx_vp%3Dcpc%26source%3DJB-17946%26utm_audience%3Dprospectivetalentemployees%26utm_campaign%3Dta-general%26utm_content%3Djobfeed%26utm_format%3Dcpl%26utm_medium%3Djobboard%26utm_source%3Dindeed")</f>
        <v/>
      </c>
      <c r="G71" t="inlineStr">
        <is>
          <t>Roy, UT, US</t>
        </is>
      </c>
      <c r="H71" s="2" t="n">
        <v>46041</v>
      </c>
      <c r="I71"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Northrop Grumman Defense Systems is seeking **Software Engineer** This position will be located in **Huntsville, AL** **or** **Roy, Utah** and will support the Sentinel program.
**What You'll Get To Do:**
Responsible for development and execution of automated and manual test cases to verify functional software requirements.
This will include the following activities:
* Assist in the design, development, and implementation of testing methods and equipment.
* Test planning, execution, reporting, and integration support.
* Prepare detailed test reports and support formal verification of the system.
* Compile data and define changes required in test equipment, test procedures, or new test requirements.
* Perform data analysis against requirements and interfaces for each software build or hardware component.
* Interface with software developers and systems engineers in support of verification.
* Product integration, regression, and verification testing including checkout in system test labs.
**Position Benefits:**
As a full\-time employee of Northrop Grumman, you are eligible for our robust benefits package including
* Medical, Dental \&amp; Vision coverage
* 401k
* Educational Assistance
* Life Insurance
* Employee Assistance Programs \&amp; Work/Life Solutions
* Paid Time Off
* Health \&amp; Wellness Resources
* Employee Discounts
This positions standard work schedule is a 9/80\. The 9/80 schedule allows employees who work a nine\-hour day Monday through Thursday to take every other Friday off. This role may offer a competitive relocation assistance package
 **Basic Qualifications**
* Bachelor's degree in Science with 2 years of experience or Master's degree with 0 years of experience. 4 additional years of experience may be substituted in lieu of a degree.
* Must be a US citizen with an active U.S. Government DoD Secret security clearance at time of application, current and within scope, with an ability to obtain and maintain Special Access Program (SAP) approval within a reasonable period of time, as determined by the company to meet its business need
* 1\+ year(s) of experience working Software Test, SW Development and/or Systems Engineering
* 1\+ year(s) of experience with Java, C\+\+, Python
* Experience writing test scripts
* Understanding of the software development lifecycle and agile development methodology
**Preferred Qualifications:**
* Bachelor's degree or higher in a Science, Technology, Engineering, and Mathematics (STEM) discipline from an accredited University/College with engineering related experience
* Experience with IBM Rational tool suite (DOORS and Jazz)
* Experience with Atlassian tool suite (JIRA, Git, Confluence)
* Experience using software test automation tools/frameworks
* Experience with test tool design
\#Sentinelsoftware
Primary Level Salary Range: $79,300\.00 \- $131,400\.00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72">
      <c r="A72" t="inlineStr">
        <is>
          <t>in-1b75baa7404c10e0</t>
        </is>
      </c>
      <c r="B72" t="inlineStr">
        <is>
          <t>Sentinel Staff Software Engineer - 17552</t>
        </is>
      </c>
      <c r="C72" t="inlineStr">
        <is>
          <t>Northrop Grumman</t>
        </is>
      </c>
      <c r="D72" t="inlineStr">
        <is>
          <t>indeed</t>
        </is>
      </c>
      <c r="E72">
        <f>HYPERLINK("https://www.indeed.com/viewjob?jk=1b75baa7404c10e0", "https://www.indeed.com/viewjob?jk=1b75baa7404c10e0")</f>
        <v/>
      </c>
      <c r="F72">
        <f>HYPERLINK("https://jsv3.recruitics.com/redirect?rx_cid=3658&amp;rx_jobId=R10220021&amp;rx_url=https%3A%2F%2Fjobs.northropgrumman.com%2Fcareers%2Fjob%2F1340069487560%3Fcode%3DJB-17946%26domain%3Dngc.com%26rx_a%3D0%26rx_c%3D%26rx_ch%3Djobp4p%26rx_group%3D288254%26rx_id%3D1fdd9599-f78d-11f0-bea8-87c61679f04a%26rx_job%3DR10220021%26rx_medium%3Dcpc%26rx_r%3Dnone%26rx_source%3Dindeed%26rx_ts%3D20260122T180426Z%26rx_vp%3Dcpc%26source%3DJB-17946%26utm_audience%3Dprospectivetalentemployees%26utm_campaign%3Dta-general%26utm_content%3Djobfeed%26utm_format%3Dcpl%26utm_medium%3Djobboard%26utm_source%3Dindeed", "https://jsv3.recruitics.com/redirect?rx_cid=3658&amp;rx_jobId=R10220021&amp;rx_url=https%3A%2F%2Fjobs.northropgrumman.com%2Fcareers%2Fjob%2F1340069487560%3Fcode%3DJB-17946%26domain%3Dngc.com%26rx_a%3D0%26rx_c%3D%26rx_ch%3Djobp4p%26rx_group%3D288254%26rx_id%3D1fdd9599-f78d-11f0-bea8-87c61679f04a%26rx_job%3DR10220021%26rx_medium%3Dcpc%26rx_r%3Dnone%26rx_source%3Dindeed%26rx_ts%3D20260122T180426Z%26rx_vp%3Dcpc%26source%3DJB-17946%26utm_audience%3Dprospectivetalentemployees%26utm_campaign%3Dta-general%26utm_content%3Djobfeed%26utm_format%3Dcpl%26utm_medium%3Djobboard%26utm_source%3Dindeed")</f>
        <v/>
      </c>
      <c r="G72" t="inlineStr">
        <is>
          <t>Huntsville, AL, US</t>
        </is>
      </c>
      <c r="H72" s="2" t="n">
        <v>46040</v>
      </c>
      <c r="I72"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Northrop Grumman Defense Systems is seeking **Staff Software Engineer**. This position will be located in **Huntsville, AL or Roy, UT** and will support the Sentinel program.
**Responsibilities:**
*Technical Leadership*
* Provide technical oversight for test engineering activities performed by the team. Candidate will lead a team that implements many technologies and needs diverse engineering experience.
* Candidate will be a thought leader of systems thinking and hardware engineering for both their team and the organization.
* Perform as a senior technical leader to support programs and new business efforts. These tasks will include software test plans, software requirements development, and software integration and test strategies.
* Responsible for WBS elements assigned to the C2 SW Test team.
* Expected to oversee assigned elements using Earned Value Management System (EVMS).
* Engage and collaborate with program and functional organizations to obtain, understand, and interpret program resource needs to effectively meet program milestones.
* Manage and maintain the day\-to\-day interfaces and communications between Program Management, Engineering Functionals, Manufacturing, and Global Supply Chain. Resolve issues spanning across Hardware Engineering functional area.
* Assess, track, and mitigate cost and schedule risk supported by quantitative and predictive analyses.
* Facilitate internal meetings to support design, production, and problem resolution.
* Utilize fundamental engineering principles to facilitate production and design changes within the project team that result in superior products within the program budget.
*People Leadership:*
* Provide technical oversight and mentorship to staff to ensure engineering projects in portfolio meet performance objectives
* Responsible for direct management of staff and providing directions to the staff
* Execute, update, and maintain department procedures
* Support organizational engineering initiatives
* Leads a team of individual contributors in support of SW integration and qualification.
* Develop and direct preparation and execution of HW/SW integration activities to support comprehensive tests and schedules for completing systems
* Coordinate SW integration and testing activities working in a dynamic people\-focused environment
* Direct oversight of SW integration and coordination with lab operations teams
* Responsible for the development of SW Test and Integration plans/procedures
* Responsible for CDRL deliveries aligned with TPWG and Verification reporting requirements.
* Ensuring members have sufficient statement of work and resources are balanced across various efforts.
* Coordinating with leadership to ensure appropriate staffing / de\-staffing actions are developed and executed relative to their department and managing employee movement.
* Rapid response to leadership on requests for programmatic status, and early communication of challenges to execution
* Implementation of agile software development practices to support defense contract development programs
* Perform as a Technical Leader within the Command\-and\-Control (C2\) Test Organization
**Position Benefits:**
As a full\-time employee of Northrop Grumman Space Systems, you are eligible for our robust benefits package including:  
* Medical, Dental \&amp; Vision coverage
* 401k
* Educational Assistance
* Life Insurance
* Employee Assistance Programs \&amp; Work/Life Solutions
* Paid Time Off
* Health \&amp; Wellness Resources
* Employee Discounts
This position’s standard work schedule is a 9/80\. The 9/80 schedule allows employees who work a nine\-hour day Monday through Thursday to take every other Friday off. This role may offer a competitive relocation assistance package.
**Basic Qualifications:**
* Bachelor's degree and 12 years of experience; 10 years with a Masters; 18 years of experience in lieu of degree.
* U.S. Citizenship with an active DoD secret security clearance with an investigation date within the last 6 years and with the ability to obtain Special Program Access (SAP)
* Technical experience in network, computer hardware and software, interconnection, and interfacing technologies
* Ability to effectively communicate and present technical details to peers, and stakeholders
* Familiarity with product integration, regression, and verification testing
* Knowledge of system integration and test principles and processes
* Ability to work well in a team environment
* Experience with engineering lifecycles such as specifications, architecture, design, implementation, integration, debug and maintenance.
* Experience with version control and collaboration tools
* Experience applying systems thinking and systems engineering best practices to engineering development programs.
* Proven leadership skills as a people and technical leader, and ability to work effectively in a collaborative team environment
* 2\+ Years leading software development teams.
* 2\+ years integrating commercial off the shelf (COTS) and subcontractor submissions with prime deliverables
* Familiarity with Software Test Lifecycle in an Agile environment
**Preferred Qualifications:**
* Active DOD Top Secret Clearance
* Active Sentinel SAP
* Understanding of Systems Engineering principles and lifecycle
* 5 years prior experience leading a team, projects, and processes; ability to lead and motivate others to mentor and ensure others meet complex objectives.
* Experience navigating specifications and requirements in DOORS
* Familiarity with Atlassian applications JIRA and Confluence
* Excellent communication, interpersonal skills, and the ability to interface with all levels of employees and management
* Thorough understanding of Northrop Grumman test processes and tools
* Experience with wide range of embedded devices, such as Micro\-controllers, FPGAs, and CPLDs.
* Effectively communicate and present to project and program management, other technical managers, and customers.
* Excellent technical writing skills, and team building skills.
* Demonstrated experience leading a team of technical contributors.
* Experience with the Sentinel weapon system, especially Command \&amp; Launch.
* Effectively communicate and present to project and program management, other technical managers, and customers.
* Experience with the Sentinel weapon system, especially Command \&amp; Launch.
* Earned Value Management Experience.
\#Sentinelsoftware
Primary Level Salary Range: $152,900\.00 \- $253,600\.00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73">
      <c r="A73" t="inlineStr">
        <is>
          <t>in-3bc4bd40e77e1409</t>
        </is>
      </c>
      <c r="B73" t="inlineStr">
        <is>
          <t>Sentinel Staff Software Engineer - 17552</t>
        </is>
      </c>
      <c r="C73" t="inlineStr">
        <is>
          <t>Northrop Grumman</t>
        </is>
      </c>
      <c r="D73" t="inlineStr">
        <is>
          <t>indeed</t>
        </is>
      </c>
      <c r="E73">
        <f>HYPERLINK("https://www.indeed.com/viewjob?jk=3bc4bd40e77e1409", "https://www.indeed.com/viewjob?jk=3bc4bd40e77e1409")</f>
        <v/>
      </c>
      <c r="F73">
        <f>HYPERLINK("https://jsv3.recruitics.com/redirect?rx_cid=3658&amp;rx_jobId=R10220021-2&amp;rx_url=https%3A%2F%2Fjobs.northropgrumman.com%2Fcareers%2Fjob%2F1340069487560%3Fcode%3DJB-17946%26domain%3Dngc.com%26rx_a%3D0%26rx_c%3D%26rx_ch%3Djobp4p%26rx_group%3D288254%26rx_id%3D24ae56cd-f78d-11f0-bea8-bf3bdc376c7a%26rx_job%3DR10220021-2%26rx_medium%3Dcpc%26rx_r%3Dnone%26rx_source%3Dindeed%26rx_ts%3D20260122T180426Z%26rx_vp%3Dcpc%26source%3DJB-17946%26utm_audience%3Dprospectivetalentemployees%26utm_campaign%3Dta-general%26utm_content%3Djobfeed%26utm_format%3Dcpl%26utm_medium%3Djobboard%26utm_source%3Dindeed", "https://jsv3.recruitics.com/redirect?rx_cid=3658&amp;rx_jobId=R10220021-2&amp;rx_url=https%3A%2F%2Fjobs.northropgrumman.com%2Fcareers%2Fjob%2F1340069487560%3Fcode%3DJB-17946%26domain%3Dngc.com%26rx_a%3D0%26rx_c%3D%26rx_ch%3Djobp4p%26rx_group%3D288254%26rx_id%3D24ae56cd-f78d-11f0-bea8-bf3bdc376c7a%26rx_job%3DR10220021-2%26rx_medium%3Dcpc%26rx_r%3Dnone%26rx_source%3Dindeed%26rx_ts%3D20260122T180426Z%26rx_vp%3Dcpc%26source%3DJB-17946%26utm_audience%3Dprospectivetalentemployees%26utm_campaign%3Dta-general%26utm_content%3Djobfeed%26utm_format%3Dcpl%26utm_medium%3Djobboard%26utm_source%3Dindeed")</f>
        <v/>
      </c>
      <c r="G73" t="inlineStr">
        <is>
          <t>Roy, UT, US</t>
        </is>
      </c>
      <c r="H73" s="2" t="n">
        <v>46040</v>
      </c>
      <c r="I73"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Northrop Grumman Defense Systems is seeking **Staff Software Engineer**. This position will be located in **Huntsville, AL or Roy, UT** and will support the Sentinel program.
**Responsibilities:**
*Technical Leadership*
* Provide technical oversight for test engineering activities performed by the team. Candidate will lead a team that implements many technologies and needs diverse engineering experience.
* Candidate will be a thought leader of systems thinking and hardware engineering for both their team and the organization.
* Perform as a senior technical leader to support programs and new business efforts. These tasks will include software test plans, software requirements development, and software integration and test strategies.
* Responsible for WBS elements assigned to the C2 SW Test team.
* Expected to oversee assigned elements using Earned Value Management System (EVMS).
* Engage and collaborate with program and functional organizations to obtain, understand, and interpret program resource needs to effectively meet program milestones.
* Manage and maintain the day\-to\-day interfaces and communications between Program Management, Engineering Functionals, Manufacturing, and Global Supply Chain. Resolve issues spanning across Hardware Engineering functional area.
* Assess, track, and mitigate cost and schedule risk supported by quantitative and predictive analyses.
* Facilitate internal meetings to support design, production, and problem resolution.
* Utilize fundamental engineering principles to facilitate production and design changes within the project team that result in superior products within the program budget.
*People Leadership:*
* Provide technical oversight and mentorship to staff to ensure engineering projects in portfolio meet performance objectives
* Responsible for direct management of staff and providing directions to the staff
* Execute, update, and maintain department procedures
* Support organizational engineering initiatives
* Leads a team of individual contributors in support of SW integration and qualification.
* Develop and direct preparation and execution of HW/SW integration activities to support comprehensive tests and schedules for completing systems
* Coordinate SW integration and testing activities working in a dynamic people\-focused environment
* Direct oversight of SW integration and coordination with lab operations teams
* Responsible for the development of SW Test and Integration plans/procedures
* Responsible for CDRL deliveries aligned with TPWG and Verification reporting requirements.
* Ensuring members have sufficient statement of work and resources are balanced across various efforts.
* Coordinating with leadership to ensure appropriate staffing / de\-staffing actions are developed and executed relative to their department and managing employee movement.
* Rapid response to leadership on requests for programmatic status, and early communication of challenges to execution
* Implementation of agile software development practices to support defense contract development programs
* Perform as a Technical Leader within the Command\-and\-Control (C2\) Test Organization
**Position Benefits:**
As a full\-time employee of Northrop Grumman Space Systems, you are eligible for our robust benefits package including:  
* Medical, Dental \&amp; Vision coverage
* 401k
* Educational Assistance
* Life Insurance
* Employee Assistance Programs \&amp; Work/Life Solutions
* Paid Time Off
* Health \&amp; Wellness Resources
* Employee Discounts
This position’s standard work schedule is a 9/80\. The 9/80 schedule allows employees who work a nine\-hour day Monday through Thursday to take every other Friday off. This role may offer a competitive relocation assistance package.
**Basic Qualifications:**
* Bachelor's degree and 12 years of experience; 10 years with a Masters; 18 years of experience in lieu of degree.
* U.S. Citizenship with an active DoD secret security clearance with an investigation date within the last 6 years and with the ability to obtain Special Program Access (SAP)
* Technical experience in network, computer hardware and software, interconnection, and interfacing technologies
* Ability to effectively communicate and present technical details to peers, and stakeholders
* Familiarity with product integration, regression, and verification testing
* Knowledge of system integration and test principles and processes
* Ability to work well in a team environment
* Experience with engineering lifecycles such as specifications, architecture, design, implementation, integration, debug and maintenance.
* Experience with version control and collaboration tools
* Experience applying systems thinking and systems engineering best practices to engineering development programs.
* Proven leadership skills as a people and technical leader, and ability to work effectively in a collaborative team environment
* 2\+ Years leading software development teams.
* 2\+ years integrating commercial off the shelf (COTS) and subcontractor submissions with prime deliverables
* Familiarity with Software Test Lifecycle in an Agile environment
**Preferred Qualifications:**
* Active DOD Top Secret Clearance
* Active Sentinel SAP
* Understanding of Systems Engineering principles and lifecycle
* 5 years prior experience leading a team, projects, and processes; ability to lead and motivate others to mentor and ensure others meet complex objectives.
* Experience navigating specifications and requirements in DOORS
* Familiarity with Atlassian applications JIRA and Confluence
* Excellent communication, interpersonal skills, and the ability to interface with all levels of employees and management
* Thorough understanding of Northrop Grumman test processes and tools
* Experience with wide range of embedded devices, such as Micro\-controllers, FPGAs, and CPLDs.
* Effectively communicate and present to project and program management, other technical managers, and customers.
* Excellent technical writing skills, and team building skills.
* Demonstrated experience leading a team of technical contributors.
* Experience with the Sentinel weapon system, especially Command \&amp; Launch.
* Effectively communicate and present to project and program management, other technical managers, and customers.
* Experience with the Sentinel weapon system, especially Command \&amp; Launch.
* Earned Value Management Experience.
\#Sentinelsoftware
Primary Level Salary Range: $152,900\.00 \- $253,600\.00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74">
      <c r="A74" t="inlineStr">
        <is>
          <t>in-4f5ce7fc5737bd67</t>
        </is>
      </c>
      <c r="B74" t="inlineStr">
        <is>
          <t>Software Engineer</t>
        </is>
      </c>
      <c r="C74" t="inlineStr">
        <is>
          <t>Qualcomm</t>
        </is>
      </c>
      <c r="D74" t="inlineStr">
        <is>
          <t>indeed</t>
        </is>
      </c>
      <c r="E74">
        <f>HYPERLINK("https://www.indeed.com/viewjob?jk=4f5ce7fc5737bd67", "https://www.indeed.com/viewjob?jk=4f5ce7fc5737bd67")</f>
        <v/>
      </c>
      <c r="F74">
        <f>HYPERLINK("https://careers.qualcomm.com/careers/job/446716285834?utm_source=indeed&amp;domain=qualcomm.com", "https://careers.qualcomm.com/careers/job/446716285834?utm_source=indeed&amp;domain=qualcomm.com")</f>
        <v/>
      </c>
      <c r="G74" t="inlineStr">
        <is>
          <t>Santa Clara, CA, US</t>
        </is>
      </c>
      <c r="H74" s="2" t="n">
        <v>46037</v>
      </c>
      <c r="I74" t="inlineStr">
        <is>
          <t>**Company:**
------------
Qualcomm Atheros, Inc.**Job Area:**
-------------
Engineering Group, Engineering Group \&gt; Software Engineering**General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Qualifications:**
* Bachelor's degree in Engineering, Information Systems, Computer Science, or related field.
**Preferred Qualifications:**
* 1\+ year of experience with Programming Language such as C, C\+\+, Java, Python, etc.
* 1\+ year of experience with Database Management Software.
* 1\+ year of experience with API.
* 1\+ year of work experience with Git, Perforce, or Source Code Management System.
**Principal Duties and Responsibilities:**
* Applies Software knowledge to assist and support the design, development, creation, modification, and validation of embedded and cloud edge software, applications, and/or specialized utility programs.
* Analyzes user needs and software requirements.
* Designs and implements small software features for products and systems.
* Participates in the design, coding for small features, unit testing, minor debugging fixes, and integration efforts to ensure projects are completed on schedule.
* Assists in performing code reviews and regression tests as well as the triaging of issues to ensure the quality of code.
* Collaborates with others inside project team to accomplish project objectives.
* Writes technical documentation for Software projects.
**Level of Responsibility:**
* Works under supervision.
* Decision\-making affects direct area of work and/or work group.
* Requires verbal and written communication skills to convey basic, routine factual information.
* Tasks require multiple steps which can be performed in various orders; some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$111,300\.00 \- $166,900\.00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75">
      <c r="A75" t="inlineStr">
        <is>
          <t>in-4fd12ae59cc9d957</t>
        </is>
      </c>
      <c r="B75" t="inlineStr">
        <is>
          <t>In-Person* Software Engineer</t>
        </is>
      </c>
      <c r="C75" t="inlineStr">
        <is>
          <t>Community Financial</t>
        </is>
      </c>
      <c r="D75" t="inlineStr">
        <is>
          <t>indeed</t>
        </is>
      </c>
      <c r="E75">
        <f>HYPERLINK("https://www.indeed.com/viewjob?jk=4fd12ae59cc9d957", "https://www.indeed.com/viewjob?jk=4fd12ae59cc9d957")</f>
        <v/>
      </c>
      <c r="F75">
        <f>HYPERLINK("https://workforcenow.adp.com/jobs/apply/posting.html?client=mide&amp;jobId=929634&amp;lang=en_US", "https://workforcenow.adp.com/jobs/apply/posting.html?client=mide&amp;jobId=929634&amp;lang=en_US")</f>
        <v/>
      </c>
      <c r="G75" t="inlineStr">
        <is>
          <t>Plymouth, MI, US</t>
        </is>
      </c>
      <c r="H75" s="2" t="n">
        <v>46028</v>
      </c>
      <c r="I75" t="inlineStr">
        <is>
          <t>**Who We Are:**  
At Community Financial Credit Union, we believe in more than just banking, we believe in people. We are looking to build a community of forward\-thinking team members who share our values towards providing exceptional member experiences and financial empowerment through our best\-in\-class products.
We’ve been recognized as one of the Regional Best and Brightest companies for the last 20 years and nationally recognized since 2018\. We have been certified as a Great Place To Work since 2023 and as of 2024, we were also recognized as the Best and Brightest in Wellness , reflecting our deep commitment to our team members and the communities we serve.
**About the role:**  
The Software Engineer is responsible for developing and customizing software solutions for our digital banking platform currently using Lumin Digital SDK. This role involves close collaboration with internal stakeholders and external vendors to gather business and technical requirements, implement platform enhancements throughout the project lifecycle, and develop custom solutions for our digital banking platform utilizing the Lumin SDK. The Software Engineer performs a variety of programming assignments requiring knowledge of established programming and data processing procedures. This individual serves as the backup contact for support issues and will be responsible for maintaining and updating existing programs.
This position has a starting annual rate of $103,100 , but your offer amount may be increased with relevant work experience and transferable skills.
* This position requires in\-person collaboration at our Plymouth, MI headquarters.\*
**A Day in the life of a Software Engineer can look like:**  
Understand technical needs of stakeholders or vendors and translate them into scalable implementation.
Develop, configure, maintain, and test digital banking SDK\-based applications.
Develop, test, troubleshoot, analyze, and maintain other credit union programs and applications.
Conduct requirement analysis to identify bugs, enhancements, and optimization opportunities.
Collaborate with project managers, QA testers, and external partners to ensure smooth delivery.
Troubleshoot and resolve complex issues during implementation and production support.
**What you bring to the table:**  
Bachelor’s Degree in Computer Science, Engineering, or a related field.
Minimum 4 years of programming experience.
Proficiency in multiple programming languages such as Symitar PowerOn, Java, Python, SQL, TypeScript, and proprietary programming languages.
**Experience with modern frameworks and tools:** React, Angular, .NET, Bootstrap, Spring, MySQL, or Django
Familiarity with cloud\-native technologies including Docker, Kubernetes, ArgoCD, Kibana, JSON Web Tokens, AWS
Experience with version control systems, especially Azure DevOps (branching, merging, pull requests).
Strong understanding of SDKs, APIs, and integration frameworks
Experience with Mac OS to develop digital applications.
Understanding of digital banking platforms and fintech interfaces.
Excellent debugging, analytical, and problem\-solving skills.
Stay current with emerging technologies and industry trends.
Understanding of software security principles.
Take ownership of assigned tasks and be able to work independently and as part of a team.
Ability to thrive in a fast\-paced environment and manage multiple priorities effectively.
Detail\-oriented and exceptional problem\-solving abilities.
**You might also have:**  
Experience with Lumin Digital SDK
Symitar PowerOn programming experience.
Credit union experience.
Knowledge of banking core systems.
We believe in creating a Culture of Belonging guided by our core values: Relentless Care, Hustle \&amp; Grind, Huzzah! and Curiosity.
**As a team member of Community Financial, you’ll enjoy:**  
Comprehensive medical, dental, and vision plans
Four weeks of PTO for all full\-time team members
Up to 12\-weeks paid paternity/maternity leave
Lifestyle Accounts to help with your personal wellbeing
Family Health Benefits
Paid time off to observe all Federal Holidays
Flexible work options depending on position
A generous 401k match
Numerous employee engagement activities
Community Resource Groups
Paid time off for occasions such as volunteering, caregiving, and family events
**Contact/application information:**  
If this description appeals to you, please submit an application! A member of CFCU’s Talent Acquisition Team will be in contact with you shortly!
**Equal Employment Opportunity Policy:**  
Community Financial Credit Union is an equal opportunity employer (M/F/D/V). We recruit, employ, train, compensate, and promote without regard to race, religion, creed, color, national origin, age, gender, gender identity or expression, sexual orientation, marital status, disability, veteran status, or any other basis protected by applicable Federal, State or local laws.
**Disclaimer:**  
This job posting highlights some of the most critical responsibilities and requirements of the position. There may be additional duties and responsibilities that are not listed above. A Talent Acquisition Specialist will be sure to discuss the role in further detail should your application be selected to move forward.
Please note that Community Financial Credit Union does not involve Artificial Intelligence (AI) when evaluating applications. Applications for this position are reviewed by a member within the Talent Acquisition team. We are dedicated to providing an equitable and thorough review of all submissions and look forward to additional connection as the recruitment process continues!</t>
        </is>
      </c>
    </row>
    <row r="76">
      <c r="A76" t="inlineStr">
        <is>
          <t>in-90e3544a4a05577b</t>
        </is>
      </c>
      <c r="B76" t="inlineStr">
        <is>
          <t>Software Engineer II, Android</t>
        </is>
      </c>
      <c r="C76" t="inlineStr">
        <is>
          <t>Amazon.com</t>
        </is>
      </c>
      <c r="D76" t="inlineStr">
        <is>
          <t>indeed</t>
        </is>
      </c>
      <c r="E76">
        <f>HYPERLINK("https://www.indeed.com/viewjob?jk=90e3544a4a05577b", "https://www.indeed.com/viewjob?jk=90e3544a4a05577b")</f>
        <v/>
      </c>
      <c r="F76">
        <f>HYPERLINK("https://www.amazon.jobs/jobs/3138330/software-engineer-ii-android?cmpid=DA_INAD200785B", "https://www.amazon.jobs/jobs/3138330/software-engineer-ii-android?cmpid=DA_INAD200785B")</f>
        <v/>
      </c>
      <c r="G76" t="inlineStr">
        <is>
          <t>Seattle, WA, US</t>
        </is>
      </c>
      <c r="H76" s="2" t="n">
        <v>45995</v>
      </c>
      <c r="I7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in-cef27150d928d955</t>
        </is>
      </c>
      <c r="B77" t="inlineStr">
        <is>
          <t>Software Engineer II, Android</t>
        </is>
      </c>
      <c r="C77" t="inlineStr">
        <is>
          <t>Amazon.com</t>
        </is>
      </c>
      <c r="D77" t="inlineStr">
        <is>
          <t>indeed</t>
        </is>
      </c>
      <c r="E77">
        <f>HYPERLINK("https://www.indeed.com/viewjob?jk=cef27150d928d955", "https://www.indeed.com/viewjob?jk=cef27150d928d955")</f>
        <v/>
      </c>
      <c r="F77">
        <f>HYPERLINK("https://www.amazon.jobs/jobs/3138330/software-engineer-ii-android?cmpid=DA_INAD200785B", "https://www.amazon.jobs/jobs/3138330/software-engineer-ii-android?cmpid=DA_INAD200785B")</f>
        <v/>
      </c>
      <c r="G77" t="inlineStr">
        <is>
          <t>Irvine, CA, US</t>
        </is>
      </c>
      <c r="H77" s="2" t="n">
        <v>45995</v>
      </c>
      <c r="I7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in-a7f876707966b68c</t>
        </is>
      </c>
      <c r="B78" t="inlineStr">
        <is>
          <t>Software Engineer II, Twitch</t>
        </is>
      </c>
      <c r="C78" t="inlineStr">
        <is>
          <t>Amazon.com</t>
        </is>
      </c>
      <c r="D78" t="inlineStr">
        <is>
          <t>indeed</t>
        </is>
      </c>
      <c r="E78">
        <f>HYPERLINK("https://www.indeed.com/viewjob?jk=a7f876707966b68c", "https://www.indeed.com/viewjob?jk=a7f876707966b68c")</f>
        <v/>
      </c>
      <c r="F78">
        <f>HYPERLINK("https://www.amazon.jobs/jobs/3138052/software-engineer-ii-twitch?cmpid=DA_INAD200785B", "https://www.amazon.jobs/jobs/3138052/software-engineer-ii-twitch?cmpid=DA_INAD200785B")</f>
        <v/>
      </c>
      <c r="G78" t="inlineStr">
        <is>
          <t>San Francisco, CA, US</t>
        </is>
      </c>
      <c r="H78" s="2" t="n">
        <v>45995</v>
      </c>
      <c r="I7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in-a5208539da3930c8</t>
        </is>
      </c>
      <c r="B79" t="inlineStr">
        <is>
          <t>Software Engineer II, Android</t>
        </is>
      </c>
      <c r="C79" t="inlineStr">
        <is>
          <t>Amazon.com</t>
        </is>
      </c>
      <c r="D79" t="inlineStr">
        <is>
          <t>indeed</t>
        </is>
      </c>
      <c r="E79">
        <f>HYPERLINK("https://www.indeed.com/viewjob?jk=a5208539da3930c8", "https://www.indeed.com/viewjob?jk=a5208539da3930c8")</f>
        <v/>
      </c>
      <c r="F79">
        <f>HYPERLINK("https://www.amazon.jobs/jobs/3138330/software-engineer-ii-android?cmpid=DA_INAD200785B", "https://www.amazon.jobs/jobs/3138330/software-engineer-ii-android?cmpid=DA_INAD200785B")</f>
        <v/>
      </c>
      <c r="G79" t="inlineStr">
        <is>
          <t>San Francisco, CA, US</t>
        </is>
      </c>
      <c r="H79" s="2" t="n">
        <v>45995</v>
      </c>
      <c r="I7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in-ead8362c0e1ea3ca</t>
        </is>
      </c>
      <c r="B80" t="inlineStr">
        <is>
          <t>Software Engineer II, Twitch</t>
        </is>
      </c>
      <c r="C80" t="inlineStr">
        <is>
          <t>Amazon.com</t>
        </is>
      </c>
      <c r="D80" t="inlineStr">
        <is>
          <t>indeed</t>
        </is>
      </c>
      <c r="E80">
        <f>HYPERLINK("https://www.indeed.com/viewjob?jk=ead8362c0e1ea3ca", "https://www.indeed.com/viewjob?jk=ead8362c0e1ea3ca")</f>
        <v/>
      </c>
      <c r="F80">
        <f>HYPERLINK("https://www.amazon.jobs/jobs/3138052/software-engineer-ii-twitch?cmpid=DA_INAD200785B", "https://www.amazon.jobs/jobs/3138052/software-engineer-ii-twitch?cmpid=DA_INAD200785B")</f>
        <v/>
      </c>
      <c r="G80" t="inlineStr">
        <is>
          <t>Seattle, WA, US</t>
        </is>
      </c>
      <c r="H80" s="2" t="n">
        <v>45995</v>
      </c>
      <c r="I8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in-8749a11e272908d9</t>
        </is>
      </c>
      <c r="B81" t="inlineStr">
        <is>
          <t>Computer Vision Software Engineer, Senior (Level III)</t>
        </is>
      </c>
      <c r="C81" t="inlineStr">
        <is>
          <t>Lockheed Martin</t>
        </is>
      </c>
      <c r="D81" t="inlineStr">
        <is>
          <t>indeed</t>
        </is>
      </c>
      <c r="E81">
        <f>HYPERLINK("https://www.indeed.com/viewjob?jk=8749a11e272908d9", "https://www.indeed.com/viewjob?jk=8749a11e272908d9")</f>
        <v/>
      </c>
      <c r="F81">
        <f>HYPERLINK("https://click.appcast.io/t/ci817hr3uTE5_7VPb7vlrw9ppooPLpT2a7A4WcBwTdw=", "https://click.appcast.io/t/ci817hr3uTE5_7VPb7vlrw9ppooPLpT2a7A4WcBwTdw=")</f>
        <v/>
      </c>
      <c r="G81" t="inlineStr">
        <is>
          <t>Littleton, CO, US</t>
        </is>
      </c>
      <c r="H81" s="2" t="n">
        <v>45974</v>
      </c>
      <c r="I81" t="inlineStr">
        <is>
          <t>**Job ID:** 710723BR
**Date posted:** Nov. 14, 2025  
**Description:****About Lockheed Martin Space**: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**About the Team**:
You'll collaborate with some of the brightest minds in engineering to design and integrate pioneering capabilities that shape the future of our mission. Our high‑impact, cross‑functional team delivers cutting‑edge perception solutions for a variety of mission‑critical platforms. We specialize in classical computer‑vision algorithms\-feature detection, stereo matching, optical flow\-while also integrating modern AI techniques such as semantic segmentation and learned feature representations. Every solution is engineered with the strict hardware constraints of resource‑limited processors in mind, including the ultra‑low‑power, radiation‑hardened CPUs typical of space‑borne systems.  
**About the Role**:
We are seeking a Senior Computer Vision Software Engineer who can proactively drive architectural evolution and deliver high‑performance perception code for edge‑deployed platforms.
The ideal candidate will:  
* Apply solid software design principles (modularity, testability) to enhance and extend our existing C\+\+/Python codebase
* Collaborate closely with hardware engineers, optics specialists, system architects, and other stakeholders to transform algorithmic concepts into high‑performance, deployable solutions
* Write production‑grade C\+\+ code for core functionality, complemented by Python scripts for testing, simulation, and rapid prototyping.
* Deeply understand the target hardware architecture and its processing constraints to fine‑tune algorithms, maximizing runtime efficiency and extracting every ounce of performance from the processor
* Contribute to and leverage our Continuous Integration/Continuous Deployment pipelines using tools such as GitLab CI, Google Test, and Docker for automated builds, containerized testing, and seamless delivery.
Successful applicants generally have a minimum of 3\+ years of related experience and may have a post\-secondary degree or training in a related discipline.  
**Basic Qualifications:**  
Skill Requirements:  
* Strong command of C\+\+ (C\+\+14/17/20\) and Python;
* Test‑driven mindset \- experience writing unit, integration, and performance tests; familiarity with frameworks such as Google Test
* Understanding of software design patterns and architectural principles (e.g., SOLID, factory, strategy, visitor, dependency injection)
* Understanding of core algorithms and data structures (graphs, trees, heaps, dynamic programming, greedy techniques, etc.)
* Proficiency with modern development tooling \- Linux/Unix environments, build systems (CMake), debugging/profiling tools (gdb, valgrind).
* Collaborative communication skills \- comfortable discussing technical trade‑offs with peers, documenting design decisions
Security Clearance / Work Authorization:  
* To meet requirements of the program/customer, this position requires the selected employee to be a U.S. Citizen.
* Although not required to start, the selected applicant must be eligible to obtain, and maintain, Top Secret with adjudicated SCI Eligibility (i.e. TS/SCI) for long term employment on this program
**Desired Skills:**  
* Bachelor's degree in Computer Science, Electrical Engineering, Mathematics, or a related technical field (or equivalent professional experience) with 3\+ years of software development experience
* Familiarity with functional programming languages like Rust
* Experience with containerization (Docker, Kubernetes)
* Experience with MATLAB
* Demonstrated experience designing, implementing, or applying computer‑vision algorithms and/or artificial‑intelligence / machine‑learning techniques
* Prior work on real‑time or embedded systems
* Knowledge of GPU/parallel programming (CUDA, OpenCL, OpenMP)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$101,000 \- $178,135\.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Guidance, Navigation and Control  
**Type:** Full\-Time  
**Shift:** First</t>
        </is>
      </c>
    </row>
    <row r="82">
      <c r="A82" t="inlineStr">
        <is>
          <t>in-ccd7de292674a4e6</t>
        </is>
      </c>
      <c r="B82" t="inlineStr">
        <is>
          <t>Software Engineer I</t>
        </is>
      </c>
      <c r="C82" t="inlineStr">
        <is>
          <t>Amazon.com</t>
        </is>
      </c>
      <c r="D82" t="inlineStr">
        <is>
          <t>indeed</t>
        </is>
      </c>
      <c r="E82">
        <f>HYPERLINK("https://www.indeed.com/viewjob?jk=ccd7de292674a4e6", "https://www.indeed.com/viewjob?jk=ccd7de292674a4e6")</f>
        <v/>
      </c>
      <c r="F82">
        <f>HYPERLINK("https://www.amazon.jobs/jobs/3111761/software-engineer-i?cmpid=DA_INAD200785B", "https://www.amazon.jobs/jobs/3111761/software-engineer-i?cmpid=DA_INAD200785B")</f>
        <v/>
      </c>
      <c r="G82" t="inlineStr">
        <is>
          <t>San Francisco, CA, US</t>
        </is>
      </c>
      <c r="H82" s="2" t="n">
        <v>45946</v>
      </c>
      <c r="I8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in-c00116acefa10a99</t>
        </is>
      </c>
      <c r="B83" t="inlineStr">
        <is>
          <t>Software Engineer I</t>
        </is>
      </c>
      <c r="C83" t="inlineStr">
        <is>
          <t>Amazon.com</t>
        </is>
      </c>
      <c r="D83" t="inlineStr">
        <is>
          <t>indeed</t>
        </is>
      </c>
      <c r="E83">
        <f>HYPERLINK("https://www.indeed.com/viewjob?jk=c00116acefa10a99", "https://www.indeed.com/viewjob?jk=c00116acefa10a99")</f>
        <v/>
      </c>
      <c r="F83">
        <f>HYPERLINK("https://www.amazon.jobs/jobs/3111761/software-engineer-i?cmpid=DA_INAD200785B", "https://www.amazon.jobs/jobs/3111761/software-engineer-i?cmpid=DA_INAD200785B")</f>
        <v/>
      </c>
      <c r="G83" t="inlineStr">
        <is>
          <t>Irvine, CA, US</t>
        </is>
      </c>
      <c r="H83" s="2" t="n">
        <v>45946</v>
      </c>
      <c r="I8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in-50f83cd6175516df</t>
        </is>
      </c>
      <c r="B84" t="inlineStr">
        <is>
          <t>Software Engineer II</t>
        </is>
      </c>
      <c r="C84" t="inlineStr">
        <is>
          <t>Amazon.com</t>
        </is>
      </c>
      <c r="D84" t="inlineStr">
        <is>
          <t>indeed</t>
        </is>
      </c>
      <c r="E84">
        <f>HYPERLINK("https://www.indeed.com/viewjob?jk=50f83cd6175516df", "https://www.indeed.com/viewjob?jk=50f83cd6175516df")</f>
        <v/>
      </c>
      <c r="F84">
        <f>HYPERLINK("https://www.amazon.jobs/jobs/3104730/software-engineer-ii?cmpid=DA_INAD200785B", "https://www.amazon.jobs/jobs/3104730/software-engineer-ii?cmpid=DA_INAD200785B")</f>
        <v/>
      </c>
      <c r="G84" t="inlineStr">
        <is>
          <t>San Francisco, CA, US</t>
        </is>
      </c>
      <c r="H84" s="2" t="n">
        <v>45938</v>
      </c>
      <c r="I8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in-e21d0171811f6b3c</t>
        </is>
      </c>
      <c r="B85" t="inlineStr">
        <is>
          <t>Software Engineer II</t>
        </is>
      </c>
      <c r="C85" t="inlineStr">
        <is>
          <t>Amazon.com</t>
        </is>
      </c>
      <c r="D85" t="inlineStr">
        <is>
          <t>indeed</t>
        </is>
      </c>
      <c r="E85">
        <f>HYPERLINK("https://www.indeed.com/viewjob?jk=e21d0171811f6b3c", "https://www.indeed.com/viewjob?jk=e21d0171811f6b3c")</f>
        <v/>
      </c>
      <c r="F85">
        <f>HYPERLINK("https://www.amazon.jobs/jobs/3104730/software-engineer-ii?cmpid=DA_INAD200785B", "https://www.amazon.jobs/jobs/3104730/software-engineer-ii?cmpid=DA_INAD200785B")</f>
        <v/>
      </c>
      <c r="G85" t="inlineStr">
        <is>
          <t>Irvine, CA, US</t>
        </is>
      </c>
      <c r="H85" s="2" t="n">
        <v>45938</v>
      </c>
      <c r="I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in-a0dfaeab02e29f6b</t>
        </is>
      </c>
      <c r="B86" t="inlineStr">
        <is>
          <t>Software Engineer II</t>
        </is>
      </c>
      <c r="C86" t="inlineStr">
        <is>
          <t>Amazon.com</t>
        </is>
      </c>
      <c r="D86" t="inlineStr">
        <is>
          <t>indeed</t>
        </is>
      </c>
      <c r="E86">
        <f>HYPERLINK("https://www.indeed.com/viewjob?jk=a0dfaeab02e29f6b", "https://www.indeed.com/viewjob?jk=a0dfaeab02e29f6b")</f>
        <v/>
      </c>
      <c r="F86">
        <f>HYPERLINK("https://www.amazon.jobs/jobs/3104734/software-engineer-ii?cmpid=DA_INAD200785B", "https://www.amazon.jobs/jobs/3104734/software-engineer-ii?cmpid=DA_INAD200785B")</f>
        <v/>
      </c>
      <c r="G86" t="inlineStr">
        <is>
          <t>San Francisco, CA, US</t>
        </is>
      </c>
      <c r="H86" s="2" t="n">
        <v>45938</v>
      </c>
      <c r="I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in-5894e9dab1903d62</t>
        </is>
      </c>
      <c r="B87" t="inlineStr">
        <is>
          <t>Software Engineer II</t>
        </is>
      </c>
      <c r="C87" t="inlineStr">
        <is>
          <t>Amazon.com</t>
        </is>
      </c>
      <c r="D87" t="inlineStr">
        <is>
          <t>indeed</t>
        </is>
      </c>
      <c r="E87">
        <f>HYPERLINK("https://www.indeed.com/viewjob?jk=5894e9dab1903d62", "https://www.indeed.com/viewjob?jk=5894e9dab1903d62")</f>
        <v/>
      </c>
      <c r="F87">
        <f>HYPERLINK("https://www.amazon.jobs/jobs/3104734/software-engineer-ii?cmpid=DA_INAD200785B", "https://www.amazon.jobs/jobs/3104734/software-engineer-ii?cmpid=DA_INAD200785B")</f>
        <v/>
      </c>
      <c r="G87" t="inlineStr">
        <is>
          <t>Irvine, CA, US</t>
        </is>
      </c>
      <c r="H87" s="2" t="n">
        <v>45938</v>
      </c>
      <c r="I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in-f0ba162561f7686f</t>
        </is>
      </c>
      <c r="B88" t="inlineStr">
        <is>
          <t>Software Engineer II</t>
        </is>
      </c>
      <c r="C88" t="inlineStr">
        <is>
          <t>Amazon.com</t>
        </is>
      </c>
      <c r="D88" t="inlineStr">
        <is>
          <t>indeed</t>
        </is>
      </c>
      <c r="E88">
        <f>HYPERLINK("https://www.indeed.com/viewjob?jk=f0ba162561f7686f", "https://www.indeed.com/viewjob?jk=f0ba162561f7686f")</f>
        <v/>
      </c>
      <c r="F88">
        <f>HYPERLINK("https://www.amazon.jobs/jobs/3104734/software-engineer-ii?cmpid=DA_INAD200785B", "https://www.amazon.jobs/jobs/3104734/software-engineer-ii?cmpid=DA_INAD200785B")</f>
        <v/>
      </c>
      <c r="G88" t="inlineStr">
        <is>
          <t>Culver City, CA, US</t>
        </is>
      </c>
      <c r="H88" s="2" t="n">
        <v>45938</v>
      </c>
      <c r="I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in-3df5b75b0cc8e217</t>
        </is>
      </c>
      <c r="B89" t="inlineStr">
        <is>
          <t>Software Engineer II</t>
        </is>
      </c>
      <c r="C89" t="inlineStr">
        <is>
          <t>Amazon.com</t>
        </is>
      </c>
      <c r="D89" t="inlineStr">
        <is>
          <t>indeed</t>
        </is>
      </c>
      <c r="E89">
        <f>HYPERLINK("https://www.indeed.com/viewjob?jk=3df5b75b0cc8e217", "https://www.indeed.com/viewjob?jk=3df5b75b0cc8e217")</f>
        <v/>
      </c>
      <c r="F89">
        <f>HYPERLINK("https://www.amazon.jobs/jobs/3090680/software-engineer-ii?cmpid=DA_INAD200785B", "https://www.amazon.jobs/jobs/3090680/software-engineer-ii?cmpid=DA_INAD200785B")</f>
        <v/>
      </c>
      <c r="G89" t="inlineStr">
        <is>
          <t>Irvine, CA, US</t>
        </is>
      </c>
      <c r="H89" s="2" t="n">
        <v>45921</v>
      </c>
      <c r="I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in-956c8aade00b8550</t>
        </is>
      </c>
      <c r="B90" t="inlineStr">
        <is>
          <t>Sr Software Engineer</t>
        </is>
      </c>
      <c r="C90" t="inlineStr">
        <is>
          <t>Amazon.com</t>
        </is>
      </c>
      <c r="D90" t="inlineStr">
        <is>
          <t>indeed</t>
        </is>
      </c>
      <c r="E90">
        <f>HYPERLINK("https://www.indeed.com/viewjob?jk=956c8aade00b8550", "https://www.indeed.com/viewjob?jk=956c8aade00b8550")</f>
        <v/>
      </c>
      <c r="F90">
        <f>HYPERLINK("https://www.amazon.jobs/jobs/3090674/sr-software-engineer?cmpid=DA_INAD200785B", "https://www.amazon.jobs/jobs/3090674/sr-software-engineer?cmpid=DA_INAD200785B")</f>
        <v/>
      </c>
      <c r="G90" t="inlineStr">
        <is>
          <t>Irvine, CA, US</t>
        </is>
      </c>
      <c r="H90" s="2" t="n">
        <v>45921</v>
      </c>
      <c r="I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in-91a13d7e593d7b0b</t>
        </is>
      </c>
      <c r="B91" t="inlineStr">
        <is>
          <t>Software Engineer II</t>
        </is>
      </c>
      <c r="C91" t="inlineStr">
        <is>
          <t>Amazon.com</t>
        </is>
      </c>
      <c r="D91" t="inlineStr">
        <is>
          <t>indeed</t>
        </is>
      </c>
      <c r="E91">
        <f>HYPERLINK("https://www.indeed.com/viewjob?jk=91a13d7e593d7b0b", "https://www.indeed.com/viewjob?jk=91a13d7e593d7b0b")</f>
        <v/>
      </c>
      <c r="F91">
        <f>HYPERLINK("https://www.amazon.jobs/jobs/3090680/software-engineer-ii?cmpid=DA_INAD200785B", "https://www.amazon.jobs/jobs/3090680/software-engineer-ii?cmpid=DA_INAD200785B")</f>
        <v/>
      </c>
      <c r="G91" t="inlineStr">
        <is>
          <t>San Francisco, CA, US</t>
        </is>
      </c>
      <c r="H91" s="2" t="n">
        <v>45921</v>
      </c>
      <c r="I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in-0ddb7119f2776b87</t>
        </is>
      </c>
      <c r="B92" t="inlineStr">
        <is>
          <t>Sr Software Engineer</t>
        </is>
      </c>
      <c r="C92" t="inlineStr">
        <is>
          <t>Amazon.com</t>
        </is>
      </c>
      <c r="D92" t="inlineStr">
        <is>
          <t>indeed</t>
        </is>
      </c>
      <c r="E92">
        <f>HYPERLINK("https://www.indeed.com/viewjob?jk=0ddb7119f2776b87", "https://www.indeed.com/viewjob?jk=0ddb7119f2776b87")</f>
        <v/>
      </c>
      <c r="F92">
        <f>HYPERLINK("https://www.amazon.jobs/jobs/3090674/sr-software-engineer?cmpid=DA_INAD200785B", "https://www.amazon.jobs/jobs/3090674/sr-software-engineer?cmpid=DA_INAD200785B")</f>
        <v/>
      </c>
      <c r="G92" t="inlineStr">
        <is>
          <t>San Francisco, CA, US</t>
        </is>
      </c>
      <c r="H92" s="2" t="n">
        <v>45921</v>
      </c>
      <c r="I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in-c334372f20363639</t>
        </is>
      </c>
      <c r="B93" t="inlineStr">
        <is>
          <t>Sr. Embedded Software Engineer I</t>
        </is>
      </c>
      <c r="C93" t="inlineStr">
        <is>
          <t>Atlas Copco Group</t>
        </is>
      </c>
      <c r="D93" t="inlineStr">
        <is>
          <t>indeed</t>
        </is>
      </c>
      <c r="E93">
        <f>HYPERLINK("https://www.indeed.com/viewjob?jk=c334372f20363639", "https://www.indeed.com/viewjob?jk=c334372f20363639")</f>
        <v/>
      </c>
      <c r="F93">
        <f>HYPERLINK("https://www.atlascopcogroup.com/en/careers/jobs/job-overview/job-detail/sr--embedded-software-engineer-i/158871", "https://www.atlascopcogroup.com/en/careers/jobs/job-overview/job-detail/sr--embedded-software-engineer-i/158871")</f>
        <v/>
      </c>
      <c r="G93" t="inlineStr">
        <is>
          <t>Rock Hill, SC, US</t>
        </is>
      </c>
      <c r="H93" s="2" t="n">
        <v>45915</v>
      </c>
      <c r="I93" t="inlineStr">
        <is>
          <t>**The Role**  
The Embedded Systems team for BeaconMedaes products is looking for a Senior Embedded Software Engineer to improve software management/documentation procedures and continue the development into STM32 Arm processors. The ideal candidate for this role has years of experience in a structured software team, and an appreciation for making products used in a similar environment as safety critical items. This role will consist of working closely with the Embedded Systems Manager and Marketing to correctly document expectations from a product and creating and executing the project plan to fulfill the expectations while providing guidance to junior engineers.
* Drive a Quality Pro\-active design process
* Use of Repos, IDEs, Static and Dynamic Analysis Tools, Unit Testing, Build Pipelines and other software programs to better visualize and prepare for testing and troubleshooting new code releases
* Collaborate with group on detailed software specifications and use these documents to plan and drive the development schedule
* Create well documented code with the forethought of other engineers to be able to evaluate the code and make changes in the future
* Use a master/functional specification document to create user stories and determine priority and scheduling for sprints
* Ensure the use of design check list and improve them by lesson learne
* Testing checklists should prove new designs completely before going into production
* Collaboration with Embedded Hardware Engineers to determine software needs based on component selection, or choose components based on software abilit
* Lead a Quality Reactive design process
* Use a formalized process to document and clearly identify the issue, then the root cause
* Organize quick solution to warranty issues, especially on NPD field follow\-up phase. **Main Responsibilities**
* Manage the software product lifecycle
* Planning, Design, Implementation, Testing, Maintenance
* Create organized and well tested software for medical air/vac controls and gas pressure monitoring equipment
* Contribute to the evolution of our software platform to ensure it stays current and allows for the use of new technology
* Collaborate on creating engineering specifications and documentatio
* Promote Ideas for confinuous improvement and innocation
* Interact on\-time, with transparency and commitment with colleagues \&amp; managers
Maintain respectful and polite relationships with all contacts  
* 
**What you can expect from us?**
* Excellent paid time off (3 weeks)
* Paid Holidays
* Health / Dental / Vision insurance (coverage begins the first of the month after you start)
* Life \&amp; Disability insurance fully paid by Atlas Copco
* Generous 401(k) retirement plan
* Maternity \&amp; Paternity leave
* Gym membership reimbursement
* Rewards for wellness checkups
* Educational assistance to grow your skills and advance your career
* $1,500 referral bonus for helping us bring great people to the team
* Modern, state\-of\-the\-art facility designed to make your workday enjoyable and inspiring
* Convenient self\-service food market with quick, healthy options
* A workplace where employees choose to stay, grow, and build long\-term careers
**What we expect of you?**  
**Experience**
* Agile development methodologies; Kanban or SCRUM.
* Developing in C/C\+\+ with ARM processors (STM32 preferred)
* Use of STM32Cube development tools and/or similar Eclipse\-based IDE
* Breaking down User Stories into software development tasks and creating realistic estimated delivery dates
* Full software project development life\-cycle including post\-delivery defect management and feature additions
* Use of Github or similar software for revision control of projects
* Use of Azure DevOps, Jira or similar software for issue tracking
* Use of Azure DevOps, Jira or similar software for project management
* Use of Embedded Operating Systems like FreeRTOS or ThreadX
* 6\+ years experience in an embedded software/firmware role
**Skills**
* Analysis of RTOS or Bare Metal applications
* Debugging/trace knowledge for troubleshooting/analysis
* Knowledge of popular protocols including SPI, I2C, UDP, HTTP, Modbus RTU, Modbus TCP, BACnet or similar BAS
* Excellent communication skills with all departments
* High ability to work in teams
* Ability to manage work around deadlines
* Analytical approach to problem solving capability, with the sense of reactivity
* Strong understanding of customer needs
* Innovative, creative, curious, out of the box thinking, patent creation and continuous improvement
* Strong sense of ownership, ability to lead until a successful conclusion with a never give\-up attitude
* Reliable \&amp; organized in your work
* Positive attitude, constantly raising the performance bar, being proactive
* Appreciate and respect procedures, being rigorous
**City**  
Rock Hill
Company: Atlas Copco Group
Functional area: Research and Development
Location: US – United States
City: Rock Hill
On\-site/remote: On\-Site
Brand: Atlas Copco Group
Company Name: Construction Equipment North America LLC
Date of Posting: September 16, 2025
Apply for this position</t>
        </is>
      </c>
    </row>
    <row r="94">
      <c r="A94" t="inlineStr">
        <is>
          <t>in-82f17991c22c7d91</t>
        </is>
      </c>
      <c r="B94" t="inlineStr">
        <is>
          <t>Software Engineer I- Ad Demand</t>
        </is>
      </c>
      <c r="C94" t="inlineStr">
        <is>
          <t>Amazon.com</t>
        </is>
      </c>
      <c r="D94" t="inlineStr">
        <is>
          <t>indeed</t>
        </is>
      </c>
      <c r="E94">
        <f>HYPERLINK("https://www.indeed.com/viewjob?jk=82f17991c22c7d91", "https://www.indeed.com/viewjob?jk=82f17991c22c7d91")</f>
        <v/>
      </c>
      <c r="F94">
        <f>HYPERLINK("https://www.amazon.jobs/jobs/3082168/software-engineer-i-ad-demand?cmpid=DA_INAD200785B", "https://www.amazon.jobs/jobs/3082168/software-engineer-i-ad-demand?cmpid=DA_INAD200785B")</f>
        <v/>
      </c>
      <c r="G94" t="inlineStr">
        <is>
          <t>New York, NY, US</t>
        </is>
      </c>
      <c r="H94" s="2" t="n">
        <v>45908</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in-46f731c998d25137</t>
        </is>
      </c>
      <c r="B95" t="inlineStr">
        <is>
          <t>Senior Software Engineer - Query Processing, Aurora DSQL</t>
        </is>
      </c>
      <c r="C95" t="inlineStr">
        <is>
          <t>Amazon Web Services</t>
        </is>
      </c>
      <c r="D95" t="inlineStr">
        <is>
          <t>indeed</t>
        </is>
      </c>
      <c r="E95">
        <f>HYPERLINK("https://www.indeed.com/viewjob?jk=46f731c998d25137", "https://www.indeed.com/viewjob?jk=46f731c998d25137")</f>
        <v/>
      </c>
      <c r="F95">
        <f>HYPERLINK("https://www.amazon.jobs/jobs/2987643/senior-software-engineer--query-processing-aurora-dsql?cmpid=DA_INAD200785B", "https://www.amazon.jobs/jobs/2987643/senior-software-engineer--query-processing-aurora-dsql?cmpid=DA_INAD200785B")</f>
        <v/>
      </c>
      <c r="G95" t="inlineStr">
        <is>
          <t>East Palo Alto, CA, US</t>
        </is>
      </c>
      <c r="H95" s="2" t="n">
        <v>45796</v>
      </c>
      <c r="I9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in-e94e98f8ada4a432</t>
        </is>
      </c>
      <c r="B96" t="inlineStr">
        <is>
          <t>Senior Software Engineer - Query Processing, Aurora DSQL</t>
        </is>
      </c>
      <c r="C96" t="inlineStr">
        <is>
          <t>Amazon Web Services</t>
        </is>
      </c>
      <c r="D96" t="inlineStr">
        <is>
          <t>indeed</t>
        </is>
      </c>
      <c r="E96">
        <f>HYPERLINK("https://www.indeed.com/viewjob?jk=e94e98f8ada4a432", "https://www.indeed.com/viewjob?jk=e94e98f8ada4a432")</f>
        <v/>
      </c>
      <c r="F96">
        <f>HYPERLINK("https://www.amazon.jobs/jobs/2987643/senior-software-engineer--query-processing-aurora-dsql?cmpid=DA_INAD200785B", "https://www.amazon.jobs/jobs/2987643/senior-software-engineer--query-processing-aurora-dsql?cmpid=DA_INAD200785B")</f>
        <v/>
      </c>
      <c r="G96" t="inlineStr">
        <is>
          <t>Seattle, WA, US</t>
        </is>
      </c>
      <c r="H96" s="2" t="n">
        <v>45796</v>
      </c>
      <c r="I9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in-85e7631dc869c938</t>
        </is>
      </c>
      <c r="B97" t="inlineStr">
        <is>
          <t>Embedded C++ Software Engineer, Machine Learning Acceleration</t>
        </is>
      </c>
      <c r="C97" t="inlineStr">
        <is>
          <t>Amazon Web Services</t>
        </is>
      </c>
      <c r="D97" t="inlineStr">
        <is>
          <t>indeed</t>
        </is>
      </c>
      <c r="E97">
        <f>HYPERLINK("https://www.indeed.com/viewjob?jk=85e7631dc869c938", "https://www.indeed.com/viewjob?jk=85e7631dc869c938")</f>
        <v/>
      </c>
      <c r="F97">
        <f>HYPERLINK("https://www.amazon.jobs/jobs/2894488/embedded-c-software-engineer-machine-learning-acceleration?cmpid=DA_INAD200785B", "https://www.amazon.jobs/jobs/2894488/embedded-c-software-engineer-machine-learning-acceleration?cmpid=DA_INAD200785B")</f>
        <v/>
      </c>
      <c r="G97" t="inlineStr">
        <is>
          <t>Austin, TX, US</t>
        </is>
      </c>
      <c r="H97" s="2" t="n">
        <v>45691</v>
      </c>
      <c r="I97"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in-68e9ee2f42b67519</t>
        </is>
      </c>
      <c r="B98" t="inlineStr">
        <is>
          <t>Embedded C++ Software Engineer, Machine Learning Acceleration</t>
        </is>
      </c>
      <c r="C98" t="inlineStr">
        <is>
          <t>Amazon Web Services</t>
        </is>
      </c>
      <c r="D98" t="inlineStr">
        <is>
          <t>indeed</t>
        </is>
      </c>
      <c r="E98">
        <f>HYPERLINK("https://www.indeed.com/viewjob?jk=68e9ee2f42b67519", "https://www.indeed.com/viewjob?jk=68e9ee2f42b67519")</f>
        <v/>
      </c>
      <c r="F98">
        <f>HYPERLINK("https://www.amazon.jobs/jobs/2894488/embedded-c-software-engineer-machine-learning-acceleration?cmpid=DA_INAD200785B", "https://www.amazon.jobs/jobs/2894488/embedded-c-software-engineer-machine-learning-acceleration?cmpid=DA_INAD200785B")</f>
        <v/>
      </c>
      <c r="G98" t="inlineStr">
        <is>
          <t>Cupertino, CA, US</t>
        </is>
      </c>
      <c r="H98" s="2" t="n">
        <v>45691</v>
      </c>
      <c r="I98"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li-4362546871</t>
        </is>
      </c>
      <c r="B2" t="inlineStr">
        <is>
          <t>Technical Program Manager III, Software Engineering, Cloud Business Platform</t>
        </is>
      </c>
      <c r="C2" t="inlineStr">
        <is>
          <t>Google</t>
        </is>
      </c>
      <c r="D2" t="inlineStr">
        <is>
          <t>linkedin</t>
        </is>
      </c>
      <c r="E2">
        <f>HYPERLINK("https://www.linkedin.com/jobs/view/4362546871", "https://www.linkedin.com/jobs/view/4362546871")</f>
        <v/>
      </c>
      <c r="F2">
        <f>HYPERLINK("https://careers.google.com/jobs/results/74163612683248326-technical-program-manager-iii/?src=Online/LinkedIn/linkedin_us&amp;utm_source=linkedin&amp;utm_medium=jobposting&amp;utm_campaign=contract&amp;urlHash=wRkO", "https://careers.google.com/jobs/results/74163612683248326-technical-program-manager-iii/?src=Online/LinkedIn/linkedin_us&amp;utm_source=linkedin&amp;utm_medium=jobposting&amp;utm_campaign=contract&amp;urlHash=wRkO")</f>
        <v/>
      </c>
      <c r="G2" t="inlineStr">
        <is>
          <t>Sunnyvale, CA</t>
        </is>
      </c>
      <c r="H2" t="inlineStr"/>
      <c r="I2" t="inlineStr">
        <is>
          <t>**Minimum qualifications:**
* Bachelor's degree or equivalent practical experience.
* 5 years of experience in program management.
* Experience leading software development programs.
**Preferred qualifications:**
* 5 years of experience managing cross\-functional or cross\-team projects.
* Experience with enterprise sales and compensation motions.
* Experience in helping teams measure and improve operational excellence, product excellence, and accessibility.
* Experience in Agile methodology.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Google Cloud Business Platform teams are responsible for building and maintaining the engagement platforms that ensure information is consumed and processed in timely and efficient manners. The team leverages technologies that deliver a scalable, reliable, and extensible platform for direct, resellers, and marketplace users that can be easily adapted to the fast\-changing landscape of Google Cloud.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cross\-functional teams (e.g., Business Platform Product Management and Engineering) to shape the goals, strategy, and roadmap for Google Cloud.
* Analyze processes, identify opportunities for improvement, and define requirements through global cross\-functional partnerships.
* Assist product and engineering teams to measure and improve product excellence.
* Identify areas of opportunity for process improvement and solutions, encourage best practices with global stakeholders to deliver a positive experience to customers.
* Drive improvements to the technical programs by capturing and sharing best practices learned from customer engagements.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
      <c r="A3" t="inlineStr">
        <is>
          <t>li-4362671424</t>
        </is>
      </c>
      <c r="B3" t="inlineStr">
        <is>
          <t>Global IT Software Engineer - Senior Manager</t>
        </is>
      </c>
      <c r="C3" t="inlineStr">
        <is>
          <t>Boston Consulting Group (BCG)</t>
        </is>
      </c>
      <c r="D3" t="inlineStr">
        <is>
          <t>linkedin</t>
        </is>
      </c>
      <c r="E3">
        <f>HYPERLINK("https://www.linkedin.com/jobs/view/4362671424", "https://www.linkedin.com/jobs/view/4362671424")</f>
        <v/>
      </c>
      <c r="F3">
        <f>HYPERLINK("https://careers.bcg.com/global/en/job/BCG1US56600EXTERNALENGLOBAL/Global-IT-Software-Engineer-Senior-Manager?utm_source=linkedin&amp;utm_medium=phenom-feeds&amp;Source+=LinkedIn+Job+Board&amp;urlHash=TQ8k", "https://careers.bcg.com/global/en/job/BCG1US56600EXTERNALENGLOBAL/Global-IT-Software-Engineer-Senior-Manager?utm_source=linkedin&amp;utm_medium=phenom-feeds&amp;Source+=LinkedIn+Job+Board&amp;urlHash=TQ8k")</f>
        <v/>
      </c>
      <c r="G3" t="inlineStr">
        <is>
          <t>Boston, MA</t>
        </is>
      </c>
      <c r="H3" t="inlineStr"/>
      <c r="I3" t="inlineStr">
        <is>
          <t>**Locations** 
 : Boston \| London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BCG is looking for a Global IT Software Engineer Senior Manager to contribute to the development, deployment, and optimization of cutting\-edge Generative AI (GenAI) tools and IT solutions. In this role, you will work closely with cross\-functional teams, bringing technical expertise and hands\-on problem\-solving to ensure the successful delivery of innovative and scalable software solutions that support BCG’s business objectives.
* Leading the implementation and optimization of GenAI applications and IT tools to enhance productivity and operational efficiency.
* Collaborate with Product Owners, Tribe Leaders, and other stakeholders to align technology solutions with business requirements.
* Administer and configure AI\-powered SaaS tools, ensuring secure deployment and smooth integration across the organization.
* Identify opportunities for enhancements to enterprise AI tools, focusing on improving efficiency and user satisfaction.
* Support proof\-of\-concept (POC) projects to explore and validate innovative technologies and solutions.
* Continuously assess and optimize software architecture, focusing on scalability, reliability, and alignment with emerging trends.
* Document designs, development processes, and best practices to promote knowledge sharing and operational efficiency.
* Stay updated on emerging technologies such as LLMs, APIs, and cloud\-based solutions, applying these innovations to drive impactful outcomes.
 YOU’RE GOOD AT
* Driving the adoption and optimization of SaaS tools and AI\-driven applications to meet organizational needs.
* Solving technical challenges and developing scalable, innovative solutions.
* Applying Change Management disciplines to ensure successful technology rollouts.
* Proactively identifying and implementing automation capabilities to reduce manual effort and errors.
* Collaborating effectively with diverse stakeholders, including technical teams and business leaders.
* Adapting to fast\-paced environments and evolving priorities with high energy and autonomy.
* Leveraging expertise in GenAI, SaaS integrations, cloud technologies, and security to deliver impactful solutions
 What You'll Bring
* A bachelor’s degree in Computer Science, Engineering, or a related field. Advanced degrees are a plus.
* 6\-8 years of professional experience in software development or IT operations, with increasing responsibility.
* Proven experience in implementing AI\-driven applications and SaaS (multi\-tenant) solutions.
* Strong technical proficiency in both frontend and backend development (e.g., React, Python, Java, Typescript).
* Proven experience with systems design, design patterns, architectural trade\-offs, and integration best practices.
* Proven experience with automated testing frameworks (e.g. Zypher, Pytest).
* Experience with cloud technologies, cloud native application and infrastructure as code (e.g., AWS/Azure/CGP, Kubernetes, Helm, Terraform).
* Knowledge of DevOps culture and practices.
**Experience And Skills (Nice To Have)**
* Previous experience building a user\-facing GenAI/LLM software application
* Previous experience with vectors and embeddings (pgvector, chromadb)
* Knowledge of LLM RAG/Agent core concepts and fundamentals
* Experience with Neo4J, GraphQL for efficient data querying for APIs,
* CI/CD tools (e.g. Github Actions, Gitlab CI) for automating deployments
* Other AWS Managed Services (RDS, Batch, Lambda, Fargate, Step Functions, SQS/SNS, etc.)
* FastAPI and NextJS experience (if we’re still using the latter)
* Websockets, Server\-Side Events, Pub/Sub (RabbitMQ, Kafka, etc.)
 Who You'll Work With
* Squad members of a specific squad, led by a Product Owner.
* Tribe Leaders, Product Owners, and other Chapter Leads to align resources and priorities.
* Agile Coaches and Scrum Masters to embed Agile practices and principles into daily operations.
* Cross\-functional IT teams to ensure alignment with BCG’s overall IT strategy and architecture.
 Additional info
 \*\*\* For US locations only \*\*\*
 In the US, we have a compensation transparency approach.
 Total compensation for this role includes base salary, annual discretionary performance bonus, retirement contribution, and a market leading benefits package described below.
* The base salary range for this role in Boston is $153,000 \- $186,300
 This is an estimated range, however, specific base salaries within the range depend on various factors such as experience and skill set. It is not common for new BCG employees to be hired at the high\-end of the salary range. BCG regularly reviews its ranges to ensure market competitiveness.
 In addition to your base salary, your total compensation will include a bonus of up to 20% and a generous retirement contribution that starts at 5% and moves to 10% after 2 years.
**All Of Our Plans Provide Best In Class Coverage**
* Zero dollar ($0\) health insurance premiums for BCG employees, spouses, and children
* Low $10 (USD) copays for trips to the doctor, urgent care visits and prescriptions for generic drugs
* Dental coverage, including up to $5,000 in orthodontia benefits
* Vision insurance with coverage for both glasses and contact lenses annually
* Reimbursement for gym memberships and other fitness activities
* Fully vested Profit Sharing Retirement Fund contributions made annually, whether you contribute or not, plus the option for employees to make personal contributions to a 401(k) plan
* Paid Parental Leave and other family benefits such as elective egg freezing, surrogacy, and adoption reimbursement
* Generous paid time off including 12 holidays per year, an annual office closure between Christmas and New Years, and 15 vacation days per year (earned at 1\.25 days per month)
* Paid sick time on an as needed basis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row>
    <row r="4">
      <c r="A4" t="inlineStr">
        <is>
          <t>li-4347627797</t>
        </is>
      </c>
      <c r="B4" t="inlineStr">
        <is>
          <t>Senior Data Software Engineer</t>
        </is>
      </c>
      <c r="C4" t="inlineStr">
        <is>
          <t>Solomon Page</t>
        </is>
      </c>
      <c r="D4" t="inlineStr">
        <is>
          <t>linkedin</t>
        </is>
      </c>
      <c r="E4">
        <f>HYPERLINK("https://www.linkedin.com/jobs/view/4347627797", "https://www.linkedin.com/jobs/view/4347627797")</f>
        <v/>
      </c>
      <c r="F4" t="inlineStr"/>
      <c r="G4" t="inlineStr"/>
      <c r="H4" t="inlineStr"/>
      <c r="I4" t="inlineStr">
        <is>
          <t>**Senior Data Software Engineer (Full\-Time)** 
*Location: 100% Remote anywhere in the US* 
***NO C2C candidates – only Full\-Time***
***Compensation***
*: $80k\-180k \+ equity \+ full benefits* 
**\*\*\*This company CANNOT manage visas at this time\*\*\*\***
**Role description**
* We are looking for a Data Engineer to join our collaborative, and fast\-moving team to work on one of the most rewarding projects in the mining and compute industry.
**Basic Requirements**
* Experience building both streaming \&amp; batch data pipelines/ETL and familiarity with design principles.
* Expert in Python, PostgreSQL, and PL/pgSQL development and administration of large databases with focus on performance and production support on native cloud deployments.
* Experience with scalability solutions and multi\-region replication and failover solutions.
* Experience with data warehouse technologies (Trino, Clickhouse, Airflow, etc).
* Bachelor’s degree (or its foreign degree equivalent) in Computer Science, Engineering, or a related technical discipline or equivalent experience.
* Deep understanding of programming and experience with at least one programming language.
* English language proficiency.
**Preferred Requirements**
* Knowledge of Kubernetes and Docker
* 4\+ years of working experience in relevant data field.
* Knowledge of blockchain technology / mining pool industry.
* Experience with agile development methodology.
* Experience delivering and owning web\-scale data systems in production.
* Experience working with Kafka, preferably redpanda \&amp; redpanda connect.
**The Ideal Candidate**
* Passionate about cryptocurrency and public\-blockchain technologies.
* Has an interest in creating an entirely new market with Hashrate (compute power) as a commodity.
* Has an interest in thinking and evolving the architecture of our software to make it robust and maintainable.
* Enjoys writing code and pushing boundaries of what has been done so far.
* Brings fun to the team but can also go own the rabbit hole to push quality code on schedule.
**Responsibilities**
* Build scalable and reliable data pipelines that provide accurate data feeds from internal and external systems.
* Govern scalable \&amp; performant cloud\-deployed production relational and non\-relational databases.
* Collaborate on architecture definitions, always thinking of solutions that are scalable and secure.
* Drive data systems to be as near real\-time as possible.
* Design, document, automate and execute test plans to ensure the quality of the datasets.
* Participate in the process of generating and analyzing features.
 If you meet the required qualifications and are interested in this role, please apply today.
**The Solomon Page Distinction** 
 Our teams, comprised of subject matter experts, develop an interest in your preferences and goals and we act as an advisor for your career advancement. Solomon Page has an extensive network of established clients which allows us to present opportunities that are well\-suited to your respective goals and needs – this specialized approach sets us apart in the industries we serve.
**About Solomon Page** 
 Founded in 1990, Solomon Page is a specialty niche provider of staffing and executive search solutions across a wide array of functions and industries. The success of Solomon Page reflects an organic growth strategy supported by a highly entrepreneurial culture. Acting as a strategic partner to our clients and candidates, we focus on providing customized solutions and building long\-term relationships based on trust, respect, and the consistent delivery of excellent results. For more information and additional opportunities, visit: solomonpage.com and connect with us on Facebook, and LinkedIn.
 Opportunity Awaits.
 \#Dice</t>
        </is>
      </c>
    </row>
    <row r="5">
      <c r="A5" t="inlineStr">
        <is>
          <t>li-4290774655</t>
        </is>
      </c>
      <c r="B5" t="inlineStr">
        <is>
          <t>Full Stack Software Engineer</t>
        </is>
      </c>
      <c r="C5" t="inlineStr">
        <is>
          <t>Chalk</t>
        </is>
      </c>
      <c r="D5" t="inlineStr">
        <is>
          <t>linkedin</t>
        </is>
      </c>
      <c r="E5">
        <f>HYPERLINK("https://www.linkedin.com/jobs/view/4290774655", "https://www.linkedin.com/jobs/view/4290774655")</f>
        <v/>
      </c>
      <c r="F5">
        <f>HYPERLINK("https://job-boards.greenhouse.io/chalkinc/jobs/4032173005&amp;urlHash=BD0N", "https://job-boards.greenhouse.io/chalkinc/jobs/4032173005&amp;urlHash=BD0N")</f>
        <v/>
      </c>
      <c r="G5" t="inlineStr">
        <is>
          <t>San Francisco, CA</t>
        </is>
      </c>
      <c r="H5" t="inlineStr"/>
      <c r="I5" t="inlineStr">
        <is>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verifying identities, and maximizing clean energy capture. We've recently raised a
 $50 million Series A
 , led by Felicis.
**About the role**
 We are hiring Software Engineers to join our team. This is an opportunity to join us in\-person as an early employee and make a large impact at a high growth start\-up. You will tackle challenging engineering problems with a high degree of autonomy and ownership.
**We work in\-person Monday through Friday in our SF and NY offices. We don’t currently offer remote or hybrid positions.** 
 We are looking for software engineers who are comfortable solving business problems across all layers of the software stack. At Chalk, we build reliable data processing systems that can operate performantly at scale with a laser\-focus on developer experience.
 We need engineers who can build world\-class user experiences across CLI and web surfaces, while also understanding and contributing to a codebase that contains ideas from compilers, query planners, and distributed systems.
**What you will do**
* Work directly with Chalk’s co\-founders to productionize our first iteration
* Write TypeScript, Python, Go, and React
* Expose the functionality of our core platform to data scientist and machine learning end\-users in their home environments
* Iterate rapidly to improve Chalk’s platform in response to customer needs
**What we’re looking for**
* 2\+ years experience of professional software engineering experience
* Working knowledge of computer science fundamentals. We’re not looking for experience from drilling leet code – we need folks who are comfortable building and maintaining real systems
* A record of developing sophisticated user\-facing applications that are pleasant to use
* An eye for high\-quality UX
* Track record of learning new concepts quickly
* Ability to work autonomously \&amp; to make pragmatic tradeoffs with an eye towards business outcomes
* Strong communication skills
**Bonus points**
* Experience implementing data infrastructure
* Experience working with developer tools
* Experience with applied machine learning or data analytics
* Experience with Go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6">
      <c r="A6" t="inlineStr">
        <is>
          <t>li-4354245128</t>
        </is>
      </c>
      <c r="B6" t="inlineStr">
        <is>
          <t>Software Engineer, Audio Applied Scientist</t>
        </is>
      </c>
      <c r="C6" t="inlineStr">
        <is>
          <t>Meta</t>
        </is>
      </c>
      <c r="D6" t="inlineStr">
        <is>
          <t>linkedin</t>
        </is>
      </c>
      <c r="E6">
        <f>HYPERLINK("https://www.linkedin.com/jobs/view/4354245128", "https://www.linkedin.com/jobs/view/4354245128")</f>
        <v/>
      </c>
      <c r="F6" t="inlineStr"/>
      <c r="G6" t="inlineStr">
        <is>
          <t>Redmond, WA</t>
        </is>
      </c>
      <c r="H6" t="inlineStr"/>
      <c r="I6" t="inlineStr">
        <is>
          <t>At Meta, we're building products that revolutionize the way people connect, work, and play. Our audio teams are at the forefront of this innovation, developing cutting\-edge technologies that redefine the way we experience sound in virtual and augmented worlds.As an audio professional at Meta, you'll have the opportunity to:\- Build new, innovative hardware and software: Collaborate with world\-class experts to create products that push the boundaries of what's possible.\- Solve unique, large\-scale technical problems: Tackle complex challenges that impact billions of people around the world.\- Create immersive audio experiences: Harness the power of AR and VR to make virtual sounds indistinguishable from reality.\- Transform the way people hear and interact: Develop technologies that redefine hearing potential and change the way we connect with each other.Our teams are dedicated to creating a considerate and honest environment where self\-motivated individuals thrive. We encourage ownership, creativity, and collaboration, and we're passionate about making science fiction real.Join us on this adventure: As a member of our audio team, you'll be part of a community that's shaping the future of sound and connection. Together, let's invent the future and change the world.
 Software Engineer, Audio Applied Scientist Responsibilities:
* Develop and implement innovative audio technologies, including general audio processing, audio ML/AI algorithms, and audio codecs
* Identify areas for improvement in scalability, performance, quality, and reliability across the audio stack
* Collaborate with cross\-functional teams to deploy new audio technologies as\-a\-service and as\-a\-platform
* Analyze, design, develop, and debug audio features on Android systems
* Work effectively in a team environment, making architectural tradeoffs to deliver software solutions rapidly
* Develop software for consumer devices, prioritizing efficiency and delivering high\-quality results
* Create clean, readable code and debug complex problems
* Embrace continuous learning, adapt to new technologies, and navigate ambiguity in problem\-solving
 Minimum Qualifications:
* Bachelor's degree in Computer Science, Computer Engineering, relevant technical field, or equivalent practical experience
* 7\+ years software development experience in industry settings or PhD with 4\+ years of experience
* 3\+ years relevant audio software engineering experience in industry settings
* C or C\+\+ experience, including use of C\+\+11/14/17 features
* Demonstrated experience working across disciplines to drive optimal solutions
 Preferred Qualifications:
* MS or PhD in Electrical Engineering, Computer Science or equivalent
* Expertise in audio signal processing and auditory perception, both classical and machine learned techniques
* Proven track record of innovation as demonstrated by products shipped, publications and/or patents
* Proven track record of contribution in two or more of these areas: Design and deployment of ML models on resource constrained devices, near\- and far\-field spatial processing, Adaptive System Identification, multirate systems and filter banks, peech and audio compression, room acoustics or spatial audio
* Experience with audio software development including DSP, machine learning, and/or hybrid systems
* Experience in Android or Linux audio stack development
* Experience developing, debugging, and shipping software products on large code bases that span platforms and tools
* Demonstrated experience working collaboratively in cross\-functional teams
* Experience with audio\-related software features across all layers of the audio stack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
      <c r="A7" t="inlineStr">
        <is>
          <t>li-4290778501</t>
        </is>
      </c>
      <c r="B7" t="inlineStr">
        <is>
          <t>Frontend Software Engineer</t>
        </is>
      </c>
      <c r="C7" t="inlineStr">
        <is>
          <t>Chalk</t>
        </is>
      </c>
      <c r="D7" t="inlineStr">
        <is>
          <t>linkedin</t>
        </is>
      </c>
      <c r="E7">
        <f>HYPERLINK("https://www.linkedin.com/jobs/view/4290778501", "https://www.linkedin.com/jobs/view/4290778501")</f>
        <v/>
      </c>
      <c r="F7" t="inlineStr"/>
      <c r="G7" t="inlineStr">
        <is>
          <t>San Francisco, CA</t>
        </is>
      </c>
      <c r="H7" t="inlineStr"/>
      <c r="I7" t="inlineStr">
        <is>
          <t>**About Chalk**
 Chalk is building the data platform that powers the future of machine learning applications. We tear down complexity, latency, and scale barriers that have traditionally constrained ML capabilities. Our platform combines the performance of Rust with elegant tools that developers love to use. Leading companies depend on Chalk for a variety of use\-cases including stopping fraudulent credit card swipes, verifying identities, and maximizing clean energy capture. We've recently raised a
 $50 million Series A
 , led by Felicis.
**About the role**
 We are hiring experienced Frontend Software Engineers to join our team. In this role, you will be responsible for defining strong front\-end architecture patterns, leading development of well abstracted reusable components, and collaborating across teams to increase developer velocity. You will excel in this role if you’re an experienced engineer with deep front\-end expertise who can collaborate effectively across multiple teams and functions to deliver results.
 This is an opportunity to join us in\-person as an early employee and make a large impact at a high growth start\-up. You will tackle challenging engineering problems with a high degree of autonomy and ownership.
**We work in\-person Monday through Friday in our SF office. We don’t currently offer remote or hybrid positions.** 
 We are looking for software engineers who are comfortable solving business problems across all layers of the software stack, with a specific focus on frontend engineering. At Chalk, we build reliable data processing systems that can operate performantly at scale with a laser\-focus on developer experience.
 We need engineers who can build world\-class user experiences across web and command\-line surfaces, while also understanding and contributing to a codebase that contains ideas from compilers, query planners, and distributed systems.
**What you will do**
* Work directly with Chalk’s co\-founders to productionize our first iteration
* Write TypeScript (React), Python, Go
* Drive frontend architecture discussions and technical breakdowns.
* Expose the functionality of our core platform to data scientist and machine learning end\-users in their home environments
* Iterate rapidly to improve Chalk’s platform in response to customer needs
**What we’re looking for**
* 2\+ years experience of professional software engineering experience
* Working knowledge of computer science fundamentals. We’re not looking for experience from drilling leet code – we need folks who are comfortable building and maintaining real applications
* You have a deep technical understanding of frontend technologies, patterns, and best practices. You have a firm understanding of backend systems which enable you to collaborate on problems that span the entire stack
* An eye for high\-quality UX
* Track record of learning new concepts quickly
* Ability to work autonomously \&amp; to make pragmatic tradeoffs with an eye towards business outcomes
* Strong communication skills
**Bonus points**
* Experience implementing data infrastructure
* Experience working with developer tools
* Experience with applied machine learning or data analytics
* Experience with Go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8">
      <c r="A8" t="inlineStr">
        <is>
          <t>li-4362690033</t>
        </is>
      </c>
      <c r="B8" t="inlineStr">
        <is>
          <t>10850 – Sr. Software Engineer, AI &amp; ML Ops</t>
        </is>
      </c>
      <c r="C8" t="inlineStr">
        <is>
          <t>Hyundai AutoEver America</t>
        </is>
      </c>
      <c r="D8" t="inlineStr">
        <is>
          <t>linkedin</t>
        </is>
      </c>
      <c r="E8">
        <f>HYPERLINK("https://www.linkedin.com/jobs/view/4362690033", "https://www.linkedin.com/jobs/view/4362690033")</f>
        <v/>
      </c>
      <c r="F8" t="inlineStr"/>
      <c r="G8" t="inlineStr">
        <is>
          <t>Fountain Valley, CA</t>
        </is>
      </c>
      <c r="H8" t="inlineStr"/>
      <c r="I8" t="inlineStr">
        <is>
          <t>****Company Overview****
**Hyundai AutoEver America (HAEA)** 
 is the dynamic IT powerhouse behind Hyundai Motor Corporation, a Fortune 500 global leader in the automotive industry. As a key affiliate, we provide cutting\-edge IT services and support to top brands including Kia, Genesis, Hyundai Translead, Hyundai Mobis, Hyundai Capital, and Glovis.
 HAEA offers a truly global and collaborative environment. Here, you’ll drive innovation, boost operational efficiency, and help shape the future of mobility for the Hyundai Motor Group.
 At HAEA, we understand that IT is the cornerstone of today’s fast\-evolving digital world. By uniting all IT resources under one roof, we deliver consistent, top\-quality solutions while serving as the crucial information link between Hyundai’s Global Headquarters and North American operations.
 If you’re passionate about technology and eager to make a real impact at a world\-class company, Hyundai AutoEver America is the place to grow your career. Join us and be part of the transformation that’s driving the future of automotive innovation.
**Role overview:**
 Hyundai AutoEver America seeks a seasoned Senior AI/ML Engineer to architect, develop, and deploy advanced AI solutions, including LLMs, RAG systems, and intelligent agents—to transform automotive industry applications. This role drives end‑to‑end AI innovation across cloud environments, leads technical strategy, mentors engineers, and collaborates cross‑functionally to deliver scalable, secure, and user‑centric AI systems.
****What You Will Do****
* Architect and develop scalable AI/ML and LLM\-based systems, including RAG pipelines, agentic workflows, predictive models, and generative AI solutions.
* Build full‑stack AI applications, including React\-based dashboards and front‑end interfaces integrated with backend services and cloud infrastructure.
* Develop data pipelines and ML Ops workflows using Python, SQL, AWS/Azure platforms, and monitoring tools to train, deploy, and optimize models.
* Lead cross\-functional AI initiatives, deliver PoCs/MVPs, ensure compliance with AI governance, and integrate AI features into enterprise and user\-facing systems.
* Provide technical leadership and mentorship, guiding standards, code reviews, model documentation, and best practices in AI/ML development.
* Continuously improve AI performance and reliability through prompt engineering, architecture enhancements, and data optimization.
****Basic Qualifications****
* Bachelor’s or Master’s degree in Computer Science, Engineering, AI, or related field; advanced degrees/certifications are a plus.
* 8\+ years of software engineering experience, including 3\+ years in AI/ML solution development.
* Proven experience designing and deploying LLM\-based solutions, traditional ML models, RAG systems, and agent workflows.
* Strong expertise in Python, TensorFlow/PyTorch, Hugging Face, prompt engineering, vector databases, and AI orchestration.
* Hands\-on experience with AWS SageMaker/Bedrock, Azure OpenAI, or Azure ML Studio, plus MLOps best practices (CI/CD, testing, model monitoring).
* Proficiency in frontend frameworks (React), cloud\-native deployment (Docker/Kubernetes), microservice APIs, and relational/NoSQL databases.
****Preferred Qualifications****
* Experience in the automotive or mobility domain, including telematics, diagnostics, or intelligent vehicle systems.
* Background implementing GenAI across poly‑cloud or hybrid environments (Azure, AWS, GCP).
* Experience with LLM fine‑tuning, multimodal AI, or autonomous agent frameworks.
* Familiarity with LangChain, MLflow, Vertex AI, Dialogflow, Azure Monitor, or similar AI lifecycle tools.
* Awareness of ethical/responsible AI, AI security, and emerging GenAI trends.
*Please note this job description is not designed to cover or contain a comprehensive listing of activities, duties or responsibilities that are required of the employee for this job. Duties, responsibilities, and activities may change at any time with or without notice.*
 Salary range:
****Preferred Qualifications****
* Experience in the automotive or mobility domain, including telematics, diagnostics, or intelligent vehicle systems.
* Background implementing GenAI across poly‑cloud or hybrid environments (Azure, AWS, GCP).
* Experience with LLM fine‑tuning, multimodal AI, or autonomous agent frameworks.
* Familiarity with LangChain, MLflow, Vertex AI, Dialogflow, Azure Monitor, or similar AI lifecycle tools.
* Awareness of ethical/responsible AI, AI security, and emerging GenAI trends.
*Please note this job description is not designed to cover or contain a comprehensive listing of activities, duties or responsibilities that are required of the employee for this job. Duties, responsibilities, and activities may change at any time with or without notice.*
 Salary range: 103,170 to $158,873
 In addition to a competitive salary, this position offers a fantastic benefits package that includes comprehensive medical/dental coverage, generous PTO, education assistance, and annual merit increase eligibility in a growth\-focused work environment.
**Team Culture:** 
 Our team thrives on collaboration, innovation, and continuous learning. We foster a supportive environment where every member is encouraged to share ideas and contribute to problem\-solving. We value:
* Passion for Technology: We are enthusiastic about emerging technologies and their potential to transform the automotive industry.
* Agility: We work in an agile environment, adapting quickly to changes and continuously improving our processes.
* Teamwork: We believe in the power of teamwork and collaboration, supporting each other to achieve common goals.
* Growth: We prioritize personal and professional growth, offering opportunities for learning and development.
* Inclusivity: We maintain an inclusive culture where diverse perspectives are valued and everyone feels welcome.
*Our Company adheres to the equal employment opportunity guidelines set forth by federal, state and local laws. The information requested on this form is sought in good faith and will not be used to discriminate against the applicant based on race, religion or creed, color, national origin, ancestry, physical disability, mental disability, medical condition, genetic characteristics, marital status, sex or gender (which includes pregnancy, childbirth, or related circumstances), gender identity, gender expression, age, citizenship, sexual orientation, family care or medical leave status, military and veteran status, political affiliation, or any other characteristic protected by federal, state and local laws.*
 In addition to a competitive salary, this position offers a fantastic benefits package that includes comprehensive medical/dental coverage, generous PTO, education assistance, and annual merit increase eligibility in a growth\-focused work environment.
**Team Culture:** 
 Our team thrives on collaboration, innovation, and continuous learning. We foster a supportive environment where every member is encouraged to share ideas and contribute to problem\-solving. We value:
* Passion for Technology: We are enthusiastic about emerging technologies and their potential to transform the automotive industry.
* Agility: We work in an agile environment, adapting quickly to changes and continuously improving our processes.
* Teamwork: We believe in the power of teamwork and collaboration, supporting each other to achieve common goals.
* Growth: We prioritize personal and professional growth, offering opportunities for learning and development.
* Inclusivity: We maintain an inclusive culture where diverse perspectives are valued and everyone feels welcome.
*Our Company adheres to the equal employment opportunity guidelines set forth by federal, state and local laws. The information requested on this form is sought in good faith and will not be used to discriminate against the applicant based on race, religion or creed, color, national origin, ancestry, physical disability, mental disability, medical condition, genetic characteristics, marital status, sex or gender (which includes pregnancy, childbirth, or related circumstances), gender identity, gender expression, age, citizenship, sexual orientation, family care or medical leave status, military and veteran status, political affiliation, or any other characteristic protected by federal, state and local laws.*</t>
        </is>
      </c>
    </row>
    <row r="9">
      <c r="A9" t="inlineStr">
        <is>
          <t>li-4362616400</t>
        </is>
      </c>
      <c r="B9" t="inlineStr">
        <is>
          <t>Senior Staff Software Engineer, Ads in AI Experiences</t>
        </is>
      </c>
      <c r="C9" t="inlineStr">
        <is>
          <t>Google</t>
        </is>
      </c>
      <c r="D9" t="inlineStr">
        <is>
          <t>linkedin</t>
        </is>
      </c>
      <c r="E9">
        <f>HYPERLINK("https://www.linkedin.com/jobs/view/4362616400", "https://www.linkedin.com/jobs/view/4362616400")</f>
        <v/>
      </c>
      <c r="F9" t="inlineStr"/>
      <c r="G9" t="inlineStr">
        <is>
          <t>Mountain View, CA</t>
        </is>
      </c>
      <c r="H9" t="inlineStr"/>
      <c r="I9" t="inlineStr">
        <is>
          <t>**Minimum qualifications:**
* Bachelor’s degree or equivalent practical experience.
* 8 years of experience in software development.
* 7 years of experience leading technical project strategy, ML design, and working with ML infrastructure (e.g., model deployment, model evaluation, data processing, debugging, fine tuning).
* 5 years of experience with one or more of the following: Speech/audio (e.g., technology duplicating and responding to the human voice), reinforcement learning (e.g., sequential decision making), ML infrastructure, or specialization in another ML field.
* 5 years of experience with design and architecture; and testing/launching software products.
**Preferred qualifications:**
* Master's degree or PhD in Computer Science, Electrical Engineering, Mathematics or a related field.
* 5 years of experience as an ML/AI engineer.
* Experience building AI\-powered user\-visible features.
* Experience with various AI\-related tools, frameworks, and platforms.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mission is to innovate AI\-powered search experiences like AI\-Mode and AI\-Overviews by developing high\-quality, native ad experiences that are relevant to the overall AI response.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intuition for the AIM and the Ads product. Leverage your AI expertise and data\-backed insights to guide the product direction as well as formulate a technical strategy and roadmap.
* Drive fast\-moving iterative execution while optimizing for both learning and impact. Formulate designs that help achieve trade\-offs across cost, latency, quality, etc.
* Work with cross\-functional teams across Ads, Search, GDM, and Google Research to align the system and technical approaches towards the overall mission and product.
* Explore emerging technologies and propose techniques.
* Maintain a comprehensive understanding of industry trends, the AIM product roadmap, and the evolving technical landscape.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
      <c r="A10" t="inlineStr">
        <is>
          <t>li-4335975288</t>
        </is>
      </c>
      <c r="B10" t="inlineStr">
        <is>
          <t>Principal/Founding Software Engineer</t>
        </is>
      </c>
      <c r="C10" t="inlineStr">
        <is>
          <t>Harnham</t>
        </is>
      </c>
      <c r="D10" t="inlineStr">
        <is>
          <t>linkedin</t>
        </is>
      </c>
      <c r="E10">
        <f>HYPERLINK("https://www.linkedin.com/jobs/view/4335975288", "https://www.linkedin.com/jobs/view/4335975288")</f>
        <v/>
      </c>
      <c r="F10" t="inlineStr"/>
      <c r="G10" t="inlineStr">
        <is>
          <t>Oakland, CA</t>
        </is>
      </c>
      <c r="H10" t="inlineStr"/>
      <c r="I10" t="inlineStr">
        <is>
          <t>**Principal/Founding AI Engineer** 
 specializing in Agentic GenAI \&amp; Medical Data
**Company Overview** 
 Join a rapidly growing medical\-tech startup, backed by $75M\+ in funding, building a 3\-sided marketplace transforming how healthcare connects, transacts, and personalizes patient experiences. We’re a product\-led, remote\-friendly team with engineering and commercial operations in the US and Croatia.
**Role Overview** 
 As a Senior Software Engineer, you’ll architect and develop agentic GenAI workflows leveraging Python, Django, and cutting\-edge AI/ML tools. You will be responsible for designing internal platforms built on sensitive medical datasets, deploying market\-facing solutions, and collaborating closely with commercial and AI teams to iterate rapidly.
**Key Responsibilities** 
* Build agentic GenAI workflows using proprietary and medical datasets.
* Lead GenAI \&amp; workflow orchestration for healthcare data and knowledge management.
* Develop and optimize marketing technology: email delivery, user engagement, personalization solutions, and growth engineering initiatives.
* Prototype, productize, and validate commercial AI models—understand and model clinician behavior, prescription workflows, and intelligent decision systems.
* Write production code for backend (Python/Django), ensure robust system architecture, and lead technical implementation cycles.
* Partner with cross\-functional teams across the US and Croatia to deliver rapid, validated product iterations.
**Skills \&amp; Experience** 
* Proven backend expertise: Python and Django in production environments.
* Frontend experience: React (modern best practices).
* Cloud/infrastructure: AWS (deploying, scaling, monitoring).
* Databases: PostgreSQL; ability to optimize for large medical/structured datasets.
* AI/ML: Experience with OpenAI and agent knowledge systems strongly preferred. Track record training or managing AI agents a plus.
* Nice\-to\-have: Direct experience handling medical/healthcare data.
* Scalability: Experience architecting knowledge systems with large\-volume data indexing, not high\-throughput, but focused on effective information retrieval.</t>
        </is>
      </c>
    </row>
    <row r="11">
      <c r="A11" t="inlineStr">
        <is>
          <t>li-4326701472</t>
        </is>
      </c>
      <c r="B11" t="inlineStr">
        <is>
          <t>Software Engineer, Developer Platform</t>
        </is>
      </c>
      <c r="C11" t="inlineStr">
        <is>
          <t>Glean</t>
        </is>
      </c>
      <c r="D11" t="inlineStr">
        <is>
          <t>linkedin</t>
        </is>
      </c>
      <c r="E11">
        <f>HYPERLINK("https://www.linkedin.com/jobs/view/4326701472", "https://www.linkedin.com/jobs/view/4326701472")</f>
        <v/>
      </c>
      <c r="F11" t="inlineStr"/>
      <c r="G11" t="inlineStr"/>
      <c r="H11" t="inlineStr"/>
      <c r="I11"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seeking creative engineers to build the Developer Platform that external and internal developers rely on to extend Glean. Our team owns the developer experience end‑to‑end: standards and tooling for REST APIs, SDKs and client libraries, agent SDKs and integrations, and the infrastructure and docs that make it easy to build on Glean. In a rapidly growing startup, this means working across multiple layers of the stack – backend services, developer tools, SDKs, and docs – and partnering closely with product, security, SRE, and other engineering teams. You’ll spend most of your time in Go, Python and TypeScript building the foundations that power integrations, agents, and custom applications, while also helping define what “great” looks like for APIs and developer experience across Glean.
**You Will**
* Design, build, and evolve SDKs and client libraries that developers use to integrate with Glean from their own applications and agent frameworks.
* Own and advance agent‑focused tooling and SDKs (including MCP and related integrations) so external frameworks, IDEs, and agents can easily and reliably call into Glean.
* Define and maintain standards and conventions for Glean’s public REST APIs (resource design, versioning, errors, deprecations), and provide the OpenAPI schemas, tools, and CI checks that other teams use when building and evolving endpoints.
* Implement and harden platform and integration services in Go (and occasionally Java) that support developer workflows, agents, and external integrations, with a focus on reliability, observability, and debuggability.
* Build and improve developer tooling and automation that reduce “paper cuts” for external developers.
* Collaborate with security and SRE to design and operate authentication and authorization flows for developer scenarios (e.g., OAuth2/OIDC, dynamic client registration, service‑to‑service auth).
* Shape and improve the developer experience on developers.glean.com by contributing to documentation, quickstarts, reference material, migration guides, and changelogs.
* Work closely with product managers, solutions engineers, and other product teams to understand real‑world developer and partner use cases, support escalations when needed, and turn those learnings into improvements in standards, tooling, and SDKs.
* Mentor more junior engineers or learn from battle‑tested ones, depending on your experience and interests.
**About You**
* BA/BS in computer science or a related field, or equivalent practical experience.
* Experience building and shipping backend or platform systems with a strong interest in developer experience – SDKs, tools, integrations, and APIs – not just a single product surface.
* Proficiency in at least one modern backend language (ideally Golang, or strong interest in learning it); experience with TypeScript, Python and/or Java is a plus.
* Experience with at least some of the following (and excited to grow into the rest):
* Designing or maintaining SDKs or client libraries
* Building agent or integration tooling (IDEs, agents, workflows, plugins)
* Working with REST APIs and schema‑based definitions like OpenAPI
* Designing or integrating OAuth2/OIDC and related auth flows.
* A developer‑centric mindset: you care about ergonomics (APIs, SDKs, tooling, and docs) that make other engineers more productive and confident.
* Thrive in a customer‑focused, tight‑knit, cross‑functional environment and are comfortable collaborating with product teams, security, SRE, and customer‑facing teams to solve ambiguous problems.
* A proactive and positive attitude to lead, learn, troubleshoot, and take ownership of both small infrastructure improvements and larger cross‑team initiatives.
**Location:**
* This role is hybrid (3\-4 days a week in one of our SF Bay Area offices)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2">
      <c r="A12" t="inlineStr">
        <is>
          <t>li-4362555316</t>
        </is>
      </c>
      <c r="B12" t="inlineStr">
        <is>
          <t>Back End Software Engineer</t>
        </is>
      </c>
      <c r="C12" t="inlineStr">
        <is>
          <t>SLB</t>
        </is>
      </c>
      <c r="D12" t="inlineStr">
        <is>
          <t>linkedin</t>
        </is>
      </c>
      <c r="E12">
        <f>HYPERLINK("https://www.linkedin.com/jobs/view/4362555316", "https://www.linkedin.com/jobs/view/4362555316")</f>
        <v/>
      </c>
      <c r="F12">
        <f>HYPERLINK("https://apply.slb.com/careers/job/563499731108484?utm_source=linkedin&amp;domain=slb.com&amp;urlHash=KF1l", "https://apply.slb.com/careers/job/563499731108484?utm_source=linkedin&amp;domain=slb.com&amp;urlHash=KF1l")</f>
        <v/>
      </c>
      <c r="G12" t="inlineStr">
        <is>
          <t>Houston, TX</t>
        </is>
      </c>
      <c r="H12" t="inlineStr"/>
      <c r="I12" t="inlineStr">
        <is>
          <t>The Back End Software Engineer is responsible for developing the back end of a web application, handling the logic, database interactions, user authentication, configuration, etc. The Back End Software Engineer evaluates emerging technologies and provides strategic, innovative and cost\-effective engineering solutions to increase the efficiency, reliability and integration of Schlumberger services and operations. This person works semi\-autonomously as part of a team that performs rapid prototyping of emerging technologies to solve industry\-related problems.
* Develop server\-side logic, definition and maintenance of the central database, and ensure high performance and responsiveness to requests from the front\-end developers.
* Integrate user\-facing elements developed by front\-end developers with server\-side applications.
* Collaborate with front\-end developers, customers, users and Product Managers to establish objectives and design functional, cohesive codes to enhance the user experience.
* Keep abreast of novel technical concepts and markets.
* Provide technical leadership and documentation to developers and stakeholders.
* Apply usability procedures and principles as defined at the project or Product Line level or through customer input.
* Build prototypes, products and systems that meet the project quality standards and requirements.
* Contribute to and support re\-use through common components that are well documented and tested.
* Bachelor in Computer Science, Computer Engineering, Mathematics or Applied Statistics
* 5\+ years of relevant experience in software engineering or related technical fields.</t>
        </is>
      </c>
    </row>
    <row r="13">
      <c r="A13" t="inlineStr">
        <is>
          <t>li-4365322153</t>
        </is>
      </c>
      <c r="B13" t="inlineStr">
        <is>
          <t>Sr Software Engineer , Backend</t>
        </is>
      </c>
      <c r="C13" t="inlineStr">
        <is>
          <t>Uber</t>
        </is>
      </c>
      <c r="D13" t="inlineStr">
        <is>
          <t>linkedin</t>
        </is>
      </c>
      <c r="E13">
        <f>HYPERLINK("https://www.linkedin.com/jobs/view/4365322153", "https://www.linkedin.com/jobs/view/4365322153")</f>
        <v/>
      </c>
      <c r="F13">
        <f>HYPERLINK("https://tnl2.jometer.com/v2/job?jz=5wqzs57dc3d32649a2a58200da08e4a583ab7KMAGUCAAAABQ&amp;iis=Job%20Board%20-%20Recruitment%20Marketing&amp;iisn=LinkedIn&amp;urlHash=HlSy", "https://tnl2.jometer.com/v2/job?jz=5wqzs57dc3d32649a2a58200da08e4a583ab7KMAGUCAAAABQ&amp;iis=Job%20Board%20-%20Recruitment%20Marketing&amp;iisn=LinkedIn&amp;urlHash=HlSy")</f>
        <v/>
      </c>
      <c r="G13" t="inlineStr">
        <is>
          <t>Sunnyvale, CA</t>
        </is>
      </c>
      <c r="H13" t="inlineStr"/>
      <c r="I13" t="inlineStr">
        <is>
          <t>**About The Role**
 As an engineer in the Ads Bidding and Pacing team, you will focus on developing \&amp; optimizing Auto Bidding and Budget Pacing systems to support Ads Delivery goals for multiple lines of businesses : Uber Eats, Grocery and Mobility Ads.
* What the Candidate Will Do \-\-\-\-
* Design, implementation, and maintenance of high\-performance bidding and pacing systems.
* Ensure these systems meet or exceed campaign performance goals, advertiser expectations, and system reliability standards.
* Partner with Product Managers, Data Scientists, and other engineering teams to deliver:
* A bid\-based budget pacing system that ensures daily/weekly budget delivery.
* Maximize Conversions, which leverages real\-time bidding to meet key advertiser goals.
* Basic Qualifications \-\-\-\-
* Technical strength with experience developing and shipping code for production systems
* Demonstrated examples of delivering production\-level features from inception, and promoting a high\-quality culture amongst the team
* Strong system design skills. You know how to build highly\-scalable, robust, and fault\-tolerant services that support our unique exponential growth requirements.
* Demonstrated experience easily speaking to the operational aspects of monitoring, alerting, and structuring code for production\-level debugging.
* You have a strong command of a backend stack (eg. Golang, Java, Node.js, Python, etc)
* AdTech experience is required.
* Preferred Qualifications \-\-\-\-
* Any experience in Ads Marketplace / Auction/ Bidding / Pacing will be very useful.
* Industry experience working on distributed systems: developing reliable, high performance, highly scalable, real\-time and low latency software
* Demonstrable knowledge of the principles of fault\-tolerance, reliability and durability.
* Ability to collaborate and influence across multiple levels of an organization
 For New York, NY\-based roles: The base salary range for this role is USD$198,000 per year \- USD$220,000 per year. For San Francisco, CA\-based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USD$198,000 per year \- USD$220,000 per year. For San Francisco, CA\-based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4">
      <c r="A14" t="inlineStr">
        <is>
          <t>li-4362606231</t>
        </is>
      </c>
      <c r="B14" t="inlineStr">
        <is>
          <t>Senior Backend Engineer</t>
        </is>
      </c>
      <c r="C14" t="inlineStr">
        <is>
          <t>Udio</t>
        </is>
      </c>
      <c r="D14" t="inlineStr">
        <is>
          <t>linkedin</t>
        </is>
      </c>
      <c r="E14">
        <f>HYPERLINK("https://www.linkedin.com/jobs/view/4362606231", "https://www.linkedin.com/jobs/view/4362606231")</f>
        <v/>
      </c>
      <c r="F14" t="inlineStr"/>
      <c r="G14" t="inlineStr">
        <is>
          <t>New York, NY</t>
        </is>
      </c>
      <c r="H14" t="inlineStr"/>
      <c r="I14" t="inlineStr">
        <is>
          <t>**Company Description**
 Udio creates innovative AI experiences designed to empower musical artists and deepen connections with their fans. Partnering with industry leaders like Universal Music and Warner Music Group, Udio aims to transform how fans engage with music and artists. The company is supported by established investors and leaders from both the tech and music industries. Udio’s mission is to leverage cutting\-edge AI to revolutionize the global music experience. For more information, visit udio.com.
**Role Description**
 This is a full\-time, on\-site role for a Senior Backend Engineer based in New York, NY. The Senior Backend Engineer will be responsible for designing, building, and maintaining scalable and reliable back\-end systems to support Udio’s AI\-driven music platform. The role includes implementing software development processes, working on back\-end web functionalities, ensuring system performance, and contributing to the team’s coding best practices. Collaboration with cross\-functional teams, including front\-end developers, will also be a key component of this role.
**Qualifications**
* Expertise in Back\-End Web Development and Software Development
* Proficiency in Object\-Oriented Programming (OOP) and Programming fundamentals
* Ability to collaborate effectively with Front\-End Development teams to deliver integrated solutions
* Strong problem\-solving skills and experience with scalable and secure software architecture
* Experience with cloud platforms (e.g., AWS, Azure, or Google Cloud) is a plus
* Bachelor's or advanced degree in Computer Science, Engineering, or a related field preferred</t>
        </is>
      </c>
    </row>
    <row r="15">
      <c r="A15" t="inlineStr">
        <is>
          <t>li-4362515679</t>
        </is>
      </c>
      <c r="B15" t="inlineStr">
        <is>
          <t>Software Engineer</t>
        </is>
      </c>
      <c r="C15" t="inlineStr">
        <is>
          <t>Qualcomm</t>
        </is>
      </c>
      <c r="D15" t="inlineStr">
        <is>
          <t>linkedin</t>
        </is>
      </c>
      <c r="E15">
        <f>HYPERLINK("https://www.linkedin.com/jobs/view/4362515679", "https://www.linkedin.com/jobs/view/4362515679")</f>
        <v/>
      </c>
      <c r="F15">
        <f>HYPERLINK("https://careers.qualcomm.com/careers/job/446716285834?hl=en-US&amp;utm_source=linkedin&amp;domain=qualcomm.com&amp;source=APPLICANT_SOURCE-6-2&amp;urlHash=U2G6", "https://careers.qualcomm.com/careers/job/446716285834?hl=en-US&amp;utm_source=linkedin&amp;domain=qualcomm.com&amp;source=APPLICANT_SOURCE-6-2&amp;urlHash=U2G6")</f>
        <v/>
      </c>
      <c r="G15" t="inlineStr">
        <is>
          <t>Santa Clara, CA</t>
        </is>
      </c>
      <c r="H15" t="inlineStr"/>
      <c r="I15" t="inlineStr">
        <is>
          <t>**Company**
 Qualcomm Atheros, Inc.
**Job Area**
 Engineering Group, Engineering Group \&gt; Software Engineering
**General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Qualifications**
* Bachelor's degree in Engineering, Information Systems, Computer Science, or related field.
**Preferred Qualifications**
* 1\+ year of experience with Programming Language such as C, C\+\+, Java, Python, etc.
* 1\+ year of experience with Database Management Software.
* 1\+ year of experience with API.
* 1\+ year of work experience with Git, Perforce, or Source Code Management System.
**Principal Duties And Responsibilities**
* Applies Software knowledge to assist and support the design, development, creation, modification, and validation of embedded and cloud edge software, applications, and/or specialized utility programs.
* Analyzes user needs and software requirements.
* Designs and implements small software features for products and systems.
* Participates in the design, coding for small features, unit testing, minor debugging fixes, and integration efforts to ensure projects are completed on schedule.
* Assists in performing code reviews and regression tests as well as the triaging of issues to ensure the quality of code.
* Collaborates with others inside project team to accomplish project objectives.
* Writes technical documentation for Software projects.
**Level Of Responsibility**
* Works under supervision.
* Decision\-making affects direct area of work and/or work group.
* Requires verbal and written communication skills to convey basic, routine factual information.
* Tasks require multiple steps which can be performed in various orders; some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$111,300\.00 \- $166,900\.00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6">
      <c r="A16" t="inlineStr">
        <is>
          <t>li-4362606146</t>
        </is>
      </c>
      <c r="B16" t="inlineStr">
        <is>
          <t>Software Developer- Full Stack</t>
        </is>
      </c>
      <c r="C16" t="inlineStr">
        <is>
          <t>Dominion National</t>
        </is>
      </c>
      <c r="D16" t="inlineStr">
        <is>
          <t>linkedin</t>
        </is>
      </c>
      <c r="E16">
        <f>HYPERLINK("https://www.linkedin.com/jobs/view/4362606146", "https://www.linkedin.com/jobs/view/4362606146")</f>
        <v/>
      </c>
      <c r="F16" t="inlineStr"/>
      <c r="G16" t="inlineStr">
        <is>
          <t>Harrisburg, PA</t>
        </is>
      </c>
      <c r="H16" t="inlineStr"/>
      <c r="I16" t="inlineStr">
        <is>
          <t>*Base pay is influenced by several factors including a candidate’s qualifications, relevant experience, and anticipated contributions to meet the needs of the business, along with internal pay equity and external market driven rates. The salary range displayed has not been adjusted for geographical location. This range has been created in good faith based on information known to Dominion National at the time of posting and may be modified in the future. Dominion National offers a comprehensive benefits packaging including Medical, Dental \&amp; Vision coverage, a Retirement Plan, generous time off including Paid Time Off, Holidays, and Volunteer time off, an Incentive Plan, Tuition Reimbursement, and more.*
 Dominion National, a rapidly growing and leading provider of dental and vision benefits, has an exciting opportunity for Full Stack Developer. The individual is responsible for developing and testing, both existing and new applications, proprietary and otherwise. Works with team of cross\-trained programmers, as well as business side colleagues to develop specifications and implement projects. Mentors and aids team members as needed. Performs additional duties as assigned.
* Design and develop front\-end and back\-end components of web applications using .NET Core 3\.1/.NET 5\.0, ASP.NET, React, JavaScript, HTML and CSS
* Collaborate closely with other developers to understand requirements, to design and deliver solutions using various technologies, taking into account critical performance characteristics, security measures and customer requirements.
* Review and document software failures and take or recommend corrective action.
* Ensures security and integrity of all systems and data.
* Identify opportunities to improve performance of existing applications/processes and implement.
* Performs additional duties as assigned.
**Knowledge**
* Knowledge of Microsoft .NET Framework and associated development technologies, particularly Visual Studio, Azure DevOps, Entity Framework and LINQ.
* Intermediate understanding of design patterns and principles, particularly Object\-Oriented Design (OOD).
**Experience**
* 3\+ years’ experience developing .NET applications in C\# or similar object\-oriented languages.
* 2\+ years of strong front\-end skills in HTML/CSS and React for building modern and responsive user interfaces.
* Experienced with SQL, RESTful APIs, good understanding of data structures and design patterns.
* Experience with Git for version control
**Education and Certifications**
* Bachelor’s degree in computer science or related field
**Work Environment**
* \*\*This role will require an onsite interview and may include future onsite meetings for team building and strategy sessions. While the majority of this role will function remotely, you will need to be available to meet onsite.
* This job operates in a professional office environment.
* This role routinely uses standard office equipment such as laptops, smart phones, photocopiers/scanners, shredders and filing cabinets.
**Physical Demands**
* The physical demands described here are representative of those that must be met by an employee to successfully perform the essential functions of this job.
* While performing the duties of this job, the employee is regularly required to talk or hear.
* The employee frequently is required to stand; walk; use hands to finger, handle or feel; and reach with hands and arms.
**Other**
* This is a full\-time position, Monday through Friday and hours of work may fall between 730 a.m. and 6 p.m.</t>
        </is>
      </c>
    </row>
    <row r="17">
      <c r="A17" t="inlineStr">
        <is>
          <t>li-4290771622</t>
        </is>
      </c>
      <c r="B17" t="inlineStr">
        <is>
          <t>Software Engineer</t>
        </is>
      </c>
      <c r="C17" t="inlineStr">
        <is>
          <t>Chalk</t>
        </is>
      </c>
      <c r="D17" t="inlineStr">
        <is>
          <t>linkedin</t>
        </is>
      </c>
      <c r="E17">
        <f>HYPERLINK("https://www.linkedin.com/jobs/view/4290771622", "https://www.linkedin.com/jobs/view/4290771622")</f>
        <v/>
      </c>
      <c r="F17">
        <f>HYPERLINK("https://job-boards.greenhouse.io/chalkinc/jobs/4031707005&amp;urlHash=lDIr", "https://job-boards.greenhouse.io/chalkinc/jobs/4031707005&amp;urlHash=lDIr")</f>
        <v/>
      </c>
      <c r="G17" t="inlineStr">
        <is>
          <t>San Francisco, CA</t>
        </is>
      </c>
      <c r="H17" t="inlineStr"/>
      <c r="I17" t="inlineStr">
        <is>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diagnosing sepsis, and maximizing clean energy capture. We've recently raised a
 $50 million Series A
 , led by Felicis.
**About the role**
 We are hiring Software Engineers to join our team. This is an opportunity to join us in\-person as an early employee and make a large impact at a high growth start\-up. You will tackle challenging engineering problems with a high degree of autonomy and ownership.
**We work in\-person Monday through Friday in our SF and NY offices. We don’t currently offer remote or hybrid positions.** 
 We are looking for a software engineer with a strong background in systems engineering. At Chalk we are solving problems drawn from the fields of DBMS query planning \&amp; optimization, compilers, and distributed analytical data processing systems.
 Chalk uses dynamic and static analysis of Python programs in order to optimize arbitrary user Python code, infers and orchestrates infrastructure implied by the structure of that code, and tracks metadata about flow of data through these systems.
**What you will do**
* Work directly with Chalk’s co\-founders to productionize our first iteration
* Write Python and Rust
* Design, implement, ship, and maintain significant components of our query planning and execution engine
* Iterate rapidly to improve Chalk’s platform in response to customer needs
**What we’re looking for**
* 2\+ years experience of professional backend software engineering experience
* Strong working knowledge of computer science fundamentals. We’re not looking for experience from drilling leet code – we need folks who are comfortable building and maintaining real systems
* Comfort with leading development of new components of existing systems, and with taking ownership of existing software
* Track record of learning new concepts quickly
* Ability to work autonomously \&amp; to make pragmatic tradeoffs with an eye towards business outcomes
* Strong communication skills
**Bonus points**
* Experience implementing data infrastructure
* Experience with distributed systems/compilers/query planners
* Experience with Rust
* Experience with developing PaaS\-like software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but not limited to: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18">
      <c r="A18" t="inlineStr">
        <is>
          <t>li-4365345092</t>
        </is>
      </c>
      <c r="B18" t="inlineStr">
        <is>
          <t>Software Engineer</t>
        </is>
      </c>
      <c r="C18" t="inlineStr">
        <is>
          <t>Microsoft</t>
        </is>
      </c>
      <c r="D18" t="inlineStr">
        <is>
          <t>linkedin</t>
        </is>
      </c>
      <c r="E18">
        <f>HYPERLINK("https://www.linkedin.com/jobs/view/4365345092", "https://www.linkedin.com/jobs/view/4365345092")</f>
        <v/>
      </c>
      <c r="F18" t="inlineStr"/>
      <c r="G18" t="inlineStr"/>
      <c r="H18" t="inlineStr"/>
      <c r="I18" t="inlineStr">
        <is>
          <t>**Overview**
 The Azure High Performance Computing and Artificial Intelligence Platform team is responsible for Microsoft Azure’s cloud infrastructure that supports some of the most demanding and large\-scale artificial intelligence training and inference workloads in the industry. The virtual machine series managed by this team integrates advanced graphics processing units (GPUs) and accelerators with a scale\-out network infrastructure to enable these workloads. The team collaborates with internal Microsoft groups and industry partners to design the underlying platform and build the software that exposes it as an Azure service.
 As a Software Engineer in the Azure High Performance Computing and Artificial Intelligence team, you will play a key role in enhancing current GPU\-based virtual machine offerings and designing future generations of the platform. You will contribute across the stack—solving technical challenges, enabling new features, and working closely with industry partners to deliver scalable and reliable solutions.
 This role involves deep technical engagement, including hardware and software interactions, device virtualization, and performance analysis of GPU workloads in virtual machines. Because the team is responsible for vertical integration of virtual machine offerings, you will also work with upper layers of Azure infrastructure and engage directly with high\-volume internal customer teams to resolve issues and improve service quality. With the team actively expanding capacity and supported scenarios, this is a unique opportunity to make a significant impact on Microsoft’s artificial intelligence infrastructure and initiatives.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Analyzes functionality, integration, and performance issues at various levels of the HW/SW stack and on current and future generations of AI training platforms.
* Designs and codes solutions that improve functional correctness, stability and performance of AI training oriented VM offerings and related services.
* Optimizes, debugs, refactors, and reuses code to improve performance and maintainability, effectiveness, and return on investment (ROI). Applies metrics to drive the quality and stability of code, as well as appropriate coding patterns and best practices.
* Holds accountability as a Designated Responsible Individual (DRI), working as on\-call to monitor system/product/service for degradation, downtime, or interruptions.
* Help ensure Azure platform is consistent on performance, can scale on\-demand, and engineered to withstand the unparalleled computing demand from the customer workloads.
* Help build a test\-driven engineering culture to reduce regressions and bugs in production and will set a higher bar for infrastructure quality.
**Qualifications**
**Required Qualifications:**
* Bachelor's Degree in Computer Science, or related technical discipline with proven experience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1\+ year(s) technical engineering experience with coding in languages including, but not limited to, C, C\+\+, C\#, Java, JavaScript, OR Python
+ OR Master's Degree in Computer Science or related technical field with proven experience coding in languages including, but not limited to, C, C\+\+, C\#, Java, JavaScript, or Python
+ OR equivalent experience.
* 1\+ year(s) with Machine Learning, AI Infrastructure, Operating Systems fundamentals and virtualization technologies
* 1\+ year(s) experience in analyzing and troubleshooting large\-scale distributed systems.
* 1\+ year(s) experience on High Performance Computing / Machine Learning middleware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
      <c r="A19" t="inlineStr">
        <is>
          <t>li-4343221500</t>
        </is>
      </c>
      <c r="B19" t="inlineStr">
        <is>
          <t>Backend Software Engineer</t>
        </is>
      </c>
      <c r="C19" t="inlineStr">
        <is>
          <t>iHeartMedia</t>
        </is>
      </c>
      <c r="D19" t="inlineStr">
        <is>
          <t>linkedin</t>
        </is>
      </c>
      <c r="E19">
        <f>HYPERLINK("https://www.linkedin.com/jobs/view/4343221500", "https://www.linkedin.com/jobs/view/4343221500")</f>
        <v/>
      </c>
      <c r="F19" t="inlineStr"/>
      <c r="G19" t="inlineStr">
        <is>
          <t>New York, NY</t>
        </is>
      </c>
      <c r="H19" t="inlineStr"/>
      <c r="I19" t="inlineStr">
        <is>
          <t>iHeartRadio
 Current employees and contingent workers click here
 **to apply and search by the Job Posting Title.**
 The audio revolution is here – and iHeart is leading it! iHeartMedia,
 **the number one audio company in America** 
 , reaches 90% of Americans every month \-\- a monthly audience that’s
 **twice the size of any other audio company** 
 – almost three times the size of the largest TV network – and almost 4 times the size of the largest ad\-supported music streaming service. In fact, we have:
* More \#1 rated markets than the next two largest radio companies combined;
* We’re the largest podcast publisher, with more monthly downloads than the second\- and third\-largest podcast publishers combined. Podcasting, the fastest\-growing new media, today has more monthly users than streaming music services or Netflix;
* iHeart is the home of many of the country’s most popular and trusted on\-air personalities and podcast influencers, who build important connections with hundreds of communities across America;
* We create and produce some of the most popular and well\-known branded live music events in America, including the iHeartRadio Music Festival, the iHeartRadio Music Awards, the iHeartCountry Festival, iHeartRadio Fiesta Latina and the iHeartRadio Jingle Ball Tour;
* iHeartRadio is the \#1 streaming radio digital service in America;
* Our social media footprint is 7 times larger than the next largest audio service; and
*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We’re looking for an Intermediate Backend Software Engineer to join our team and help build scalable, reliable backend systems. You’ll primarily work with Scala and Java, with opportunities to explore Kotlin as we expand our stack. Our data layer runs on Postgres and MongoDB, giving you a chance to work with both relational and document\-oriented databases. If you’re passionate about building APIs, improving performance, and solving complex engineering challenges, this role is for you.
**What You'll Do:**
* Design, implement, and maintain backend services and APIs.
* Work with Postgres and MongoDB for data storage and access.
* Collaborate with teammates across engineering, product, and QA.
* Participate in code reviews, design discussions, and architecture planning.
* Contribute to best practices as we introduce Kotlin into the stack.
* Optimize performance and reliability across distributed systems.
**What You'll Need:**
* 3–5 years of backend software engineering experience.
* Proficiency in Scala or Java (experience with both is a plus).
* Interest in or exposure to Kotlin.
* Experience with relational and non\-relational databases (Postgres, MongoDB, or similar).
* Solid understanding of API design, distributed systems, and data modeling.
* Strong problem\-solving skills and a collaborative mindset.
**What You'll Bring:**
* Respect for others and a strong belief that others should do this in return
* Experience with various technical disciplines and applications
* Close attention to detail, following up until issues are resolved
* Ability to multitask on a variety of critical projects
* Ability to work independently, while also collaborating with others
* Strong communication skills, with the ability to communicate moderately complex technical information within the team
* Skills to recognize and solve frequently occurring problems
* Analytical thinking
* Resourcefulness and independent judgement
**Compensation:**
 Salary to be determined by multiple factors including but not limited to relevant experience, knowledge, skills, other job\-related qualifications, and alignment with market data.
 $116,000 \- $145,000
**Location:**
 New York, NY: 125 West 55th Street, 10019
**Position Type:**
 Regular
**Time Type:**
 Full time
**Pay Type:**
 Salaried
**Benefits:**
 iHeartMedia’s benefits offering is flexible and offers a variety of choices to meet the diverse needs of our changing workforce, including the following:
* Employer sponsored medical, dental and vision with a variety of coverage options
* Company provided and supplemental life insurance
* Paid vacation and sick time
* Paid company holidays, including a floating holiday that enable our employees to celebrate the holiday of their choosing
* A Spirit day to encourage and allow our employees to more easily volunteer in their community
* A 401K plan
* Employee Assistance Program (EAP) at no cost – services include telephonic counseling sessions, consultation on legal and financial matters, emotional well\-being, family and caregiving
* A range of additional voluntary programs, such as spending accounts, student loan refinancing, accident insurance and more!
 We are accepting applications for this role on an ongoing basis.
 The Company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
 Non\-Compete will be required for certain positions and as allowed by law.
 Our organization participates in E\-Verify. Click here to learn about E\-Verify.</t>
        </is>
      </c>
    </row>
    <row r="20">
      <c r="A20" t="inlineStr">
        <is>
          <t>li-4365339118</t>
        </is>
      </c>
      <c r="B20" t="inlineStr">
        <is>
          <t>Senior Software Engineer, AI</t>
        </is>
      </c>
      <c r="C20" t="inlineStr">
        <is>
          <t>Synack</t>
        </is>
      </c>
      <c r="D20" t="inlineStr">
        <is>
          <t>linkedin</t>
        </is>
      </c>
      <c r="E20">
        <f>HYPERLINK("https://www.linkedin.com/jobs/view/4365339118", "https://www.linkedin.com/jobs/view/4365339118")</f>
        <v/>
      </c>
      <c r="F20" t="inlineStr"/>
      <c r="G20" t="inlineStr">
        <is>
          <t>San Mateo, CA</t>
        </is>
      </c>
      <c r="H20" t="inlineStr"/>
      <c r="I20" t="inlineStr">
        <is>
          <t>Synack's Penetration Testing as a Service platform manages customers' attack surfaces by discovering new assets, pentesting for critical vulnerabilities and gaining visibility into the root causes of security risks. We are committed to making the world more secure by harnessing a talented, vetted community of security researchers to deliver continuous penetration testing and vulnerability management, with actionable results. Synack's PTaaS platform has uncovered more than 71,000 exploitable vulnerabilities to date, protecting a growing list of Global 2000 customers and U.S. agencies in a FedRAMP Moderate Authorized environment. For more information, please visit
 **www.synack.com** 
 .
 We are looking for a Senior Software Engineer (AI), where you'll take a hands\-on lead in designing and building cutting\-edge, AI\-centric systems tailored for the offensive security sector. You will directly drive product innovation at the intersection of AI and cybersecurity. You will lead by example, mentoring junior engineers and promoting a culture of ownership, technical excellence, innovation and continuous improvement.
 Sounds interesting? Keep reading…
**Please note:** 
 This is a remote position based in the U.S. We can only hire U.S. citizens for this position due to federal government contract requirements.
**Here's what you'll do**
* Design, implement and deliver scalable AI\-centric software systems.
* Drive the development of agentic AI capabilities for identifying vulnerabilities, automating penetration testing processes, workflow optimization and enhancing threat intelligence.
* Own and drive the end\-to\-end development of product features from ideation to production deployment and monitoring.
* Actively contribute to and drive the design and implementation of AI\-enabled systems, promoting effective SDLC processes.
* Lead technical discussions, code reviews and design sessions, sharing your expertise to uplift the team's capabilities.
* Provide mentorship and support to junior engineers, encouraging professional growth and development.
* Collaborate closely with cross\-functional teams to integrate AI capabilities into broader systems and applications.
**Here's what you'll need**
* 7\+ years of experience in distributed\-systems and backend software engineering.
* Experience with AI technologies, e.g. LLMs, RAG, MCP, etc.
* Excellent grasp of token usage optimization and LLM cost optimization techniques.
* Expert knowledge of golang (4\+ years) and solid hands\-on experience with Python.
* Strong experience and understanding of microservices, REST API design, gRPC, writing unit testing, BDD testing.
* Strong design skills required – UML is a bonus; exposure to Domain Driven Design desirable.
* Experience with asynchronous messaging technologies such as Google PubSub, Kafka.
* In depth knowledge of NoSQL and RDBMS technologies.
* Strong experience with Docker, Kubernetes, Cloud Environments (GCP preferred).
* Experience working on agile teams.
* Excellent communication and collaboration skills in all mediums.
* Experience working on and scaling a microservice\-based application.
* A proven ability to thrive in a collaborative environment involving different stakeholders and subject matter experts.
**Nice To Have**
* Experience in a fast\-paced startup environment.
* Experience in Cyber Security.
**Ready to join us?**
 Synack is committed to embracing diversity. Our people are our strength. Each addition to our team is an opportunity to grow and diversify our ideas, experiences, and viewpoints. We strive to be inclusive of Race, Ethnicity, Religion, Sex, LGBTQ\+, Veterans, Disabilities, and Age. Synack welcomes you!
 As a candidate, Synack cares about your privacy. Please view our candidate privacy policy here.
**This position has responsibility to ensure Synack's security and privacy posture is maintained.**
**$145,000 \- $240,000** 
 Salary is determined by a combination of factors including location, level, relevant experience, and skills. The range displayed on each job posting reflects the minimum and maximum target for new hire salaries for the position across all US locations. The compensation package for this position may also include equity, and benefits.
 For more details about our benefits, please see here. Then for the Employer code, enter:
 **synack**</t>
        </is>
      </c>
    </row>
    <row r="21">
      <c r="A21" t="inlineStr">
        <is>
          <t>li-4362605063</t>
        </is>
      </c>
      <c r="B21" t="inlineStr">
        <is>
          <t>Full Stack Software Engineer</t>
        </is>
      </c>
      <c r="C21" t="inlineStr">
        <is>
          <t>SLB</t>
        </is>
      </c>
      <c r="D21" t="inlineStr">
        <is>
          <t>linkedin</t>
        </is>
      </c>
      <c r="E21">
        <f>HYPERLINK("https://www.linkedin.com/jobs/view/4362605063", "https://www.linkedin.com/jobs/view/4362605063")</f>
        <v/>
      </c>
      <c r="F21">
        <f>HYPERLINK("https://apply.slb.com/careers/job/563499731108486?utm_source=linkedin&amp;domain=slb.com&amp;urlHash=asq-", "https://apply.slb.com/careers/job/563499731108486?utm_source=linkedin&amp;domain=slb.com&amp;urlHash=asq-")</f>
        <v/>
      </c>
      <c r="G21" t="inlineStr">
        <is>
          <t>Houston, TX</t>
        </is>
      </c>
      <c r="H21" t="inlineStr"/>
      <c r="I21" t="inlineStr">
        <is>
          <t>The Full Stack Software Engineer is responsible for developing web applications using third\-party and in\-house frameworks. The Full Stack Software Engineer uses shared components and develop back\-end services or front end web interfaces.
* Work with subject matter experts to clarify requirements.
* Turn requirements and user stories into functionality.
* Develop server\-side services to be elastically scalable and secure by design. Services should be backward and forward compatible to ease deployment.
* Develop web front end to be usable on multiple form factors.
* Ensure the solution is deployable, operable and secure by default.
* Apply usability procedures and principles as defined at project or Product Line level or through customer input.
* Bachelor in Computer Science, Computer Engineering, Mathematics or Applied Statistics
* 5\+ years of relevant experience in software engineering or related technical fields.</t>
        </is>
      </c>
    </row>
    <row r="22">
      <c r="A22" t="inlineStr">
        <is>
          <t>li-4355312524</t>
        </is>
      </c>
      <c r="B22" t="inlineStr">
        <is>
          <t>AI/Software Developer</t>
        </is>
      </c>
      <c r="C22" t="inlineStr">
        <is>
          <t>Expression</t>
        </is>
      </c>
      <c r="D22" t="inlineStr">
        <is>
          <t>linkedin</t>
        </is>
      </c>
      <c r="E22">
        <f>HYPERLINK("https://www.linkedin.com/jobs/view/4355312524", "https://www.linkedin.com/jobs/view/4355312524")</f>
        <v/>
      </c>
      <c r="F22">
        <f>HYPERLINK("https://expression-networks.breezy.hr/p/d5f9acef09f6-ai-software-developer&amp;urlHash=IWTP", "https://expression-networks.breezy.hr/p/d5f9acef09f6-ai-software-developer&amp;urlHash=IWTP")</f>
        <v/>
      </c>
      <c r="G22" t="inlineStr">
        <is>
          <t>Washington, DC</t>
        </is>
      </c>
      <c r="H22" t="inlineStr"/>
      <c r="I22" t="inlineStr">
        <is>
          <t>Expression is seeking an AI/Software Developer to join our Product Team and drive the evolution of our Agentic AI platform. We are building an enterprise\-grade platform for our National Security and Federal Civilian customers that moves Generative AI from 'chatting' to 'doing.” This platform is the intelligent backbone for our semi\-autonomous agents and the AI governance framework that manages them.
 The ideal candidate thrives in a highly technical, collaborative environment and has a strong bias for action. You are comfortable taking ownership, elevating your team through clear communication and solid technical judgment, and continually improving how we build our platform.
**Responsibilities**
* Contribute to the design and evolution of Expression’s Agentic AI platform, influencing:
+ System architecture and core components
+ Tooling, automation, and coding standards
+ Performance, scalability, and reliability
* Lead or contribute to research and prototyping efforts to explore emerging technologies that could be relevant to Expression products
* Collaborate directly with clients and lead product demonstrations showcasing platform capabilities.
* Design, implement, and optimize LLM\-based services, agent workflows, and orchestration layers.
* Build and maintain high\-performance, production\-grade Python APIs
* Collaborate closely with cross\-functional teams, including product, UX, and infrastructure
* Produce clear technical documentation, architecture diagrams, and design proposals.
**Required Qualifications**
* 10\+ years of combined professional experience and education in Computer Science, Software Engineering, Information Systems, Data Science, or related fields. An advanced degree is preferred.
* Extensive hands\-on experience with Agentic AI frameworks like LangChain/LangGraph, Crew AI, Strands, or similar.
* Expert\-level Python proficiency, including asynchronous programming (asyncio), data validation (Pydantic), and API development (FastAPI).
* Proven experience implementing Retrieval\-Augmented Generation (RAG) pipelines
* Experience designing and operating vector search systems and managing vector databases.
* Strong background designing systems architectures for LLM\-based applications
* Familiarity with containerization and cloud\-native environments, specifically using Docker and AWS or Azure services.
* Excellent written and verbal communication skills for producing design documents, technical reports, and client\-facing presentations.
**Location:**
* Remote with limited travel
**Security Clearance**
* Secret or Top Secret Clearance Required
**Benefits**
 Expression offers competitive salaries and benefits, such as:
* 401k matching
* PPO and HDHP medical/dental/vision insurance
* Education reimbursement up to $10,000/yr
* Complimentary life insurance
* Generous rollover PTO and 11 days of holiday leave
* Onsite gym facility and trainer
* Commuter Benefits Plan
* In\-office Cold Brew Coffee
**About Expression**
 Founded in 1997 and headquartered in Washington DC, Expression provides data fusion, data analytics, AI/ML, software engineering, information technology, and electromagnetic spectrum management solutions to the U.S. Department of Defense, Department of State, and national security community. Expression’s culture focuses on creating immediate and sustainable value for our clients via agile delivery of tailored solutions built through constant engagement with our clients. Expression was ranked \#1 on the Washington Technology 2018's Fast 50 list of fastest\-growing small business Government contractors and a Top 20 Big Data Solutions Provider by CIO Review.
 We make sure to provide everyone with the tools and opportunities to grow while working on some of the newest technologies in the industry. We get excited about celebrating our professionals' milestones, accomplishments, promotions, overcoming challenges, and many other aspects that make an engaging collaborative environment.
 Equal Opportunity Employer/Veterans/Disabled</t>
        </is>
      </c>
    </row>
    <row r="23">
      <c r="A23" t="inlineStr">
        <is>
          <t>li-4355294029</t>
        </is>
      </c>
      <c r="B23" t="inlineStr">
        <is>
          <t>Software Engineer</t>
        </is>
      </c>
      <c r="C23" t="inlineStr">
        <is>
          <t>Farsight</t>
        </is>
      </c>
      <c r="D23" t="inlineStr">
        <is>
          <t>linkedin</t>
        </is>
      </c>
      <c r="E23">
        <f>HYPERLINK("https://www.linkedin.com/jobs/view/4355294029", "https://www.linkedin.com/jobs/view/4355294029")</f>
        <v/>
      </c>
      <c r="F23" t="inlineStr"/>
      <c r="G23" t="inlineStr">
        <is>
          <t>New York, NY</t>
        </is>
      </c>
      <c r="H23" t="inlineStr"/>
      <c r="I23" t="inlineStr">
        <is>
          <t>**About Farsight** 
 Farsight is the agentic AI platform for financial services, currently helping investment banks and private equity firms fully automate entire, highly nuanced workflows. Today, institutions will spend 80% of their time gathering information for and creating first drafts of materials by hand before iterating on and refining their decks, models, and pitches. We not only give them that time back to focus on what is important, but we also bring new insights and knowledge to their materials that they wouldn’t be able to uncover without the help of our financial\-focused AI.
**Our Team** 
 Our team has had a wide range of experience that uniquely equips us to capture this massive opportunity. Our team comes from leading financial institutions like Evercore, General Atlantic and Menlo Ventures, supercharged by scalable engineering and AI skills from companies including Amazon, Hugging Face and the MIT Media Lab. We've learned the ins and outs of building successful startups from previous work as founders and founding engineers. We focus on hiring the best so that we can become the best, so we hope you apply!
 We are entirely based in Manhattan, New York City, and are in\-person 4 days a week (except Fridays, which are remote).
**Job Description** 
 Farsight operates at the cutting\-edge of AI to deliver human\-like work within some of the world’s largest, and most critical, financial organizations. We have an extensive backlog from customer demand along with immense opportunities for product innovation, and as such need someone that can help rapidly expand our platform to be able to supercharge each of our users.
 You will be responsible for designing and implementing complete technical systems, informed from business needs and often directly addressing customer feedback. Being at the interface between customer and product, you will have to move extremely quickly \- all while upholding our standard of developing clean, efficient, and ready for change software. The scope of your projects will range from longer term swings to bug fixes alike, each of which crucial to our company's success.
 Farsight is a highly collaborative environment where you and your highly motivated, passionate team members will continuously be working together to create new technology and applications that deliver the robust, accurate solutions that our customers are expecting.
**Desired Qualifications** 
* 2\+ years of non\-internship software engineering experience
* Knowledge and experience with building applications ready for both scale and production deployment
* Experience with Python and cloud\-based infrastructure like AWS
* Strong interest in learning and understanding generative AI technology and the current, rapidly evolving landscape
* Experience working in unstructured environments, where you took full autonomy of delivering projects from conception to deployment
* You are intrinsically motivated and self\-critical of your work, two aspects that are important for rapid innovation on a lean team
* Are able to effectively communicate with and collaborate with a growing team
* Bring a positive and fun attitude to the workplace!
**Above and Beyond Qualifications** 
* Have previously worked at either an early\-stage startup or big tech
* Previous development experience with AI systems, including utilizing closed\-source models, fine\-tuning and spinning up open\-sourced models, etc.
* Understanding of system design patterns and test\-driven development techniques in order to create reliable, ready for change code
* Previous experience interacting with customers and receiving customer feedback</t>
        </is>
      </c>
    </row>
    <row r="24">
      <c r="A24" t="inlineStr">
        <is>
          <t>li-4362545319</t>
        </is>
      </c>
      <c r="B24" t="inlineStr">
        <is>
          <t>Full Stack Software Engineer</t>
        </is>
      </c>
      <c r="C24" t="inlineStr">
        <is>
          <t>SLB</t>
        </is>
      </c>
      <c r="D24" t="inlineStr">
        <is>
          <t>linkedin</t>
        </is>
      </c>
      <c r="E24">
        <f>HYPERLINK("https://www.linkedin.com/jobs/view/4362545319", "https://www.linkedin.com/jobs/view/4362545319")</f>
        <v/>
      </c>
      <c r="F24" t="inlineStr"/>
      <c r="G24" t="inlineStr">
        <is>
          <t>Houston, TX</t>
        </is>
      </c>
      <c r="H24" t="inlineStr"/>
      <c r="I24" t="inlineStr">
        <is>
          <t>The Full Stack Software Engineer is responsible for developing web applications using third\-party and in\-house frameworks. The Full Stack Software Engineer uses shared components and develop back\-end services or front end web interfaces.
* Work with subject matter experts to clarify requirements.
* Turn requirements and user stories into functionality.
* Develop server\-side services to be elastically scalable and secure by design. Services should be backward and forward compatible to ease deployment.
* Develop web front end to be usable on multiple form factors.
* Ensure the solution is deployable, operable and secure by default.
* Apply usability procedures and principles as defined at project or Product Line level or through customer input.
* Bachelor in Computer Science, Computer Engineering, Mathematics or Applied Statistics
* 5\+ years of relevant experience in software engineering or related technical fields.</t>
        </is>
      </c>
    </row>
    <row r="25">
      <c r="A25" t="inlineStr">
        <is>
          <t>li-4365321873</t>
        </is>
      </c>
      <c r="B25" t="inlineStr">
        <is>
          <t>Senior Software Engineer</t>
        </is>
      </c>
      <c r="C25" t="inlineStr">
        <is>
          <t>Synack</t>
        </is>
      </c>
      <c r="D25" t="inlineStr">
        <is>
          <t>linkedin</t>
        </is>
      </c>
      <c r="E25">
        <f>HYPERLINK("https://www.linkedin.com/jobs/view/4365321873", "https://www.linkedin.com/jobs/view/4365321873")</f>
        <v/>
      </c>
      <c r="F25" t="inlineStr"/>
      <c r="G25" t="inlineStr">
        <is>
          <t>San Mateo, CA</t>
        </is>
      </c>
      <c r="H25" t="inlineStr"/>
      <c r="I25" t="inlineStr">
        <is>
          <t>Synack's Penetration Testing as a Service platform manages customers' attack surfaces by discovering new assets, pentesting for critical vulnerabilities and gaining visibility into the root causes of security risks. We are committed to making the world more secure by harnessing a talented, vetted community of security researchers to deliver continuous penetration testing and vulnerability management, with actionable results. Synack's PTaaS platform has uncovered more than 71,000 exploitable vulnerabilities to date, protecting a growing list of Global 2000 customers and U.S. agencies in a FedRAMP Moderate Authorized environment. For more information, please visit
 **www.synack.com** 
 .
 Are you ready to leverage your software development skills to build a platform that is transforming cybersecurity? As a Senior Software Engineer, Backend you will be part of a fast\-paced, collaborative team developing our attack surface intelligence capabilities. You will be a critical contributor to the development and integration of reconnaissance technologies and products while also moving forward the state of engineering best practices in our cybersecurity platform. If you enjoy pivoting between different problems and meeting new challenges every day while developing solutions that are mission critical to the organization, this role is for you! Sounds interesting? Keep reading…
**Please note:** 
 This is a remote position based in the U.S. We can only hire U.S. citizens for this position due to federal government contract requirements.
**Here's what you'll do**
* Develop and integrate cybersecurity testing and analysis systems with best\-in\-class cybersecurity platform
* Build high\-performance, resilient, scalable cloud\-based software, microservices architecture and containers
* Take software through CI/CD all the way to production and own its quality and availability
* Utilize GCP platform to build and run highly\-available software systems
* Identify and resolve performance issues across systems and components
* Collaborate on a cross\-functional team, working with Product, Operations, and Platform Engineering
* Integrate monitoring and alerting capabilities with backend modules to allow proactive improvements to availability and response times
* Design, implement and deliver well\-tested, scalable, highly available systems
* Own and ideate technical solutions for product requirements and user stories
* Actively engage and participate in design and code reviews
* Offer guidance and support to junior team members, encouraging and cultivating a culture of continuous learning within the team
**Here's what you'll need**
* 7\+ years of experience in distributed\-systems and backend software engineering
* Strong Golang Required: 4\+ years of experience minimum.
* Strong experience and understanding of microservices, REST API design, gRPC, unit testing, BDD testing
* Strong design skills required – UML is a bonus; exposure to Domain Driven Design desirable
* Experience with asynchronous messaging technologies such as Google PubSub, Kafka
* In depth knowledge of NoSQL and RDBMS technologies
* Strong experience with Docker, Kubernetes, Cloud Environments (GCP preferred)
* Experience working on agile teams
* Excellent communication and collaboration skills in all mediums
* Experience developing scalable and observable microservice\-based applications
* Experience with GitOps and DevOps principles, practices and tools
* A proven ability to thrive in a collaborative environment involving different stakeholders and subject matter experts
**Nice to have** 
* 
+ Interest in security / penetration testing
+ Interest in GenAI and LLM technologies
**Ready to join us?**
 Synack is committed to embracing diversity. Our people are our strength. Each addition to our team is an opportunity to grow and diversify our ideas, experiences, and viewpoints. Synack strives to be inclusive of all people.
 As a candidate, Synack cares about your privacy. Please view our candidate privacy policy here.
**This position has responsibility to ensure Synack's security and privacy posture is maintained.**
**$150,000 \- $180,000** 
 Salary is determined by a combination of factors including location, level, relevant experience, and skills. The range displayed on each job posting reflects the minimum and maximum target for new hire salaries for the position across all US locations. The compensation package for this position may also include equity, and benefits.
 For more details about our benefits, please see here. Then for the Employer code, enter:
 **synack**</t>
        </is>
      </c>
    </row>
    <row r="26">
      <c r="A26" t="inlineStr">
        <is>
          <t>li-4362564937</t>
        </is>
      </c>
      <c r="B26" t="inlineStr">
        <is>
          <t>Software Engineer III, Full Stack, Google Ads</t>
        </is>
      </c>
      <c r="C26" t="inlineStr">
        <is>
          <t>Google</t>
        </is>
      </c>
      <c r="D26" t="inlineStr">
        <is>
          <t>linkedin</t>
        </is>
      </c>
      <c r="E26">
        <f>HYPERLINK("https://www.linkedin.com/jobs/view/4362564937", "https://www.linkedin.com/jobs/view/4362564937")</f>
        <v/>
      </c>
      <c r="F26" t="inlineStr"/>
      <c r="G26" t="inlineStr">
        <is>
          <t>New York, NY</t>
        </is>
      </c>
      <c r="H26" t="inlineStr"/>
      <c r="I26"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Irvine, CA, USA; New York, NY, USA; Los Angeles, CA,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
      <c r="A27" t="inlineStr">
        <is>
          <t>li-4311183866</t>
        </is>
      </c>
      <c r="B27" t="inlineStr">
        <is>
          <t>Software Engineer</t>
        </is>
      </c>
      <c r="C27" t="inlineStr">
        <is>
          <t>Luminate</t>
        </is>
      </c>
      <c r="D27" t="inlineStr">
        <is>
          <t>linkedin</t>
        </is>
      </c>
      <c r="E27">
        <f>HYPERLINK("https://www.linkedin.com/jobs/view/4311183866", "https://www.linkedin.com/jobs/view/4311183866")</f>
        <v/>
      </c>
      <c r="F27" t="inlineStr"/>
      <c r="G27" t="inlineStr"/>
      <c r="H27" t="inlineStr"/>
      <c r="I27" t="inlineStr">
        <is>
          <t>Are you an entertainment news junkie? Do you thrill your friends with tales torn from famous and obscure sources about artists and performers of every ilk? Are you a bit of a data\-head who’s a little obsessed with entertainment charts, ranks, lists and stats? Do you knowingly smile to yourself as you watch a story’s blow\-up path, from the feeds to the web to TV, all fueled by the public’s fascination with all things entertainment? And do you have an eye for fact\-based stories and an understanding of the role data plays in their telling? If so, we'd like to talk!
 Luminate is the preeminent entertainment data and insights company, unlocking access to the most essential, objective, and trustworthy data compiled from thousands of verified data sources. The beneficiary of industry consolidation, Luminate now houses what was once Nielsen Music, BDS Radio, SoundScan, Music Connect, Alpha Data and Variety Business Intelligence.
 We are looking for full\-stack software engineers to join our team. We have a deep bench of domain expertise, what we want from you is a passion for application engineering with an aptitude for learning and practicing collaborative, iterative, software development with a small but growing team. We’re maintaining and building out our SaaS platform for the music, film and TV industries. We’re supporting our data science team to empower them to do what they do best. You'll need strong communication skills, technical fluency, empathy, humility, and an appreciation for where the entertainment industries have been and where we hope to take them.
 You will work with the Customer Experience team, composed of product managers, designers, and your fellow engineers to deliver a high\-quality software platform that brings value to our customers in the music industry. Our overall mission is to take the foundations of technology that underpin our work in the music business and expand that out to new forms of media and new types of customers.
**You Will Be Responsible For**
* Working with your team to deliver on Luminate’s product roadmap utilizing modern software development practices, including cutting\-edge AI development tools.
* Developing not just the code, but all other parts of the stack: test suites, infrastructure, documentation, etc. We’re a small team and we want to develop competencies across the entire stack for the mutual benefit of the whole team.
* Managing risk and uncertainty while moving forward with the business as we bring our platform to new markets and audiences.
* Contributing back to our engineering practice in ways that best demonstrate your own unique strengths. We strive for continuous improvement!
* Assembling large, complex sets of data that meet non\-functional and functional business requirements.
* Working with stakeholders including data, design, product teams and assisting them with data\-related technical issues.
**Ideal Skills Or Experience**
 Deep, meaningful and recent development experiences with one or more of the following is desired but not required
* 2\+ years of software engineering experience
* A solid foundation of computer science fundamentals and object\-oriented design principles.
* Experience in developing with Java and Spring Boot services, as well as working in React front\-ends with Typescript.
* Understanding of API design and microservice architecture.
* A strong commitment to test\-driven development.
* CI/CD experience, ideally with blue\-green deployments for a SaaS product.
* Best practices for development with public cloud environments, preferably AWS.
**What are the performance outcomes over the first 6\-12 months that you will work toward completing?**
* 1 month
+ Onboarding into our tooling and development ecosystem. Always an opportunity for us to improve, we value constructive feedback on how to pay it forward to the next new employee.
+ Learning about the domain of our business from your peers and incorporating that into the work you do going forward.
+ Collaborating with your teammates across the disciplines to start delivering value to our clients!
* 6 months
+ You’ve succeeded in delivering complete, but discrete parts of our platform.
+ You start to develop expertise around the specific part of the system you’ve been working with the most and can convey your experience to your team when needed.
+ You feel capable of adapting your style to the needs of your team.
* 1st year
+ You’ve now tackled multiple parts of the system and have started to develop a deeper understanding of the entire platform and are able to contribute meaningfully to the larger development effort across the engineering organization.
+ You worked with your manager to create goals aligned to your career and development interests for the year ahead. You have the support and resources at hand to go on that journey.
**What Makes Us Shine**
* Our People! We are music fans and gamers, film buffs and social scrollers, technologists and subject matter experts, scientists and developers and analysts who take immense pleasure in making sense of the data that drives entertainment, so everyone can get paid and more art can be made. That’s why we do what we do.
* 100% paid for Medical / Dental / Vision Insurance, 401K with matching, and Employee Assistance Program (EAP)
* Hybrid Work \- 4 In\-Office Working days (Monday, Tuesdays, Wednesdays, Thursdays) with flexibility to WFH when needed
* Flexible Time Away / Time Off \- You are empowered to do the things you enjoy outside of work too
* Community! \- Participate, create, or develop our employee clubs, affinity groups and 2% Volunteer initiative which allows you to take paid time off to volunteer within your community
* Family Planning Assistance and Parental leave for all partners
* LGBTQ\+ medical benefits and more!
**After submitting your application, you will receive a verification email. Please complete this verification to proceed with submitting your resume.**
**For candidates based in New York:** 
 A good faith estimate of the salary range is $135k \- $150k upon hire. We consider your skills and experience, what similar jobs pay at companies of our size, and ensure fair pay among colleagues. Final base salary offer amounts are determined by factors including your experience and expertise. In addition we are proud to offer additional perks and benefits that contribute and complete our total compensation package. Luminate reserves the right to change our compensation bands at any time.
***PMC is committed to the health and wellness of our employees. As part of our company\-wide rollout of PMC’s paid healthcare plan, for this role the company pays 100% of the monthly health, dental and vision plan premiums for the employee and their family***
**.** 
 Details of participation in these benefit plans will be provided if an employee receives an offer of employment.
**More About Us:** 
 Luminate has incredible 30 year history that has made us who we are today. We power the Billboard Charts, but we also inform the entire music industry with exclusive research, data and insights. We serve the television and film industry, providing deep meta\-data on every major production and title.
*Luminate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t>
        </is>
      </c>
    </row>
    <row r="28">
      <c r="A28" t="inlineStr">
        <is>
          <t>li-4365312930</t>
        </is>
      </c>
      <c r="B28" t="inlineStr">
        <is>
          <t>Full Stack Engineer</t>
        </is>
      </c>
      <c r="C28" t="inlineStr">
        <is>
          <t>Needl</t>
        </is>
      </c>
      <c r="D28" t="inlineStr">
        <is>
          <t>linkedin</t>
        </is>
      </c>
      <c r="E28">
        <f>HYPERLINK("https://www.linkedin.com/jobs/view/4365312930", "https://www.linkedin.com/jobs/view/4365312930")</f>
        <v/>
      </c>
      <c r="F28" t="inlineStr"/>
      <c r="G28" t="inlineStr">
        <is>
          <t>New York, NY</t>
        </is>
      </c>
      <c r="H28" t="inlineStr"/>
      <c r="I28" t="inlineStr">
        <is>
          <t>**Senior Full Stack Engineer** 
**Company:** 
 Venture\-backed cybersecurity startup (stealth / confidential)
**Location:** 
 Boston, MA or Remote (US) — occasional travel for team onsites
 We’re an early\-stage cybersecurity startup building an
 **autonomous threat hunting platform** 
 that helps organizations of all sizes identify and investigate threats faster and more effectively. Our team is small, hands\-on, and product\-driven—focused on shipping real customer value quickly while maintaining high engineering standards.
**The role** 
 As a
 **Senior Full Stack Engineer** 
 , you’ll
 **own features end\-to\-end** 
 —from product discovery and technical design through implementation, testing, deployment, and iteration in production. This role is ideal for someone who learns fast, communicates clearly, and thrives in a low\-ego environment where the best ideas win.
 What you’ll do
* **Design, build, and maintain** 
 features across backend, frontend, and infrastructure
* Partner with engineers and stakeholders to deliver a
 **high\-quality, innovative product**
* Help co\-own and evolve the
 **technical roadmap** 
 , improving system reliability, performance, and scalability
* Build services and workflows in a
 **microservices and event\-driven architecture**
* Operate what you build: observability, on\-call participation, incident response, and continuous improvement
* Communicate cross\-functionally to ensure we’re consistently delivering measurable customer value
 What success looks like (first 3–6 months)
* Ship multiple meaningful customer\-facing features end\-to\-end
* Improve a core workflow for speed, reliability, or developer experience
* Contribute to architecture decisions that enable the team to move faster without sacrificing quality
* Establish (or raise) the bar on testing, observability, and production readiness
 Required qualifications
* **4\+ years** 
 of professional software engineering experience
* Experience deploying production services on
 **AWS or GCP** 
 (AWS preferred)
* Proficiency in
 **one or more** 
 : Python, Go, Java, or Rust
* Willingness, and ability, to work in Python on the back end
* Experience building and operating
 **microservices**
* Experience with
 **event\-driven systems** 
 (queues, streaming, pub/sub, async workflows)
* Ability to adapt quickly, iterate, and
 **ship with urgency**
* Strong product sense, ownership mindset, and comfort with ambiguity in a startup setting
 Nice to have
* Prior experience in a startup / early\-stage environment
* Frontend development experience (modern web UI)
* Typescript experience
* Experience building
 **agentic / autonomous systems** 
 (LLM\-based or otherwise)
* DevOps / infrastructure experience (CI/CD, IaC, container orchestration)
* Cybersecurity domain knowledge (threat hunting, detection, SOC workflows)
 Tech environment (representative)
* Cloud: AWS (preferred) or GCP
* Backend: Python / Go / Java / Rust
* Architecture: microservices, event\-driven workflows
* Frontend: modern JS/TS stack
* *(Final stack depends on team decisions and the problems we’re solving.)*
 What we offer
* High\-ownership role in a fast\-moving startup with
 **rapid growth opportunities**
* Collaborative, low\-ego culture that values clarity, action, and craftsmanship
* **Competitive salary \+ meaningful equity**
* Comprehensive benefits (including 401(k))
* Occasional travel for team onsites, workshops, and conferences
**If you’re excited to build and ship impactful security product in a small team—and you love owning problems end\-to\-end—we’d love to hear from you.**</t>
        </is>
      </c>
    </row>
    <row r="29">
      <c r="A29" t="inlineStr">
        <is>
          <t>li-4355322092</t>
        </is>
      </c>
      <c r="B29" t="inlineStr">
        <is>
          <t>Junior Software Engineer</t>
        </is>
      </c>
      <c r="C29" t="inlineStr">
        <is>
          <t>BeaconFire Inc.</t>
        </is>
      </c>
      <c r="D29" t="inlineStr">
        <is>
          <t>linkedin</t>
        </is>
      </c>
      <c r="E29">
        <f>HYPERLINK("https://www.linkedin.com/jobs/view/4355322092", "https://www.linkedin.com/jobs/view/4355322092")</f>
        <v/>
      </c>
      <c r="F29" t="inlineStr"/>
      <c r="G29" t="inlineStr">
        <is>
          <t>California, United States</t>
        </is>
      </c>
      <c r="H29" t="inlineStr"/>
      <c r="I29"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30">
      <c r="A30" t="inlineStr">
        <is>
          <t>li-4339829525</t>
        </is>
      </c>
      <c r="B30" t="inlineStr">
        <is>
          <t>Software Engineer</t>
        </is>
      </c>
      <c r="C30" t="inlineStr">
        <is>
          <t>The Cypress Group</t>
        </is>
      </c>
      <c r="D30" t="inlineStr">
        <is>
          <t>linkedin</t>
        </is>
      </c>
      <c r="E30">
        <f>HYPERLINK("https://www.linkedin.com/jobs/view/4339829525", "https://www.linkedin.com/jobs/view/4339829525")</f>
        <v/>
      </c>
      <c r="F30" t="inlineStr"/>
      <c r="G30" t="inlineStr">
        <is>
          <t>New York, NY</t>
        </is>
      </c>
      <c r="H30" t="inlineStr"/>
      <c r="I30" t="inlineStr">
        <is>
          <t>Our client is seeking a Software Engineer to join their team. The ideal candidate will be responsible for developing high\-quality software tools and applications. They will also be responsible for designing and implementing testable and scalable code. This role is on\-site in New York, NY and provides excellent growth opportunities, competitive compensation and comprehensive benefits.
**Responsibilities** 
* Develop quality software and web applications
* Analyze and maintain existing software applications
* Design highly scalable, testable code
* Discover and fix programming bugs
* Interact with various teams and stakeholders
**Qualifications** 
* Bachelor's degree or equivalent experience in Computer Science or related field
* Development experience with programming languages
* Python and/or Java
* SQL
* AWS (or GCP, Azure, etc.)</t>
        </is>
      </c>
    </row>
    <row r="31">
      <c r="A31" t="inlineStr">
        <is>
          <t>li-4355283680</t>
        </is>
      </c>
      <c r="B31" t="inlineStr">
        <is>
          <t>Senior Software Engineer (Data Focus)</t>
        </is>
      </c>
      <c r="C31" t="inlineStr">
        <is>
          <t>Esusu</t>
        </is>
      </c>
      <c r="D31" t="inlineStr">
        <is>
          <t>linkedin</t>
        </is>
      </c>
      <c r="E31">
        <f>HYPERLINK("https://www.linkedin.com/jobs/view/4355283680", "https://www.linkedin.com/jobs/view/4355283680")</f>
        <v/>
      </c>
      <c r="F31" t="inlineStr"/>
      <c r="G31" t="inlineStr"/>
      <c r="H31" t="inlineStr"/>
      <c r="I31" t="inlineStr">
        <is>
          <t>**Esusu: Building Credit Access for All**
 Your financial future shouldn't depend on your race, background, or zip code. Yet 45 million Americans remain "credit invisible," while countless others face denials, evictions, and predatory interest rates regularly. Esusu is changing that.
 As a financial technology and data platform, we're revolutionizing financial health, identity services, and inclusive decision\-making for individuals and businesses alike.
 Our impact speaks volumes:
* $50 billion in credit activity facilitated
* 5 million\+ rental units in our network
* Trusted partnerships with leading real estate companies, government entities, fintechs, banks, and employers
 Through our enterprise services, embedded products, and consumer offerings, we're creating a financial system that works for everyone—right when fintech innovation matters most. Join us in building a future where financial systems are inclusive by design, access is standard, and opportunity reaches everyone.
*Unlock Tomorrow with Esusu* 
 .
**The Engineering Team**
 We are building a team of owners and changemakers. It is not enough to have the intention to do good –Esusu engineers translate intent into action and outcomes. We believe that lone heroes cannot accomplish our ambitious goals. Lasting change requires work by determined and collaborative individuals with a customer\-first mindset. Our engineers aim to delight our customers and drive our business and team forward by leveraging their technical skills, empathetic curiosity, and teamwork.
 Our back\-end is microservice\-based, hosted in AWS, and mainly written in Go. Our front end is based on React and written in Typescript. Our mobile apps are built using Flutter. Our data infrastructure is based on MongoDB, PostgreSQL, S3, Sagemaker, Snowflake, Talend, and mainly written in Python.
 We are continuously innovating and always open to new solutions. Because Esusu is a financial services company, we are obsessive about every aspect of compliance and security. We embrace a DevOps environment where the team is responsible for the full spectrum of development, testing, deployment, and maintenance, including working with product and business operations teams to create customer\-focused solutions. Even though we are 100% remote, Esusu’s culture is intensely collaborative.
**The Opportunity**
 We are looking for an experienced Senior Engineer to play a pivotal role in the future growth of our company. This role will involve back\-end system design and coding, with a heavy dose of data engineering and big data– not just ETL/ELT and streaming but also validation, cleaning, de\-duplicating, matching, testing, and quality. You will be responsible for delivering polished solutions in collaboration with an agile team of mission\-driven and talented front\-end and back\-end engineers.
 You will be working on our core data collection systems for enterprise customers, benefiting millions of people. These products will be key in driving our company's future growth, and your role will be crucial in their development. This will require you to break down problems to their essential components and come up with simple, elegant solutions—always planning for scalability and consistently adopting a customer and product\-oriented perspective.
 This role will report to the company’s Client Products Engineering Director.
**Core Competencies**
* **Superb programming, software, and data development skills** 
 – You can independently devise and implement solutions to problems with minimal explanation needed.
* **Strong communication skills** 
 – You can efficiently translate between technical and non\-technical audiences and have strong writing skills.
* **High standards** 
 – Your work is of the highest quality, and you continue to raise the bar within your immediate team and our organization.
* **Balance velocity with long\-term goals** 
 – You balance thinking big with delivering the right thing in an agile and speedy manner. You are curious, flexible, and nimble in your approach and implementation.
* **Heart of a teacher** 
 – You are a capable mentor and able to inspire and empower others on your team.
* **Getting work done and driving excellence** 
 – You strive for excellence and prioritize delivering high\-quality outcomes and projects.
* **Adaptability** 
 – You thrive in an environment that changes quickly and is constantly presenting new challenges.
**Minimum Qualifications**
* Very strong back\-end and distributed system engineering work experience
* Strong data engineering experience
* Strong experience building scalable microservice and distributed systems
* Strong experience with the full gamut of tools used at Esusu:
* Backend: Go, Python
* Cloud: Amazon Web Services (AWS), Terraform
* Data: PostgreSQL, S3, Dagster, Redis, Snowflake, MongoDB
* Experience writing, maintaining and monitoring web services on containerized and serverless cloud environments such as AWS Lambda and containers (e.g. Docker)
* Experience with SQL and no\-SQL databases, and data warehouses and/or data lakes
* Mastery of core development practices: Agile, TDD, CI/CD, and DevSecOps
* Mastery of standard security and compliance protocols and practices
**Above and Beyond**
* Experience in the FinTech or PropTech areas.
* Experience with front\-end systems and frameworks (Typescript, React)
* Experience in a startup environment.
* Experience in SOC2 or similar certified organizations.
**Competitive Benefits That Support You** 
 At Esusu, we invest in our people with benefits designed to help you thrive both personally and professionally:
* **💵Competitive Salary** 
 \- for Series B startup \- $170,000 \- $190,000 annually
* 📈
 **Equity** 
 \- a significant RSU grant which vest over four years with a 1 year cliff.
* ✅
 **Remote first work environmen** 
 t \- Where we trust you to get your work done.
* 🌴
 **Generous PTO** 
 – Enjoy a generous time off policy and 14 company wide paid holidays.
* 🩺
 **Premium Health Coverage** 
 – Comprehensive medical, dental, and vision insurance.
* 💳
 **Partial\-Employer Funded Health Savings Account** 
 \- Available for High Deductible Plans.
* 🍼
 **Paid Parental Leave** 
 – 12 weeks of 100% pay to support growing families.
* 💰
 **Retirement Plans** 
 – Secure your future with our competitive 401(k) offerings, including a 4% company match (for US only).
* 🎓
 **Tuition Reimbursement** 
 – For qualified programs to complement work experience.
* 📚
 **Professional Development Stipend** 
 – To support your continued growth and learning.
* 🤝
 **In person and virtual team get togethers** 
 \- To connect with your fellow Esusu colleagues.
* 📈
 **Free Credit Building Benefit** 
 \- Build your credit score for free as an Esusu employee.
*This job is eligible only for the following states: California, Colorado, District of Columbia, Georgia, New York, Illinois, Washington*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 Esusu Inc. All rights reserved, Esusu is proud to be an equal opportunity workplace. We celebrate diversity and are committed to creating an inclusive environment for all employees. We do not discriminate on the basis of race, religion, color, gender identity, sexual orientation, age, disability, veteran status, or other applicable legally protected characteristics. We encourage people of different backgrounds, experiences, abilities, and perspectives to apply.*</t>
        </is>
      </c>
    </row>
    <row r="32">
      <c r="A32" t="inlineStr">
        <is>
          <t>li-4354185442</t>
        </is>
      </c>
      <c r="B32" t="inlineStr">
        <is>
          <t>Junior Software Engineer</t>
        </is>
      </c>
      <c r="C32" t="inlineStr">
        <is>
          <t>BeaconFire Inc.</t>
        </is>
      </c>
      <c r="D32" t="inlineStr">
        <is>
          <t>linkedin</t>
        </is>
      </c>
      <c r="E32">
        <f>HYPERLINK("https://www.linkedin.com/jobs/view/4354185442", "https://www.linkedin.com/jobs/view/4354185442")</f>
        <v/>
      </c>
      <c r="F32" t="inlineStr"/>
      <c r="G32" t="inlineStr">
        <is>
          <t>Washington, United States</t>
        </is>
      </c>
      <c r="H32" t="inlineStr"/>
      <c r="I32"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33">
      <c r="A33" t="inlineStr">
        <is>
          <t>li-4365340136</t>
        </is>
      </c>
      <c r="B33" t="inlineStr">
        <is>
          <t>Software Engineer</t>
        </is>
      </c>
      <c r="C33" t="inlineStr">
        <is>
          <t>Optum</t>
        </is>
      </c>
      <c r="D33" t="inlineStr">
        <is>
          <t>linkedin</t>
        </is>
      </c>
      <c r="E33">
        <f>HYPERLINK("https://www.linkedin.com/jobs/view/4365340136", "https://www.linkedin.com/jobs/view/4365340136")</f>
        <v/>
      </c>
      <c r="F33" t="inlineStr"/>
      <c r="G33" t="inlineStr">
        <is>
          <t>Brentwood, TN</t>
        </is>
      </c>
      <c r="H33" t="inlineStr"/>
      <c r="I33"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Software engineering is the application of engineering to the design, development, implementation, testing and maintenance of software in a systematic method. The roles in this function will cover all primary development activity across all technology functions that ensure we deliver code with high quality for our applications, products and services and to understand customer needs and to develop product roadmaps.
 These roles include, but are not limited to analysis, design, coding, engineering, testing, debugging, standards, methods, tools analysis, documentation, research and development, maintenance, new development, operations and delivery. With every role in the company, each position has a requirement for building quality into every output. This also includes evaluating new tools, new techniques, strategies; Automation of common tasks; build of common utilities to drive organizational efficiency with a passion around technology and solutions and influence of thought and leadership on future capabilities and opportunities to apply technology in new and innovative ways.
 You will enjoy the flexibility to telecommute\* from anywhere within the U.S. as you take on some tough challenges.
**Primary Responsibilities**
* Delivering on Release Management the best practices
* Ensuring efficient and stable releases across all products in the OI Provider space
* Following all ITIL practices
* Report on Senior Management of critical KPI measures
* Analyses and investigations
* Provides explanations and interpretations within the area of expertise
* Leverage enterprise\-approved AI tools to enhance productivity and innovation by streamlining workflows and automating repetitive tasks. Evaluate emerging trends to drive continuous improvement and strategic innovation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OR 4\+ years of software engineering experience
* 2\+ years of experience with ITIL Service Management framework, SDLC
* 2\+ years of risk management experience
* 2\+ years of experience with Release and Change Management
* 2\+ years of experience working with software delivery teams
* 1\+ years of experience with CI/CD tools (GitHub)
* 1\+ years of configuration management experience
**Preferred Qualifications**
* PMP Certification
* Experience with Agile Development
* All Telecommuters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$71,200 to $127,200 annually based on full\-time employment. We comply with all minimum wage laws as applicable.
 Pursuant to the San Francisco Fair Chance Ordinance, we will consider for employment qualified applicants with arrest and conviction records.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\#RPO \#Green</t>
        </is>
      </c>
    </row>
    <row r="34">
      <c r="A34" t="inlineStr">
        <is>
          <t>li-4354175216</t>
        </is>
      </c>
      <c r="B34" t="inlineStr">
        <is>
          <t>Full Stack Software Developer</t>
        </is>
      </c>
      <c r="C34" t="inlineStr">
        <is>
          <t>Mitchell Grocery Corporation</t>
        </is>
      </c>
      <c r="D34" t="inlineStr">
        <is>
          <t>linkedin</t>
        </is>
      </c>
      <c r="E34">
        <f>HYPERLINK("https://www.linkedin.com/jobs/view/4354175216", "https://www.linkedin.com/jobs/view/4354175216")</f>
        <v/>
      </c>
      <c r="F34" t="inlineStr"/>
      <c r="G34" t="inlineStr">
        <is>
          <t>Marshall County, AL</t>
        </is>
      </c>
      <c r="H34" t="inlineStr"/>
      <c r="I34" t="inlineStr">
        <is>
          <t>**Full Stack Software Developer** 
**Job Description:** 
 As a Full Stack Software Developer, you will collaborate with other team members to design, develop, and maintain new and existing code including our website. You will also develop Android/iOS Apps for use by our customers.
**Responsibilities:** 
* Full stack development of client/server applications.
* Design and develop web pages, web applications, and graphics as needed.
* Create Apps for Android and iOS.
* Interact with employees and customers to determine programming specifications and requirements.
* Work with team members to accomplish programming assignments/tasks.
* Provide Support for your Applications to End Users.
* Document your code.
**Technical Qualifications:** 
* 5\+ years of overall software development experience
* Experience designing/developing websites and/or web applications.
* Bachelor’s degree in a related field is preferred but not required.
* Practical experience using C\#, HTML, Bootstrap, .NET, JavaScript, CSS, MVC, Razor, and MS SQL Server.
* Practical experience creating apps for Android and iOS.
* Experience and/or exposure to the following is preferred, but not required: Asynchronous Web Applications, jQuery, XML, C\#, Visual Basic, LESS, Web Services, IIS, Windows PC/Server OS, Photoshop/Illustrator, or some similar graphics design software.
**Personal Skills** 
* Self\-motivated
* Detail Oriented
* Possess excellent verbal and written communication skills.
* Must be able to work independently or in a group and multi\-task.
* Strong organizational skills.
* Strong time management skills: Work within deadlines
* Strong diagnostic skills: Ability to research, troubleshoot, and logically determine solutions.
* Able to author, understand, and translate business plans into technical designs.
* Follow through on responsibilities until their resolution.
* Willingness to learn new skills as needed.</t>
        </is>
      </c>
    </row>
    <row r="35">
      <c r="A35" t="inlineStr">
        <is>
          <t>li-4362586265</t>
        </is>
      </c>
      <c r="B35" t="inlineStr">
        <is>
          <t>Backend Engineer</t>
        </is>
      </c>
      <c r="C35" t="inlineStr">
        <is>
          <t>RemoteHunter</t>
        </is>
      </c>
      <c r="D35" t="inlineStr">
        <is>
          <t>linkedin</t>
        </is>
      </c>
      <c r="E35">
        <f>HYPERLINK("https://www.linkedin.com/jobs/view/4362586265", "https://www.linkedin.com/jobs/view/4362586265")</f>
        <v/>
      </c>
      <c r="F35" t="inlineStr"/>
      <c r="G35" t="inlineStr"/>
      <c r="H35" t="inlineStr"/>
      <c r="I35" t="inlineStr">
        <is>
          <t>About the Opportunity:
 The organization is focused on improving internet user experience and safeguarding digital content by building tools that prevent shipping broken pixels. The backend engineer role supports the Platform API that powers the web app, CLI, internal services, and frontend add\-ons. This API enables UI testing and review workflows to keep frontends regression\-free. The platform uses NodeJS, Typescript, Express, Apollo GraphQL, and MongoDB. Recent team achievements include launching accessibility regression testing, scaling billing infrastructure, and optimizing database and background processes. This fully remote role is for candidates located in the mainland US or Canada.
 Responsibilities:
 • Build and maintain scalable, reliable backend systems for the product.
 • Own projects from conception to completion with clear work breakdown and momentum.
 • Collaborate cross\-functionally to ensure feature continuity and deliver developer\-friendly solutions.
 • Identify and implement optimizations, refactoring, and modernization of existing systems.
 • Participate in team support rotation during business hours.
 • Monitor emerging trends in frontend architecture and developer tools to enhance the platform.
 Requirements:
 • 5 or more years of backend engineering experience building scalable, resilient APIs using modern JS/TS and test\-driven development.
 • Self\-directed problem solver able to scope work, communicate progress, flag blockers early, and make independent trade\-offs aligned with stakeholders.
 • Willingness to challenge ideas constructively and demonstrate a growth mindset.
 • Clear written and verbal communication skills, providing concise, context\-rich updates in a distributed asynchronous environment.
 • Ability to stay focused and accountable, delivering consistent progress despite challenges.
 • Strong interest in developer experience and understanding frontend team pain points.
 We’d be excited if you:
 • Recently stepped into a senior role or are an early\-career engineer ready to advance.
 • Have experience with Storybook or the platform.
 • Have built and maintained public APIs, especially with GraphQL.
 • Have experience in other backend frameworks (Rails, Phoenix, FastAPI, etc.) besides Node JS/TS.
 • Have worked effectively in a distributed, remote\-first team.
 • Bring insights from non\-traditional paths into software beyond engineering.
 Compensation:
 • Salary range US$145K to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6">
      <c r="A36" t="inlineStr">
        <is>
          <t>li-4365289095</t>
        </is>
      </c>
      <c r="B36" t="inlineStr">
        <is>
          <t>Software Engineer - Microsoft Research</t>
        </is>
      </c>
      <c r="C36" t="inlineStr">
        <is>
          <t>Microsoft</t>
        </is>
      </c>
      <c r="D36" t="inlineStr">
        <is>
          <t>linkedin</t>
        </is>
      </c>
      <c r="E36">
        <f>HYPERLINK("https://www.linkedin.com/jobs/view/4365289095", "https://www.linkedin.com/jobs/view/4365289095")</f>
        <v/>
      </c>
      <c r="F36" t="inlineStr"/>
      <c r="G36" t="inlineStr">
        <is>
          <t>Redmond, WA</t>
        </is>
      </c>
      <c r="H36" t="inlineStr"/>
      <c r="I36" t="inlineStr">
        <is>
          <t>**Overview**
 Join a team working at the center of frontier AI. You’ll collaborate directly with researchers in one of the world’s premier research labs, transforming breakthrough ideas into real, reliable, scalable capabilities used across Microsoft products. This role sits at the high‑impact intersection of research ↔ engineering ↔ product, where the work you do directly shapes what AI becomes next.
**Focus Areas You May Work On**
* Agentic Memory
* Efficiency
* Security
* Frontier model architectures
* Mathematics and logic applied to LLMs
**You Might Be a Great Fit If You**
* Motivated by the intersection where research meets engineering — the space where new ideas become real systems.
* Engaged effectively with ambiguous, open\-ended problems where exploration and clarity are equally important.
* Motivated by performance, safety, correctness, and experience, not just cleverness.
* Communicate clearly, collaborate naturally, and debug anything with calm and rigor.
* Inspired to build systems that meaningfully advance what AI can do, not just iterate on what already exists.
**We Operate With Urgency And Ambition**
* Short iteration cycles: hypothesis → prototype → evaluate → refine → ship
* Deep collaboration with researchers inventing new capabilities
* High ownership of systems, experiments, and outcomes
* Evidence\-driven decisions informed by evals, metrics, and safety signals
* A builder’s mindset: clarity, craft, and care for the details that make systems robust
 You’ll join a team motivated by curiosity, accountability, and the conviction that we are building something that truly moves the field forward, tackling problems that don’t even have names yet alongside people defining the state of the art. If this motivates you, we want to meet you. Bring your curiosity. Bring your craft. Bring your appetite for building the future.
*Microsoft Research is committed to cultivating a workplace that reflects the diversity of the global communities we serve. We actively seek to build an inclusive and equitable research environment where individuals of all backgrounds feel valued, supported, and empowered to contribute. We encourage applications from candidates who bring a broad range of experiences and perspectives. Our team works collectively to ensure that Microsoft Research remains a respectful, collaborative, and high\-impact space for all researchers.*
*Microsoft’s mission is to empower every person and every organization on the planet to achieve more, and we are dedicated to this mission across every aspect of our company. Our culture is centered on embracing a growth mindset and encouraging teams and leaders to bring their best each day. Join us and help shape the future of the world*
**Responsibilities**
* Translate research into systems: take early concepts and turn them into robust prototypes and product\-ready components.
* Design high velocity experimentation loops: datasets, evals, benchmarks, agent flows, safety tests, and decision frameworks.
* Scale and optimize: training, inference, efficiency, latency, cost, reliability.
* Partner cross functionally: coinvent with researchers, codesign with product teams, and land features that matter.
* As a Research Software Development Engineer in Microsoft Research, you will design, develop, execute, and implement technology research projects in collaboration with other team members, research partners, and product groups.
* Work with the team to identify, evaluate, and deploy new AI tools and technologies to accelerate our progress.
* Embody our culture and values.
**Qualifications**
**Required Qualifications** 
* Bachelor's Degree in Computer Science, or related technical discipline with proven experience coding in languages including, but not limited to, C, C\+\+, C\#, Java, JavaScript, or Python OR equivalent experience.
**Preferred Qualifications**
* Ability to competently operate across an entire modern AI\-centric software stack.
* Adaptability to dive into a new domain quickly. Polyglot technology curiosity. Be a voracious learner of new languages, paradigms, tools, and techniques, consuming publications.
* 1\+ year(s) experience building agentic coding systems that operate at cloud scale using common agent protocols and coding frameworks.
* Systematic use of benchmarking and other data\-driven techniques to guide design and development.
* Ability to thrive in the face of ambiguity, able to prototype starting with a research concept or paper rather than a spec. Be a thought partner and operate as part of a multidisciplinary team as we build prototypes quickly, fail fast, pivot, and adapt.
* Experience with data science, machine learning (ML), Large Language Models (LLMs), Natural Language Processing (NLP), computer vision, multimodal input and processing, and software security.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7">
      <c r="A37" t="inlineStr">
        <is>
          <t>li-4332935487</t>
        </is>
      </c>
      <c r="B37" t="inlineStr">
        <is>
          <t>Sr. Software Engineer</t>
        </is>
      </c>
      <c r="C37" t="inlineStr">
        <is>
          <t>Docusign</t>
        </is>
      </c>
      <c r="D37" t="inlineStr">
        <is>
          <t>linkedin</t>
        </is>
      </c>
      <c r="E37">
        <f>HYPERLINK("https://www.linkedin.com/jobs/view/4332935487", "https://www.linkedin.com/jobs/view/4332935487")</f>
        <v/>
      </c>
      <c r="F37">
        <f>HYPERLINK("https://careers.docusign.com/jobs/28081?lang=en-us&amp;iis=Job+board&amp;iisn=LinkedIn&amp;urlHash=ebd6", "https://careers.docusign.com/jobs/28081?lang=en-us&amp;iis=Job+board&amp;iisn=LinkedIn&amp;urlHash=ebd6")</f>
        <v/>
      </c>
      <c r="G37" t="inlineStr">
        <is>
          <t>Seattle, WA</t>
        </is>
      </c>
      <c r="H37" t="inlineStr"/>
      <c r="I37"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As a Senior Backend Engineer in the DocuSign Agreement Platform team, you will be responsible for building foundational tools and services for our next\-generation agreement platform. Your solutions will be used by multiple DocuSign product teams, partners and customers. You will work with multiple partner teams designing and architecting solutions to onboard them on our agreement platform. The Agreement Platform team builds schema\-driven SaaS products to scale to a wide range of customers’ needs, and maintains an open\-source schema language and runtime.
 The successful candidate will have a strong product engineering background and proficiency in .NET. You’ll enjoy entrepreneurial environments where you can solve difficult problems using current technologies and tools. You’ll collaborate well with other team members when brainstorming, designing, and implementing new solutions. You will help the team succeed by thinking about ways to improve processes, suggest ways to make the team more effective, and model engineering best practices. As a member of the Platform engineering group, you will work closely with product managers, developers, and platform engineers to ensure high quality and timely product releases. You are a hands\-on technical person who will be responsible for issues related to product features, performance, speed, scale, security and accessibility.
 This position is an individual contributor role reporting to Sr. Manager, Engineering.
**Responsibility**
* Write accessible code that is easy to maintain and test
* Participate in the design and architecture of our microservices
* Work with Project Management and other developers to elicit design requirements
* Work as part of a passionate, agile development team to deliver engaging user experiences
* Fix production issues and maintain the code as needed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8\+ years development experience
* Experience working with C\# or other modern programming languages
* Experience with designing and developing scalable cloud\-based microservice components
* Experience building/consuming RESTful or gRPC web\-services
* Experience delivering a SaaS product
**Preferred**
* Open minded, forward thinking, and passionate about great software
* Experience with the entire software development lifecycle, including version control, build process, testing, and code release
* A history of open\-source contribution
* Experience with data modeling or schema languages, such as XML Schema or JSON Schema
* Agile and Test\-driven development methodologies
* Experience of Performance Analysis and Code Optimization
* Strong communication skills, particularly in an asynchronous environment
 Wage Transparency
 Pay for this position is based on a number of factors including geographic location and may vary depending on job\-related knowledge, skills, and experience.
 Based on applicable legislation, the below details pay ranges in the following locations:
 Washington, Maryland, New Jersey and New York (including NYC metro area): $151,200\.00 \- $222,450\.00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**Work Authorization Notice:** 
 Please note that we do not provide visa sponsorship or immigration support for this position. Applicants must already be authorized to work in the United States on a full\-time, permanent basis without the need for current or future sponsorship.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38">
      <c r="A38" t="inlineStr">
        <is>
          <t>li-4354175131</t>
        </is>
      </c>
      <c r="B38" t="inlineStr">
        <is>
          <t>Software Engineer (C++)</t>
        </is>
      </c>
      <c r="C38" t="inlineStr">
        <is>
          <t>FlexTrade</t>
        </is>
      </c>
      <c r="D38" t="inlineStr">
        <is>
          <t>linkedin</t>
        </is>
      </c>
      <c r="E38">
        <f>HYPERLINK("https://www.linkedin.com/jobs/view/4354175131", "https://www.linkedin.com/jobs/view/4354175131")</f>
        <v/>
      </c>
      <c r="F38" t="inlineStr"/>
      <c r="G38" t="inlineStr">
        <is>
          <t>Great Neck, NY</t>
        </is>
      </c>
      <c r="H38" t="inlineStr"/>
      <c r="I38" t="inlineStr">
        <is>
          <t>**Why FlexTrade?** 
 Building great software requires good people with Innovative ideas, passion, and creativity. We thrive upon collaboration, hail from all walks of life and speak dozens of languages. We are passionate about equality and integrity with a culture of \#belonging and we give you the freedom to create an impact, together. All this while having fun at work
**What will you be doing:** 
 As a critical member of our Client Services Development team, you will be responsible for:
 Developing and implementing solutions for integrated FlexTrade Products.
 This role will involve C\+\+ programming on Unix Environment with rapidly evolving technology group supplying top quality solutions to our growing top tier Wall Street client base.
 Recommending Product Ideas based on Client experiences and resolve complex technical issues independently.
 Exposure to a complete Product Life Cycle Development Gaining high visibility to work with teams across Client Services.
 Mentoring and guiding the junior team members and interns.
**What we expect from you:** 
 Strong proficiency in C\+\+ programming on Linux/Unix systems environment.
 Proficient with Data Structures, Multithreading and Problem\-Solving capabilities.
 Practical Knowledge of the latest C\+\+ 17 and C\+\+ 20 standard is appreciated
 Familiar with OS Concepts and Basic Database skills.
 Bachelor’s or Master’s Degree in Computer Science.
 Excellent Communication skills with an attitude and appetite to learn and grow.
 \*\*FlexTrade Systems, Inc. is an equal opportunity employer and makes employment decisions without regard to race, color, religion, sex, sexual orientation, gender identity, national origin, protected veteran status, disability status, or any other status protected by law.\*\*</t>
        </is>
      </c>
    </row>
    <row r="39">
      <c r="A39" t="inlineStr">
        <is>
          <t>li-4365289102</t>
        </is>
      </c>
      <c r="B39" t="inlineStr">
        <is>
          <t>Software Engineer II- Backend</t>
        </is>
      </c>
      <c r="C39" t="inlineStr">
        <is>
          <t>Microsoft</t>
        </is>
      </c>
      <c r="D39" t="inlineStr">
        <is>
          <t>linkedin</t>
        </is>
      </c>
      <c r="E39">
        <f>HYPERLINK("https://www.linkedin.com/jobs/view/4365289102", "https://www.linkedin.com/jobs/view/4365289102")</f>
        <v/>
      </c>
      <c r="F39">
        <f>HYPERLINK("https://apply.careers.microsoft.com/careers/job/1970393556619126?utm_source=linkedin&amp;domain=microsoft.com&amp;src=LinkedIn&amp;urlHash=HPyC", "https://apply.careers.microsoft.com/careers/job/1970393556619126?utm_source=linkedin&amp;domain=microsoft.com&amp;src=LinkedIn&amp;urlHash=HPyC")</f>
        <v/>
      </c>
      <c r="G39" t="inlineStr">
        <is>
          <t>Redmond, WA</t>
        </is>
      </c>
      <c r="H39" t="inlineStr"/>
      <c r="I39" t="inlineStr">
        <is>
          <t>**Overview**
 OneDrive and SharePoint are rapidly growing services at the center of Microsoft's cloud, interacting with almost every part of Microsoft. You would be a part of a team that is fundamentally changing the way use and interact with the most important content for their home, work, and school. We are looking for a
 **Software Engineer II\- Backend** 
 . You will be collaborating with a team of amazing engineers and other teams across Microsoft to deliver large scale distributed architecture and features to meet OneDrive and SharePoint's service needs. You will be improving database and system performance and efficiencies, along with ensuring zero customer impact throughout the change management cycle. You will deliver systems to meet our business continuity planning goals, provide telemetry for optimizing the service and drive down our response time for detecting and resolving service issues.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work in large\-scale distributed systems that are critical for customers around the world.You will design and deliver services that manage internet\-scale data stores, enable best\-in\-the\-world file and site browsing and editing performance, or add innovative features to how people manage and interact with their data. You will contribute to and help shape the vibrant, inclusive engineering culture of OneDrive \&amp; SharePoint. You will be expected to do deep, data\-driven, collaborative design for additions and changes to our products. You will write clean, efficient code and comprehensive tests. You will build excellent coverage with metrics and telemetry to ensure we understand exactly what is happening with our services at all times. You will deliver features that will support and serve hundreds of millions of customers around the world.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\#ODSPEng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0">
      <c r="A40" t="inlineStr">
        <is>
          <t>li-4362596530</t>
        </is>
      </c>
      <c r="B40" t="inlineStr">
        <is>
          <t>Senior Software Engineer II, Enterprise Fulfillment</t>
        </is>
      </c>
      <c r="C40" t="inlineStr">
        <is>
          <t>Instacart</t>
        </is>
      </c>
      <c r="D40" t="inlineStr">
        <is>
          <t>linkedin</t>
        </is>
      </c>
      <c r="E40">
        <f>HYPERLINK("https://www.linkedin.com/jobs/view/4362596530", "https://www.linkedin.com/jobs/view/4362596530")</f>
        <v/>
      </c>
      <c r="F40" t="inlineStr"/>
      <c r="G40" t="inlineStr"/>
      <c r="H40" t="inlineStr"/>
      <c r="I40"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**About The Role**
 As a Senior Software Engineer, you will focus on executing and delivering high‑impact platform capabilities across Instacart’s Enterprise Fulfillment Platform APIs and services. You will work on complex areas such as API design, fulfillment orchestration, retailer and partner integrations, and high‑throughput distributed systems. You will contribute to building the next generation of Instacart’s fulfillment technology, ensuring reliability, scalability, and partner success.
 In this role, you will also provide technical leadership, mentoring teammates and raising engineering quality without formal management responsibilities.
**About The Team**
 This role sits within the Enterprise Platform team, part of the broader Fulfillment organization. The team builds and operates the foundational systems that power Connect API Fulfillment and Instacart’s 3rd‑Party Fulfillment Platform. These systems enable retailers, partners, and external providers to integrate fulfillment experiences directly into their own environments.
 The team’s mission includes ensuring platform reliability, expanding partner capabilities, driving adoption of our fulfillment services, and contributing to the company’s Gross Transaction Value (GTV) growth by powering next‑generation fulfillment orchestration.
**About The Job**
* Build core platform components that power Connect API Fulfillment and the 3rd‑Party Fulfillment Platform.
* Deliver reliable, scalable APIs and orchestration systems that support complex, high‑volume fulfillment workflows.
* Drive execution of major platform initiatives, from architecture to implementation to launch.
* Collaborate with product and cross‑functional partners when needed to align on requirements and integration needs.
* Improve platform reliability, throughput, and developer experience.
* Contribute to the design of next‑generation fulfillment orchestration and partner‑facing APIs and tooling.
* Mentor engineers through technical guidance, code reviews, and thought leadership.
**About You**
*Minimum Qualifications*
* Bachelor’s or Master’s degree in Computer Science (or related field), or equivalent experience.
* 5\+ years of backend development experience, with a strong record of project delivery.
* Experience drafting clear technical vision and design documents.
* Strong proficiency in owning and maintaining production services at high quality.
* Ability to rapidly deliver high‑quality code supporting high‑traffic systems.
* Experience working with product teams or customers in a collaborative environment.
* Proven ability to influence and mentor a team as a senior IC.
**Preferred Qualifications**
* Experience designing or scaling external APIs.
* Experience with distributed systems or orchestration‑style architectures.
* Experience integrating with external partners or 3rd‑party systems.
* Experience working across teams to develop platform‑level solutions.
* Track record of generating innovative, forward‑looking technical ideas.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$230,000—$242,500 USD
 WA
 $220,000—$232,000 USD
 OR, DE, ME, MA, MD, NH, RI, VT, DC, PA, VA, CO, TX, IL, HI
 $211,000—$222,000 USD
 All other states
 $192,000—$202,000 USD</t>
        </is>
      </c>
    </row>
    <row r="41">
      <c r="A41" t="inlineStr">
        <is>
          <t>li-4362507369</t>
        </is>
      </c>
      <c r="B41" t="inlineStr">
        <is>
          <t>Senior Software Engineer (.NET Core)</t>
        </is>
      </c>
      <c r="C41" t="inlineStr">
        <is>
          <t>Aembit</t>
        </is>
      </c>
      <c r="D41" t="inlineStr">
        <is>
          <t>linkedin</t>
        </is>
      </c>
      <c r="E41">
        <f>HYPERLINK("https://www.linkedin.com/jobs/view/4362507369", "https://www.linkedin.com/jobs/view/4362507369")</f>
        <v/>
      </c>
      <c r="F41">
        <f>HYPERLINK("https://aembit.bamboohr.com/careers/28?source=linkedin_premium&amp;urlHash=VSW_", "https://aembit.bamboohr.com/careers/28?source=linkedin_premium&amp;urlHash=VSW_")</f>
        <v/>
      </c>
      <c r="G41" t="inlineStr"/>
      <c r="H41" t="inlineStr"/>
      <c r="I41" t="inlineStr">
        <is>
          <t>Aembit is a well\-funded cybersecurity startup founded in late 2021\. The company’s founders have a strong track record, having started several companies that were successfully acquired. We are focused on a new area in the hot identity space.
 Aembit is hiring talented senior engineers to join our core engineering team. You’ll be a key member developing a high\-quality culture in a dynamic team, building a new product, scaling our cloud service, and solving challenging technical problems. Relevant technologies include Identity, Security, Networking, Cloud Infrastructure, Kubernetes, and Big Data Analytics.
 Aembit is fully remote; this is an excellent opportunity for you to be impactful and develop a new security product for a large market from the ground up.
 We’d Love to Hear From You if You Have
* 8\+ years of experience designing and developing enterprise applications for Linux using C\# on .NET and/or the Go programming language.
* Advanced knowledge of ASP.NET Core and associated technologies and patterns, including MVC and RESTful web APIs.
* At least 6 years of experience developing production software, including complex SaaS systems that run on a public cloud.
* Ability to write clean, testable TypeScript/JavaScript; proficient with popular front\-end frameworks and libraries such as Angular, React, Vue.js, etc.
* Strong background in Cloud Platform technologies from AWS, Azure, or GCP, including virtual private cloud, container orchestration, and databases.
* Quality orientation and comfortable with unit and integration testing and test\-driven development.
* Must be legally authorized to work in the United States.
**Preferred Skills**
* Experience with data warehousing, including one or more commercial or open\-source data warehouse technologies, like Snowflake, Redshift, BigQuery, or ClickHouse.
* Experience deploying and using event streaming technologies like Apache Kafka, AWS Kinesis, Fluentd / Fluent Bit, OpenTelemetry, etc.
* Understanding of identity solutions (authentication, authorization, etc) and related technologies, including OAuth, OpenID, SAML, JWT, and PKI.
* Experience with infrastructure automation solutions such as Terraform and/or Terraform Provider development is preferable.
 What We Offer
* A remote working environment with flexible working hours to accommodate work\-life balance
* Competitive salary and benefits, including health, dental, and vision insurance.
* Generous Employee Stock Options Program.
* Flexible vacation and time off.
* A small team with some of the best software engineers in the industry
* Your contributions will be highly visible, impactful, and appreciated.</t>
        </is>
      </c>
    </row>
    <row r="42">
      <c r="A42" t="inlineStr">
        <is>
          <t>li-4337733261</t>
        </is>
      </c>
      <c r="B42" t="inlineStr">
        <is>
          <t>Full Stack Software Engineer - AI</t>
        </is>
      </c>
      <c r="C42" t="inlineStr">
        <is>
          <t>Blue Signal Search</t>
        </is>
      </c>
      <c r="D42" t="inlineStr">
        <is>
          <t>linkedin</t>
        </is>
      </c>
      <c r="E42">
        <f>HYPERLINK("https://www.linkedin.com/jobs/view/4337733261", "https://www.linkedin.com/jobs/view/4337733261")</f>
        <v/>
      </c>
      <c r="F42" t="inlineStr"/>
      <c r="G42" t="inlineStr">
        <is>
          <t>St. Petersburg, FL</t>
        </is>
      </c>
      <c r="H42" t="inlineStr"/>
      <c r="I42" t="inlineStr">
        <is>
          <t>An emerging AI technology firm is seeking
 **Full Stack Software Engineer** 
 who will play a critical role in designing, building, and optimizing intelligent applications used by enterprise clients around the world.
 You’ll work across the full technology stack \- from front\-end interfaces to backend integrations \- turning complex challenges into intuitive, scalable solutions powered by AI and automation.
 This role is ideal for a developer eager to grow in a collaborative, entrepreneurial team where your ideas are heard and your code makes a visible difference.
 This is a flexible hybrid role that will have part\-time presence in St Petersburg, FL, 4\-8 times a month.
**Key Responsibilities:** 
* Design, develop, and deploy full stack applications leveraging modern AI frameworks and cloud infrastructure.
* Build and maintain integrations between systems (ERP, CRM, and procurement software) through RESTful APIs and data pipelines.
* Collaborate with cross\-functional teams to translate business requirements into elegant, scalable software solutions.
* Contribute to technical architecture decisions, coding standards, and agile development processes.
* Write clean, efficient, and testable code that meets enterprise\-grade performance and security standards.
* Participate in code reviews, documentation, and continuous improvement initiatives.
* Stay current with emerging technologies in AI, automation, and full stack development.
**Experience** 
* 3–6 years of professional experience in software development (frontend and backend).
* Strong proficiency in JavaScript, Python, or TypeScript, and frameworks such as React, Node.js, or Django.
* Experience with REST APIs, JSON, SQL/NoSQL databases, and cloud\-based development environments (AWS, Azure, or GCP).
* Understanding of data modeling, system integration, and secure application design.
* Excellent problem\-solving skills and an ability to collaborate in a fast\-paced environment.
* Strong communication and interpersonal abilities, with comfort working across business and technical teams.
**Preferred** 
* Familiarity with AI or machine learning frameworks, or experience in SaaS platforms incorporating automation and analytics.
* Exposure to enterprise or supply chain technology is a plus (ERP, procurement, or manufacturing systems).
* Background in startup or growth\-stage software environments, comfortable adapting to evolving priorities.
**Benefits** 
* Competitive salary and performance\-based bonuses.
* Collaborative and inclusive culture focused on innovation and learning.
* Direct mentorship from senior engineers and access to emerging AI technologies.
* Meaningful work building intelligent applications that power enterprise success.
* Flexible hybrid environment offering both autonomy and visibility.</t>
        </is>
      </c>
    </row>
    <row r="43">
      <c r="A43" t="inlineStr">
        <is>
          <t>li-4362662367</t>
        </is>
      </c>
      <c r="B43" t="inlineStr">
        <is>
          <t>Senior Software Engineer</t>
        </is>
      </c>
      <c r="C43" t="inlineStr">
        <is>
          <t>TEEMA</t>
        </is>
      </c>
      <c r="D43" t="inlineStr">
        <is>
          <t>linkedin</t>
        </is>
      </c>
      <c r="E43">
        <f>HYPERLINK("https://www.linkedin.com/jobs/view/4362662367", "https://www.linkedin.com/jobs/view/4362662367")</f>
        <v/>
      </c>
      <c r="F43" t="inlineStr"/>
      <c r="G43" t="inlineStr"/>
      <c r="H43" t="inlineStr"/>
      <c r="I43" t="inlineStr">
        <is>
          <t>**Backend Engineer (IoT \&amp; Systems)** 
**Role Overview** 
 We are seeking a highly skilled Backend Engineer to lead the development and scaling of our hardware\-integrated systems. You will be responsible for building the "brains" behind our devices, ensuring seamless communication between hardware and the cloud, and designing robust data architectures that handle real\-time event processing at scale.
 **We are looking for someone with a background in wearable/consumer embedded product technology, such as Meta Glasses, Lime scooters, and similar.** 
**Key Responsibilities** 
* **System Development:** 
 Architect and maintain backend systems specifically designed to interface with hardware devices.
* **Protocol Management:** 
 Implement and optimize communication layers using MQTT and other common IoT protocols.
* **Data Architecture:** 
 Design, implement, and manage both relational and non\-relational database schemas to support diverse data needs.
* **Logic \&amp; Processing:** 
 Develop complex business logic for real\-time event processing and high\-frequency data streams.
* **Pipeline Engineering:** 
 Build and oversee data processing, analytics, and storage pipelines to ensure data integrity and availability.
**Technical Requirements** 
* **IoT Mastery:** 
 Deep experience with hardware\-to\-cloud communication and MQTT.
* **Database Design:** 
 Proven expertise in schema design for both SQL and NoSQL environments.
* **Event\-Driven Systems:** 
 Strong background in implementing real\-time logic and handling asynchronous data flows.
* **Data Infrastructure:** 
 Familiarity with the full lifecycle of data, from ingestion to long\-term storage and analytics.
* **We are looking for someone with a background in wearable/consumer embedded product technology, such as Meta Glasses, Lime scooters, and similar.**
**Preferred Qualifications** 
* **Cloud \&amp; DevOps:** 
 Hands\-on experience with CI/CD pipelines and infrastructure management in any major cloud platform (AWS, Azure, or GCP).
* **Data Intelligence:** 
 Experience with data analytics workbenches and advanced data visualization tools.
* **Big Data:** 
 Proficiency in building and maintaining large\-batch ETL pipelines for high\-volume data processing.</t>
        </is>
      </c>
    </row>
    <row r="44">
      <c r="A44" t="inlineStr">
        <is>
          <t>li-4365325382</t>
        </is>
      </c>
      <c r="B44" t="inlineStr">
        <is>
          <t>Senior Java Software Engineer</t>
        </is>
      </c>
      <c r="C44" t="inlineStr">
        <is>
          <t>Divit Technologies, Inc.</t>
        </is>
      </c>
      <c r="D44" t="inlineStr">
        <is>
          <t>linkedin</t>
        </is>
      </c>
      <c r="E44">
        <f>HYPERLINK("https://www.linkedin.com/jobs/view/4365325382", "https://www.linkedin.com/jobs/view/4365325382")</f>
        <v/>
      </c>
      <c r="F44" t="inlineStr"/>
      <c r="G44" t="inlineStr"/>
      <c r="H44" t="inlineStr"/>
      <c r="I44" t="inlineStr">
        <is>
          <t>We are looking for a highly skilled
 **Senior Java Developer** 
 with strong hands\-on experience in
 **core Java, Spring Boot, Microservices architecture, and Angular** 
 . The ideal candidate will be responsible for designing, developing, and maintaining scalable enterprise applications while working closely with cross\-functional teams to deliver high\-quality solutions.
**Key Responsibilities** 
* Design, develop, and maintain
 **high\-performance Java applications** 
 using
 **Java 17\+**
* Build and enhance
 **RESTful APIs** 
 using
 **Spring Boot** 
 and
 **Spring MVC**
* Design and implement
 **Microservices\-based architectures**
* Develop responsive and dynamic front\-end applications using
 **Angular (latest versions preferred)**
* Write
 **clean, efficient, and reusable code** 
 following best practices
* Perform
 **code reviews** 
 , unit testing, and debugging
* Integrate applications with
 **databases, third\-party APIs, and cloud services**
* Participate in
 **architecture discussions, technical design, and solution planning**
* Work in
 **Agile/Scrum environments** 
 and collaborate with DevOps, QA, and UI teams
* Ensure application security, scalability, and performance optimization</t>
        </is>
      </c>
    </row>
    <row r="45">
      <c r="A45" t="inlineStr">
        <is>
          <t>li-4241040073</t>
        </is>
      </c>
      <c r="B45" t="inlineStr">
        <is>
          <t>Software Engineer, Backend  (Consumer - Trading)</t>
        </is>
      </c>
      <c r="C45" t="inlineStr">
        <is>
          <t>Coinbase</t>
        </is>
      </c>
      <c r="D45" t="inlineStr">
        <is>
          <t>linkedin</t>
        </is>
      </c>
      <c r="E45">
        <f>HYPERLINK("https://www.linkedin.com/jobs/view/4241040073", "https://www.linkedin.com/jobs/view/4241040073")</f>
        <v/>
      </c>
      <c r="F45" t="inlineStr"/>
      <c r="G45" t="inlineStr"/>
      <c r="H45" t="inlineStr"/>
      <c r="I45"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Coinbase is seeking experienced backend engineers to join our Trading team to build and scale the core systems that power crypto trading at Coinbase. From Simple Trade for everyday users to Advanced Trade for professionals, to Derivatives and Decentralized (DEX) trading, we’re building a seamless and secure trading experience for everyone. This is a rare opportunity to work at the intersection of crypto, trading infrastructure, and consumer product — tackling exciting engineering challenges while contributing directly to Coinbase’s core business.
**What you'll be doing:** 
* Power highly performant, highly available systems for traders worldwide
* Architect robust systems that are easy to build on top of supporting many instrument types (Spot, Futures, Perpetual Futures, and more)
* Work in tight collaboration with product and design to articulate a best\-in\-class product experience
* Translate your best ideas into tangible, high value features our customers love
**What we look for in you:** 
* You have at least 2\+ years of experience in software engineering, especially with web\-scale traffic
* You’ve designed, built, scaled, and maintained production services as they evolve over time
* You have a high bar for product excellence, pairing customer obsession with comprehensive observability
* You empower and cultivate your teammates. Iron sharpens iron.
* You take pride in being up\-to\-date with the latest industry standards and best practices
**Nice to haves:** 
* You’ve worked on active trading systems or other similar high availability financial systems
* You actively trade crypto or other financial instruments
* You have gone through a rapid growth in your company (from startup to mid\-size).
* You have experience upgrading significant parts of legacy systems, or re\-architecting next\-generation versions of existing systems
* You’ve worked with Golang, MongoDB, Redis before
* You have Crypto\-forward experience, including familiarity with onchain activity.
 Job \#: GCBE04US
 \*Answers to crypto\-related questions may be used to evaluate your onchain experience.
*For select roles, Coinbase is piloting an AI tool* 
*b* 
*ased on machine learning technologies to conduct initial screening interviews to qualified applicants. The tool simulates realistic interview scenarios and engages in dynamic conversation. Your interview responses, in the form of a voice recording and/or transcript will be assessed in terms of the job qualifications and characteristics listed in the position description above by a human recruiter.* 
*For other select roles, Coinbase is piloting BrightHire, an AI interview intelligence platform, to transcribe and summarize interview notes, allowing our interviewers to fully focus on you as the candidate.* 
*Depending on your role and stage in the application process, you will be informed of the specifics regarding which tool(s) will be used as part of the interview process.* 
*These interview tools enable us to give a greater number of candidates an initial interview who meet our mandatory hiring criteria. The above pilots are for testing purposes and Coinbase will not use AI to make an employment decision. To request a reasonable accommodation due to disability, please contact* 
*accommodations@coinbase.com* 
*.* 
 Pay Transparency Notice: Depending on your work location, the target annual salary for this position can range as detailed below. Full time offers from Coinbase also include target bonus \+ target equity \+ benefits (including medical, dental, vision and 401(k)).
 Pay Range: : $147,000 USD \- $174,000 USD
 Please be advised that each candidate may submit a maximum of four applications within any 30\-day period. We encourage you to carefully evaluate how your skills and interests align with Coinbase's roles before applying.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here
 .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is>
      </c>
    </row>
    <row r="46">
      <c r="A46" t="inlineStr">
        <is>
          <t>li-4355220002</t>
        </is>
      </c>
      <c r="B46" t="inlineStr">
        <is>
          <t>Java Software Engineer</t>
        </is>
      </c>
      <c r="C46" t="inlineStr">
        <is>
          <t>BeaconFire Inc.</t>
        </is>
      </c>
      <c r="D46" t="inlineStr">
        <is>
          <t>linkedin</t>
        </is>
      </c>
      <c r="E46">
        <f>HYPERLINK("https://www.linkedin.com/jobs/view/4355220002", "https://www.linkedin.com/jobs/view/4355220002")</f>
        <v/>
      </c>
      <c r="F46" t="inlineStr"/>
      <c r="G46" t="inlineStr"/>
      <c r="H46" t="inlineStr"/>
      <c r="I46"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47">
      <c r="A47" t="inlineStr">
        <is>
          <t>li-4365290087</t>
        </is>
      </c>
      <c r="B47" t="inlineStr">
        <is>
          <t>Software Engineer II</t>
        </is>
      </c>
      <c r="C47" t="inlineStr">
        <is>
          <t>Microsoft</t>
        </is>
      </c>
      <c r="D47" t="inlineStr">
        <is>
          <t>linkedin</t>
        </is>
      </c>
      <c r="E47">
        <f>HYPERLINK("https://www.linkedin.com/jobs/view/4365290087", "https://www.linkedin.com/jobs/view/4365290087")</f>
        <v/>
      </c>
      <c r="F47" t="inlineStr"/>
      <c r="G47" t="inlineStr">
        <is>
          <t>Redmond, WA</t>
        </is>
      </c>
      <c r="H47" t="inlineStr"/>
      <c r="I47"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We are hiring a Software Engineer II to join the Azure PostgreSQL team, where you will work on one or more areas of a large\-scale cloud database service such as continuous availability, transaction logging and recovery, clustering, scalable storage systems, read and write performance. You will have the opportunity to contribute to open\-source PostgreSQL and Linux, and\\or develop extensions.
 The group fosters a diverse and inclusive work culture that prioritizes people at all times. We spend our days collaborating with, teaching, and learning from a diverse set of world class engineers. We develop, test, and check code in every day. We do not just value differences or different perspectives, we seek them out and invite them in so we can tap into the collective power of everyone in the company. As a result, our customers are better served.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**Responsibilities**
* Work with senior engineers to create highly scalable, performant and maintainable code that can power the next generation of storage layer for planet scale databases.
* Participate in code reviews to ensure coding standards are followed. Consider diagnosability, reliability, and maintainability when reviewing code, and understand when code is ready to be shared or delivered.
* Help Identify performance and scalability issues.
* Maintain operations of live service as issues arise on a rotational, on\-call basis.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 OR equivalent experience.
* 2\+ years of experience building and supporting distributed cloud services with production grade.
 \#azdat \#azuredata \#postgresql \#vldb \#azuredata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8">
      <c r="A48" t="inlineStr">
        <is>
          <t>li-4365325635</t>
        </is>
      </c>
      <c r="B48" t="inlineStr">
        <is>
          <t>Senior Java Software Engineer</t>
        </is>
      </c>
      <c r="C48" t="inlineStr">
        <is>
          <t>TalentBurst, an Inc 5000 company</t>
        </is>
      </c>
      <c r="D48" t="inlineStr">
        <is>
          <t>linkedin</t>
        </is>
      </c>
      <c r="E48">
        <f>HYPERLINK("https://www.linkedin.com/jobs/view/4365325635", "https://www.linkedin.com/jobs/view/4365325635")</f>
        <v/>
      </c>
      <c r="F48" t="inlineStr"/>
      <c r="G48" t="inlineStr">
        <is>
          <t>Chantilly, VA</t>
        </is>
      </c>
      <c r="H48" t="inlineStr"/>
      <c r="I48" t="inlineStr">
        <is>
          <t>**Java Developer** 
**Chantilly, VA, (HYBRID\- 3 Days onsite, 2 Days remote)** 
**W2 Only** 
**JOB DESCRIPTION:** 
* 6\+ years of prior Java development experience required.
* Responsible for analysis, design, coding and testing of new applications or enhancements to existing applications using Java\-based technologies, including Java, J2EE, JSP, XML, JDBC, and Servlets.
* Must be able to apply SDLC concept and have a proven track record of delivering solid, robust applications.
* Must have a solid understanding of Object Oriented Programming.
* Strong communication skills are required as position will interact with business owners.
 Additional Job Details:
 Long Term Storage backend developer specializing building Java APIs.</t>
        </is>
      </c>
    </row>
    <row r="49">
      <c r="A49" t="inlineStr">
        <is>
          <t>li-4365315501</t>
        </is>
      </c>
      <c r="B49" t="inlineStr">
        <is>
          <t>Senior Software Engineer</t>
        </is>
      </c>
      <c r="C49" t="inlineStr">
        <is>
          <t>Activated Insights</t>
        </is>
      </c>
      <c r="D49" t="inlineStr">
        <is>
          <t>linkedin</t>
        </is>
      </c>
      <c r="E49">
        <f>HYPERLINK("https://www.linkedin.com/jobs/view/4365315501", "https://www.linkedin.com/jobs/view/4365315501")</f>
        <v/>
      </c>
      <c r="F49" t="inlineStr"/>
      <c r="G49" t="inlineStr"/>
      <c r="H49" t="inlineStr"/>
      <c r="I49" t="inlineStr">
        <is>
          <t>**About Us** 
 Activated Insights, a Software\-as\-a\- Service (“SaaS”) leader in long\-term and post\-acute care, is hiring a Senior Software Engineer.
 Founded in 2008, Activated Insights is a software company serving North America’s fastest\-growing labor market—long\-term and post\-acute senior care. As the market leader, our technology, surveys, and training solutions are used by everything from mom\-and\-pop small businesses to billion\-dollar care organizations. Ultimately, our services impact the lives of hundreds of thousands of seniors every year. Today, with over 250 team members and over 7,000 customers that extend into over 23,000 sites of care, our products focus on employee engagement, ongoing education, resident and patient satisfaction surveys, and reputation management tools. 
**What Sets Activated Insights Apart:** 
1. We are at the heart of the healthcare industry's most dynamic sector, with an ever\-growing demand for post\-acute care and long\- term care to address the fastest growing segment of the US population.
2. Our bond with healthcare providers draws compassionate, service\-driven team members, fostering a spirited, collaborative culture aligned on our mission to deliver exceptional experiences for our employees, our customers and the people in their care.
3. A high performing executive leadership team with success in both public and PE companies, primarily in high\-growth companies focused on the long term and post\-acute care market.
4. Backed by a private investment firm with 40\+ years of experience forging lasting partnerships across the healthcare industry.
**Why Is This Role So Special?** 
 The Senior Software Engineer will lead the engineering efforts with focus on improving employee and customer engagement in a high growth SaaS company. This role combines technical leadership with hands\-on development responsibilities. You will own the end\-to\-end software lifecycle \- from requirements gathering and system design to implementation, testing, deployment, and maintenance.
**What You’ll Do:** 
* Architect, design, deliver and maintain complex software solutions using various technologies: PHP, MySQL, AWS, Kubernetes.
* Own all phases of the software development lifecycle: requirements gathering, architecture, implementation, testing, deployment, and maintenance
* Implement DevOps best practices—CI/CD automation, IaC with Terraform, observability, and deployment to AWS (EKS, Lambda, RDS, S3\).
* Apply AI\-driven development tools to optimize coding, testing, and documentation workflows.
* Collaborate cross\-functionally with Product, Design, Data, and Security teams to align technical direction with company objectives.
* Foster an engineering culture of learning, innovation, and ownership aligned with Activated Insights’ mission and values
* Drive engineering objectives and KPIs across product delivery, team performance, software quality, and system security.
* Champion security\-first development, enforcing secure coding, encryption, and threat\-aware deployment pipelines.
* Effective communicator in remote work settings, with strong presence in virtual meetings and the ability to collaborate across time zones and functions
* Lead sprint planning, task estimation, and delivery tracking to meet project milestones and product release schedules
* Encourage a collaborative, respectful team environment that values knowledge sharing, innovation, and accountability
**Experience and Qualifications:** 
* 5\+ years of full\-stack software engineering experience, including hands\-on development with the Laravel framework
* Proven expertise in PHP, MySQL, and JavaScript with frameworks such as Laravel.
* Deep experience with cloud\-architecture, AWS, Kubernetes, Docker, Terraform, and CI/CD pipelines. AWS, Kubernetes, or security certifications (e.g., AWS Solutions Architect, CKA, CISSP) are a plus.
* Experience working with REST/SOAP APIs, SFTP integrations, and scalable cloud infrastructure (preferably AWS)
* Knowledge of secure authentication and authorization standards such as OpenID Connect (OIDC) and SAML
* Proven track record delivering cloud\-native applications at scale in Agile environments
* Ability to drive performance against team KPIs (delivery velocity, code quality, security, and uptime)
* Experience with AI\-assisted development tools: Copilot, Codex, Cursor, etc
* Excellent collaboration and communication skills with a history of working effectively across teams and with external stakeholders
* Self\-motivated, passionate about software development, and comfortable working independently in a remote\-first environment
* Strong proficiency in writing, optimizing, and debugging complex SQL queries outside of ORM frameworks (e.g., Eloquent), including deep understanding of joins, aggregate functions, subqueries, indexing strategies, and query performance tuning.
**Location:** 
* Remote in Florida, Idaho, Georgia, Utah, Texas, Minnesota, or North Carolina</t>
        </is>
      </c>
    </row>
    <row r="50">
      <c r="A50" t="inlineStr">
        <is>
          <t>li-4365312693</t>
        </is>
      </c>
      <c r="B50" t="inlineStr">
        <is>
          <t>Software Engineer (Java, SQL)</t>
        </is>
      </c>
      <c r="C50" t="inlineStr">
        <is>
          <t>Wiraa</t>
        </is>
      </c>
      <c r="D50" t="inlineStr">
        <is>
          <t>linkedin</t>
        </is>
      </c>
      <c r="E50">
        <f>HYPERLINK("https://www.linkedin.com/jobs/view/4365312693", "https://www.linkedin.com/jobs/view/4365312693")</f>
        <v/>
      </c>
      <c r="F50">
        <f>HYPERLINK("https://www.wiraa.com/job-description/us584F38F8FC420B28E7B7E11B835026F0?source=Linkedin&amp;urlHash=FcP7", "https://www.wiraa.com/job-description/us584F38F8FC420B28E7B7E11B835026F0?source=Linkedin&amp;urlHash=FcP7")</f>
        <v/>
      </c>
      <c r="G50" t="inlineStr"/>
      <c r="H50" t="inlineStr"/>
      <c r="I50" t="inlineStr">
        <is>
          <t>**About The Company** 
 Dexcom Corporation (NASDAQ DXCM) is a pioneering and globally recognized leader in the field of continuous glucose monitoring (CGM). Founded with the vision to revolutionize diabetes management, Dexcom has established itself as a trailblazer in medical technology, dedicated to improving the quality of life for individuals living with diabetes. Over the years, the company has expanded its mission beyond diabetes, aiming to empower people to take control of their overall health through innovative data\-driven solutions. With a commitment to advancing healthcare, Dexcom continues to develop cutting\-edge devices and software that facilitate real\-time health monitoring, fostering a future where proactive health management is accessible and effective for all.
**About The Role** 
 We are seeking a highly skilled and experienced Staff Software Development Engineer specializing in Data Platforms to join our dynamic team. This remote\-based position offers an exciting opportunity to contribute to the development and enhancement of Dexcom’s data infrastructure. The successful candidate will be based in one of our hub regions—California, Pacific Northwest, Texas, or Chicago—and will play a vital role in supporting our data pipelines, storage solutions, and API development. As part of the Data Platforms team, you will collaborate closely with Data Platform Engineers, Data Scientists, and other stakeholders to build scalable, reliable, and secure cloud\-based systems. Your expertise will help ensure that our internal teams and external partners have access to high\-quality, actionable data, enabling innovative solutions in healthcare technology. This position offers a chance to work at the forefront of health data management, impacting millions of lives worldwide through your technical contributions.
**Qualifications** 
* Bachelor’s degree in Computer Science, Software Engineering, or a related technical discipline (Master’s or PhD preferred)
* Minimum of 8\-12 years of relevant industry experience with a proven track record in software development
* Strong programming skills in Kotlin, Java, or Scala
* Hands\-on experience with cloud service development, particularly with Google Cloud Platform (GCP)
* Proficiency with relational databases such as MySQL and NoSQL databases like Cassandra
* Familiarity with modern software testing tools and methodologies
* Ability to quickly learn and adapt to new tools and emerging technologies
* Excellent problem\-solving skills and ability to work effectively in fast\-paced, dynamic environments
* Strong communication and collaboration skills, with experience mentoring junior team members
**Responsibilities** 
* Design, develop, and maintain cloud\-based, event\-driven software systems that are highly available, scalable, and resilient
* Collaborate with Data Scientists and other stakeholders to build and optimize machine learning pipelines
* Participate in all phases of the software development lifecycle, including architecture design, coding, testing, documentation, and deployment
* Identify opportunities for process improvements, automate manual workflows, and optimize data delivery and infrastructure for cost efficiency and scalability
* Conduct code reviews, enforce best practices for quality assurance, and promote a culture of continuous improvement
* Mentor junior engineers to enhance their understanding of system architecture, coding standards, and best practices
* Contribute to maintaining the security and confidentiality of sensitive data in compliance with organizational policies
* Participate in on\-call rotations to ensure the stability and performance of production systems
**Benefits** 
* Opportunity to work with innovative CGM technology that has a meaningful impact on patients’ lives
* Comprehensive benefits package including health, dental, and vision insurance
* Career growth opportunities on a global scale within a forward\-thinking organization
* Access to professional development programs, including in\-house training and tuition reimbursement
* Flexible work arrangements, including remote work options and hybrid models where applicable
* Engagement with a passionate community committed to health innovation and patient care
 Equal Opportunity
 Dexcom is an equal opportunity employer. We are committed to creating an inclusive environment where all employees and applicants are treated with respect and dignity. We do not discriminate based on race, color, religion, sex, sexual orientation, gender identity, age, national origin, veteran status, disability, or any other protected characteristic.</t>
        </is>
      </c>
    </row>
    <row r="51">
      <c r="A51" t="inlineStr">
        <is>
          <t>li-4362178281</t>
        </is>
      </c>
      <c r="B51" t="inlineStr">
        <is>
          <t>Mid-Level Software Engineer</t>
        </is>
      </c>
      <c r="C51" t="inlineStr">
        <is>
          <t>GliaCell Technologies</t>
        </is>
      </c>
      <c r="D51" t="inlineStr">
        <is>
          <t>linkedin</t>
        </is>
      </c>
      <c r="E51">
        <f>HYPERLINK("https://www.linkedin.com/jobs/view/4362178281", "https://www.linkedin.com/jobs/view/4362178281")</f>
        <v/>
      </c>
      <c r="F51">
        <f>HYPERLINK("https://www.adzuna.com/details/5593320402?v=D447CD908F98B440534ABBE92A2D47872310CA99&amp;r=21112293&amp;ccd=1f9d105d5a4fada429628700a585fda0&amp;frd=446c0190a2a4d24bbd90c7b6f5894c20&amp;utm_source=linkedin6&amp;utm_medium=organic&amp;partnerb=1&amp;chnlid=1098&amp;title=Mid-Level%20Software%20Engineer&amp;a=e&amp;urlHash=VeOA", "https://www.adzuna.com/details/5593320402?v=D447CD908F98B440534ABBE92A2D47872310CA99&amp;r=21112293&amp;ccd=1f9d105d5a4fada429628700a585fda0&amp;frd=446c0190a2a4d24bbd90c7b6f5894c20&amp;utm_source=linkedin6&amp;utm_medium=organic&amp;partnerb=1&amp;chnlid=1098&amp;title=Mid-Level%20Software%20Engineer&amp;a=e&amp;urlHash=VeOA")</f>
        <v/>
      </c>
      <c r="G51" t="inlineStr">
        <is>
          <t>Annapolis Junction, MD</t>
        </is>
      </c>
      <c r="H51" t="inlineStr"/>
      <c r="I51" t="inlineStr">
        <is>
          <t>* An active or rein\-statable TS/SCI with Polygraph security clearance is REQUIRED. Please do not apply if you currently do not possess this level of clearance.\*\*\*
**Are you a Mid\-Level Software Engineer who is ready for a new challenge that will launch your career to the next level?**
* Tired of being treated like a company drone?
* Tired of promised adventures during the hiring phase, then dropped off on a remote contract and never seen or heard from the mothership again?
* Our engineers were certainly tired of the same.
**At GliaCell our slogan is “We make It happen”.**
* We will immerse you in the latest technologies.
* We will develop and support your own personalized training program to continue your individual growth.
* We will provide you with work that matters with our mission 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 Long term job security
* Competitive salaries \&amp; bonus opportunities
* Challenging work you are passionate about
* Ability to work with some amazingly talented people
**Job Description**
 GliaCell is seeking a
 **Mid\-Level Software Engineer** 
 on one of our subcontracts. This is a full\-time position offering the opportunity to support a U.S. Government customer. The mission is to provide technical expertise that assists in sustaining critical mission\-related software and systems to a large government contract.
**Key Requirements**
 To be considered for this position you must have the following:
* U.S. Citizenship
* Seven (7\) years of experience as a SWE, in programs and contracts of similar scope, type, and complexity is required.
* Bachelor's degree in Computer Science or related discipline from an accredited college or university is required.
* Four (4\) years of additional SWE experience on projects with similar software processes may be substituted for a bachelor’s degree.
* Works well independently as well as on a team.
* Strong communication skills.
**Key Skills**
* Strong Java experience as well as experience with MapReduce, Cloud experience, GhostMachine and QTA
**Location:** 
 Annapolis Junction, MD
**Salary Range:** 
 The salary range for this full\-time position is $130,000 to $180,000\. Our salary ranges are determined by position, level, skills, professional experience, relevant education and certifications. The range displayed on each job posting reflects the minimum and maximum target salaries for this position across our projects. Within the range, your salary is determined by your individual benefits package selection. Your recruiter can share more about the specific salary range for your preferred position during the hiring process. SIGN\-ON BONUS ELIGIBLE.
**Benefits**
* CareFirst Medical Coverage for Employee and Dependents
* Guardian Dental and Vision Coverage for Employee and Dependents
* Up to 25 Days of Paid Time Off
* Up to 40 hours of PTO Carryover
* 11 Federal Government Holidays
* Work From Home Opportunities
* 401K Company Contribution, Fully Vested Day 1
* Discretionary, Certification, and Sign\-On Bonus Potential
* Employee Referral Bonus Program
* Annual Professional Development
* 100% Premium Covered for Life \&amp; Disability Insurances
* Additional Voluntary Life Insurance Coverage Available
* Employee Assistance Program
* Travel Protection Program
* Financial Planning Assistance
* Bereavement and Jury Duty Leave
* Monthly Team and Family Events
* Technology Budget
* Global Entry
* Annual Swag Budget
 Learn more about GliaCell Technologies: https://gliacelltechnologies.applytojob.com/apply/
**To apply for this position, respond to this job posting and attach an updated resume for us to review.**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
 Powered by JazzHR</t>
        </is>
      </c>
    </row>
    <row r="52">
      <c r="A52" t="inlineStr">
        <is>
          <t>li-4346757047</t>
        </is>
      </c>
      <c r="B52" t="inlineStr">
        <is>
          <t>Software Engineer - Smart Contract, Bridge</t>
        </is>
      </c>
      <c r="C52" t="inlineStr">
        <is>
          <t>Stripe</t>
        </is>
      </c>
      <c r="D52" t="inlineStr">
        <is>
          <t>linkedin</t>
        </is>
      </c>
      <c r="E52">
        <f>HYPERLINK("https://www.linkedin.com/jobs/view/4346757047", "https://www.linkedin.com/jobs/view/4346757047")</f>
        <v/>
      </c>
      <c r="F52">
        <f>HYPERLINK("https://stripe.com/jobs/listing/software-engineer-smart-contract-bridge/7507904?gh_src=73vnei&amp;urlHash=DixE", "https://stripe.com/jobs/listing/software-engineer-smart-contract-bridge/7507904?gh_src=73vnei&amp;urlHash=DixE")</f>
        <v/>
      </c>
      <c r="G52" t="inlineStr">
        <is>
          <t>New York, United States</t>
        </is>
      </c>
      <c r="H52" t="inlineStr"/>
      <c r="I52" t="inlineStr">
        <is>
          <t>Who we are
**About Bridge**
 We’re creating an entirely new payments platform, built with stablecoins, to simplify global money movement. Bridge enables faster, cheaper payments and borderless access to dollars via stablecoins. Through our APIs, businesses can send and receive funds across borders faster / cheaper vs. SWIFT and other fiat\-only rails. Our virtual accounts enable international consumers and businesses to easily access, store and spend US dollars. Our payouts infrastructure enables platforms to disburse USD to anyone globally. We believe many trillions of dollars will move and settle through stablecoin payment rails. Bridge is pulling this future forward.
 We are building largely in San Francisco, and have a small team of people who have previously built financial infrastructure at some of the world’s leading companies (Coinbase, Stripe, Square, Brex, Upstart, DoorDash, Airbnb) and each and every one of them chose Bridge because they fundamentally believe that stablecoins will be a critical piece of financial infrastructure that allows for the improvement of global money movement.
**About The Role**
 As one of the first blockchain engineers at Bridge, you will be given the autonomy to work on projects that are truly global in scale and aim to give customers access to products they've never had access to. Many of the use cases that we work on today didn't exist several months ago and that's because our team is dedicated to constant improvement for our partners and end users. Our Engineers have outsized ownership over projects so if you are looking for increased autonomy working on a completely greenfield opportunity, Bridge is the place for you.
**Responsibilities**
* Build out multi\-chain hot wallet infrastructure to support increased reliability of our payments.
* Build smart contracts to increase hot wallet payment throughput.
* Build smart contract platform to issue custom stablecoins across multiple blockchains (EVM, Solana, Stellar, etc).
* Build smart contract monitoring systems to detect anomalous events (especially related to minting and burning).
* Design and develop blockchain\-based applications and protocols to support stablecoin transactions and integrations.
* Collaborate with cross\-functional teams to understand business requirements and translate them into technical specifications.
* Implement and maintain smart contracts, ensuring security and efficiency.
* Perform thorough testing and debugging of blockchain applications.
* Optimize blockchain performance and scalability.
* Stay up\-to\-date with the latest developments in blockchain technology and integrate relevant advancements into our solutions.
* Provide technical guidance and support to other team members.
* Contribute to the overall architecture and design of our blockchain systems.
**Qualifications**
* Bachelor’s or Master’s degree in Computer Science, Engineering, or a related field.
* We are open to hiring engineers at various levels of seniority but in general we would look for somebody with 5\+ years of experience.
* Strong proficiency in blockchain platforms such as Ethereum, Solana or others.
* Experience with smart contract development using Solidity or other relevant languages.
* Deep understanding of cryptographic principles and blockchain protocols.
* Experience with decentralized finance (DeFi) and stablecoins is highly desirable.
* Knowledge of security best practices in blockchain development.
* An enlarged sense of ownership and the ability to lead and influence the design and direction of our products.
* An ability to thrive in a fast paced environment.
* A growth mindset and a constant curiosity and fearlessness to dive into the unknown.
* Excellent written and verbal communication skills, including the ability to write clear technical documentation.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53">
      <c r="A53" t="inlineStr">
        <is>
          <t>li-4365269835</t>
        </is>
      </c>
      <c r="B53" t="inlineStr">
        <is>
          <t>Senior Software Engineer</t>
        </is>
      </c>
      <c r="C53" t="inlineStr">
        <is>
          <t>Microsoft</t>
        </is>
      </c>
      <c r="D53" t="inlineStr">
        <is>
          <t>linkedin</t>
        </is>
      </c>
      <c r="E53">
        <f>HYPERLINK("https://www.linkedin.com/jobs/view/4365269835", "https://www.linkedin.com/jobs/view/4365269835")</f>
        <v/>
      </c>
      <c r="F53" t="inlineStr"/>
      <c r="G53" t="inlineStr"/>
      <c r="H53" t="inlineStr"/>
      <c r="I53" t="inlineStr">
        <is>
          <t>**Overview**
 It is a mobile\-first, cloud\-first world, and we are empowering it. Microsoft Azure is at the heart of the Microsoft Cloud, providing the backend infrastructure for hyper\-scale distributed and dynamic computing. Our team within Azure delivers the software platform that enables internal Microsoft services—including Office 365, Bing.com, Xbox Live, Skype, and OneDrive—as well as many external customers to run large\-scale, mission\-critical cloud applications for their businesses.
 We are looking for a Senior Software Engineer to help us evolve, expand, and define our software platform and infrastructure. Areas of focus include ring zero and negative one core infrastructure services, achieving five nines (99\.999%) reliability, fault tolerance, distributed service monitoring, operational efficiency across the datacenter hardware lifecycle, performance metrics collection and analysis, alerting, visualization, device operations, and coordination of node diagnostics and repairs.
 This is a fast\-paced environment and an opportunity to work on something highly strategic to Microsoft and extremely relevant in the industry. Few opportunities in computer science offer the potential to work at this massive scale. If you are passionate about building robust, highly distributed software systems that define the backbone of the Microsoft Cloud, we would love to connect.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4">
      <c r="A54" t="inlineStr">
        <is>
          <t>li-4365316550</t>
        </is>
      </c>
      <c r="B54" t="inlineStr">
        <is>
          <t>Software Engineer II</t>
        </is>
      </c>
      <c r="C54" t="inlineStr">
        <is>
          <t>Wiraa</t>
        </is>
      </c>
      <c r="D54" t="inlineStr">
        <is>
          <t>linkedin</t>
        </is>
      </c>
      <c r="E54">
        <f>HYPERLINK("https://www.linkedin.com/jobs/view/4365316550", "https://www.linkedin.com/jobs/view/4365316550")</f>
        <v/>
      </c>
      <c r="F54" t="inlineStr"/>
      <c r="G54" t="inlineStr"/>
      <c r="H54" t="inlineStr"/>
      <c r="I54" t="inlineStr">
        <is>
          <t>**About The Company** 
 Dandy is revolutionizing the traditional dental industry, which is valued at over $200 billion globally. With backing from some of the most prominent venture capital firms, Dandy is on a mission to modernize and simplify every aspect of dental practice management through innovative technology solutions. As part of our growth strategy, we are building a comprehensive operating system tailored for dental offices worldwide. Our platform empowers clinicians and their teams by providing cutting\-edge tools, seamless workflows, and world\-class support to enhance patient care, improve operational efficiency, and foster practice growth. Our commitment to innovation and excellence positions us as a leader in transforming the dental landscape, making practices more efficient, connected, and future\-ready.
**About The Role** 
 Dandy is seeking experienced Senior Software Engineers to join our rapidly expanding technology team. In this role, you will have the opportunity to work on next\-generation systems that support our global supply chain operations. You will be responsible for developing critical features, optimizing existing processes, and contributing to the backbone of our manufacturing and logistics platform. The role offers a dynamic environment where learning new technologies is encouraged, and problem\-solving is driven by autonomy and ownership. As part of our team, you will help create scalable, reliable, and high\-performance solutions that facilitate the planning, routing, organization, and delivery of custom dental manufacturing orders. Your work will directly impact the efficiency of our operations and the satisfaction of our customers worldwide.
**Qualifications** 
* 6\+ years of full\-stack software engineering experience, ideally within high\-growth startup environments.
* Extensive experience with backend asynchronous systems and distributed architectures.
* Proficiency in relevant technologies such as TypeScript, NodeJS, NestJS, React/Redux, PostgreSQL, GCP, and GraphQL.
* Experience working within logistics, supply chain, or operational domains.
* Strong understanding of large, complex production systems and their optimization.
* Ability to work independently with minimal oversight and deliver high\-quality results.
* Excellent problem\-solving skills, with a focus on performance optimization and system reliability.
* Effective communication skills to articulate complex technical concepts and collaborate across teams.
* Experience managing projects from conception through to deployment and maintenance.
* Self\-motivated, organized, and capable of thriving in a remote\-first organizational structure.
* Understanding of business operations and the ability to identify engineering solutions to operational challenges.
**Responsibilities** 
* Design, develop, and maintain features for Dandy’s supply chain and manufacturing platforms, ensuring security, performance, and reliability.
* Collaborate closely with Product Management and other stakeholders to define requirements and deliver high\-quality solutions.
* Create and optimize order routing logic to ensure timely and accurate delivery within the supply chain.
* Partner with manufacturing automation teams on projects such as CAD to CAM automation to streamline production workflows.
* Implement real\-time data tracking and reporting functionalities to provide operational insights and support decision\-making.
* Develop rules and software capabilities to balance demand, smooth system dynamics, and optimize workloads across the platform.
* Participate in code reviews, testing, and documentation to uphold best practices and maintain code quality.
* Diagnose and resolve performance issues, bottlenecks, and operational challenges within complex production systems.
* Stay updated with emerging technologies and industry trends to continuously improve the platform’s capabilities.
**Benefits** 
* Comprehensive health, dental, and mental health support packages tailored to each country.
* Retirement savings options and financial planning resources.
* Generous paid time off and holiday policies to promote work\-life balance.
* Opportunities for professional growth and development within a fast\-paced, innovative environment.
* Inclusive, diverse, and collaborative workplace culture that values authenticity and contribution.
* Remote\-first work flexibility, allowing for a balanced and adaptable work schedule.
 Equal Opportunity
 Dandy is an equal\-opportunity employer committed to fostering an inclusive environment. We do not discriminate based on race, religion, color, national origin, gender, gender identity, sexual orientation, age, marital status, disability, veteran status, citizenship, or any other protected characteristic. We fully comply with the Americans with Disabilities Act (ADA) and are dedicated to creating an accessible workplace.</t>
        </is>
      </c>
    </row>
    <row r="55">
      <c r="A55" t="inlineStr">
        <is>
          <t>li-4355284858</t>
        </is>
      </c>
      <c r="B55" t="inlineStr">
        <is>
          <t>Senior Software Engineer (Backend) (Full Remote, Global)</t>
        </is>
      </c>
      <c r="C55" t="inlineStr">
        <is>
          <t>Project 0</t>
        </is>
      </c>
      <c r="D55" t="inlineStr">
        <is>
          <t>linkedin</t>
        </is>
      </c>
      <c r="E55">
        <f>HYPERLINK("https://www.linkedin.com/jobs/view/4355284858", "https://www.linkedin.com/jobs/view/4355284858")</f>
        <v/>
      </c>
      <c r="F55" t="inlineStr"/>
      <c r="G55" t="inlineStr"/>
      <c r="H55" t="inlineStr"/>
      <c r="I55" t="inlineStr">
        <is>
          <t>**This role is fully remote and we hire globally (worldwide).** 
**Company Description:** 
 Project 0 is seeking a Senior Backend Engineer to design and build the next generation of risk analysis, monitoring, and solvency protection systems. This role sits at the intersection of quantitative reasoning, protocol mechanics, and real\-time market intelligence.
 While Solana experience is preferred, candidates from other Web3 ecosystems (e.g. Solidity, WASM\-based runtimes) are encouraged to apply. Experience in finance, DeFi, or quantitative engineering is also beneficial.
**Role Description:** 
* Work on data pipelines, infrastructure, and other backend applications. Process data into meaningful displays that drive business decision making
* Build and maintain risk analysis systems that detect, model, and respond to market conditions affecting protocol solvency.
* Shape the data ingestion pipeline and act as an early consumer of risk, market, and on\-chain data.
* Generate actionable insights and automated alerts based on real\-time market events, protocol activity, or systemic risk patterns.
* Improve backend\-adjacent operational workflows, such as token rebalancing, liquidation planning, and treasury/free\-funds management.
**Qualifications:** 
* 2\+ years of Rust experience
* 2\-5 years experience with data pipelines (Sqlmesh, DBT, or others)
* Strong quantitative skills: comfortable reasoning about complex system behaviors, risk models, and advanced calculations.
* Startup mindset: bias toward ownership, adaptability, and shipping high\-quality work quickly.
**Nice\-To\-Haves:** 
* 1\+ years of hands\-on Solana development
* Infrastructure and Kubernetes Experience (IaC, Terraform, Pulumi) preferred.
* Web3 fundamentals: solid grasp of core blockchain concepts (accounts, programs, oracles, cross\-program invocation, cryptography basics, etc.).
* Experience with DeFi protocols, risk engines, or on\-chain financial primitives.
* Contributions to open\-source Defi or Blockchain projects.
* Typescript experience, especially around integrating with smart contracts.</t>
        </is>
      </c>
    </row>
    <row r="56">
      <c r="A56" t="inlineStr">
        <is>
          <t>li-4341235559</t>
        </is>
      </c>
      <c r="B56" t="inlineStr">
        <is>
          <t>Senior Software Engineer</t>
        </is>
      </c>
      <c r="C56" t="inlineStr">
        <is>
          <t>Microsoft</t>
        </is>
      </c>
      <c r="D56" t="inlineStr">
        <is>
          <t>linkedin</t>
        </is>
      </c>
      <c r="E56">
        <f>HYPERLINK("https://www.linkedin.com/jobs/view/4341235559", "https://www.linkedin.com/jobs/view/4341235559")</f>
        <v/>
      </c>
      <c r="F56" t="inlineStr"/>
      <c r="G56" t="inlineStr">
        <is>
          <t>Redmond, WA</t>
        </is>
      </c>
      <c r="H56" t="inlineStr"/>
      <c r="I56" t="inlineStr">
        <is>
          <t>**Overview**
 Do you want to be part of the Microsoft Azure team? Do you want to build the next generation of the fastest storage in the public cloud? Are you excited about the opportunity to drive tremendous business growth and innovation in Azure?
 Microsoft Azure Storage team is building Microsoft’s cloud storage solution \- which is a massively scalable, highly distributed, ubiquitously accessible storage system, designed to scale out and serve the entire world. The Azure Storage team delivers Virtual Disks, File Systems and Object Storage for IaaS (Infrastructure as a Service), containers, serverless, BareMetal, and more.
 As a Senior Software Engineer \- Azure Storage, you will design and implement protocols and features for ensuring availability, consistency, and durability of exabytes of data across thousands of nodes. We are looking for a Senior Software Engineer \- Azure Storage with a track record of top\-notch design and code development skills. This opportunity will allow you to work on the highly distributed systems, with a focus on reliability, scalability, performance, consistency and debuggability.
 As a member of the team you will additionally be responsible and have the opportunity to influence the direction this team takes towards building a solid technical team as well as our team's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with partner teams to design and deliver solutions.
* Design Solution Architecture and Implement.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or C\+\+.
+ OR equivalent experience.
* 4\+ years in designing, developing and building large\-scale distributed backend systems including operations, performance, reliability, resilience, and scale\-out.
* 4\+ years of experience with multi\-threaded programming.
* 2\+ years of technical leadership proficiency with a proven track record of steering projects involving cross\-functional teams and decision\-making.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or C\+\+
+ OR Master's Degree in Computer Science or related technical field AND 6\+ years technical engineering experience with coding in languages including, but not limited to, C or C\+\+
+ OR equivalent experience.
* 1\+ year(s) foundation in data structures and algorithms with testing, debugging, and analytical skills.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7">
      <c r="A57" t="inlineStr">
        <is>
          <t>li-4311736683</t>
        </is>
      </c>
      <c r="B57" t="inlineStr">
        <is>
          <t>Senior Software Engineer, Backend (Developer - x402)</t>
        </is>
      </c>
      <c r="C57" t="inlineStr">
        <is>
          <t>Coinbase</t>
        </is>
      </c>
      <c r="D57" t="inlineStr">
        <is>
          <t>linkedin</t>
        </is>
      </c>
      <c r="E57">
        <f>HYPERLINK("https://www.linkedin.com/jobs/view/4311736683", "https://www.linkedin.com/jobs/view/4311736683")</f>
        <v/>
      </c>
      <c r="F57" t="inlineStr"/>
      <c r="G57" t="inlineStr"/>
      <c r="H57" t="inlineStr"/>
      <c r="I57"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At Coinbase, we are building the future of internet\-native payments. The x402 protocol is at the core of this mission, an open, internet\-scale standard designed to make global payments as seamless as sending an email. As part of the Coinbase x402 team, you’ll help define and evolve this protocol alongside the broader open\-source community, while also building the developer tools, SDKs, and payment infrastructure that bring x402 to life. This is a high\-impact role at the intersection of crypto, payments, agentic commerce, and open standards, shaping how money moves on the internet for the next decade.
**What you’ll be doing:** 
* Defining the
 **x402 protocol standard** 
 for the internet\-native payment protocol
* Building and maintaining
 **x402 related products** 
 such as the x402 SDK, Payment MCP, Payment Facilitators, and onchain payment protocols.
* Collaborating with
 **open\-source contributors** 
 to evolve the standard through GitHub discussions, issues, and PR reviews.
**What we look for in you:** 
* 6\+ years of experience in software development with a strong focus on backend development working closely with frontend engineers; crypto experience is a plus
* Strong experience in building
 **scalable and secure software** 
 and SDKs
* Proficiency with
 **Golang, Typescript, and Python** 
 .
* Knowledge of
 **Web3 technologies** 
 , stablecoins, smart contracts, and wallets.
**Nice to haves:** 
* Experience with
 **AI** 
 and emerging AI protocol standards (MCP, A2A).
* Track record of building and maintaining impactful
 **open\-source projects** 
 .
 Job \#: GDBE05US
 \*Answers to crypto\-related questions may be used to evaluate your onchain experience
 Pay Transparency Notice: Depending on your work location, the target annual salary for this position can range as detailed below. Full time offers from Coinbase also include bonus eligibility \+ equity eligibility \+ benefits (including medical, dental, vision and 401(k)).
 Pay Range: : $186,065 USD \- $218,900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58">
      <c r="A58" t="inlineStr">
        <is>
          <t>li-4365273783</t>
        </is>
      </c>
      <c r="B58" t="inlineStr">
        <is>
          <t>Senior Software Engineer</t>
        </is>
      </c>
      <c r="C58" t="inlineStr">
        <is>
          <t>Microsoft</t>
        </is>
      </c>
      <c r="D58" t="inlineStr">
        <is>
          <t>linkedin</t>
        </is>
      </c>
      <c r="E58">
        <f>HYPERLINK("https://www.linkedin.com/jobs/view/4365273783", "https://www.linkedin.com/jobs/view/4365273783")</f>
        <v/>
      </c>
      <c r="F58">
        <f>HYPERLINK("https://apply.careers.microsoft.com/careers/job/1970393556621028?utm_source=linkedin&amp;domain=microsoft.com&amp;src=LinkedIn&amp;urlHash=M0Qh", "https://apply.careers.microsoft.com/careers/job/1970393556621028?utm_source=linkedin&amp;domain=microsoft.com&amp;src=LinkedIn&amp;urlHash=M0Qh")</f>
        <v/>
      </c>
      <c r="G58" t="inlineStr"/>
      <c r="H58" t="inlineStr"/>
      <c r="I58" t="inlineStr">
        <is>
          <t>**Overview**
 The HPC/AI (High performance Computing and Artificial Intelligence) team is on a mission to build the next\-generation distributed AI supercomputer, enabling breakthroughs in artificial intelligence by delivering unmatched computational power, scalability and reliability. We design and develop cutting\-edge infrastructure that supports high\-performance AI model training at scale, laying the foundation for innovations that redefine what AI can achieve.
 We are seeking software engineers to design and build cutting\-edge networking infrastructure that powers large\-scale AI training. This role focuses on developing next\-generation networking capabilities to ensure high performance, low latency, and minimal jitter for distributed AI workloads. You will play a critical role in enabling state\-of\-the\-art AI systems to achieve their full potential.
 As a Senior Software Engineer on the HPC/AI team, you will play a pivotal role in shaping the next\-generation networking infrastructure for AI training and inference in Azure Cloud. This is a unique opportunity to work at the intersection of two of the hottest fields in technology: AI and high\-performance computing. With the explosive growth of generative AI and the increasing demand for large\-scale, low\-latency systems, this area is at the forefront of innovation and impact. You will work across diverse network architectures and cutting\-edge processor and accelerator technologies, driving the design and delivery of a comprehensive, end\-to\-end solution with a relentless focus on performance, scalability, and observability. If you’re passionate about groundbreaking technology, large\-scale systems, and AI infrastructure, join us to build the platform that will power the future of AI supercomputing!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 and optimize networking solutions tailored for large\-scale AI training infrastructure. Architect and implement high\-performance, low\-latency, and low\-jitter communication frameworks for distributed systems.
* Benchmark, analyze, and enhance the scalability and reliability of networking systems to handle petabyte\-scale data transfer.
* Debug and resolve complex networking issues in large\-scale, high\-performance environments.
* Drive identification of dependencies and the development of design documents for a product, application, service, or platform.
* Create, implement, optimize, debug, refactor, and reuse code to establish and improve performance and maintainability, effectiveness, and return on investment (ROI).
* Act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AI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OR Java, JavaScript, or Python
+ OR equivalent experience.
* 1\+ years Networking OR High Performance Computing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 Familiarity with Machine Learning, AI Infrastructure, Operating Systems fundamentals and virtualization technologies
* 1\+ years experience on Distributed Systems
* 1\+ years experience on High Performance Computing / Machine Learning middleware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9">
      <c r="A59" t="inlineStr">
        <is>
          <t>li-4362594623</t>
        </is>
      </c>
      <c r="B59" t="inlineStr">
        <is>
          <t>Software Engineer III, Infrastructure, Platforms Infrastructure Engineering</t>
        </is>
      </c>
      <c r="C59" t="inlineStr">
        <is>
          <t>Google</t>
        </is>
      </c>
      <c r="D59" t="inlineStr">
        <is>
          <t>linkedin</t>
        </is>
      </c>
      <c r="E59">
        <f>HYPERLINK("https://www.linkedin.com/jobs/view/4362594623", "https://www.linkedin.com/jobs/view/4362594623")</f>
        <v/>
      </c>
      <c r="F59">
        <f>HYPERLINK("https://careers.google.com/jobs/results/141492603370513094-software-engineer-iii/?src=Online/LinkedIn/linkedin_us&amp;utm_source=linkedin&amp;utm_medium=jobposting&amp;utm_campaign=contract&amp;urlHash=fPln", "https://careers.google.com/jobs/results/141492603370513094-software-engineer-iii/?src=Online/LinkedIn/linkedin_us&amp;utm_source=linkedin&amp;utm_medium=jobposting&amp;utm_campaign=contract&amp;urlHash=fPln")</f>
        <v/>
      </c>
      <c r="G59" t="inlineStr">
        <is>
          <t>San Francisco, CA</t>
        </is>
      </c>
      <c r="H59" t="inlineStr"/>
      <c r="I59"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**San Francisco, CA, USA; Madison, WI, USA; Sunnyvale, CA, USA; Seattle, WA, USA** 
 .
 **Minimum qualifications:**
* Bachelor’s degree or equivalent practical experience.
* 2 years of experience programming in C\+\+, Python, or Go.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 lead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0">
      <c r="A60" t="inlineStr">
        <is>
          <t>li-4362635031</t>
        </is>
      </c>
      <c r="B60" t="inlineStr">
        <is>
          <t>Senior Software Engineer, Infrastructure, Google Cloud Business Platforms</t>
        </is>
      </c>
      <c r="C60" t="inlineStr">
        <is>
          <t>Google</t>
        </is>
      </c>
      <c r="D60" t="inlineStr">
        <is>
          <t>linkedin</t>
        </is>
      </c>
      <c r="E60">
        <f>HYPERLINK("https://www.linkedin.com/jobs/view/4362635031", "https://www.linkedin.com/jobs/view/4362635031")</f>
        <v/>
      </c>
      <c r="F60" t="inlineStr"/>
      <c r="G60" t="inlineStr">
        <is>
          <t>Sunnyvale, CA</t>
        </is>
      </c>
      <c r="H60" t="inlineStr"/>
      <c r="I60" t="inlineStr">
        <is>
          <t>**Minimum qualifications:**
* Bachelor’s degree or equivalent practical experience.
* 5 years of experience with software development in C\+\+, C, or Python.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1">
      <c r="A61" t="inlineStr">
        <is>
          <t>li-4362505500</t>
        </is>
      </c>
      <c r="B61" t="inlineStr">
        <is>
          <t>Software Engineer III, Infrastructure, Platforms Infrastructure Engineering</t>
        </is>
      </c>
      <c r="C61" t="inlineStr">
        <is>
          <t>Google</t>
        </is>
      </c>
      <c r="D61" t="inlineStr">
        <is>
          <t>linkedin</t>
        </is>
      </c>
      <c r="E61">
        <f>HYPERLINK("https://www.linkedin.com/jobs/view/4362505500", "https://www.linkedin.com/jobs/view/4362505500")</f>
        <v/>
      </c>
      <c r="F61" t="inlineStr"/>
      <c r="G61" t="inlineStr">
        <is>
          <t>Sunnyvale, CA</t>
        </is>
      </c>
      <c r="H61" t="inlineStr"/>
      <c r="I61"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**San Francisco, CA, USA; Madison, WI, USA; Sunnyvale, CA, USA; Seattle, WA, USA** 
 .
 **Minimum qualifications:**
* Bachelor’s degree or equivalent practical experience.
* 2 years of experience programming in C\+\+, Python, or Go.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 lead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2">
      <c r="A62" t="inlineStr">
        <is>
          <t>li-4362565500</t>
        </is>
      </c>
      <c r="B62" t="inlineStr">
        <is>
          <t>Senior Software Engineer - IT Developer Enablement Applications team</t>
        </is>
      </c>
      <c r="C62" t="inlineStr">
        <is>
          <t>Red Hat</t>
        </is>
      </c>
      <c r="D62" t="inlineStr">
        <is>
          <t>linkedin</t>
        </is>
      </c>
      <c r="E62">
        <f>HYPERLINK("https://www.linkedin.com/jobs/view/4362565500", "https://www.linkedin.com/jobs/view/4362565500")</f>
        <v/>
      </c>
      <c r="F62" t="inlineStr"/>
      <c r="G62" t="inlineStr">
        <is>
          <t>Raleigh, NC</t>
        </is>
      </c>
      <c r="H62" t="inlineStr"/>
      <c r="I62" t="inlineStr">
        <is>
          <t>Red Hat's IT Developer Enablement Applications team is looking for a Senior DevOps Engineer to help us create, modify, and modernize applications for our internal customers. You'll be given unlimited opportunities to make an impact in a global company built on open\-source values and principles.
**What will you do?**
* Execute full software development life (SDLC) cycle within an agile environment
* Design, implement, and maintain scalable, reliable, and highly available infrastructure systems to support business applications and services.
* Automate repetitive tasks and processes using scripting and configuration management tools (e.g., Python, Bash, Terraform, Ansible).
* Manage cloud\-based infrastructure (OpenShift) and optimize resources for reliability, performance, and security.
* Monitor system performance, troubleshoot issues, and ensure uptime and reliability through proactive alerting, metrics, and incident response.
* Collaborate with developers to improve application resilience, deploy code efficiently, and integrate CI/CD pipelines.
* Conduct root cause analysis (RCA) for incidents, document findings, and implement preventive measures to minimize downtime.
* Continuously improve system architecture, deployment processes, and tooling to enhance operational efficiency and scalability.
* Ensure security best practices are applied across infrastructure, including access controls, network configurations, and compliance requirements.
* Effectively communicate to stakeholders and project team members to ensure proper visibility into development efforts
* Ability to respond to the customer's tickets and inquiries
**What will you bring?**
* 5\+ years of experience with Linux Systems Engineering (RHEL, CentOS, etc)
* 5\+ years of experience delivering enterprise software applications
* 2\+ years of experience with Git (experience with GitLab a plus)
* Strong knowledge of Linux and networking internals
* Strong programming proficiency in Python and experience with the full SDLC
* Experience with containers and container orchestration tools (Docker, Podman, Kubernetes, OpenShift, etc)
* Good knowledge of CI/CD pipelines and tooling (GitLab CI, GitHub Actions, etc)
* Experience with configuration management tools (Ansible, Terraform, etc)
* Familiarity with monitoring and logging suites (e.g., Sumo Logic, Prometheus, or ELK).
* Familiarity with SRE fundamentals and principles
* Familiarity with bare metal environments and APIs such as RedFish
* Data driven and observability first mindset (logs, metrics, traces)
* Excellent written and verbal communication skills in English
* Passion for developing open source software
* Positive attitude and willingness to share ideas openly
 The salary range for this position is $116,270\.00 \- $191,840\.00\.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63">
      <c r="A63" t="inlineStr">
        <is>
          <t>li-4279690731</t>
        </is>
      </c>
      <c r="B63" t="inlineStr">
        <is>
          <t>Senior Software Engineer, Vehicle Intelligence</t>
        </is>
      </c>
      <c r="C63" t="inlineStr">
        <is>
          <t>Axon</t>
        </is>
      </c>
      <c r="D63" t="inlineStr">
        <is>
          <t>linkedin</t>
        </is>
      </c>
      <c r="E63">
        <f>HYPERLINK("https://www.linkedin.com/jobs/view/4279690731", "https://www.linkedin.com/jobs/view/4279690731")</f>
        <v/>
      </c>
      <c r="F63" t="inlineStr"/>
      <c r="G63" t="inlineStr">
        <is>
          <t>Boston, MA</t>
        </is>
      </c>
      <c r="H63" t="inlineStr"/>
      <c r="I63"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**The Team**
 Axon Vehicle Intelligence represents the next evolution in public safety technology—offering unified real\-time awareness, AI\-powered search, and scalable integrations that empower agencies with advanced vehicle intelligence capabilities.
 Our cutting\-edge platform enhances video streams with vehicle search, alerts, and analytics—seamlessly integrated into both real\-time and investigative workflows.
 Built on a growing ecosystem that includes Axon Fleet and Fusus\-connected cameras—and expanding with Axon
 **Outpost** 
 and
 **Lightpost** 
 , our flexible ALPR and vehicle detection cameras—this solution enables agencies to track and identify vehicles with speed and precision.
**Your Impact**
 As a Senior Software Engineer, you will be intimately involved in the architecture decisions that will shape our products. You live and breathe cloud services that require high availability and fast, consistent performance. You love working with the latest open source technologies, and can leverage your system design skills to make the right technical decisions on a system that needs to be bullet\-proof.
 The team you will work on is developing a new 0 to 1 product for Axon.
 Not only can you drive decisions among competing engineering trade\-offs, your empathy with customers allows you to intuit innovative solutions for our customer problems. You will be working closely with product managers and designers to ensure we are building the right solution for our customers. You also enjoy mentoring other engineers, and love to be a hands\-on teacher helping to up level the engineers around you.
 Join us to work with a passionate, mission\-driven group of folks who want to positively impact the lives of first responders and those that they serve.
**What You’ll Do**
**Location:** 
 This role is based out of our Boston or Seattle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Engineering Manager
* Impact the development and design for launching a new 0 to 1 product for Axon
* Lead engineering architecture design reviews
* Set a high technical bar for the team through code and architecture design reviews
* Mentoring engineers
* Working across teams with Product, Design, and Engineering to create integrated solutions that delight our customers
* Improve our Engineering process, including long\-term thinking, sprint planning and stand\-ups
* Building services that adhere to our high bar on availability and latency in this mission\-critical space
* Working with the latest open source technologies
**What You Bring**
* Bachelor's Degree in Computer Science, Engineering, or related field
* 6\+ years of professional software development experience
* Experience designing and delivering highly\-available, scalable cloud\-based systems
* Backend service experience in multiple, managed languages such as Java, Scala, Go, C\#, or similar
* Experience working with SQL or NoSQL data stores
* Experience with Java, Golang or Scala programming is a plus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*The Pay: Axon is a total compensation company, meaning compensation is made up of base pay, bonus, and stock awards. The starting base pay for this role is between USD 141,000 in the lowest geographic market and USD 225,600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64">
      <c r="A64" t="inlineStr">
        <is>
          <t>li-4289835984</t>
        </is>
      </c>
      <c r="B64" t="inlineStr">
        <is>
          <t>Machine Learning Software Engineer, Libraries</t>
        </is>
      </c>
      <c r="C64" t="inlineStr">
        <is>
          <t>PhysicsX</t>
        </is>
      </c>
      <c r="D64" t="inlineStr">
        <is>
          <t>linkedin</t>
        </is>
      </c>
      <c r="E64">
        <f>HYPERLINK("https://www.linkedin.com/jobs/view/4289835984", "https://www.linkedin.com/jobs/view/4289835984")</f>
        <v/>
      </c>
      <c r="F64">
        <f>HYPERLINK("https://job-boards.eu.greenhouse.io/physicsx/jobs/4652621101?gh_src=6d71ons2teu&amp;urlHash=zFl0", "https://job-boards.eu.greenhouse.io/physicsx/jobs/4652621101?gh_src=6d71ons2teu&amp;urlHash=zFl0")</f>
        <v/>
      </c>
      <c r="G64" t="inlineStr">
        <is>
          <t>Manhattan, NY</t>
        </is>
      </c>
      <c r="H64" t="inlineStr"/>
      <c r="I64"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The Role
 PhysicsX is developing a platform used by Data Scientists and Simulation Engineers to build, train and deploy Deep Physics Models. The core of this platform is powered by several Machine Learning Python Libraries handling everything from data processing, to deep learning model training, and complex optimisation algorithms.
 The Libraries team is responsible for designing, developing, and maintaining those Machine Learning Libraries. As a Machine Learning Software Engineer within the team, you will be the crucial link between cutting\-edge research and production\-ready software. You will collaborate closely with our Research team to translate the latest state\-of\-the\-art models and techniques into robust, easy\-to\-use, and performant library code. You are a software engineer who thinks like a data scientist, ensuring our libraries are not only robust but also embody the best practices of the machine learning lifecycle.
**Note:** 
 We are currently recruiting for multiple positions, however please only apply for the role that best aligns with your skillset and career goals.
**What You Will Do**
* Collaborate with product managers and library users to translate functional requirements into robust technical specifications and production\-ready code.
* Work closely with our research scientists to productionize novel models and algorithms, integrating them into our core libraries.
* Contribute high\-quality, tested, documented, and maintainable code across the library stack, ensuring our core systems are reliable and easy for other engineers to build upon.
* Champion software engineering excellence across the team and company, driving best practices in testing (unit, integration, performance), CI/CD, and system architecture.
* Own your work end\-to\-end, from ideation and experimentation through to deployment and maintenance in a small, agile team environment.
* Continuously explore and evaluate new techniques and frameworks, helping to guide the technical evolution of our platform.
* Share your knowledge with the team, contribute to our engineering guild, and stay connected with the broader community.
**What You Bring To The Table**
* A passion for the craft of software engineering and building robust, maintainable systems in a collaborative, cross\-functional team.
* Solid software engineering skills, with a focus on writing clean, testable, and maintainable code.
* Strong problem\-solving skills, with the ability to diagnose complex issues in a high\-uncertainty R\&amp;D environment.
* A commitment to owning the software development lifecycle, including testing, containerization, and CI/CD.
* A deep understanding of machine learning fundamentals (e.g., model architectures, optimizers, statistical principles) and the data science lifecycle.
* Strong proficiency in Python's scientific computing and Machine Learning ecosystem (e.g., PyTorch, NumPy, SciPy, Pandas).
* An understanding of how high\-level Machine Learning frameworks interact with low\-level hardware (e.g., C\+\+/CUDA on GPUs).
* A proactive ownership mindset and the ability to navigate ambiguity.
* Excellent collaboration and communication skills, with an ability to discuss complex technical concepts with both researchers and product teams.
 Ideally
* Professional experience with C\+\+ and/or GPGPU programming (e.g., CUDA, Triton) for performance optimization.
* Experience building and maintaining widely\-used internal or open\-source libraries.
* Experience applying machine learning to scientific domains, particularly with 3D geometric or simulation data.
* Familiarity with model packaging and serialization techniques (e.g., ONNX, TorchScript).
**What We Offer**
* Equity options – share in our success and growth.
* 5% 401(k) match – invest in your future.
* Flexible working – balance your work and life in a way that works for you.
* Hybrid setup – enjoy our Manhattan office while keeping remote flexibility.
* Enhanced parental leave – support for life’s biggest milestones.
* Private healthcare – comprehensive coverage for you and your family.
* Personal development – access learning and training to help you grow.
* Work from anywhere – extend your remote setup to enjoy the sun or reconnect with loved ones.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row>
    <row r="65">
      <c r="A65" t="inlineStr">
        <is>
          <t>li-4365326147</t>
        </is>
      </c>
      <c r="B65" t="inlineStr">
        <is>
          <t>Software Developer III</t>
        </is>
      </c>
      <c r="C65" t="inlineStr">
        <is>
          <t>IDR, Inc.</t>
        </is>
      </c>
      <c r="D65" t="inlineStr">
        <is>
          <t>linkedin</t>
        </is>
      </c>
      <c r="E65">
        <f>HYPERLINK("https://www.linkedin.com/jobs/view/4365326147", "https://www.linkedin.com/jobs/view/4365326147")</f>
        <v/>
      </c>
      <c r="F65" t="inlineStr"/>
      <c r="G65" t="inlineStr">
        <is>
          <t>Longmont, CO</t>
        </is>
      </c>
      <c r="H65" t="inlineStr"/>
      <c r="I65" t="inlineStr">
        <is>
          <t>IDR is seeking a
 **Software Developer III** 
 to join one of our top clients for an opportunity in Longmont, Colorado. This company specializes in innovative software solutions and is known for its collaborative work environment committed to technical excellence.
**Position Overview for the Software Developer III:** 
* Follows company software development lifecycle to design, code, configure, test, debug, and document system and application programs
* Assists in preparing technical design specifications based on functional requirements and analysis documents
* Reviews functional requirements, analysis and design documents and provides feedback
* Collaborates with other development staff to achieve quality and consistency
* Participates in architecture, design and code reviews
**Requirements for the Software Developer III:** 
* 8\+ years of experience with Ruby on Rails, Java, Javascript
* Linux experience with at least several years of operation in a Linux environment
* Strong communication skills
* Ability to take detailed notes and document well
* Demonstrated experience following and contributing to a full software development lifecycle
**What's in it for you?** 
* Competitive compensation package
* Full Benefits; Medical, Vision, Dental, and more!
* Opportunity to get in with an industry leading organization
**Why IDR?** 
* 25\+ Years of Proven Industry Experience in 4 major markets
* Employee Stock Ownership Program
* Dedicated Engagement Manager who is committed to you and your success
* Medical, Dental, Vision, and Life Insurance
* ClearlyRated's Best of Staffing® Client and Talent Award winner 12 years in a row</t>
        </is>
      </c>
    </row>
    <row r="66">
      <c r="A66" t="inlineStr">
        <is>
          <t>li-4362606545</t>
        </is>
      </c>
      <c r="B66" t="inlineStr">
        <is>
          <t>Software Engineer, DCIM Cooling</t>
        </is>
      </c>
      <c r="C66" t="inlineStr">
        <is>
          <t>Google</t>
        </is>
      </c>
      <c r="D66" t="inlineStr">
        <is>
          <t>linkedin</t>
        </is>
      </c>
      <c r="E66">
        <f>HYPERLINK("https://www.linkedin.com/jobs/view/4362606545", "https://www.linkedin.com/jobs/view/4362606545")</f>
        <v/>
      </c>
      <c r="F66" t="inlineStr"/>
      <c r="G66" t="inlineStr">
        <is>
          <t>Sunnyvale, CA</t>
        </is>
      </c>
      <c r="H66" t="inlineStr"/>
      <c r="I66" t="inlineStr">
        <is>
          <t>**Minimum qualifications:**
* Bachelor’s degree or equivalent practical experience.
* 2 years of experience with coding in C\+\+ and Python, or 1 year of experience with an advanced degree.
* 1 year of experience with distributed computing.
* 1 year of experience with SQL.
**Preferred qualifications:**
* Master's degree or PhD in Computer Science, or a related technical field.
* Experience working with two or more from the following: data analysis, data processing pipelines, distributed and parallel systems, machine learning, information retrieval, web application development, Unix/Linux environments, mobile application development, natural language processing, networking, developing large software systems, or security software development.
* Experience with monitoring systems and cooling systems.
**About The Job**
 The DCIM (Data Center Infrastructure Management) Cooling team's mission is to deliver reliable, efficient, and intelligent cooling solutions for Google data centers, enabling the future of technology.
 The team owns the life\-cycle management of all cooling devices deployed in Google's data center that includes telemetry collection, monitoring health and alerting Data Center Operations teams to take action on them. The DCIM Cooling team operates one of the largest\-scale monitoring systems at Google, reading telemetry from thousands of devices in every Google data center. Our issues include handling the rapid growth and diversification of the Google fleet and hardware, new use cases for critical monitoring of third\-party facilities, and retiring technical debt.
 In this role, you will work with your teammates to design, code, and put into production very large\-scale distributed monitoring systems and work with your team and partner teams to enable new use cases for large\-scale telemetry gathering. You will also create various system monitoring dashboards, defining Service Level Objectives (SLOs), documentation and playbooks. You will have the opportunity to take onsite trips to one or more of Google's data centers each year to work with new systems and data center technical staff in person.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code for large\-scale distributed systems.
* Participate in design of new products and features for data center cooling monitoring, reliability, and performance.
* Work with teammates and users on defining requirements for new use cases.
* Create system monitoring, dashboards, SLOs, documentation, and playbooks.
* Participate in the team's interrupts rotation (e.g., business hours only, we don't carry pagers).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7">
      <c r="A67" t="inlineStr">
        <is>
          <t>li-4365316292</t>
        </is>
      </c>
      <c r="B67" t="inlineStr">
        <is>
          <t>Senior Software Engineer (AI + LLM Products)</t>
        </is>
      </c>
      <c r="C67" t="inlineStr">
        <is>
          <t>People In AI</t>
        </is>
      </c>
      <c r="D67" t="inlineStr">
        <is>
          <t>linkedin</t>
        </is>
      </c>
      <c r="E67">
        <f>HYPERLINK("https://www.linkedin.com/jobs/view/4365316292", "https://www.linkedin.com/jobs/view/4365316292")</f>
        <v/>
      </c>
      <c r="F67" t="inlineStr"/>
      <c r="G67" t="inlineStr"/>
      <c r="H67" t="inlineStr"/>
      <c r="I67" t="inlineStr">
        <is>
          <t>**Senior Software Engineer (AI \+ LLM Products)** 
**$190–220K base \+ equity** 
**Remote (United States)** 
**About the Company** 
 This startup is on a mission to bring real\-world generative AI to life. Backed by top\-tier investors, they’re building powerful, scalable systems that help customers harness LLMs in meaningful, reliable ways. With a product already in use and a world\-class founding team, they’re growing fast and looking for engineers who thrive in ambiguity and want to shape the future of applied AI.
**The Role** 
 You’ll be part of a small, senior team shipping advanced GenAI features to production. This is an opportunity for an experienced engineer to own complex full\-stack systems end\-to\-end, work across React, Node.js, and AI integration layers, and help define the platform’s architectural foundation. You'll translate fuzzy product goals into scalable solutions and collaborate closely with product, design, and leadership.
**What You’ll Do** 
* Build and ship production\-grade GenAI capabilities from scratch
* Design and implement full\-stack features using TypeScript, React, and Node.js
* Integrate LLMs into real\-world workflows, apps, and agentic systems
* Shape and scale internal frameworks for rapid GenAI development
* Drive performance, reliability, and observability across AI pipelines
* Own projects end\-to\-end, from product definition to release
* Work closely with Product, Design, and cross\-functional teams
* Contribute to architectural planning, code reviews, and technical debates
**What You’ll Bring** 
* Deep TypeScript, React, and Node.js expertise
* Experience building full\-stack applications end\-to\-end
* Hands\-on work with LLM systems, embeddings, RAG, or vector search
* Familiarity with LangChain, LangGraph, LlamaIndex, or similar frameworks
* Comfort working in fast\-moving, ambiguous environments
* Strong debugging, architecture, and performance optimization skills
* Understanding of prompting, guardrails, and model behavior
**Nice to Have** 
* Python experience for AI workflows or backend services
* Knowledge of evaluation frameworks, safety, or LLM traceability
* Background in vector databases or scalable ML infrastructure
* Contributions to open\-source AI tools or libraries
**Tech Stack** 
* TypeScript, React, Node.js
* LLM frameworks (LangChain, LangGraph, LlamaIndex)
* Vector search, RAG, embeddings
* Cloud platforms and observability tools (OpenTelemetry, etc.)
**Why Join?** 
* Work at the frontier of generative AI in production
* Join a lean, senior team where your impact is immediate and visible
* Fully remote, async\-first culture with flexible hours
* Generous equity and ownership opportunities
* Paid time off, continued education support, and team offsites
* Accelerated career growth in a breakout AI startup
**About People In AI** 
 People In AI is a specialized recruitment partner to the world’s most ambitious AI companies. We help exceptional talent find high\-impact roles in cutting\-edge teams—from early\-stage startups to global leaders—with a focus on meaningful work, technical excellence, and long\-term growth.</t>
        </is>
      </c>
    </row>
    <row r="68">
      <c r="A68" t="inlineStr">
        <is>
          <t>li-4365274768</t>
        </is>
      </c>
      <c r="B68" t="inlineStr">
        <is>
          <t>Senior Software Engineer</t>
        </is>
      </c>
      <c r="C68" t="inlineStr">
        <is>
          <t>Microsoft</t>
        </is>
      </c>
      <c r="D68" t="inlineStr">
        <is>
          <t>linkedin</t>
        </is>
      </c>
      <c r="E68">
        <f>HYPERLINK("https://www.linkedin.com/jobs/view/4365274768", "https://www.linkedin.com/jobs/view/4365274768")</f>
        <v/>
      </c>
      <c r="F68" t="inlineStr"/>
      <c r="G68" t="inlineStr"/>
      <c r="H68" t="inlineStr"/>
      <c r="I68" t="inlineStr">
        <is>
          <t>**Overview**
 Have you ever imagined the world with an infinite amount of storage available and accessible to everyone? A place where everyone in the world can easily access their books/music/photos/video/any data from anywhere at any time via any means (e.g., mobile phones, tablets, personal computers (PCs), smart devices, etc.). Did you ever desire a universally accessible storage system to record all the knowledge known to mankind, to keep all the books/music/videos ever created, or to store all the data collected from all the scientists in the world for them to collaborate upon? Do you want to be part of a team that strives to bring these to reality? If so, the Microsoft Azure Storage team is what you are looking for. We are building Microsoft’s cloud storage solution—Microsoft Azure Storage—which is a massively scalable, highly distributed, ubiquitously accessible storage system, designed to scale out and serve the entire world. We continue to have tremendous hockey stick growth, we have many exabytes of data stored, and are designing and building systems for zettabyte scale to support demand growth for the coming years.
 We are looking for a Senior Software Engineer who is passionate about distributed storage, more specifically in the areas of resource management of distributed systems across an entire geo\-region! Candidates who want to work on a fast\-paced team with talented engineers will thrive here. The Azure Storage Limitless and Cluster Resource Manager Team manages control and data plane operations that manage hundreds of thousands of servers at exabyte scale while serving hundreds of millions of requests per second at low latency. We provide the semantics to virtualize customer accounts and physical hardware across entire geo regions. We also develop and maintain infrastructure related to high\-performance transfer of customer accounts across storage scale units. Additionally, these areas present complex technical problems in a space where innovation is always happening.
 We are working on storage control plane, resource management, Cost of Goods Sold (COGS), and scale\-related projects in Xstore. Regional Scale Management or xLimitless team in Xstore is one integrated and comprehensive resource management responsible for smarter allocation of storage accounts and load balancing storage tenants on various resource dimensions like central processing unit (CPU), memory, input/output operations per second (IOPS), capacity, etc., by migrating storage accounts, virtualizing/scaling out storage accounts in the background allowing the accounts to operate at scale with no limits. One of the core responsibilities is to optimize COGS for Azure Storage while allowing customers to scale out with no limits on ingress/egress/IOPS/capacity. You will design, implement, test, and roll out features that require you to think at zettabyte scale across tens of thousands of clusters across the world. These include distributed load balancing, performance tuning, massively parallel control plane features to manage the exponentially growing storage fleet. To be successful in these areas, you must thrive while solving issues related to durability, availability, and concurrency for a distributed system. You will have an opportunity to make high\-impact changes on a daily basis as you build a hyperscale storage system that may indirectly or directly be used daily by your friends and family.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Leads identification of dependencies and the development of design documents for a product, application, service, or platform.
* Leads by example and mentors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field AND 4\+ years technical engineering experience with coding in languages including, but not limited to, C, C\+\+, C\#, or Java
+ OR equivalent experience.
* 1\+ years of experience in designing, analyzing, and troubleshooting large\-scale distributed systems.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C\+\+, C\#, or Java
+ OR Master's Degree in Computer Science or related technical field AND 6\+ years technical engineering experience with coding in languages including, but not limited to, C, C\+\+, C\#, or Java
+ OR equivalent experience.
* 3\+ years of experience in designing, analyzing, and troubleshooting large\-scale distributed systems, and experience and/or subject matter expertise with any of the following: multi\-threaded or parallel programming, storage or file systems, and distributed systems.
* 1\+ years of experience demonstrating excellence in software architecture, engineering and coding practices, data structures and algorithms, testing, debugging and analytical skills, and ability to plan, schedule, and deliver reliable and performant software.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9">
      <c r="A69" t="inlineStr">
        <is>
          <t>li-4346833737</t>
        </is>
      </c>
      <c r="B69" t="inlineStr">
        <is>
          <t>Senior Software Engineer</t>
        </is>
      </c>
      <c r="C69" t="inlineStr">
        <is>
          <t>Microsoft</t>
        </is>
      </c>
      <c r="D69" t="inlineStr">
        <is>
          <t>linkedin</t>
        </is>
      </c>
      <c r="E69">
        <f>HYPERLINK("https://www.linkedin.com/jobs/view/4346833737", "https://www.linkedin.com/jobs/view/4346833737")</f>
        <v/>
      </c>
      <c r="F69" t="inlineStr"/>
      <c r="G69" t="inlineStr">
        <is>
          <t>Redmond, WA</t>
        </is>
      </c>
      <c r="H69" t="inlineStr"/>
      <c r="I69" t="inlineStr">
        <is>
          <t>**Overview**
 The Cloud Consoles team at Microsoft is seeking a Senior Software Engineer to lead the development of new partner integrations and help build a next\-generation platform for Cloud Shell. This role is ideal for engineers who enjoy designing, leading, and delivering large\-scale distributed systems, and who are passionate about taking products from concept to launch.
 In your first 60 days, you will ramp up on the team’s architecture, integration patterns, and begin engaging with new partners. By 120 days, you will lead the development of a new partner integration, collaborating across teams to deliver a production\-ready solution. Within six months, you will drive technical strategy for partner integrations and platform features, influencing direction and best practices. By the end of your first year, you will be recognized as a technical leader for Cloud Shell integrations and platform development, enabling new scenarios and expanding the platform’s reach.
 You will work on highly visible and impactful services in a collaborative and innovative environment. The team values technical excellence, customer focus, and continuous learning. You will have opportunities to shape the future of Cloud Shell, drive new partner scenarios, and grow your career at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Architect, design, and deliver scalable backend solutions and partner integrations for Cloud Shell on a new platform.
* Work directly with external partners to understand their requirements, translate them into technical designs, and deliver robust solutions that meet their needs.
* Lead the end\-to\-end development lifecycle, from initial concept and requirements gathering to production deployment and ongoing support.
* Collaborate with product managers, partner engineering teams, and other stakeholders to define integration strategies and platform capabilities.
* Build APIs, backend services, and automation workflows that enable partners to extend Cloud Shell functionality.
* Ensure all solutions are secure, reliable, and performant, following best practices for distributed systems and cloud\-native development.
* Mentor engineers and contribute to a culture of technical excellence and innovation.
**Qualifications**
**Required Qualifications:**
* Bachelor's Degree in Computer Science or related technical field AND 4\+ years technical engineering experience with coding in languages including, but not limited to, C\#, Go, Java, OR Python
+ OR equivalent experience.
* 1\+ year(s) of technical leadership experience taking products from concept to launch, including:
+ Ownership of the full product lifecycle from ideation through delivery.
* 1\+ year(s) of experience with cloud infrastructure including:
+ Understanding of cloud architecture, application programming interfaces (APIs), authentication mechanisms, and security best practices.
+ Experience with Microsoft Azure, containerization technologies such as Docker and Kubernetes, and automation frameworks is a plus.
* 1\+ year(s) of experience with technical integrations including:
+ Experience working with external partners or third\-party integrations.
* 1\+ year(s) of cross\-team collaboration demonstrating:
+ Strong problem\-solving skills in both independent and collaborative environments.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Go, Java, OR Python
+ OR Master's Degree in Computer Science or related technical field AND 6\+ years technical engineering experience with coding in languages including, but not limited to, C\#, Go, Java, OR Python
+ OR equivalent experience.
* Certain roles may be eligible for benefits and other compensation. Find additional benefits and pay information here: https://careers.microsoft.com/us/en/us\-corporate\-pay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0">
      <c r="A70" t="inlineStr">
        <is>
          <t>li-4362534895</t>
        </is>
      </c>
      <c r="B70" t="inlineStr">
        <is>
          <t>Software Engineer III, Infrastructure, Google Cloud Platforms</t>
        </is>
      </c>
      <c r="C70" t="inlineStr">
        <is>
          <t>Google</t>
        </is>
      </c>
      <c r="D70" t="inlineStr">
        <is>
          <t>linkedin</t>
        </is>
      </c>
      <c r="E70">
        <f>HYPERLINK("https://www.linkedin.com/jobs/view/4362534895", "https://www.linkedin.com/jobs/view/4362534895")</f>
        <v/>
      </c>
      <c r="F70">
        <f>HYPERLINK("https://careers.google.com/jobs/results/79605303951139526-software-engineer-iii/?src=Online/LinkedIn/linkedin_us&amp;utm_source=linkedin&amp;utm_medium=jobposting&amp;utm_campaign=contract&amp;urlHash=X-cC", "https://careers.google.com/jobs/results/79605303951139526-software-engineer-iii/?src=Online/LinkedIn/linkedin_us&amp;utm_source=linkedin&amp;utm_medium=jobposting&amp;utm_campaign=contract&amp;urlHash=X-cC")</f>
        <v/>
      </c>
      <c r="G70" t="inlineStr">
        <is>
          <t>San Francisco, CA</t>
        </is>
      </c>
      <c r="H70" t="inlineStr"/>
      <c r="I70"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Cambridge, MA, USA; San Francisco, CA, USA** 
 .
 **Minimum qualifications:**
* Bachelor’s degree or equivalent practical experience.
* 2 years of experience programming in C\+\+ or Go.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1">
      <c r="A71" t="inlineStr">
        <is>
          <t>li-4362644885</t>
        </is>
      </c>
      <c r="B71" t="inlineStr">
        <is>
          <t>Senior Software Engineer, GPU Performance</t>
        </is>
      </c>
      <c r="C71" t="inlineStr">
        <is>
          <t>Google</t>
        </is>
      </c>
      <c r="D71" t="inlineStr">
        <is>
          <t>linkedin</t>
        </is>
      </c>
      <c r="E71">
        <f>HYPERLINK("https://www.linkedin.com/jobs/view/4362644885", "https://www.linkedin.com/jobs/view/4362644885")</f>
        <v/>
      </c>
      <c r="F71">
        <f>HYPERLINK("https://careers.google.com/jobs/results/138592287167783622-senior-software-engineer/?src=Online/LinkedIn/linkedin_us&amp;utm_source=linkedin&amp;utm_medium=jobposting&amp;utm_campaign=contract&amp;urlHash=gyfn", "https://careers.google.com/jobs/results/138592287167783622-senior-software-engineer/?src=Online/LinkedIn/linkedin_us&amp;utm_source=linkedin&amp;utm_medium=jobposting&amp;utm_campaign=contract&amp;urlHash=gyfn")</f>
        <v/>
      </c>
      <c r="G71" t="inlineStr">
        <is>
          <t>Seattle, WA</t>
        </is>
      </c>
      <c r="H71" t="inlineStr"/>
      <c r="I7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New York, NY, USA; Seattle, WA, USA** 
 .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Experience with modern GPU architectures (NVIDIA, AMD, or other AI accelerators), memory hierarchies, and performance bottlenecks.
* Experience low\-level GPU programming (CUDA, Triton, CUTLASS, etc.) and performance engineering techniques.
* Experience with modern LLMs and their deployment on AI accelerators.
**Preferred qualifications:**
* Master's degree or PhD in Computer Science or related technical field.
* 5 years of experience with data structures and algorithms.
* 1 year of experience in a technical leadership role.
* Experience with compiler optimization, code generation, and runtime systems for GPU architectures (OpenXLA, MLIR, Triton, etc.).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While known for pioneering work with TPUs, GPUs are an equally vital and rapidly expanding frontier within Google's machine learning infrastructure. GPUs are indispensable to Google’s ever\-evolving landscape for strategic, pragmatic, and performance\-driven reasons — ensuring top performance for our ML models, adapting to ML workloads, achieving results, and influencing next\-gen GPU architectures via strategic partnerships.
 In recognition of hardware as a strength, Google’s Core ML organization is heavily invested in growing a powerhouse team of GPU experts, and we invite you to be at its vanguard! This is your opportunity to move beyond incremental improvements and architect truly transformative solutions, shaping the future of AI and accelerated computing for Google and the world.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channel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optimizations for the latest generation of GPUs that power Google’s most critical products and services, impacting billions of users worldwide.
* Address the most challenging performance bottlenecks through Google’s unparalleled access to the latest generation of GPUs, tooling, and a decade of experience building AI accelerators.
* Drive optimizations across Google’s GPU software stack from ML compiler cost model design to optimizing high performance GPU kernels to cross node model serving configurations.
* Influence the technical direction of the GPU software ecosystem at Google by collaborating with ML, compiler design, and systems architecture teams.
* Influence the deployment of Google’s GPU fleet by working with various product teams across Google.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2">
      <c r="A72" t="inlineStr">
        <is>
          <t>li-4336875692</t>
        </is>
      </c>
      <c r="B72" t="inlineStr">
        <is>
          <t>Senior Generative AI Software Engineer</t>
        </is>
      </c>
      <c r="C72" t="inlineStr">
        <is>
          <t>NVIDIA</t>
        </is>
      </c>
      <c r="D72" t="inlineStr">
        <is>
          <t>linkedin</t>
        </is>
      </c>
      <c r="E72">
        <f>HYPERLINK("https://www.linkedin.com/jobs/view/4336875692", "https://www.linkedin.com/jobs/view/4336875692")</f>
        <v/>
      </c>
      <c r="F72" t="inlineStr"/>
      <c r="G72" t="inlineStr">
        <is>
          <t>Santa Clara, CA</t>
        </is>
      </c>
      <c r="H72" t="inlineStr"/>
      <c r="I72" t="inlineStr">
        <is>
          <t>At NVIDIA, we're not just building the future, we're generating it! Our Cosmos generative AI engineering team is pushing the boundaries of what’s possible across multimodal learning, video generation, synthetic data, intelligent simulation, and agentic systems. We are looking for exceptionally driven engineers and applied scientists with deep experience in generative modeling to help define the next era of AI computing.
**What You'll Be Doing**
* You will own and evolve the Cosmos open\-source and internal research codebases, crafting core infrastructure that supports our foundation model research and deployment.
* Refactor and modularize large research\-driven code into clean, testable, maintainable libraries for use across teams.
* Integrate and adapt off\-the\-shelf models into our pipelines as preprocessors, postprocessors, or evaluation components.
* Build model\-serving endpoints (e.g., with Gradio or FastAPI) to enable researchers and internal users to experiment with models interactively.
* Design, implement, and maintain evaluation pipelines, providing high\-quality tooling to the broader team to measure model quality and track improvements.
* Improve configuration hygiene and reproducibility using systems like Hydra, and ensure smooth overrides, templates, and environment switching.
* Lead efforts in packaging and release of Python modules using modern tools (uv, just, pydantic) for both OSS and internal consumption.
* Set the standard for code health, test coverage, and release readiness across the team. Write documentation and automation to scale good practices.
**What We Need To See**
* Expert\-level proficiency in Python, with a strong foundation in modular design, abstraction boundaries, and collaborative codebase evolution.
* Fluency with PyTorch, including the ability to run, debug, and patch inference\-time model behavior in research\-level codebases. Comfort modifying pre/post\-processors, model wrappers, and checkpoint logic.
* Proven experience in refactoring large codebases—cleaning up legacy implementations, eliminating anti\-patterns, and paying down tech debt to improve long\-term maintainability.
* Strong grasp of configuration systems, especially Hydra, with an emphasis on reproducibility, override logic, and environment scoping.
* Familiarity with Python packaging tools like uv, just, and pydantic, including experience managing environment consistency and shipping libraries as artifacts.
* Strong instincts around code health: API design, directory structure, writing unit and integration tests, exception hygiene, docstrings, and dependency isolation.
* Comfortable deploying models internally via Gradio or similar frameworks to enable interactive evaluation and feedback from researchers or downstream users.
* BS or MS (or equivalent experience) in Computer Science, Software Engineering, or a related technical field and 10\+ years of industry experience.
**Ways To Stand Out From The Crowd**
* Proficiency in model configs, especially Hydra! Comfortable crafting hierarchical config systems with reusable templates, environment scoping, and overrides for evaluation, inference, or release.
* Prior work cleaning up sophisticated generative model codebases—adding tests, improving wrappers, and instrumenting code for observability and debugging.
* Demonstrated success raising engineering quality in a research setting: taking exploratory code and evolving it into a robust, production\-friendly module.
* Track record of mentoring teammates on software engineering best practices and proactively identifying long\-term structural risks in fast\-moving teams.
* Passion for building ML tooling that is not only functional, but also elegant, intuitive, and maintainable by others.
 Your base salary will be determined based on your location, experience, and the pay of employees in similar positions. The base salary range is 224,000 USD \- 356,500 USD for Level 5, and 272,000 USD \- 431,250 USD for Level 6\.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JR2008326</t>
        </is>
      </c>
    </row>
    <row r="73">
      <c r="A73" t="inlineStr">
        <is>
          <t>li-4365288038</t>
        </is>
      </c>
      <c r="B73" t="inlineStr">
        <is>
          <t>Python Software Engineer - Telecoms</t>
        </is>
      </c>
      <c r="C73" t="inlineStr">
        <is>
          <t>D24 Search</t>
        </is>
      </c>
      <c r="D73" t="inlineStr">
        <is>
          <t>linkedin</t>
        </is>
      </c>
      <c r="E73">
        <f>HYPERLINK("https://www.linkedin.com/jobs/view/4365288038", "https://www.linkedin.com/jobs/view/4365288038")</f>
        <v/>
      </c>
      <c r="F73" t="inlineStr"/>
      <c r="G73" t="inlineStr">
        <is>
          <t>New York, United States</t>
        </is>
      </c>
      <c r="H73" t="inlineStr"/>
      <c r="I73" t="inlineStr">
        <is>
          <t>**Edge \+ Backend Software Engineer (Python)** 
 New York (onsite/ Hybrid)
 Up to $200K \+ Equity
 No Visa Sponsorship
 My client is a seed funded start and is building the world's first Connectivity Digital Twin \- an AI\-powered platform that holistically designs and simulates solution architecture for WiFi/cellular networks. They're not building LLM wrappers but real deep tech with geometric computation and GPU\-accelerated simulation.
 They're well\-funded by strong investors with real customers and clear growth trajectory. You'll work with an exceptional team of experienced builders on highly challenging problems in a beautiful Williamsburg office with great perks.
 This is a founding\-level role where you'll own the edge agent and device\-facing middleware while contributing to Python backend systems. You'll architect production\-grade software for real\-world connectivity intelligence.
 We are looking for a Senior Edge \+ Backend Software Engineer with 5\-10 years of experience who has worked with telemetry data and enjoys building across the stack. We are launching a new product that combines hardware and software, and we need an engineer to help us accelerate development and bring specialized expertise to the team.
 What will you be doing?
* Architect and implement a production\-grade edge agent on our hardware that is self\-healing and resilient.
* Own the device\-to\-cloud data schemas and build/operate core Python backend services and data pipelines for secure data ingestion.
* Work on all parts of our new product stack, from the edge agent and data transmission to the backend and front\-end.
* Collaborate with a generalist engineer, bringing specialist knowledge to help the team see '10 steps ahead' in building telemetry\-based systems.
* Contribute to a broad range of tasks as needed, embracing a startup mindset where you might touch a small front\-end feature one day and a deep backend service the next.
 Requirements
 Tech stack
* 5 \- 10 years of experience in backend software engineering, shipping software on Linux
* **Experience working with telemetry data**
 from IoT or telecom devices.
* Experience at a Seed or Series A startup for 2\- 3 years is preferred.
* Experience with wireless technologies (Cellular/Wi\- Fi).
* Technical degree preferably in Computer Science
* **Production experience with Python**
 for services, APIs, and workers.
* Experience shipping software on Linux edge devices.
* Familiarity with OpenWrt, Cellular (QMI/MBIM), or Wi\- Fi (nl80211\) protocols.
- 
 If this sounds like you apply today for immediate consideration!</t>
        </is>
      </c>
    </row>
    <row r="74">
      <c r="A74" t="inlineStr">
        <is>
          <t>li-4354159539</t>
        </is>
      </c>
      <c r="B74" t="inlineStr">
        <is>
          <t>Software Engineer - Kernels</t>
        </is>
      </c>
      <c r="C74" t="inlineStr">
        <is>
          <t>Acceler8 Talent</t>
        </is>
      </c>
      <c r="D74" t="inlineStr">
        <is>
          <t>linkedin</t>
        </is>
      </c>
      <c r="E74">
        <f>HYPERLINK("https://www.linkedin.com/jobs/view/4354159539", "https://www.linkedin.com/jobs/view/4354159539")</f>
        <v/>
      </c>
      <c r="F74" t="inlineStr"/>
      <c r="G74" t="inlineStr">
        <is>
          <t>Mountain View, CA</t>
        </is>
      </c>
      <c r="H74" t="inlineStr"/>
      <c r="I74" t="inlineStr">
        <is>
          <t>**Software Engineer \- Kernel Developer** 
**Mountain View, CA** 
 Acceler8 Talent is seeking an experienced Software Engineer with deep kernel development experience to join a well funded startup whose hardware promises to drastically change the economics of compute for the worlds' largest models.
 With \&gt;$100m series A in the bank, and a genuinely world\-class team with a track record of shipping highly successful products, this company abandons legacy chip design assumptions and strives for the best possible solution for every aspect of their chip \- there is no such thing as "good enough".
 As a Kernel Engineer, you will be responsible for designing and optimizing performance\-critical kernels that interface directly with custom AI hardware. You will work closely with ML Research and Hardware Engineering teams, providing a programmer’s perspective on hardware architecture and ensuring tight integration across the software stack.
**Responsibilities:** 
* Design, implement, and optimize high\-performance kernels that interface directly with custom AI hardware
* Partner closely with ML Research and Hardware Engineering teams to translate algorithmic intent into efficient kernel implementations
* Provide architectural feedback and guidance from a programmer’s perspective to influence hardware and system design decisions
* Optimize kernels using techniques such as parallelism, SIMD/vectorization, low\-level memory optimization, and instruction\-level tuning
* Support performance analysis, profiling, and debugging across kernels, runtime, and hardware
**Requirements:** 
* Bachelor’s degree in Computer Science or equivalent practical experience
* Experience optimizing software for specialized or accelerator hardware, including techniques such as parallel programming, SIMD, low\-level C/C\+\+, assembly\-level optimization, or GPU/CUDA programming
* Proficiency in at least one of: Assembly, C, C\+\+, Zig, or Rust
* Strong understanding of performance bottlenecks across compute, memory, and data movement
**Preferences:** 
* Experience implementing kernels for ML workloads, including models such as Transformers
* Familiarity with distributed and parallel execution models, including AllReduce, AllToAll, data parallelism, and tensor parallelism
* Working knowledge of compiler fundamentals and how code is lowered, optimized, and executed on modern hardware
 If you're interested in building the future of AI compute, apply here or reach out to me at ltomaszko@acceler8talent.com to discuss further.</t>
        </is>
      </c>
    </row>
    <row r="75">
      <c r="A75" t="inlineStr">
        <is>
          <t>li-4332334353</t>
        </is>
      </c>
      <c r="B75" t="inlineStr">
        <is>
          <t>Software Engineer, Embedded, Level 4</t>
        </is>
      </c>
      <c r="C75" t="inlineStr">
        <is>
          <t>Snap Inc.</t>
        </is>
      </c>
      <c r="D75" t="inlineStr">
        <is>
          <t>linkedin</t>
        </is>
      </c>
      <c r="E75">
        <f>HYPERLINK("https://www.linkedin.com/jobs/view/4332334353", "https://www.linkedin.com/jobs/view/4332334353")</f>
        <v/>
      </c>
      <c r="F75" t="inlineStr"/>
      <c r="G75" t="inlineStr">
        <is>
          <t>Los Angeles, CA</t>
        </is>
      </c>
      <c r="H75" t="inlineStr"/>
      <c r="I75"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Spectacles team is pushing the boundaries of technology to bring people closer together in the real world. Our fifth\-generation Spectacles, powered by Snap OS, showcase how standalone, see\-through AR glasses make playing, learning, and working better together.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an Embedded Engineer to join the Spectacles team!
 What you’ll do:
* Lead or participate in the design, architecture and implementation of embedded software in both prototype and shipping consumer products
* Design and implement software or system development components at all layers of the system, e.g. kernel, synchronization primitives, resource allocators, memory management, security, I/O systems, persistence, Camera, Audio etc
* Participate in design reviews, code review with peers and stakeholders to create reliable solutions
* Triage product or system issues and debug/track/resolve by analyzing the sources of issues
 Knowledge, Skills \&amp; Abilities:
* Familiarity with computer system architecture, microprocessor, and microcontroller fundamentals (caches, buses, memory controllers, DMA, etc.)
* Software Development process skills including: source control, bug tracking, and design documentation
* Excellent written and verbal communication skills
* Ability to read schematics and component data sheets
* Strong analytical and software debugging skills
 Minimum Qualifications:
* Bachelor's Degree in a relevant technical field such as computer science or electrical engineering or equivalent
* 3\+ years of experience with embedded software development and ARM architecture
* Proficiency programming in C or C\+\+
 Preferred Qualifications:
* Advanced degree in a relevant field such as computer science or electrical engineering
* Experience in one or more of the following areas: BSP/Board Support Package, Operating Systems, Android/Linux Embedded OS, Graphics, Camera, Audio and Display, with a view towards writing performant and energy efficient solutions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76">
      <c r="A76" t="inlineStr">
        <is>
          <t>li-4346797468</t>
        </is>
      </c>
      <c r="B76" t="inlineStr">
        <is>
          <t>Principal Software Engineer - Dynamo</t>
        </is>
      </c>
      <c r="C76" t="inlineStr">
        <is>
          <t>NVIDIA</t>
        </is>
      </c>
      <c r="D76" t="inlineStr">
        <is>
          <t>linkedin</t>
        </is>
      </c>
      <c r="E76">
        <f>HYPERLINK("https://www.linkedin.com/jobs/view/4346797468", "https://www.linkedin.com/jobs/view/4346797468")</f>
        <v/>
      </c>
      <c r="F76">
        <f>HYPERLINK("https://nvidia.wd5.myworkdayjobs.com/NVIDIAExternalCareerSite/job/US-CA-Santa-Clara/Principal-Software-Engineer\u002d\u002d-Dynamo_JR2010290?source=jobboardlinkedin&amp;urlHash=DkEs", "https://nvidia.wd5.myworkdayjobs.com/NVIDIAExternalCareerSite/job/US-CA-Santa-Clara/Principal-Software-Engineer\u002d\u002d-Dynamo_JR2010290?source=jobboardlinkedin&amp;urlHash=DkEs")</f>
        <v/>
      </c>
      <c r="G76" t="inlineStr">
        <is>
          <t>Santa Clara, CA</t>
        </is>
      </c>
      <c r="H76" t="inlineStr"/>
      <c r="I76" t="inlineStr">
        <is>
          <t>**About**
 NVIDIA Dynamo is an innovative, open\-source platform focused on efficient, scalable inference for large language and reasoning models in distributed GPU environments. By bringing to bear sophisticated techniques in serving architecture, GPU resource management, and intelligent request handling, Dynamo achieves high\-performance AI inference for demanding applications. Our team is addressing the most challenging issues in distributed AI infrastructure, and we’re searching for engineers enthusiastic about building the next generation of scalable AI systems. As a Principal Software Engineer on the Dynamo project, you will address some of the most sophisticated and high\-impact challenges in distributed inference, including:
* Dynamo k8s Serving Platform: Build the Kubernetes deployment and workload management stack for Dynamo to facilitate inference deployments at scale. Identify bottlenecks and apply optimization techniques to fully use hardware capacity.
* Scalability \&amp; Reliability: Develop robust, production\-grade inference workload management systems that scale from a handful to thousands of GPUs, supporting a variety of LLM frameworks (e.g., TensorRT\-LLM, vLLM, SGLang).
* Disaggregated Serving: Architect and optimize the separation of prefill (context ingestion) and decode (token generation) phases across distinct GPU clusters to improve throughput and resource utilization. Contribute to embedding disaggregation for multi\-modal models (Vision\-Language models, Audio Language Models, Video Language Models).
* Dynamic GPU Scheduling: Develop and refine Planner algorithms for real\-time allocation and rebalancing of GPU resources based on fluctuating workloads and system bottlenecks, ensuring peak performance at scale.
* Intelligent Routing: Enhance the smart routing system to efficiently direct inference requests to GPU worker replicas with relevant KV cache data, minimizing re\-computation and latency for sophisticated, multi\-step reasoning tasks.
* Distributed KV Cache Management: Innovate in the management and transfer of large KV caches across heterogeneous memory and storage hierarchies, using the NVIDIA Optimized Transfer Library (NIXL) for low\-latency, cost\-effective data movement.
**What You'll Be Doing**
* Collaborate on the design and development of the Dynamo Kubernetes stack.
* Introduce new features to the Dynamo Python SDK and Dynamo Rust Runtime Core Library.
* Design, implement, and optimize distributed inference components in Rust and Python.
* Contribute to the development of disaggregated serving for Dynamo\-supported inference engines (vLLM, SGLang, TRT\-LLM, llama.cpp, mistral.rs).
* Improve intelligent routing and KV\-cache management subsystems.
* Contribute to open\-source repositories, participate in code reviews, and assist with issue triage on GitHub.
* Work closely with the community to address issues, capture feedback, and evolve the framework’s APIs and architecture.
* Write clear documentation and contribute to user and developer guides.
**What We Need To See**
* BS/MS or higher in computer engineering, computer science or related engineering (or equivalent experience).
* 15\+ years of proven experience in related field.
* Strong proficiency in systems programming (Rust and/or C\+\+), with experience in Python for workflow and API development. Experience with Go for Kubernetes controllers and operators development.
* Deep understanding of distributed systems, parallel computing, and GPU architectures.
* Experience with cloud\-native deployment and container orchestration (Kubernetes, Docker).
* Experience with large\-scale inference serving, LLMs, or similar high\-performance AI workloads.
* Background with memory management, data transfer optimization, and multi\-node orchestration.
* Familiarity with open\-source development workflows (GitHub, continuous integration and continuous deployment).
* Excellent problem\-solving and communication skills.
**Ways To Stand Out From The Crowd**
* Prior contributions to open\-source AI inference frameworks (e.g., vLLM, TensorRT\-LLM, SGLang).
* Experience with GPU resource scheduling, cache management, or high\-performance networking.
* Understanding of LLM\-specific inference challenges, such as context window scaling and multi\-model agentic workflows.
 With highly competitive salaries and a comprehensive benefits package, NVIDIA is widely considered to be one of the technology world's most desirable employers. We have some of the most forward\-thinking and hardworking people in the world working for us and, due to outstanding growth, our special engineering teams are growing fast. If you're a creative and autonomous engineer with a genuine passion for technology, we want to hear from you!
 Your base salary will be determined based on your location, experience, and the pay of employees in similar positions. The base salary range is 272,000 USD \- 431,250 USD.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JR2010290</t>
        </is>
      </c>
    </row>
    <row r="77">
      <c r="A77" t="inlineStr">
        <is>
          <t>li-4362681006</t>
        </is>
      </c>
      <c r="B77" t="inlineStr">
        <is>
          <t>Founding Software Engineer</t>
        </is>
      </c>
      <c r="C77" t="inlineStr">
        <is>
          <t>RemoteHunter</t>
        </is>
      </c>
      <c r="D77" t="inlineStr">
        <is>
          <t>linkedin</t>
        </is>
      </c>
      <c r="E77">
        <f>HYPERLINK("https://www.linkedin.com/jobs/view/4362681006", "https://www.linkedin.com/jobs/view/4362681006")</f>
        <v/>
      </c>
      <c r="F77" t="inlineStr"/>
      <c r="G77" t="inlineStr"/>
      <c r="H77" t="inlineStr"/>
      <c r="I77" t="inlineStr">
        <is>
          <t>About the Opportunity:
 This team is seeking a Founding Software Engineer to build the core agentic AI engine of their product. The role involves designing and shipping AI systems that perform real\-world tasks end\-to\-end. It focuses on building reliable, production\-grade AI workflows to solve concrete customer problems, working directly with founders and the CTO.
 Responsibilities:
 • Design and develop AI agents that plan, execute, and verify complex real\-world processes
 • Build production\-grade AI workflows for audit and other enterprise applications
 • Shape core product architecture and influence AI agent behavior
 • Collaborate closely with users to iterate rapidly and ship impactful features
 • Take high ownership of early\-stage product development
 Requirements:
 • Minimum 3 years of software engineering experience
 • Experience with applied AI engineering and full\-stack development
 • Skilled in building production\-grade agentic AI systems
 • Ability to design and ship core AI engine features
 • Comfortable working in ambiguous environments with practical problem solving and product focus
 Interview Process:
 • Phone Screen: Informal conversation with a founder to discuss background, goals, and product vision
 • Remote Technical Screen (1 hour): Hands\-on session solving practical problems; language\-agnostic, preferred tools allowed
 • Onsite Interview (Half Day): Collaboration on end\-to\-end feature\-building exercises, discussion of roadmap and culture
 • Typical timeline: 1 to 2 weeks, accommodating candidates with tight schedules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8">
      <c r="A78" t="inlineStr">
        <is>
          <t>li-4362187129</t>
        </is>
      </c>
      <c r="B78" t="inlineStr">
        <is>
          <t>Associate Software Engineer II</t>
        </is>
      </c>
      <c r="C78" t="inlineStr">
        <is>
          <t>SPS Commerce</t>
        </is>
      </c>
      <c r="D78" t="inlineStr">
        <is>
          <t>linkedin</t>
        </is>
      </c>
      <c r="E78">
        <f>HYPERLINK("https://www.linkedin.com/jobs/view/4362187129", "https://www.linkedin.com/jobs/view/4362187129")</f>
        <v/>
      </c>
      <c r="F78">
        <f>HYPERLINK("https://spscommerce.wd108.myworkdayjobs.com/SPS/job/US-MN-Minneapolis-Office/Associate-Software-Engineer-II_R-000160?source=LinkedIn&amp;urlHash=zcMf", "https://spscommerce.wd108.myworkdayjobs.com/SPS/job/US-MN-Minneapolis-Office/Associate-Software-Engineer-II_R-000160?source=LinkedIn&amp;urlHash=zcMf")</f>
        <v/>
      </c>
      <c r="G78" t="inlineStr">
        <is>
          <t>Minneapolis, MN</t>
        </is>
      </c>
      <c r="H78" t="inlineStr"/>
      <c r="I78" t="inlineStr">
        <is>
          <t>**Description**
 SPS Commerce is a leading provider of cloud\-based supply chain management solutions, serving a global network of retail trading partners. We foster a collaborative and inclusive work environment where innovation and continuous improvement are highly valued. Join SPS Commerce and be part of a dynamic team that's transforming the global retail supply chain!
**Position Summary**
 SPS Commerce is seeking an Associate Software Engineer II to join our Developer Productivity Engineering (DPE) team. In this role, your customers are fellow engineers. You will build the tools, platforms, and patterns that help our development teams move faster and focus on meaningful work. If you are driven to simplify complex problems and are curious about how AI and automation can improve the way engineers work, the DPE team offers a unique environment to grow your career while making a direct impact on our technical ecosystem.
 We are looking for a collaborative learner with a foundational understanding of Agile, cloud, and DevOps practices. You enjoy breaking down technical challenges into manageable solutions and care deeply about advocating for the developer experience. As a customer\-centric problem\-solver, you are excited to apply new technologies to real\-world systems and value a culture of continuous feedback. If you are early in your career and ready to grow within a supportive, evolving team, you’ll thrive in this role.
**Key Responsibilities**
* Contribute to the design, development, testing, and debugging of new and existing software.
* Write clean, maintainable code and automated tests following established best practices.
* Participate in code reviews and pair programming to learn and share knowledge.
* Help build and enhance services, tools, and components using modern frameworks and cloud platforms.
* Learn how systems are monitored, supported, and operated in production environments.
* Participate in Agile ceremonies such as sprint planning, estimation, and retrospectives.
* Work with teammates and cross\-functional partners in areas like cloud automation, usability, and reliability.
* Help reduce complexity and manual effort through automation and reusable patterns.
**Required Qualifications**
* Bachelor's degree in computer science, Engineering, or a related field and 0–2 years of professional software development experience, or equivalent practical experience.
* Foundational programming experience in C\# and/or .Net but open to one or more other programming languages such as JavaScript, Java, Python, Go, or Node.js.
* Experience or knowledge of working in AWS environment
* Experience or knowledge of Kubernetes
* Familiarity with Agile development practices.
* Experience using version control tools such as Git.
* Strong communication skills and the ability to work effectively in a collaborative team environment.
* Willingness to learn new tools, technologies, and development patterns.
**Preferred Experience**
* Experience with CI/CD tools or pipelines (GitHub, Azure DevOps, etc.).
* Basic understanding of RESTful APIs and OpenAPI specifications.
* Exposure to build tools like Gradle or Maven.
* Interest in developer tooling, automation, or platform engineering.
 Note: You don’t need to check every box above to be successful in this role. We’re looking for engineers with strong fundamentals, curiosity, and a desire to grow.
**Location:**
 This role follows a hybrid work model, working 1 \- 2 days per week at our Minneapolis office.
**What We Offer**
 At SPS Commerce, we are committed to ensuring that each employee's compensation reflects their unique experiences, performance, and skills in their role. The salary range for this role considers several factors, including education, relevant skills, work history, certifications, location, and more.
 The annual salary range for this role is: $86,000 \- $95,000\. The actual salary offered will be determined based on the factors listed above and may fall anywhere within the range.
 SPS Commerce offers a comprehensive benefits package designed to support employees’ health, well\-being, and financial security. Benefits are country\-specific and aligned with local laws and market practices.
**Commitment To Our Employees**
 At SPS we power connections that drive the world of commerce forward, and our success depends on making strong decisions, fostering innovation, delivering unparalleled customer solutions, and driving outstanding business performance. We achieve this by creating an environment where every employee feels a true sense of belonging. We embrace diversity, equity, and inclusion, ensuring everyone feels accepted, valued, and empowered to make a meaningful impact.
 We are committed to affirmative action and equal opportunity in all aspects of employment. All qualified applicants will receive consideration for employment without regard to race, color, religion, sex, sexual orientation, gender identity, national origin, disability, or status as a protected veteran.</t>
        </is>
      </c>
    </row>
    <row r="79">
      <c r="A79" t="inlineStr">
        <is>
          <t>li-4362197417</t>
        </is>
      </c>
      <c r="B79" t="inlineStr">
        <is>
          <t>Senior Software Engineer, GPU Performance</t>
        </is>
      </c>
      <c r="C79" t="inlineStr">
        <is>
          <t>Google</t>
        </is>
      </c>
      <c r="D79" t="inlineStr">
        <is>
          <t>linkedin</t>
        </is>
      </c>
      <c r="E79">
        <f>HYPERLINK("https://www.linkedin.com/jobs/view/4362197417", "https://www.linkedin.com/jobs/view/4362197417")</f>
        <v/>
      </c>
      <c r="F79" t="inlineStr"/>
      <c r="G79" t="inlineStr">
        <is>
          <t>Sunnyvale, CA</t>
        </is>
      </c>
      <c r="H79" t="inlineStr"/>
      <c r="I7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New York, NY, USA; Seattle, WA, USA** 
 .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Experience with modern GPU architectures (NVIDIA, AMD, or other AI accelerators), memory hierarchies, and performance bottlenecks.
* Experience low\-level GPU programming (CUDA, Triton, CUTLASS, etc.) and performance engineering techniques.
* Experience with modern LLMs and their deployment on AI accelerators.
**Preferred qualifications:**
* Master's degree or PhD in Computer Science or related technical field.
* 5 years of experience with data structures and algorithms.
* 1 year of experience in a technical leadership role.
* Experience with compiler optimization, code generation, and runtime systems for GPU architectures (OpenXLA, MLIR, Triton, etc.).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While known for pioneering work with TPUs, GPUs are an equally vital and rapidly expanding frontier within Google's machine learning infrastructure. GPUs are indispensable to Google’s ever\-evolving landscape for strategic, pragmatic, and performance\-driven reasons — ensuring top performance for our ML models, adapting to ML workloads, achieving results, and influencing next\-gen GPU architectures via strategic partnerships.
 In recognition of hardware as a strength, Google’s Core ML organization is heavily invested in growing a powerhouse team of GPU experts, and we invite you to be at its vanguard! This is your opportunity to move beyond incremental improvements and architect truly transformative solutions, shaping the future of AI and accelerated computing for Google and the world.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channel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optimizations for the latest generation of GPUs that power Google’s most critical products and services, impacting billions of users worldwide.
* Address the most challenging performance bottlenecks through Google’s unparalleled access to the latest generation of GPUs, tooling, and a decade of experience building AI accelerators.
* Drive optimizations across Google’s GPU software stack from ML compiler cost model design to optimizing high performance GPU kernels to cross node model serving configurations.
* Influence the technical direction of the GPU software ecosystem at Google by collaborating with ML, compiler design, and systems architecture teams.
* Influence the deployment of Google’s GPU fleet by working with various product teams across Google.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0">
      <c r="A80" t="inlineStr">
        <is>
          <t>li-4315023970</t>
        </is>
      </c>
      <c r="B80" t="inlineStr">
        <is>
          <t>Sr. Software Engineer (.NET/C#)</t>
        </is>
      </c>
      <c r="C80" t="inlineStr">
        <is>
          <t>Vertafore</t>
        </is>
      </c>
      <c r="D80" t="inlineStr">
        <is>
          <t>linkedin</t>
        </is>
      </c>
      <c r="E80">
        <f>HYPERLINK("https://www.linkedin.com/jobs/view/4315023970", "https://www.linkedin.com/jobs/view/4315023970")</f>
        <v/>
      </c>
      <c r="F80" t="inlineStr"/>
      <c r="G80" t="inlineStr">
        <is>
          <t>Melville, NY</t>
        </is>
      </c>
      <c r="H80" t="inlineStr"/>
      <c r="I80" t="inlineStr">
        <is>
          <t>$95000 \- $135000 / year
 Vertafore is a leading technology company whose innovative software solutions are advancing the insurance industry. Our suite of products provides solutions to our customers that help them better manage their business, boost their productivity and efficiencies, and lower costs while strengthening relationships.
 Our mission is to move InsurTech forward by putting people at the heart of the industry. We are leading the way with product innovation, technology partnerships, and focusing on customer success.
 Our fast\-paced and collaborative environment inspires us to create, think, and challenge each other in ways that make our solutions and our teams better.
 We are headquartered in Denver, Colorado, with offices across the U.S., Canada, and India.
**Job Description**
 As a Sr. Software Engineer, you will shape and improve the experience of key Vertafore customers. You will work cross\-functionally across Vertafore, including Customer Support, Account Management, Product Management and Product Development to help guide customers and also contribute to the future growth of your team.
 You will work with a fast\-paced, skilled team of business analysts, conversion engineers, developers and quality assurance engineers across multiple high\-profile projects with development responsibility of assigned projects. Much of your success in this role will be dependent upon timely, clear, concise and effective verbal and written communication along with development of solutions that fully meet customer expectations with no/minimal defects or rework.
 Although not a primary duty compared to developing and supporting code, a software engineer at Vertafore also works directly with customers as part of a cross\-functional team, which means you need to be a proactive self\-starter, able to multi\-task in a fast\-paced environment and be service\-focused to help nurture the customer experience. Additionally, you're a mentor and consultant, as well as a customer champion within Vertafore.
**Core Requirements And Responsibilities**
 Essential job functions included but are not limited to the following:
* Innovates and crafts clean code
* Confidently work with customers to describe technical concepts and recommend appropriate solutions whether pure custom or a mix of custom and core Vertafore products
* Assist business analysts as needed with reviewing request information and documenting solution designs that align with customer expectations and business objectives/requirements
* Document, architect and develop forward thinking technical specifications and solutions based on provided business requirements and/or specifications
* Create advanced tables, views, stored procedures, indexes, constraints, cursors, user defined functions and triggers using T\-SQL and SSMS
* Optimize query performance and tuning indexes using Query Analyzer and other tools
* Extract, transform and load (ETL) data
* Responsible for interface design, documentation and unit testing
* Develop automated solution deployments as appropriate
* Deploy developed solutions within non\-production environments and assist with Vertafore production release deployments
* Working on/with small teams and completing tasks quickly with minimal supervision
* Leading junior developers and providing proactive feedback to senior leadership
* Mitigates the impact of technical decisions across the entire product
* Drives and manages design conversations for features considering business need
* Defines and creates artifacts/documents that are valuable to the team and external stakeholders
* Incorporate new approaches, languages, and technologies into the team
* Develops new features and supporting/bug fixing existing features
* Diagnosis and troubleshoots issues across the whole stack – OS, DB, applications, JavaScript, and network; Provides solutions for complex, ambiguous problems through multiple stacks and products
* Ensures quality of code within the team written or reviewed
* Contributes to defining and enforcing procedures, standards, and methodologies related to software development
* Is as a role model and mentors other team members technically and culturally
* Follows industry trends and the open\-source community
* Interacts with customers to gather insights and translate technical concepts
* Other duties as assigned
**Knowledge, Skills And Abilities**
* Advanced troubleshooting experience and resolving production issues
* Excellent written and verbal communication skills (internal and external customers/partners)
* Ability to work within a team in a collaborative manner
* Willingness to learn new technologies and experiment with innovation
* Self\-starter who is detail\-oriented, quick\-learner and deadline\-driven
* Advanced communication and interpersonal skills, able to diffuse tension and drive productive conversations, internally and externally.
* Strategic problem solver with excellent analytical and critical thinking skills
* An innate curiosity about how things work; Proactively acquires new skills and learns new tools and technologies to troubleshoot complex issues.
* Comfortable and effective at making decisions across the product that help long\-term maintainability, reuse, security. and performance
* Applies knowledge gained and is effective at knowledge\-sharing and assisting other team members.
* Able to work with global, distributed teams
* In\-tune with high performance and high availability design/programming
* Highly proficient with multiple database technologies
* Strong in both design and implementation at an enterprise level
* Communicate clearly to explain and defend design decisions
* Desire to collaborate with the business, designing pragmatic solutions
**Qualifications**
* Bachelor's degree in computer related field
* Minimum 5 years of professional experience with Java/.NET and common frameworks.
* Experience working in an Agile environment required
* 3\+ years of experience in security best practices for software and data platforms required
* 3\+ years of experience with Restful APIs required
* 3\+ years of experience with design, architecture, and implementation at an enterprise level required
* Experience with Angular or similar technology preferred3\+ years of experience with database technologies (e.g., Oracle, SQLServer, PostgreSQL, NoSQL, Cassandra, etc.)
* Experience with Identity and Access Management preferred
**Additional Requirements And Details**
* Travel required up to 10% of the time.
* WFH Flexible
* Occasional lifting and/or moving up to 10 pounds.
* Frequent repetitive hand and arm movements required to operate a computer.
* Specific vision abilities required by this job include close vision (working on a computer, etc.).
* Frequent sitting and/or standing.
**THE VERTAFORE STORY**
 Over the past 50 years, Vertafore has advanced the entire insurance distribution channel with the best software solutions in the industry. Today, we’re proud to say hundreds of thousands of Vertafore users rely on our solutions to write business faster, reduce costs, and fuel growth by increasing collaboration and streamlining processes. Vertafore leads the industry with secure, cloud\-based mobile products that provide superior reporting and analytics, delivering actionable insight— right when customers need it most. We partner with other leading technology companies to deliver comprehensive solutions to improve the way our customers do business and serve their customers.
**The Vertafore Way**
 Insurance is about relationships, and technology should make those relationships stronger. That’s why, at Vertafore, it’s our mission to transform the way the industry operates by putting people at the heart of insurance technology. By focusing on our customers, becoming better every day, and delivering results you can see, we provide the level of trust and security that insurance is all about.
* Bias to Action: We're united by an innate drive to take action and make a difference in the technology and insurance spaces.
* Win Together: We work together as one team, showing empathy and respect along the way.
* Show Up Curious: We work to challenge one another to push boundaries and think beyond the box.
* Say It, Do It: We honor every one of our commitments because integrity is important to us.
* Customer Success is Our Success: We cultivate authentic relationships and follow up by actively listening to their needs.
* We Love Insurance: We appreciate the impact insurance has on the world.
 Is this role not an exact fit for you? Keep an eye on our Careers Page for other positions!
 Vertafore is a drug free workplace and conducts preemployment drug and background screenings .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We do not accept resumes from agencies, headhunters, or other suppliers who have not signed a formal agreement with us.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t>
        </is>
      </c>
    </row>
    <row r="81">
      <c r="A81" t="inlineStr">
        <is>
          <t>li-4365295359</t>
        </is>
      </c>
      <c r="B81" t="inlineStr">
        <is>
          <t>Lead Software Engineer</t>
        </is>
      </c>
      <c r="C81" t="inlineStr">
        <is>
          <t>undisclosed</t>
        </is>
      </c>
      <c r="D81" t="inlineStr">
        <is>
          <t>linkedin</t>
        </is>
      </c>
      <c r="E81">
        <f>HYPERLINK("https://www.linkedin.com/jobs/view/4365295359", "https://www.linkedin.com/jobs/view/4365295359")</f>
        <v/>
      </c>
      <c r="F81" t="inlineStr"/>
      <c r="G81" t="inlineStr"/>
      <c r="H81" t="inlineStr"/>
      <c r="I81" t="inlineStr">
        <is>
          <t>**Overview** 
 Our client is seeking a
 **Lead Software Engineer** 
 to drive the design, development, and delivery of scalable, high\-quality software solutions that support business growth and innovation. This role will lead technical execution, mentor engineers, and collaborate closely with Product, Design, and DevOps teams to translate business requirements into robust technical solutions.
 The ideal candidate is a hands\-on technical leader with strong architectural judgment, a passion for clean and maintainable code, and the ability to guide teams in a fast\-paced, collaborative environment.
**Key Responsibilities** 
* Lead the design and development of scalable, secure, and high\-performance software applications.
* Provide technical leadership and mentorship to software engineers, promoting best practices and code quality.
* Collaborate with Product Managers, Designers, and stakeholders to translate business requirements into technical solutions.
* Own system architecture decisions, technical roadmaps, and engineering standards.
* Review code, guide implementation patterns, and ensure adherence to software development best practices.
* Drive continuous improvement in development processes, tooling, and system reliability.
* Partner with DevOps teams to support CI/CD pipelines, cloud infrastructure, and system observability.
* Identify and resolve complex technical issues, performance bottlenecks, and scalability challenges.
* Contribute hands\-on code while balancing leadership and strategic responsibilities.
**Operating Context** 
* Operates in a fast\-paced, technology\-driven environment with evolving product and platform needs.
* Works cross\-functionally with Product, Design, Data, QA, and DevOps teams.
* Balances hands\-on development with leadership, planning, and architectural responsibilities.
* May work in a remote or hybrid setup using modern collaboration and engineering tools.
**Required Skills** 
* Strong experience in software engineering with a focus on scalable, production\-grade systems.
* Proficiency in one or more backend or full\-stack languages (e.g., Java, Python, JavaScript/TypeScript, C\#, or similar).
* Experience designing APIs, microservices, and distributed systems.
* Solid understanding of system architecture, design patterns, and performance optimization.
* Experience with databases (SQL and NoSQL) and data modeling.
* Familiarity with cloud platforms (AWS, Azure, or GCP) and modern DevOps practices.
* Strong leadership, problem\-solving, and decision\-making skills.
* Excellent communication skills, able to work effectively with technical and non\-technical stakeholders.
**Preferred Qualifications** 
* 6–10 years of professional software development experience, including time in a senior or lead role.
* Experience in SaaS, cloud\-native, or data\-intensive environments.
* Familiarity with containerization and orchestration tools (Docker, Kubernetes).
* Experience with CI/CD pipelines, automated testing, and observability tools.
* Background in Agile or Scrum development methodologies.
* Exposure to frontend frameworks (React, Angular, Vue) is a plus.
**Success Metrics** 
* Timely delivery of high\-quality, scalable software solutions.
* Code quality, system reliability, and performance of applications owned by the team.
* Effectiveness of technical leadership, mentorship, and team development.
* Stakeholder satisfaction with technical solutions and execution.
* Measurable impact of engineering initiatives on product stability and business outcomes.
**Please Read Before Applying** 
 This posting is part of the
 **MobiusEngine.ai Talent Network** 
 and does not represent a single, guaranteed role with one specific company.
**By applying, you:** 
* Join our talent network for current and future opportunities with our hiring partners.
* May receive feedback on your resume and job search approach.
* Will be contacted directly when a live opportunity aligns with your experience and preferences.</t>
        </is>
      </c>
    </row>
    <row r="82">
      <c r="A82" t="inlineStr">
        <is>
          <t>li-4365319573</t>
        </is>
      </c>
      <c r="B82" t="inlineStr">
        <is>
          <t>Software Engineer</t>
        </is>
      </c>
      <c r="C82" t="inlineStr">
        <is>
          <t>MTK Technologies</t>
        </is>
      </c>
      <c r="D82" t="inlineStr">
        <is>
          <t>linkedin</t>
        </is>
      </c>
      <c r="E82">
        <f>HYPERLINK("https://www.linkedin.com/jobs/view/4365319573", "https://www.linkedin.com/jobs/view/4365319573")</f>
        <v/>
      </c>
      <c r="F82">
        <f>HYPERLINK("https://candidateportalnew.ceipal.com/job-details/u6lQmyfVqFjS05Pk510sYNfjJvNNT3rYArH07Syv_eY&amp;urlHash=sgJN", "https://candidateportalnew.ceipal.com/job-details/u6lQmyfVqFjS05Pk510sYNfjJvNNT3rYArH07Syv_eY&amp;urlHash=sgJN")</f>
        <v/>
      </c>
      <c r="G82" t="inlineStr">
        <is>
          <t>New Jersey, United States</t>
        </is>
      </c>
      <c r="H82" t="inlineStr"/>
      <c r="I82" t="inlineStr">
        <is>
          <t>**Role: ServiceNow Lead with Financial Service Operation** 
**Location: Remote** 
**Duration: Fulltime** 
 In this role, you will be the technical owner and manage a team of developers, assign their tasks and provide technical guidance as needed.
**Responsibilities** 
* You are the technical owner and manage a team of developers, assign their tasks and provide technical guidance as needed.
* Mentor and lead a team of developers.
* Participate in requirement discovery with clients, design and develop solutions for the ServiceNow platform, ranging from current feature enhancements and bug fixes to full application suite deployment.
* Carry out agile sprint\-defined development tasks to support release cycles, including execution of development, unit testing, functional testing, and overall peer review of team member work.
* Reviews design and code per sprint to ensure quality.
* Creation and customization of complex workflows and custom workflow activities.
* Coordinate with Client, Architects, Business Analysts, and developers to translate business requirements to technical requirements and development tasks.
* Contribute and review user stories.
* Build and maintain technical documentation.
* Monitor health, usage, and overall compliance of ServiceNow and its applications
* Develop a keen understanding of the products we implement and client business.
* Provide production support and be able to resolve problems under pressure.
* Assists in project estimation.
* Participate in regular Knowledge Transfer sessions with ServiceNow Developers
* Stay current with new and updated capabilities of the ServiceNow Platform
* Coordinate upgrades to Production and Sub\-Production instances
* Coordinate sub\-production testing, evaluation, and regression remediation
* Participate in blueprinting workshops and contribute with documentation and effort estimation.
* Support COE in continuous development of training paths for professional advancement.
* Contribute to ongoing definition of best development and solution practices.
* Lead training workshops as mean to spread experiences gained across the practice.
 Minimum Qualifications / Skills
* Relevant experience ServiceNow Development.
* Demonstrate prior experience in leading client projects as a technical lead.
* Certified System Administrator (CSA) plus one mainline Implementor certifications (FSO/CSM / HRSD/ITSM/GRC etc.).
* Compulsory Financial Services Operations Professional Built with Visa (FSO) to be
* used as a case management tool that will support dispute and fraud claims processing for Mastercard and Visa Credit, Debit, and ATM transactions preferred.
* One greenfield implementation of any ServiceNow module.
* Strong hand\-on experience in Java scripting, debugging and deployment using update sets for new applications, enhancements, and version upgrades
* Hands\-on Experience working with Business Rules, Client Scripts, UI Policies, UI Scripts, UI Actions, UI Pages, Script Includes, Access Control Lists, API’s, Service Portal etc...
* Experience in Integration with 3
 *rd* 
 party tools using Rest, SOAP, Scripted and Flow/Integration Hub.
* Good understanding of ServiceNow Best practices in scripting, integration.
* Experience in deploying code from Lower instance to Production.
* Experience in Cloning and Upgrades.
* Excellent communication Skills for client facing roles.
* Good management, analytics, problem solving \&amp; interpersonal skills
* Self\-motivated, Positive outlook \&amp; result oriented
**Preferred Qualifications/ Skills** 
* Knowledge of Azure DevOps/ TFS / Jira / Rally Etc..</t>
        </is>
      </c>
    </row>
    <row r="83">
      <c r="A83" t="inlineStr">
        <is>
          <t>li-4362616092</t>
        </is>
      </c>
      <c r="B83" t="inlineStr">
        <is>
          <t>Software Engineer II - Pricing (REMOTE)</t>
        </is>
      </c>
      <c r="C83" t="inlineStr">
        <is>
          <t>RemoteHunter</t>
        </is>
      </c>
      <c r="D83" t="inlineStr">
        <is>
          <t>linkedin</t>
        </is>
      </c>
      <c r="E83">
        <f>HYPERLINK("https://www.linkedin.com/jobs/view/4362616092", "https://www.linkedin.com/jobs/view/4362616092")</f>
        <v/>
      </c>
      <c r="F83" t="inlineStr"/>
      <c r="G83" t="inlineStr"/>
      <c r="H83" t="inlineStr"/>
      <c r="I83" t="inlineStr">
        <is>
          <t>About the Opportunity:
 The organization focuses on leveraging sports to positively impact lives by equipping athletes to achieve their dreams. This role as a Software Engineer II on the Pricing team involves designing, developing, and maintaining distributed backend systems that enable pricing capabilities. The position emphasizes collaboration, full software development lifecycle participation, and building scalable, event\-driven systems using Microservices, Data Pipelines, and Producer\-Consumer architectures.
 Responsibilities:
 • Develop and enhance existing software; design new software to meet performance, security, and reliability standards
 • Monitor and resolve complex software defects, supporting junior team members
 • Produce concepts and prototypes for digital product/service design
 • Research and recommend optimizations to improve user and business outcomes
 • Manage software maintenance roadmap aligned with business priorities
 • Diagnose faults and implement timely resolutions
 • Assign and schedule short\-term team tasks based on backlog priorities
 • Participate in assessment, development planning, and training to grow team capabilities
 • Stay current with relevant technology, regulations, and industry best practices
 • Support program management goals within established plans
 • Guide database design and optimize database solutions for performance
 • Support collection and analysis of functional and technical requirements
 Requirements:
 • 1\+ years of software development experience with backend exposure
 • Strong understanding of web technologies and asynchronous programming
 • Experience building and consuming RESTful APIs
 • Familiarity with agile development methodologies
 • Collaborative mindset with eagerness to learn and support teammates
 • Strong problem\-solving skills and attention to detail
 • Experience or passion for pair programming and collaborative problem solving
 • Preferred experience with:
 \- Backend: Java/Kotlin, Spring Boot
 \- Testing: Unit testing frameworks, test coverage tools
 \- DevOps: Docker, Kubernetes, CI/CD pipelines
 \- Cloud platforms (AWS, GCP, Azure)
 \- Messaging/Event systems (Kafka, RabbitMQ)
 \- Version control with Git workflows
 \- Databases: Postgres and Elastic Search
 Benefits \&amp; Perks:
 • Collaborative and innovative team environment focused on continuous learning and growth
 • Opportunity to work on projects impacting pricing strategies and customer experience
 • Flexible remote work with access to on\-site amenities at a Pittsburgh campus
 • Career growth opportunities through mentorship, training, and advancement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4">
      <c r="A84" t="inlineStr">
        <is>
          <t>li-4346716501</t>
        </is>
      </c>
      <c r="B84" t="inlineStr">
        <is>
          <t>Lead Software Engineer - Data / Agentic AI</t>
        </is>
      </c>
      <c r="C84" t="inlineStr">
        <is>
          <t>BMC Software</t>
        </is>
      </c>
      <c r="D84" t="inlineStr">
        <is>
          <t>linkedin</t>
        </is>
      </c>
      <c r="E84">
        <f>HYPERLINK("https://www.linkedin.com/jobs/view/4346716501", "https://www.linkedin.com/jobs/view/4346716501")</f>
        <v/>
      </c>
      <c r="F84" t="inlineStr"/>
      <c r="G84" t="inlineStr">
        <is>
          <t>Santa Clara, CA</t>
        </is>
      </c>
      <c r="H84" t="inlineStr"/>
      <c r="I84" t="inlineStr">
        <is>
          <t>**Description and Requirements**
**"At BMC trust is not just a word \- it's a way of life!"** 
**Description And Requirements**
 CareerArc Code
 CA\-BS
**Hybrid**
**"At BMC trust is not just a word \- it's a way of life!"**
 We are an award\-winning, equal opportunity, culturally diverse, fun place to be. Giving back to the community drives us to be better every single day. Our work environment allows you to balance your priorities, because we know you will bring your best every day. We will champion your wins and shout them from the rooftops. Your peers will inspire, drive, support you, and make you laugh out loud!
 We help our customers free up time and space to become an Autonomous Digital Enterprise that conquers the opportunities ahead \- and are relentless in the pursuit of innovation!
 We are looking for a Lead Product Developer to help build our next\-generation Agentic\-AI data management platform from 0–1\. This is a hands\-on, delivery\-focused role for a senior engineer who thrives in early\-stage environments, wears multiple hats, and takes pride in shipping real products used by external enterprise customers.
 You will work closely with an established architect and other senior engineers, contribute to technical and architectural decisions, and spend the majority of your time designing, building, and evolving the product itself. Success is measured by the quality, reliability, and extensibility of what ships, and by steady progress toward a production\-ready MVP.
**Here is how, through this role, you will contribute to BMC’s and your own success:**
* Product Engineering (Primary Focus) \- Design, build, and iterate on core components of a data automation and data management platform, taking features from concept through production in a 0–1 product environment.
* Hands\-on Development \- Spend most of your time writing high\-quality Python code, reviewing pull requests, and improving existing systems, with a strong bias toward simplicity, maintainability, and delivery.
* Technical \&amp; Architecture Collaboration \- Work alongside the product architect to contribute to system design discussions, evaluate trade\-offs, and evolve the technical direction as the product matures and real customer constraints emerge.
* Data Platform Capabilities \- Implement capabilities around data orchestration, data lineage, observability, governance, and resilience, with a practical understanding of how enterprise customers operate data platforms at scale.
* Integration \&amp; Cloud Enablement \- Build integrations with cloud platforms (AWS, Azure, GCP) and enterprise systems to support automation and deployment in real\-world customer environments.
* Engineering Practices \- Contribute to pragmatic engineering standards, including CI/CD, automated testing, and DevOps practices, appropriate for a fast\-moving, early\-stage product team.
* Product Collaboration \- Partner closely with product management to translate product requirements into working software, provide implementation feedback, and support rapid learning from customer feedback.
* Ownership \&amp; Execution \- Take ownership of features and subsystems end\-to\-end, proactively identifying gaps and moving work forward even when requirements are incomplete or evolving.
**To ensure you’re set up for success, you will bring the following skillset \&amp; experience:**
* 8\+ years of professional software development experience, including time spent building and shipping B2B products for external customers.
* Strong proficiency in Python, with hands\-on experience delivering and maintaining production\-grade systems.
* Solid experience with data products, particularly in one or more of the following areas:
+ Data orchestration
+ Data management platforms
+ Data lineage, observability, or governance
* Good system design skills, with the ability to make sensible trade\-offs between short\-term delivery and longer\-term platform evolution.
* Comfort operating in ambiguous, startup\-style environments where priorities evolve and engineers are expected to lead through execution.
* Strong communication skills and the ability to collaborate effectively with engineers, product managers, and other stakeholders.
**Broad Technical Exposure (depth Not Required In All Areas)**
* Experience working with cloud platforms (AWS, Azure, GCP).
* Familiarity with containerization and distributed systems (e.g., Docker, Kubernetes, microservices).
* Exposure to a range of data technologies such as relational databases, cloud data warehouses, data transformation frameworks, and object storage.
* Working knowledge of CI/CD pipelines and DevOps practices.
**Whilst these are nice to have, our team can help you develop in the following skills:**
* Experience building or extending workflow orchestration platforms (e.g., Airflow, Dagster, Prefect), including custom operators and production deployments.
* Experience contributing to or commercializing open\-source software.
* Familiarity with AI/ML concepts, including how emerging technologies (such as LLMs) could enhance automation or developer productivity in data platforms.
**Our commitment to you!**
 BMC’s culture is built around its people. We have 6000\+ brilliant minds working together across the globe. You won’t be known just by your employee number, but for your true authentic self. BMC lets you be YOU!
 If after reading the above, You’re unsure if you meet the qualifications of this role but are deeply excited about BMC and this team, we still encourage you to apply! We want to attract talents from diverse backgrounds and experience to ensure we face the world together with the best ideas!
 BMC is committed to equal opportunity employment regardless of race, age, sex, creed, color, religion, citizenship status, sexual orientation, gender, gender expression, gender identity, national origin, disability, marital status, pregnancy, disabled veteran or status as a protected veteran. If you need a reasonable accommodation for any part of the application and hiring process, visit the accommodation request page.
 BMC Software maintains a strict policy of not requesting any form of payment in exchange for employment opportunities, upholding a fair and ethical hiring process.
 The annual base salary range represents the low and high end of the BMC salary range for this position. Actual salaries depend on a wide range of factors that are considered in making compensation decisions, including but not limited to skill sets; experience and training, licensure, and certifications; and other business and organizational needs.
 The range listed is just one component of BMC's employee compensation package. Other rewards may include a variable plan and country specific benefits.
 At BMC, it is not typical for an individual to be hired at /near the top of the range. A reasonable estimate of the current range is $148,800 \- $248,000</t>
        </is>
      </c>
    </row>
    <row r="85">
      <c r="A85" t="inlineStr">
        <is>
          <t>li-4319223908</t>
        </is>
      </c>
      <c r="B85" t="inlineStr">
        <is>
          <t>Senior C++ Software Engineer</t>
        </is>
      </c>
      <c r="C85" t="inlineStr">
        <is>
          <t>Axon</t>
        </is>
      </c>
      <c r="D85" t="inlineStr">
        <is>
          <t>linkedin</t>
        </is>
      </c>
      <c r="E85">
        <f>HYPERLINK("https://www.linkedin.com/jobs/view/4319223908", "https://www.linkedin.com/jobs/view/4319223908")</f>
        <v/>
      </c>
      <c r="F85" t="inlineStr"/>
      <c r="G85" t="inlineStr">
        <is>
          <t>Sterling, VA</t>
        </is>
      </c>
      <c r="H85" t="inlineStr"/>
      <c r="I85"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We are seeking an innovative C\+\+ Developer to join our team focused on enhancing computer vision and camera tracking technology for drone detection and mitigation. In this role, you will play a key part in developing and optimizing high\-performance software, contributing to cutting\-edge solutions that protect airspace and bolster security.
 This position offers the opportunity to deepen your expertise in parallel processing and high\-performance computing, with exposure to CUDA programming, positioning you at the forefront of technological advancements and career growth in the high\-tech and defense sectors.
**What You’ll Do**
**Location:** 
 Onsite in our office in Sterling, VA four days per week
**Reports to:** 
 Senior Software Engineering Manager
* Design, develop, and optimize C\+\+ code for computer vision and camera tracking systems.
* Build and enhance video streaming pipelines and camera integration across multiple sensor platforms.
* Implement and tune algorithms for real\-time performance on Linux\-based edge systems.
* Collaborate closely with hardware, AI, and sensor fusion teams to deliver robust, field\-ready solutions.
* Process video streams and API data in resource constrained environments.
* Contribute to the architecture and design of new tracking, streaming, and synchronization features.
* Troubleshoot and debug complex software issues, from low\-level performance to system integration.
* Stay current with advances in C\+\+ standards, parallel computing, and GPU/CUDA technologies to keep Dedrone’s systems at the cutting edge.
**What You Bring**
* Bachelor’s or Master’s degree in Computer Science, Engineering, or a related field — or equivalent experience.
* Strong C\+\+ programming skills (modern C\+\+ preferred: C\+\+14/17/20\).
* Solid experience with multithreading and parallel processing.
* Hands\-on experience with video streaming, and ideally camera integration, or camera control APIs.
* Knowledge of performance\-oriented programming and optimization in constrained environments.
* Familiarity with CUDA, GPU acceleration, or high\-performance computing a plus.
* Strong background in Linux development and debugging.
* Excellent analytical, problem\-solving, and communication skills.
* A collaborative mindset and desire to build technology that protects people and infrastructure.
**Work Location**
 This role is based out of our Sterling, VA office and follows a hybrid schedule. We rely on in\-person collaboration and ask that team members work onsite Tuesdays through Thursday, with the flexibility to work remotely on Mondays and Fridays, unless there is an approved workplace accommodation. We believe that connection fuels innovation, and our in\-office culture is designed to foster meaningful teamwork, mentorship, and shared success.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86">
      <c r="A86" t="inlineStr">
        <is>
          <t>li-4359113642</t>
        </is>
      </c>
      <c r="B86" t="inlineStr">
        <is>
          <t>Principal Software Engineer</t>
        </is>
      </c>
      <c r="C86" t="inlineStr">
        <is>
          <t>BuildOps</t>
        </is>
      </c>
      <c r="D86" t="inlineStr">
        <is>
          <t>linkedin</t>
        </is>
      </c>
      <c r="E86">
        <f>HYPERLINK("https://www.linkedin.com/jobs/view/4359113642", "https://www.linkedin.com/jobs/view/4359113642")</f>
        <v/>
      </c>
      <c r="F86" t="inlineStr"/>
      <c r="G86" t="inlineStr">
        <is>
          <t>San Francisco, CA</t>
        </is>
      </c>
      <c r="H86" t="inlineStr"/>
      <c r="I86" t="inlineStr">
        <is>
          <t>As a Principal Engineer at BuildOps, you will lead engineering efforts, set the technical vision, and align technology with business objectives at the highest level. BuildOps is mission\-critical operational software for our customers—uptime, reliability, and scalability are essential to maintaining trust. As we continue to experience rapid growth, platformization and technological excellence are foundational to our strategy. Reporting directly to senior engineering leadership, you will lead technical initiatives and strike teams to solve some of the most complex challenges in our industry.
 You will own the continual refinement of our technology roadmap, defining approaches to the platformization of APIs, data ingestion pipelines, service architecture, and financial/accounting systems. You will work across all teams, bridging knowledge gaps and ensuring local alignment with the global technical strategy.
**What You’ll Do**
* Influence multiple engineering groups as a technical lead or through exceptional technical and process contributions that enable teams to have greater impact
* Proactively identify and resolve conflicts, concerns, and expectation mismatches between teams or individuals to ensure smooth execution of your roadmap and adjacent initiatives
* Use a deep understanding of company goals and strategy to guide technical investments across the organization
* Extend your influence beyond engineering by effectively driving cross\-functional changes that improve both product and engineering outcomes
* Design and deliver systems that exemplify technical excellence and embody BuildOps’ engineering values
* Leverage your understanding of industry trends to influence technical direction and foster innovation
* Contribute to engineering\-wide initiatives to enhance customer experience, system performance, operational excellence, productivity, learning, and knowledge sharing
* Mentor senior engineers, directly impacting their technical growth and career development.
**What We Look For**
* 10\+ years of experience in software engineering, including significant experience leading complex, full\-stack systems in modern JavaScript/TypeScript environments
* Expertise in designing and evolving scalable frontend architectures, with deep understanding of React.js, state management, and frontend performance optimization
* Strong backend design and architecture experience using Node.js, with hands\-on knowledge of GraphQL (Apollo, Relay) and RESTful service patterns
* Proficiency with SQL databases such as PostgreSQL or MySQL, including experience designing schema, optimizing queries, and managing data at scale
* Strong background in performance optimization across the stack — from database indexing and caching to frontend rendering strategies and distributed systems performance
* Experience architecting and scaling event\-driven systems, messaging infrastructure (Kafka, RabbitMQ), and real\-time data pipelines
* Expertise in containerization (Docker, Kubernetes) and modern cloud infrastructure (AWS, GCP, or Azure), with experience designing resilient and cost\-efficient systems
* Ability to guide teams in CI/CD best practices, ensuring reliable, automated, and scalable deployment processes
* Experience driving technical strategy, establishing engineering standards, and influencing architectural decisions across multiple teams
* Proven track record of mentoring senior engineers and influencing peers through technical leadership, design reviews, and knowledge sharing
* Strong communication and technical writing skills for cross\-functional alignment and long\-term documentation
* B.S., M.S., or Ph.D. in Computer Science, Engineering, or a related field
**Compensation**
* $196,000 \- $262,000 base salary range \+ annual bonus
**What we offer:**
* Generous equity grant, become an owner in our company!
* Macbook computer provided
* A comprehensive benefits package
* Flexible PTO and hybrid work schedules
* Work from home stipend
* Hubs in Los Angeles, Toronto, and Raleigh with hybrid work schedules and lunch provided for in\-office days
* Company events like BBQs and team\-building activities, both in\-person and virtual
* Fast\-paced, collaborative, and dynamic work environment
* Opportunities for growth and career advancement
* Chance to work with cutting\-edge technology and innovative solutions
* The chance to get in on the ground floor and build something truly groundbreaking for ourselves and our amazing customers
**About BuildOps**
 Join BuildOps, the largest commercial trade platform in the country, as we transform the multi\-billion dollar commercial contracting industry!
 We’re not just talking incremental improvements—we’re talking a full\-scale revolution, empowering the hardworking heroes who build and maintain the infrastructure that keeps our world running. See why contractors choose Buildops here.
 This is your chance to be part of a rocketship. We’re fresh off a $1 billion valuation and a $127M Series C funding round (part of over $275M raised to date) led by industry\-leading investors like Meritech Capital, BOND, and SE Ventures, backed by Schneider Electric (Reuters, TechCrunch, LA Business Journal) . Our latest investors join our team of industry heavyweights like Next47, former Twitter CEO Dick Costolo, former Salesforce President Gavin Patterson, and Boost Mobile CEO Stephen Stokols. Their investment is fueling our aggressive growth and our commitment to equipping contractors with AI\-driven tools to conquer chaos, boost efficiency, skyrocket profitability, and ultimately, deliver exceptional service.
 At BuildOps, we’re changing the game and doing the best work of our careers. You’ll be a key player in a company that’s truly making a difference for the backbone of our economy. If you’re ready to tackle big challenges, work with a passionate team, and build something extraordinary, BuildOps is the place for you. 🚀</t>
        </is>
      </c>
    </row>
    <row r="87">
      <c r="A87" t="inlineStr">
        <is>
          <t>li-4362652841</t>
        </is>
      </c>
      <c r="B87" t="inlineStr">
        <is>
          <t>Software Engineer</t>
        </is>
      </c>
      <c r="C87" t="inlineStr">
        <is>
          <t>Haystack</t>
        </is>
      </c>
      <c r="D87" t="inlineStr">
        <is>
          <t>linkedin</t>
        </is>
      </c>
      <c r="E87">
        <f>HYPERLINK("https://www.linkedin.com/jobs/view/4362652841", "https://www.linkedin.com/jobs/view/4362652841")</f>
        <v/>
      </c>
      <c r="F87" t="inlineStr"/>
      <c r="G87" t="inlineStr">
        <is>
          <t>Baltimore, MD</t>
        </is>
      </c>
      <c r="H87" t="inlineStr"/>
      <c r="I87" t="inlineStr">
        <is>
          <t>**Sr. Software Engineer 2 \| Baltimore, MD \| Hybrid \| $116,000 \- $159,500** 
 We're working with Exelon on this exciting opportunity.
 Join Exelon, a Fortune 200 energy leader, and drive the future of clean energy! As a Senior Software Engineer, you'll leverage your expertise in Python, Java, and cloud platforms like Azure and AWS to build innovative solutions that power communities. This is your chance to lead critical projects, mentor junior engineers, and make a tangible impact in a dynamic, hybrid environment.
**The Role** 
 • Lead the design, development, and implementation of robust software solutions across web, mobile, and cloud environments, utilizing technologies like Azure and AWS.
 • Spearhead the adoption of best practices in software development, including version control (Git), CI/CD pipelines, and automated testing.
 • Collaborate with cross\-functional teams, including QA, UX, and business partners, to deliver high\-quality, impactful products.
 • Conduct thorough code reviews, ensuring adherence to coding standards and fostering a culture of excellence.
 • Drive the development and improvement of new and existing features, focusing on performance, scalability, and maintainability.
**What You'll Need** 
 • Bachelor's degree in Computer Science or related field, with 5\-8 years of hands\-on experience in software development.
 • Demonstrated proficiency in at least 2\-3 programming languages/frameworks, including Python and/or Java.
 • Strong expertise in cloud platforms (Azure, AWS, or Google Cloud) and containerization technologies (Docker, Kubernetes).
 • Solid understanding of database concepts (SQL, stored procedures, indexing) and API design principles.
 • Proven experience leading small to medium software development teams and championing Agile methodologies.
**What's On Offer** 
 • Competitive annual salary between $116,000 \- $159,500, with a 15% annual bonus opportunity.
 • Comprehensive benefits package including 401(k) match, medical, dental, vision, and life insurance.
 • Generous paid time off, including vacation, sick leave, and parental leave.
 • Opportunities for career growth and professional development in a Fortune 200 company.
**Apply via Haystack today!**</t>
        </is>
      </c>
    </row>
    <row r="88">
      <c r="A88" t="inlineStr">
        <is>
          <t>li-4355193560</t>
        </is>
      </c>
      <c r="B88" t="inlineStr">
        <is>
          <t>Principal Software Engineer</t>
        </is>
      </c>
      <c r="C88" t="inlineStr">
        <is>
          <t>BuildOps</t>
        </is>
      </c>
      <c r="D88" t="inlineStr">
        <is>
          <t>linkedin</t>
        </is>
      </c>
      <c r="E88">
        <f>HYPERLINK("https://www.linkedin.com/jobs/view/4355193560", "https://www.linkedin.com/jobs/view/4355193560")</f>
        <v/>
      </c>
      <c r="F88" t="inlineStr"/>
      <c r="G88" t="inlineStr"/>
      <c r="H88" t="inlineStr"/>
      <c r="I88" t="inlineStr">
        <is>
          <t>As a Principal Engineer at BuildOps, you will lead engineering efforts, set the technical vision, and align technology with business objectives at the highest level. BuildOps is mission\-critical operational software for our customers—uptime, reliability, and scalability are essential to maintaining trust. As we continue to experience rapid growth, platformization and technological excellence are foundational to our strategy. Reporting directly to senior engineering leadership, you will lead technical initiatives and strike teams to solve some of the most complex challenges in our industry.
 You will own the continual refinement of our technology roadmap, defining approaches to the platformization of APIs, data ingestion pipelines, service architecture, and financial/accounting systems. You will work across all teams, bridging knowledge gaps and ensuring local alignment with the global technical strategy.
**What You’ll Do**
* Influence multiple engineering groups as a technical lead or through exceptional technical and process contributions that enable teams to have greater impact
* Proactively identify and resolve conflicts, concerns, and expectation mismatches between teams or individuals to ensure smooth execution of your roadmap and adjacent initiatives
* Use a deep understanding of company goals and strategy to guide technical investments across the organization
* Extend your influence beyond engineering by effectively driving cross\-functional changes that improve both product and engineering outcomes
* Design and deliver systems that exemplify technical excellence and embody BuildOps’ engineering values
* Leverage your understanding of industry trends to influence technical direction and foster innovation
* Contribute to engineering\-wide initiatives to enhance customer experience, system performance, operational excellence, productivity, learning, and knowledge sharing
* Mentor senior engineers, directly impacting their technical growth and career development.
**What We Look For**
* 10\+ years of experience in software engineering, including significant experience leading complex, full\-stack systems in modern JavaScript/TypeScript environments
* Expertise in designing and evolving scalable frontend architectures, with deep understanding of React.js, state management, and frontend performance optimization
* Strong backend design and architecture experience using Node.js, with hands\-on knowledge of GraphQL (Apollo, Relay) and RESTful service patterns
* Proficiency with SQL databases such as PostgreSQL or MySQL, including experience designing schema, optimizing queries, and managing data at scale
* Strong background in performance optimization across the stack — from database indexing and caching to frontend rendering strategies and distributed systems performance
* Experience architecting and scaling event\-driven systems, messaging infrastructure (Kafka, RabbitMQ), and real\-time data pipelines
* Expertise in containerization (Docker, Kubernetes) and modern cloud infrastructure (AWS, GCP, or Azure), with experience designing resilient and cost\-efficient systems
* Ability to guide teams in CI/CD best practices, ensuring reliable, automated, and scalable deployment processes
* Experience driving technical strategy, establishing engineering standards, and influencing architectural decisions across multiple teams
* Proven track record of mentoring senior engineers and influencing peers through technical leadership, design reviews, and knowledge sharing
* Strong communication and technical writing skills for cross\-functional alignment and long\-term documentation
* B.S., M.S., or Ph.D. in Computer Science, Engineering, or a related field
**Compensation**
* $175,000 \- $232,000 base salary range \+ annual bonus
**What we offer:**
* Generous equity grant, become an owner in our company!
* Macbook computer provided
* A comprehensive benefits package
* Flexible PTO and hybrid work schedules
* Work from home stipend
* Hubs in Los Angeles, Toronto, and Raleigh with hybrid work schedules and lunch provided for in\-office days
* Company events like BBQs and team\-building activities, both in\-person and virtual
* Fast\-paced, collaborative, and dynamic work environment
* Opportunities for growth and career advancement
* Chance to work with cutting\-edge technology and innovative solutions
* The chance to get in on the ground floor and build something truly groundbreaking for ourselves and our amazing customers
**About BuildOps**
 Join BuildOps, the largest commercial trade platform in the country, as we transform the multi\-billion dollar commercial contracting industry!
 We’re not just talking incremental improvements—we’re talking a full\-scale revolution, empowering the hardworking heroes who build and maintain the infrastructure that keeps our world running. See why contractors choose Buildops here.
 This is your chance to be part of a rocketship. We’re fresh off a $1 billion valuation and a $127M Series C funding round (part of over $275M raised to date) led by industry\-leading investors like Meritech Capital, BOND, and SE Ventures, backed by Schneider Electric (Reuters, TechCrunch, LA Business Journal) . Our latest investors join our team of industry heavyweights like Next47, former Twitter CEO Dick Costolo, former Salesforce President Gavin Patterson, and Boost Mobile CEO Stephen Stokols. Their investment is fueling our aggressive growth and our commitment to equipping contractors with AI\-driven tools to conquer chaos, boost efficiency, skyrocket profitability, and ultimately, deliver exceptional service.
 At BuildOps, we’re changing the game and doing the best work of our careers. You’ll be a key player in a company that’s truly making a difference for the backbone of our economy. If you’re ready to tackle big challenges, work with a passionate team, and build something extraordinary, BuildOps is the place for you. 🚀</t>
        </is>
      </c>
    </row>
    <row r="89">
      <c r="A89" t="inlineStr">
        <is>
          <t>li-4365272759</t>
        </is>
      </c>
      <c r="B89" t="inlineStr">
        <is>
          <t>Senior Software Engineer</t>
        </is>
      </c>
      <c r="C89" t="inlineStr">
        <is>
          <t>Microsoft</t>
        </is>
      </c>
      <c r="D89" t="inlineStr">
        <is>
          <t>linkedin</t>
        </is>
      </c>
      <c r="E89">
        <f>HYPERLINK("https://www.linkedin.com/jobs/view/4365272759", "https://www.linkedin.com/jobs/view/4365272759")</f>
        <v/>
      </c>
      <c r="F89" t="inlineStr"/>
      <c r="G89" t="inlineStr">
        <is>
          <t>Redmond, WA</t>
        </is>
      </c>
      <c r="H89" t="inlineStr"/>
      <c r="I89"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Copilot Studio, Power Apps, Power Automate, Dataverse and more. Microsoft is considered one of the leaders in Software as a Service in the world of business applications and this organization is at the heart of how business applications are designed and delivered.
 Microsoft Power Platform is a low\-code platform that allows users to rapidly build customized end\-to\-end business solutions. Microsoft Copilot Studio is a graphical, low\-code tool for building agents and agent flows. As Satya mentioned in the FY 2025 Q3 Earnings call, Power Platform has more than 56 million monthly active users and Copilot Studio is used by more than 230,000 organizations – including 90% of the fortune 500\.
 We are hiring a Senior Software Engineer.
 Are you passionate about building intelligent, scalable systems that power next\-generation AI experiences? The Microsoft Copilot Studio team within the Business Industry Copilot (BIC) organization is at the forefront of enabling makers and developers to build, publish, and manage copilots that extend across Microsoft 365 and beyond. We are looking for a strong Software Engineer to join our team and help us design and develop core capabilities in the Control Plane as part of the Authoring, Provisioning, Authorization \&amp; Lifecycle areas of the product.
 As a Senior Software Engineer, you will play an important role in the design and implementation of mission\-critical services that enable copilot lifecycle management, authoring capabilities and security management. You’ll work closely with product, design, and partner teams across Microsoft to deliver high\-impact features that empower users and scale across millions of tenants.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Participate in the architecture, design and implementation of scalable, reliable, and secure services in the Copilot Studio Control Plane.
* Collaborate with Product Managers, designers, architects, and other engineers to develop an AI\-first platform to scale agent adoption across various Microsoft platforms like M365 Copilot, Dynamics, and Power Platform.
* Collaborate with cross\-functional teams to define and deliver end\-to\-end scenarios that span Azure, M365, and Power Platform ecosystems.
* Actively contribute to livesite improvement and maintenance.
* Define and champion engineering best practices, including CI/CD, observability, and operational excellence.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Travel: Occasional travel (0% to 25%) is expected in this role.
**Preferred Qualifications**
* 3\+ years of experience in service development, successfully shipping software across multiple releases in a SaaS environment.
* 2\+ years of experience delivering complex projects at scale.
* 3\+ years of professional working experience in C\#, .NET, or equivalent languages and frameworks.
* 3\+ years of professional working experience with Azure or other cloud platforms.
* 1\+ years experience with Power Platform, M365 extensibility, and conversational AI systems.
* 1\+ years experience understanding of identity, access control, and secure service design.
* 2\+ years experience collaborating across teams and disciplines.
 \#MCSJobs
 \#BICJobs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0">
      <c r="A90" t="inlineStr">
        <is>
          <t>li-4365279752</t>
        </is>
      </c>
      <c r="B90" t="inlineStr">
        <is>
          <t>Principal Software Engineer</t>
        </is>
      </c>
      <c r="C90" t="inlineStr">
        <is>
          <t>Microsoft</t>
        </is>
      </c>
      <c r="D90" t="inlineStr">
        <is>
          <t>linkedin</t>
        </is>
      </c>
      <c r="E90">
        <f>HYPERLINK("https://www.linkedin.com/jobs/view/4365279752", "https://www.linkedin.com/jobs/view/4365279752")</f>
        <v/>
      </c>
      <c r="F90">
        <f>HYPERLINK("https://apply.careers.microsoft.com/careers/job/1970393556744931?utm_source=linkedin&amp;domain=microsoft.com&amp;src=LinkedIn&amp;urlHash=73Vi", "https://apply.careers.microsoft.com/careers/job/1970393556744931?utm_source=linkedin&amp;domain=microsoft.com&amp;src=LinkedIn&amp;urlHash=73Vi")</f>
        <v/>
      </c>
      <c r="G90" t="inlineStr">
        <is>
          <t>Redmond, WA</t>
        </is>
      </c>
      <c r="H90" t="inlineStr"/>
      <c r="I90" t="inlineStr">
        <is>
          <t>**Overview**
 Our team is at the forefront of transforming digital advertising through intelligent automation and large\-scale optimization. We design and build the auto\-bidding platform that powers real\-time ad auctions across Microsoft’s marketplaces—leveraging cutting\-edge AI, machine learning, and large\-scale distributed systems to bid on behalf of millions of advertisers.
 Our systems process billions of auction events daily, optimizing bids in milliseconds to maximize performance and return on ad spend. Engineers and scientists work hand\-in\-hand, blending algorithmic innovation, reinforcement learning, and large\-scale data pipelines to create the intelligence that drives Microsoft Advertising’s success.
 We’re looking for a Principal Software Engineer who thrives at the intersection of AI systems, real\-time decision\-making, and scalable cloud infrastructure. You’ll help shape the next generation of our agentic auto\-bidding platform — one that learns, adapts, and optimizes autonomously. Your work will directly influence advertiser ROI and drive billions of dollars in revenue across Bing, MSN, and the Microsoft ecosystem.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Collaborate with data scientists, ML engineers, and product teams to define requirements for agentic AI\-driven bidding capabilities that observe, reason, and adapt autonomously.
* Architect and implement the next\-generation agentic bidding platform, enabling AI agents to monitor marketplace signals, interpret advertiser and user behavior, and continuously optimize bidding strategies.
* Build large\-scale data validation and quality frameworks to ensure correctness, consistency, and reliability across all auction\-critical signals feeding the AI agents.
* Act as a Designated Responsible Individual (DRI): drive operational excellence, incident management, on\-call readiness, and high\-availability practices for mission\-critical bidding services.
* Develop experimentation and simulation frameworks to validate agent behavior and optimize policies before deployment in live auctions.
* Proactively adopt new patterns, technologies, and engineering practices to improve availability, efficiency, performance, and scalability across the bidding stack.
* Mentor engineers, and foster a culture of high\-quality execution, innovation, and accountability.
* Explore and invest in emerging AI techniques — multi\-agent systems, adaptive optimization—to enhance the autonomy, intelligence, and impact of the bidding platform.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5\+ years of experience developing and deploying large\-scale distributed systems in production environments.
* 5\+ years of hands\-on experience in machine learning operations (MLOps), including pipeline automation, monitoring, and lifecycle management
* 3\+ years of hands\-on experience with large\-scale streaming platforms such as Apache Spark or Flink
* Experience building real world applications using AI techniques.
 \#MicrosoftAI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1">
      <c r="A91" t="inlineStr">
        <is>
          <t>li-4194921459</t>
        </is>
      </c>
      <c r="B91" t="inlineStr">
        <is>
          <t>Senior Software Engineer, MongoDB Server Clusters and Interfaces</t>
        </is>
      </c>
      <c r="C91" t="inlineStr">
        <is>
          <t>MongoDB</t>
        </is>
      </c>
      <c r="D91" t="inlineStr">
        <is>
          <t>linkedin</t>
        </is>
      </c>
      <c r="E91">
        <f>HYPERLINK("https://www.linkedin.com/jobs/view/4194921459", "https://www.linkedin.com/jobs/view/4194921459")</f>
        <v/>
      </c>
      <c r="F91">
        <f>HYPERLINK("http://boards.greenhouse.io/mongodb/jobs/6749138?gh_src=ircv7l&amp;source=LinkedIn&amp;urlHash=RMKZ", "http://boards.greenhouse.io/mongodb/jobs/6749138?gh_src=ircv7l&amp;source=LinkedIn&amp;urlHash=RMKZ")</f>
        <v/>
      </c>
      <c r="G91" t="inlineStr"/>
      <c r="H91" t="inlineStr"/>
      <c r="I91" t="inlineStr">
        <is>
          <t>Join one of our Clusters and Integrations teams, and help build the core infrastructure that will help MongoDB become a world\-class distributed database! On Clusters \&amp; Interfaces, you’ll work on some of the hardest, most impactful problems MongoDB is facing today in areas like networking, observability, workload management, and data movement. Recently, we’ve been focusing on strengthening MongoDB’s availability guarantees through improvements in connection management, load shedding, robust scale\-out, and availability testing.
 Our team champions a strong culture of inclusivity, diversity, and collaboration. If you want to work on a collaborative team that applies distributed systems fundamentals to deliver core features of a popular database, join us! Let’s change what’s possible for application developers, system architects, and database operators.
 This role will be based remotely the United States.
 Candidate Profile
* 5\+ years of experience building distributed systems
* Solid experience writing and reviewing code in C\+\+
* Proficiency in C\+\+. Experience with building production\-level code with a large user base, robust design structure and rigorous code quality. Bonus for familiarity in Rust!
* Degree in Computer Science or similar field, or equivalent practical experience, with strong competencies in data structures, algorithms, and software design/architecture
* Passion for the theory and practice of system design for large\-scale distributed systems, as well as hands\-on or academic experience in the domain
* Understands modern computer architecture and internals to the degree that they can reason about how specific design choices plays out in a system like MongoDB
* Has demonstrated industry success or academic research in areas such as:
+ High performance / low latency networking
+ Performance tuning
+ Distributed systems
+ System observability
+ System resiliency
 Success Measures
* In your first month, you’ll understand the high\-level architecture of MongoDB, dive into the details of your team’s components, and resolve a few bugs
* In the first three months, you’ll contribute to the development of a project slated for the next release of MongoDB, take on code review responsibilities, and participate in design reviews for new features
* In the first six months, you’ll lead the development of a new feature and help mentor new engineers on the team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425246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$118,000—$231,000 USD</t>
        </is>
      </c>
    </row>
    <row r="92">
      <c r="A92" t="inlineStr">
        <is>
          <t>li-4365344084</t>
        </is>
      </c>
      <c r="B92" t="inlineStr">
        <is>
          <t>Senior Software Engineer - Azure Compute</t>
        </is>
      </c>
      <c r="C92" t="inlineStr">
        <is>
          <t>Microsoft</t>
        </is>
      </c>
      <c r="D92" t="inlineStr">
        <is>
          <t>linkedin</t>
        </is>
      </c>
      <c r="E92">
        <f>HYPERLINK("https://www.linkedin.com/jobs/view/4365344084", "https://www.linkedin.com/jobs/view/4365344084")</f>
        <v/>
      </c>
      <c r="F92" t="inlineStr"/>
      <c r="G92" t="inlineStr"/>
      <c r="H92" t="inlineStr"/>
      <c r="I92" t="inlineStr">
        <is>
          <t>**Overview**
 The Azure Compute team is seeking a skilled and motivated Software Engineer to join the Virtual Machine Scale Set (VMSS) platform team. This team is responsible for building and evolving the foundational infrastructure that powers Azure’s scalable compute services. As a member of this team, you will contribute to the development of systems that support customers in deploying, managing, and scaling thousands of virtual machines with high availability and performance.
 As a
 **Senior Software Engineer for Azure Compute** 
 , you will work on mission\-critical systems that require a deep understanding of distributed computing, cloud infrastructure, and system reliability. You will collaborate with cross\-functional teams to design and implement features that improve scalability, resiliency, and operational efficiency. Your contributions will directly impact the experience of customers running large\-scale workloads on Azure.
 This role offers the opportunity to work in a fast\-paced and collaborative environment where innovation and continuous improvement are encouraged. You will help shape the future of Azure’s compute platform by influencing architectural decisions and contributing to the evolution of cloud\-native infrastructure.
**Responsibilities**
* Partners with appropriate stakeholders to determine user requirements for a set of scenarios.
* Leads identification of dependencies and the development of design documents for a product, application, service, or platform.
* Leads by example and mentor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field AND 4\+ years technical engineering experience with coding in languages including, but not limited to, C, C\+\+, C\#, OR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in incident management, debugging large\-scale distributed systems, and collaborating across teams to align on complex technical issues.
* Experience with Microsoft Azure Software Development Kits (SDKs) and Representational State Transfer (REST) Application Programming Interfaces (APIs), along with a deep understanding of compute orchestration, asynchronous operations, and service reliability.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3">
      <c r="A93" t="inlineStr">
        <is>
          <t>li-4362652905</t>
        </is>
      </c>
      <c r="B93" t="inlineStr">
        <is>
          <t>Senior Software Engineer, Cloud</t>
        </is>
      </c>
      <c r="C93" t="inlineStr">
        <is>
          <t>RemoteHunter</t>
        </is>
      </c>
      <c r="D93" t="inlineStr">
        <is>
          <t>linkedin</t>
        </is>
      </c>
      <c r="E93">
        <f>HYPERLINK("https://www.linkedin.com/jobs/view/4362652905", "https://www.linkedin.com/jobs/view/4362652905")</f>
        <v/>
      </c>
      <c r="F93">
        <f>HYPERLINK("https://www.remotehunter.com/apply-with-ai/88eba33b-f769-48d7-af5b-07f85bb576b3?utm_medium=job_posting&amp;utm_source=linkedin&amp;utm_campaign=software_engineer_remote&amp;utm_category=software_engineer&amp;utm_term=senior_software_engineer_cloud&amp;urlHash=mUDf", "https://www.remotehunter.com/apply-with-ai/88eba33b-f769-48d7-af5b-07f85bb576b3?utm_medium=job_posting&amp;utm_source=linkedin&amp;utm_campaign=software_engineer_remote&amp;utm_category=software_engineer&amp;utm_term=senior_software_engineer_cloud&amp;urlHash=mUDf")</f>
        <v/>
      </c>
      <c r="G93" t="inlineStr"/>
      <c r="H93" t="inlineStr"/>
      <c r="I93" t="inlineStr">
        <is>
          <t>About the Opportunity:
 The organization delivers a real\-time database designed for mission\-critical workloads including machine learning and AI, supporting millions of transactions per second with millisecond latency and low total cost of ownership. This role focuses on developing the Cloud Platform that provisions, operates, and monitors databases running in customer\-dedicated Kubernetes clusters, enhancing the reliability, scalability, and safety of production database clusters globally.
 Responsibilities:
 • Design, implement, and maintain components for provisioning and managing Kubernetes\-based database clusters
 • Build and evolve workflows to orchestrate long\-running infrastructure and database lifecycle operations
 • Develop Kubernetes\-native systems using controllers, operators, and CRDs
 • Manage cloud infrastructure automation using Terraform, including VPCs, EKS clusters, IAM, storage, and networking
 • Design and maintain persistent storage lifecycles involving EBS volumes, local NVMe storage, and backups
 • Diagnose and resolve complex production issues involving Kubernetes, cloud provider APIs, and distributed systems
 • Enhance observability through metrics, logs, and alerts using Prometheus, OpenTelemetry, and Datadog
 • Collaborate with teams to evolve architecture, improve reliability, and prevent operational regressions
 Requirements:
 • Minimum 5 years of software engineering experience
 • Strong foundation in computer science, distributed systems, and complex system debugging
 • Proficiency in a statically typed backend language, preferably Go
 • Experience developing and operating distributed systems in production
 • Hands\-on experience with Kubernetes and containerized workloads
 • Experience with at least one major cloud provider, preferably AWS
 • Experience designing, deploying, and operating stateful systems
 • Familiarity with Git\-based workflows and CI/CD pipelines
 Preferred Skills:
 • Proficiency in Go
 • Experience with Terraform and infrastructure\-as\-code
 • Experience with Kubernetes Operators, controllers, or CRDs
 • Experience with workflow orchestration systems such as Temporal, Cadence, or Airflow
 • Strong knowledge of cloud networking concepts including VPCs, subnets, IP management, and load balancers
 • Experience with observability tools such as Prometheus, OpenTelemetry, and Datadog
 • Experience operating storage systems including EBS, instance store, and backups
 Compensation:
 • Salary Range for California Based Applicants: \[$169,000 \- $195,000] (actual compensation will be determined based on experience, location, and other factors permitted by law)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4">
      <c r="A94" t="inlineStr">
        <is>
          <t>li-4274641768</t>
        </is>
      </c>
      <c r="B94" t="inlineStr">
        <is>
          <t>Senior AI Machine Learning Software Engineer</t>
        </is>
      </c>
      <c r="C94" t="inlineStr">
        <is>
          <t>Solomon Page</t>
        </is>
      </c>
      <c r="D94" t="inlineStr">
        <is>
          <t>linkedin</t>
        </is>
      </c>
      <c r="E94">
        <f>HYPERLINK("https://www.linkedin.com/jobs/view/4274641768", "https://www.linkedin.com/jobs/view/4274641768")</f>
        <v/>
      </c>
      <c r="F94" t="inlineStr"/>
      <c r="G94" t="inlineStr">
        <is>
          <t>San Francisco, CA</t>
        </is>
      </c>
      <c r="H94" t="inlineStr"/>
      <c r="I94" t="inlineStr">
        <is>
          <t>**Senior AI Machine Learning Software Engineer (full\-time)** 
*Location: Palo Alto, CA and/or 100% remote anywhere in US \*\*\*Preference for PST candidates\*\*\** 
 \*\*If located in the San Francisco Bay Area, expectation is you come to the office once or more weekly. While relocation is encouraged, we are a remote\-first company. You must be able to work during the core hours in the Pacific time zone\*\*
 NO C2C CANDIDATES PLEASE
*\-\-\-
 We are unable to provide visa sponsorship or support for this position.
 \-\-\-* 
**Compensation** 
 : $120k – $200k \+ Equity \+ Full Benefits
 We are hiring software engineers with extensive industry experience and expertise in data\-intensive systems that leverage AI and machine learning, who can design, implement, and improve core components in a Clinical Data Intelligence Platform powering healthcare workflows. Ideally, your background includes a strong mix of software engineering, AI/ML/NLP engineering, and data analytics/engineering. You should be hungry, curious, and self\-driven—excited to solve complex, open\-ended problems, build and ship intelligent solutions, and rapidly iterate on improvements.
**Who You’ll Work With:** 
* You’ll join a small, high\-impact team, collaborating closely with engineers across data, AI, and backend/frontend systems—united by a shared mission to empower clinicians through better software.
* You will also work directly with clinical subject matter experts to deliver technology that streamlines healthcare workflows and unlocks new capabilities for users.
* Team members located near the San Francisco Bay Area may choose to meet in person weekly, though this is a remote\-first role. You must be able to work during Pacific Time core hours, and due to compliance requirements, we are unable to employ candidates located outside the United States.
**Responsibilities:** 
* Build and improve clinical and health information extractors and summarization tools used in real\-time by healthcare professionals.
* Scrape, collect, extract, transform, query, analyze, and mine structured and unstructured data to evaluate system performance, generate insights, and expand/refine a clinical knowledge graph.
* Build and enhance supporting data/AI/ML systems and automation pipelines.
* Write secure, production\-grade code and help maintain confidentiality, integrity, and availability of information systems in compliance with HIPAA and SOC 2\.
* Participate in a rotating on\-call schedule to ensure platform reliability.
**Required Qualifications:** 
* 7\+ years of experience in AI/ML software engineering.
* Proficiency in Python, SQL, Jupyter Notebooks/Streamlit, Bash, Linux, and Git workflows.
* Bonus points for familiarity with: Django, FastAPI, asyncio, jq, PostgreSQL, dbt, BigQuery, LLM prompt engineering, PyTorch, Pandas, web technologies, TypeScript, React, and Google Cloud Platform.
* Strong skills in data munging, wrangling, exploration, and analysis.
* A sharp eye for designing scalable data models and intuitive software APIs.
* Ability to craft efficient algorithms and data pipelines, and troubleshoot bottlenecks quickly.'
* Excellent communication, presentation, and documentation abilities.
* Up\-to\-date, practical knowledge of the state\-of\-the\-art in AI/ML/NLP, including relevant tools and frameworks.
* Extra credit: Familiarity with healthcare or medical data and workflows.
 If you meet the required qualifications and are interested in this role, please apply today.
**The Solomon Page Distinction** 
 Our teams, comprised of subject matter experts, develop an interest in your preferences and goals and we act as an advisor for your career advancement. Solomon Page has an extensive network of established clients which allows us to present opportunities that are well\-suited to your respective goals and needs – this specialized approach sets us apart in the industries we serve.
**About Solomon Page** 
 Founded in 1990, Solomon Page is a specialty niche provider of staffing and executive search solutions across a wide array of functions and industries. The success of Solomon Page reflects an organic growth strategy supported by a highly entrepreneurial culture. Acting as a strategic partner to our clients and candidates, we focus on providing customized solutions and building long\-term relationships based on trust, respect, and the consistent delivery of excellent results. For more information and additional opportunities, visit: solomonpage.com and connect with us on Facebook, and LinkedIn.
 Opportunity Awaits.</t>
        </is>
      </c>
    </row>
    <row r="95">
      <c r="A95" t="inlineStr">
        <is>
          <t>li-4365278688</t>
        </is>
      </c>
      <c r="B95" t="inlineStr">
        <is>
          <t>Senior Software Engineer - Chaos Engineering</t>
        </is>
      </c>
      <c r="C95" t="inlineStr">
        <is>
          <t>Microsoft</t>
        </is>
      </c>
      <c r="D95" t="inlineStr">
        <is>
          <t>linkedin</t>
        </is>
      </c>
      <c r="E95">
        <f>HYPERLINK("https://www.linkedin.com/jobs/view/4365278688", "https://www.linkedin.com/jobs/view/4365278688")</f>
        <v/>
      </c>
      <c r="F95" t="inlineStr"/>
      <c r="G95" t="inlineStr">
        <is>
          <t>Redmond, WA</t>
        </is>
      </c>
      <c r="H95" t="inlineStr"/>
      <c r="I95" t="inlineStr">
        <is>
          <t>**Overview**
 The High Availability (HA) team part of M365 Core, is seeking a Senior Software Engineer \- Chaos Engineering. This role is crucial as HA has been a cornerstone of the Substrate backend solution. We continue to explore opportunities for improving and optimizing service reliability. Our continuous strive to provide best service to our customers goes beyond just optimizing the storage stack solution. We work relentlessly on reducing Microsoft capital and operational expenses, as we continue to explore more paths for optimization while maintaining reliable 4\.5 9s availability. To achieve that HA has extended its charter beyond traditional database availability and redundancy solution \- towards optimizing power efficiency, platform costs, networking costs. The latter will be the major focus of a talented engineer who decides to join our team.
 Chaos Engineering is the discipline of experimenting on a system to build confidence in the system’s capability to withstand turbulent conditions in production. As part of Chaos team in HA, you will be working closely with partners (Azure, EXO\-Exchange Online, MSR\-Microsoft Research) to build the next generation of Chaos platform for Substrate. The platform will validate the resilience, architecture choices, predictability and even monitoring and incident response processes of critical components in M365 distributed systems.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feature projects that directly impact behavior of High Availability component of Exchange Online (EXO) that reliably provides 4\.5 9s of availability.
* Write production, monitoring, and test code, create reports and conduct performance analysis of storage engine, database replication, networking layer.
* Research Chaos experiments, identifying opportunities for testing and operational readiness of critical service components.
* Engage with EXO, Azure, and MSR partners to build interfaces for a modern Chaos experience, improve service resilience, improve predictability and observability of M365 distributed systems.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 3\+ years of software design and development experience with backend services.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Cloud and services experience; Azure cloud experience is a plus.
* Experience writing services and micro\-services on middle\- or back\-end tier.
* Experience with networking layer optimization and tuning, deploying and maintaining large scale cluster products, defining and testing performance characteristics of backend solutions
* Analytical skills with systematic and structured approach to software design.
* Experience building reliable and well\-tested code.
 \#M365Core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6">
      <c r="A96" t="inlineStr">
        <is>
          <t>li-4343270750</t>
        </is>
      </c>
      <c r="B96" t="inlineStr">
        <is>
          <t>Senior Software Engineer</t>
        </is>
      </c>
      <c r="C96" t="inlineStr">
        <is>
          <t>DMA - DuCharme, McMillen &amp; Associates, Inc.</t>
        </is>
      </c>
      <c r="D96" t="inlineStr">
        <is>
          <t>linkedin</t>
        </is>
      </c>
      <c r="E96">
        <f>HYPERLINK("https://www.linkedin.com/jobs/view/4343270750", "https://www.linkedin.com/jobs/view/4343270750")</f>
        <v/>
      </c>
      <c r="F96">
        <f>HYPERLINK("https://dmainc.wd5.myworkdayjobs.com/DMA/job/Fort-Wayne-IN/Senior-Software-Engineer_REQ294?source=LinkedIn&amp;urlHash=qn5W", "https://dmainc.wd5.myworkdayjobs.com/DMA/job/Fort-Wayne-IN/Senior-Software-Engineer_REQ294?source=LinkedIn&amp;urlHash=qn5W")</f>
        <v/>
      </c>
      <c r="G96" t="inlineStr">
        <is>
          <t>Fort Wayne, IN</t>
        </is>
      </c>
      <c r="H96" t="inlineStr"/>
      <c r="I96" t="inlineStr">
        <is>
          <t>As an employee\-owned company, DMA prioritizes employees. Low turnover rates and tenured teams are living proof:
* 2025 Great Places to Work Certified
* Employee stock ownership program eligibility begins on day one of employment (ESOP contribution is targeted at 6% of your annual compensation)
* Company paid parental leave
* Generous time off package
* Multiple benefit plans, eligibility begins on day one of employment
* Culturally focused on work/life balance, mental health, and the overall wellness of our employees
**Position Summary**
 The Senior Software Engineer is responsible for designing, developing, and maintaining high\-performance Java\-based applications and systems. This role requires strong technical expertise, leadership in development practices, and collaboration across teams to deliver scalable and secure software solutions. The Senior Engineer also mentors junior developers and contributes to architectural decisions and continuous improvement initiatives.
**Essential Duties And Responsibilities**
* Design, develop, and maintain high\-volume, low\-latency applications for mission\-critical systems.
* Contribute to all phases of the software development lifecycle.
* Write well\-designed, testable, and efficient code.
* Develop unit test cases for new features and bug fixes.
* Diagnose and document root causes of software issues.
* Lead code reviews and ensure adherence to coding standards and best practices.
* Provide technical support and guidance to team members.
* Prepare and produce releases of software components.
* Support continuous improvement by evaluating technologies and presenting alternatives.
* Break down tasks into subtasks and estimate effort for completion.
* Assist in collecting and documenting technical requirements.
* Develop high\-level conceptual and low\-level technical designs.
* Conduct technical feasibility studies and risk analysis.
* Collaborate with stakeholders to maintain product backlogs and roadmaps.
* Ensure software releases meet defined security and quality standards.
* Conduct daily stand\-ups, QA/QC meetings, and user training efforts.
* Facilitate and conduct release and sprint planning sessions.
* Prepare functional and technical documentation.
* Provide direction and technical expertise in design, development, and systems integration to developers as well as functional stakeholders.
* Develop and document potential solutions to a given issue.
* Drive continuous improvement in development practices.
* Identify, manage, and mitigate technical and operational risks.
**Education And Qualifications**
* Bachelor’s degree in Computer Science, Information Systems, or related field preferred.
* Minimum of 5\+ years professional programming experience in Java.
* Strong understanding of distributed systems, relational databases, and object\-relational mapping.
* Experience with MVC, AJAX, JavaScript, CSS, HTML, and dynamic web\-based development.
* Familiarity with tools and frameworks such as Spring, Hibernate, JPA, JUnit, Gradle, Struts, RMI, and JDBC/SQL.
* Familiarity with Git, GitLab/GitHub/BitBucket, and version control best practices.
* Familiarity with SDLC, automation frameworks, and unit testing.
* Familiarity with DevOps and CI/CD pipelines.
* Experience with Agile methodologies and tools like JIRA and Google Chrome.
* Excellent communication, organizational, and problem\-solving skills.
* Strong analytical thinking.
* Ability to manage multiple tasks and mentor team members effectively.
* Strong listening skills.
* Excellent attention to detail.
**Work Environment And Physical Requirements**
* Work Schedule: Regular, 40 hours/week
* Environment: Hybrid (2–3 days in\-office), environmentally controlled
* Travel: Less than 10%
* Physical Activity:
* Prolonged periods of sitting and computer use
* Ability to hear, understand, and distinguish speech and sounds
* Frequent repetitive motions with hands
 The Company is an equal employment opportunity employer and is committed to providing equal employment opportunities to its applicants and employees. The Company does not discriminate in employment opportunities or practices on the basis of race, color, religion, gender, national origin, citizenship, age, disability, veteran status, genetic information, or any other category covered by applicable federal, state, or local law. This equal employment opportunity policy applies to all employment policies, procedures, and practices, including but not limited to hiring, promotion, compensation, training, benefits, work assignments, discipline, termination, and all other terms and conditions of employment.
 It is DMA's policy to make reasonable accommodations for qualified individuals with disabilities. If you have a disability and either need assistance applying online or need to request an accommodation during any part of the application process, please contact our Human Resources team at HRDepartment@dmainc.com or 800\-309\-2110 and choosing selection 6\.</t>
        </is>
      </c>
    </row>
    <row r="97">
      <c r="A97" t="inlineStr">
        <is>
          <t>li-4365345104</t>
        </is>
      </c>
      <c r="B97" t="inlineStr">
        <is>
          <t>GIS Software Engineer I/II - Information Technology</t>
        </is>
      </c>
      <c r="C97" t="inlineStr">
        <is>
          <t>County of Volusia</t>
        </is>
      </c>
      <c r="D97" t="inlineStr">
        <is>
          <t>linkedin</t>
        </is>
      </c>
      <c r="E97">
        <f>HYPERLINK("https://www.linkedin.com/jobs/view/4365345104", "https://www.linkedin.com/jobs/view/4365345104")</f>
        <v/>
      </c>
      <c r="F97" t="inlineStr"/>
      <c r="G97" t="inlineStr">
        <is>
          <t>DeLand, FL</t>
        </is>
      </c>
      <c r="H97" t="inlineStr"/>
      <c r="I97" t="inlineStr">
        <is>
          <t>The County of Volusia is seeking an experienced Software Engineer I/II for the Information Technology division, located in DeLand, Florida.
**Software Engineer I**
 Performs technical work programming, configuring, and customizing computer systems. Provides customer support in use of computer systems. Gathers system requirements and documents system changes. Analyzes and summarizes complex data sets to support business process improvements.
**Software Engineer II**
 Progressively responsible position performing technical work designing, programming, configuring, and customizing computer systems. Provides customer support in use of computer systems. Gathers system requirements and documents system changes. Analyzes and summarizes complex data sets to support business process improvements.
 (
 **NOTE:** 
 These are intended only as illustrations of the various types of work performed. The omission of specific duties does not exclude them from the position.)
* Performs all duties of a Software Engineer I \[Software Engineer I Illustrative Duties], plus the following.
* Determines project resource requirements, including personnel, hardware, and software.
* Review user system access.
* Patch computer systems and support integrations with other business systems.
* Designs and creates data structures to business tasks.
* Creates specifications for coding, testing, and implementation tasks.
* Creates and reviews code to ensure compliance with established standards.
* Coordinates implementation of new versions, modules and other enterprise components.
* Identifies opportunities to modify or improve existing systems.
* Acts as a liaison for the IT\-GIS section.
* Creates and maintains technical and non\-technical user documentation, help files, and training materials.
* Conducts user training sessions.
* Assists with management presentations regarding a computer system.
* Must adhere to Federal, State, County and Local ordinances.
* Attends work on a continuous and regular basis.
* Responds to emergency situations.
* Performs other duties as assigned.
**Software Engineer I** 
**$62,068\.00**
 Bachelor's degree in Mathematics, Computer Science, Data Processing. Geography. Planning, Natural Science or related field, and one (1\) year of responsible experience as a programmer.
 A comparable amount of training, education, or experience may be substituted for the minimum requirements.
**Software Engineer II** 
**$65,789\.00**
 Bachelor's degree in Mathematics, Computer Science, Data Processing, Geography. Planning, Natural Science or related field,
 **and** 
 two (2\) years of responsible experience as a programmer.
 A comparable amount of training, education, or experience may be substituted for the minimum requirements. (e.g. An Associate's degree and four (4\) years, or no degree and six (6\) years, of progressively responsible experience as a programmer analyst implementing projects involving analysis, database design and development, data conversion and integration, and enterprise application implementation.)
* All knowledge, skills, and abilities listed for a Software Engineer I, plus the following.
* Knowledge of the principles of database management systems, including data storage, retrieval, and manipulation.
* Knowledge of the assigned governmental functions and the information required from data processing services.
* Knowledge of the developer functionality of Microsoft Office products.
* Knowledge of the operating characteristics, capabilities, and limitations of a large, integrated, multi\-platform site.
* Skilled in the use of database software, including Oracle and/or Microsoft SQL Server.
* Skilled in design and documentation of computer systems.
* Skilled in analysis, design, development, and support of Oracle and/or Microsoft SQL Server databases.
* Skilled in developing interfaces using Oracle and/or Microsoft SQL Server stored procedures.
* Skilled in C\#, Python, or a similar scripting language.
* Skilled in analysis, design, development, and administration of relational databases.
* Ability to establish and maintain effective working relationships.
* Ability to analyze data, develop conclusions, and produce summary reports.
* Ability to plan, schedule, and coordinate the work effort of developing computer systems.
* Ability to interpret system statements, develop general and detailed computer flow charts, and to prepare block diagrams indicating hardware configuration.
* Ability to develop interfaces using database procedures.
* Ability to recognize opportunities for system improvements.
* Ability to support financial, permitting, and/or document management systems.
* Ability to clearly document business rules and use cases.
* Ability to produce detailed conversion plans and test scripts.
* Ability to produce clear and concise user documentation; including help files, how\-to documents, and business process diagrams.
* Ability to express ideas clearly and concisely, orally and in writing.
* Ability to interact effectively with others.
* Ability to work under stressful conditions.
* Must be able to relocate to other county locations based upon operational needs.
**Ada Requirements**
**Mental Demands:** 
 Ability to read and comprehend technical and professional writing. Ability to perform general mathematical functions. Ability to write reports, critiques, memos, letters, instructions and procedures. Ability to speak publicly. Ability to analyze data and develop conclusions. Ability to identify and resolve problems. Ability to think logically and show attention to detail.
**Physical Demands:** 
 Light to medium work. Ability to see, hear, talk; finger dexterity, lift, push, pull, handle, grasp. If assigned to Geographic Information Systems, color acuity necessary to distinguish closely related colors and shades.
**Environmental Demands:** 
 Inside work.
***Volusia County is a drug free workplace and an Equal Opportunity Employer committed to a diverse workforce.
 **********Veterans' preference in accordance with federal, state, local laws.*************</t>
        </is>
      </c>
    </row>
    <row r="98">
      <c r="A98" t="inlineStr">
        <is>
          <t>li-4362178898</t>
        </is>
      </c>
      <c r="B98" t="inlineStr">
        <is>
          <t>Senior Lead, Software Engineer - DevOps</t>
        </is>
      </c>
      <c r="C98" t="inlineStr">
        <is>
          <t>RemoteHunter</t>
        </is>
      </c>
      <c r="D98" t="inlineStr">
        <is>
          <t>linkedin</t>
        </is>
      </c>
      <c r="E98">
        <f>HYPERLINK("https://www.linkedin.com/jobs/view/4362178898", "https://www.linkedin.com/jobs/view/4362178898")</f>
        <v/>
      </c>
      <c r="F98" t="inlineStr"/>
      <c r="G98" t="inlineStr"/>
      <c r="H98" t="inlineStr"/>
      <c r="I98" t="inlineStr">
        <is>
          <t>About the Opportunity:
 The organization connects people, data, and applications to drive business growth through secure and efficient digital solutions. This leadership role is responsible for guiding the design, development, and deployment of scalable, resilient software within a cloud\-native architecture, providing strategic technical direction across complex systems, and aligning IT solutions with business processes.
 Responsibilities:
 • Design, develop, and maintain enterprise applications using Java (Spring Boot, Spring Cloud) or Python (Django, Flask, FastAPI)
 • Lead modernization efforts by refactoring monolithic systems into microservices and migrating legacy platforms to AWS
 • Implement RESTful APIs, event\-driven architectures, and serverless solutions
 • Design, build, and maintain CI/CD pipelines using Jenkins, AWS DevOps tools, and Git workflows to automate build, test, and deployment
 • Develop scalable CI/CD platforms to support high change volumes and fast feedback
 • Collaborate with Enterprise Architecture, Information Security, Software Delivery, and Quality Assurance to enable cloud migration via automation
 • Coordinate and execute release activities, managing dependencies, risks, and schedules across teams
 • Troubleshoot deployment issues, perform root cause analysis, and facilitate fixes to ensure reliable releases
 • Maintain release documentation, manage processes, and recommend continuous improvements
 • Research new technologies to improve efficiency and effectiveness
 Requirements:
 • Bachelor’s degree or equivalent in engineering, computer science, or related field
 • 7\+ years of software development experience in Java or Python
 • 3\+ years of hands\-on DevOps and cloud infrastructure experience
 • 2\+ years of AWS cloud migration project experience
 • Strong experience with Rancher orchestration, containerization, and multi\-cloud networking
 • Experience with APM solutions such as AppDynamics (preferred) or Dynatrace
 • Knowledge of infrastructure technologies including load balancers, SSL, API gateways, DNS
 • Experience with secrets management solutions
 • Monitoring and logging experience using Prometheus, Grafana, ELK Stack
 • Experience with distributed messaging platforms like Kafka
 Compensation:
 • $129,639 \- $172,852 in these states: AL, AR, AZ, FL, GA, IA, ID, IN, KS, KY, LA, ME, MO, MS, MT, ND, NE, NM, OH, OK, PA, SC, SD, TN, UT, VT, WI, WV, WY
 • $136,121 \- $181,494 in these states: CO, HI, MI, MN, NC, NH, NV, OR, RI
 • $142,603 \- $190,137 in these states: AK, CA, CT, DC, DE, IL, MA, MD, NJ, NY, TX, VA, WA
 Benefits \&amp; Perks:
 • Comprehensive package including Health, Life, and Voluntary Lifestyle benefits
 • Additional perks supporting physical, mental, emotional, and financial wellbeing
 • Information available on bonus structure including short\-term and long\-term incentives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9">
      <c r="A99" t="inlineStr">
        <is>
          <t>li-4346843795</t>
        </is>
      </c>
      <c r="B99" t="inlineStr">
        <is>
          <t>Senior AI Software Engineer Manager, Risk Engineering</t>
        </is>
      </c>
      <c r="C99" t="inlineStr">
        <is>
          <t>SoFi</t>
        </is>
      </c>
      <c r="D99" t="inlineStr">
        <is>
          <t>linkedin</t>
        </is>
      </c>
      <c r="E99">
        <f>HYPERLINK("https://www.linkedin.com/jobs/view/4346843795", "https://www.linkedin.com/jobs/view/4346843795")</f>
        <v/>
      </c>
      <c r="F99" t="inlineStr"/>
      <c r="G99" t="inlineStr">
        <is>
          <t>New York, NY</t>
        </is>
      </c>
      <c r="H99" t="inlineStr"/>
      <c r="I99"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As a Senior Manager \- AI Software Engineer, you will play a critical, hands\-on role in managing a high\-performing team while building, deploying, and optimizing scalable, real\-time, full\-stack custom applications, from traditional workflows and user interfaces, to applications powered by the latest advances in AI. You are a seasoned and experienced full\-stack engineer with deep expertise in designing and delivering software solutions from the UI to the data back\-end. You roll up your sleeves to have a “code first” approach. You will work across cross\-functional delivery teams to shape technical architecture, champion engineering best practices, lead technical design, mentor engineers, drive product management engagement, and ensure successful delivery of high\-value solutions for our users.
**What you’ll do:**
* Own the end\-end full\-stack engineering infrastructure, and drive technical delivery from ideation and requirements decomposition through to deployment and continual improvement, ensuring alignment with product and business goals.
* Engage with product, design, and business stakeholders to align technical strategy, drive decision\-making, and deliver high\-impact solutions.
* Architect, design, and build end\-to\-end user\-facing applications using rich interactive user\-interfaces. You will remain hands\-on, leveraging your expertise working with information extracted from databases and APIs (including native database functions such as Snowflake Cortex for advanced AI workloads).
* Participate in the design of and partner with AI specialists in the implementation of production\-grade, scalable multi\-agentic AI applications enabling autonomous, stateful, and collaborative agent workflows for complex, real\-world problem solving.
* Manage deployment pipelines and infrastructure as code using ArgoCD, GitLab CI/CD, and AWS best practices.
* Deploy, optimize, and monitor workflows on enterprise frameworks.
* Automate real\-time and batch data flows using orchestration tools such as Apache Airflow.
* Lead code and design reviews, making critical technical decisions for AI\-driven services.
* Stay current with software engineering, AI, LLM infrastructure, and the evolving tooling ecosystem; generate ideas to expand product capabilities and technical reach.
* Lead and mentor a team of talented software engineers, fostering a culture of technical excellence, ownership, and innovation.
**What you’ll need:**
* Bachelor’s or Master’s degree in Computer Science, Engineering, or a related technical field.
* 9\+ years of professional software engineering experience, with a heavy focus on full\-stack custom product delivery, including experience leading engineering teams, projects, or functions.
* Proven track record of simultaneously delivering high\-quality, production\-grade, scalable, and highly available cloud\-based services, and managing project and delivery milestones.
* Solid devops and infrastructure\-as\-code experience using ArgoCD and GitLab for deployment, CI/CD, and environment management.
* Advanced proficiency in React, Node.js, and front\-end–to–back\-end custom app development.
* Extensive hands\-on experience with database platforms \- Snowflake strongly preferred, including advanced features, AI/ML integrations, and Snowflake Cortex.
* Deep expertise in orchestrating real\-time and scheduled pipelines with Airflow.
* Strong communicator; able to collaborate and drive decision\-making with cross\-functional stakeholders, including product management.
* Willingness to take ownership, mentor others, and champion learning and innovation within the organization.
**Nice to have:**
* Prior fintech or high\-throughput consumer product experience.
* Exposure to cloud\-native or AI workflow orchestration platforms.
* Experience deploying and scaling LLM\-powered chatbots or retrieval\-augmented generation (RAG) platforms.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00">
      <c r="A100" t="inlineStr">
        <is>
          <t>li-4362546529</t>
        </is>
      </c>
      <c r="B100" t="inlineStr">
        <is>
          <t>Senior Software Engineer, Loyalty - Multiple Openings (REMOTE)</t>
        </is>
      </c>
      <c r="C100" t="inlineStr">
        <is>
          <t>RemoteHunter</t>
        </is>
      </c>
      <c r="D100" t="inlineStr">
        <is>
          <t>linkedin</t>
        </is>
      </c>
      <c r="E100">
        <f>HYPERLINK("https://www.linkedin.com/jobs/view/4362546529", "https://www.linkedin.com/jobs/view/4362546529")</f>
        <v/>
      </c>
      <c r="F100">
        <f>HYPERLINK("https://www.remotehunter.com/apply-with-ai/8c5976bf-4a9a-4e58-b059-18c2bf30b7ca?utm_medium=job_posting&amp;utm_source=linkedin&amp;utm_campaign=software_engineer_remote&amp;utm_category=software_engineer&amp;utm_term=senior_software_engineer_loyalty_multiple_openings_remote&amp;urlHash=c_gN", "https://www.remotehunter.com/apply-with-ai/8c5976bf-4a9a-4e58-b059-18c2bf30b7ca?utm_medium=job_posting&amp;utm_source=linkedin&amp;utm_campaign=software_engineer_remote&amp;utm_category=software_engineer&amp;utm_term=senior_software_engineer_loyalty_multiple_openings_remote&amp;urlHash=c_gN")</f>
        <v/>
      </c>
      <c r="G100" t="inlineStr"/>
      <c r="H100" t="inlineStr"/>
      <c r="I100" t="inlineStr">
        <is>
          <t>About the Opportunity:
 This team believes in how positively sports can change lives. Every member plays a critical role in creating confidence and excitement by personally equipping all athletes to achieve their dreams. The organization is committed to creating an inclusive and diverse workforce, reflecting the communities served. The Senior Software Engineer role focuses on enhancing the athlete experience through sophisticated technology solutions, driving loyalty and engagement, and mentoring less experienced engineers. This position involves shaping the technical direction of the loyalty program, solving complex problems, and contributing to continuous improvement.
 Responsibilities:
 • Build and enable a best\-in\-class loyalty platform
 • Design solutions with the athlete experience as a central focus
 • Collaborate with product managers, designers, architects, and engineers
 • Provide data and visibility into the performance and health of processes and services
 • Deliver complex tasks to production independently and through team coordination
 • Support and mentor peers on an ad\-hoc basis
 • Take initiative to drive projects
 • Understand the impact of team work on other business areas
 • Drive development and improvement of existing and new software
 • Monitor, identify, and correct complex software defects
 • Produce multiple concepts and prototypes for digital products/services
 • Research and suggest optimization of solutions for user and business needs
 • Manage software maintenance roadmap aligned with business priorities
 • Diagnose and resolve faults promptly
 • Assign short\-term work schedules based on storyboarding/backlog
 • Develop own and junior team members’ capabilities through assessments, training, and coaching
 • Maintain understanding of relevant technology, regulations, and industry best practices
 • Contribute to program management plans to achieve specific goals
 • Guide design and distribution of database resources and optimize performance
 • Support collection and documentation of functional requirements based on user roles and goals
 Requirements:
 • Willingness to continuously learn, experiment, and innovate
 • Experience with microservices, test driven development, CI/CD, application scalability, and reliability
 • Understanding of cloud\-native and event\-based architecture, including Microsoft Azure, Kubernetes, Tanzu Application Platform, and Kafka
 • Knowledge of Java, Spring Boot, and Angular
 • Experience with relational and document databases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1">
      <c r="A101" t="inlineStr">
        <is>
          <t>li-4362554943</t>
        </is>
      </c>
      <c r="B101" t="inlineStr">
        <is>
          <t>Staff Software Engineer, AI/ML GenAI, Google Cloud</t>
        </is>
      </c>
      <c r="C101" t="inlineStr">
        <is>
          <t>Google</t>
        </is>
      </c>
      <c r="D101" t="inlineStr">
        <is>
          <t>linkedin</t>
        </is>
      </c>
      <c r="E101">
        <f>HYPERLINK("https://www.linkedin.com/jobs/view/4362554943", "https://www.linkedin.com/jobs/view/4362554943")</f>
        <v/>
      </c>
      <c r="F101">
        <f>HYPERLINK("https://careers.google.com/jobs/results/105402801760150214-staff-software-engineer/?src=Online/LinkedIn/linkedin_us&amp;utm_source=linkedin&amp;utm_medium=jobposting&amp;utm_campaign=contract&amp;urlHash=aU9d", "https://careers.google.com/jobs/results/105402801760150214-staff-software-engineer/?src=Online/LinkedIn/linkedin_us&amp;utm_source=linkedin&amp;utm_medium=jobposting&amp;utm_campaign=contract&amp;urlHash=aU9d")</f>
        <v/>
      </c>
      <c r="G101" t="inlineStr">
        <is>
          <t>Sunnyvale, CA</t>
        </is>
      </c>
      <c r="H101" t="inlineStr"/>
      <c r="I101" t="inlineStr">
        <is>
          <t>**Minimum qualifications:**
* Bachelor’s degree or equivalent practical experience.
* 8 years of experience in software development.
* 5 years of experience testing, and launching software products, and 3 years of experience with software design and architecture.
* 5 years of experience leading ML design and optimizing ML infrastructure (e.g., model deployment, model evaluation, data processing, debugging, fine tuning).
* 2 years of experience with state of the art GenAI techniques (e.g., LLMs, Multi\-Modal, Large Vision Models) or with GenAI\-related concepts (language modeling, computer vision).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an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of GenAI solutions, optimize ML infrastructure, and guide the development of data preparation and model optimization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2">
      <c r="A102" t="inlineStr">
        <is>
          <t>li-4326509200</t>
        </is>
      </c>
      <c r="B102" t="inlineStr">
        <is>
          <t>Senior Software Engineer</t>
        </is>
      </c>
      <c r="C102" t="inlineStr">
        <is>
          <t>Mission Technologies, a division of HII</t>
        </is>
      </c>
      <c r="D102" t="inlineStr">
        <is>
          <t>linkedin</t>
        </is>
      </c>
      <c r="E102">
        <f>HYPERLINK("https://www.linkedin.com/jobs/view/4326509200", "https://www.linkedin.com/jobs/view/4326509200")</f>
        <v/>
      </c>
      <c r="F102" t="inlineStr"/>
      <c r="G102" t="inlineStr"/>
      <c r="H102" t="inlineStr"/>
      <c r="I102" t="inlineStr">
        <is>
          <t>Requisition Number: 26278
 Required Travel: 0 \- 10%
 Employment Type: Full Time/Salaried/Exempt
 Anticipated Salary Range: $111,400\.00 \- $185,917\.00
 Security Clearance: Ability to Obtain
 Level of Experience: Senior
 Employee Referral Amount: $3,000\.00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**Job Description**
 Are you bored with the standard product development pipeline?
 Do you enjoy tinkering and learning how things work?
 HII Mission Technologies (HII MT) is seeking talented engineers who are excited to work in a flipped engineering environment. Our team in Roanoke, VA specializes in reverse engineering and microelectronics trust and assurance.
 Candidates for this position will lead a team performing reverse engineering tasks on existing products and encoding discoveries directly into our codebase. Additional tasks involve the research, design, and development of innovative algorithms to automate challenging or time\-consuming tasks within the reverse engineering domain. Candidates will be exposed to and become proficient with a variety of technologies involving hardware description languages, embedded instruction architectures, high\-level software development languages, formal verification tools, and more.
 The ideal candidate will have experience with object\-oriented design and an understanding of basic logic gates. We are particularly looking for candidates that have experience with FPGA design (Quartus, Vivado, ISE), embedded system design, EDA tools (synthesis, P\&amp;R, simulation), and/or microcontrollers. Experience with software reverse engineering is also valued in this position.
 Senior Level 4\- 5 ( 9 \+ yrs of experience ). Salary based on skills, background, experience and education.
 This posting is to collect applications for current and future openings for HII Mission Technologies. Candidates will be screened as opportunities come available and selected candidates will be contacted about an opportunity.
**Essential Job Responsibilities**
 Candidates for this position will be responsible for leading reverse engineering efforts into systems of interest and mentoring junior engineers in the reverse engineering and development processes. Candidates will be expected to communicate clearly and effectively and demonstrate the ability to architect maintainable solutions to complex problems. Effective collaboration with teammates on the development of new ideas and accepting constructive feedback through the code review process is required. Candidates may also be expected to implement algorithms created by hardware engineers or from academic sources with limited documentation. Candidates must be U.S. citizens and be willing and able to obtain a DoD security clearance (if not already cleared).
**Minimum Qualifications**
 9 years relevant experience with Bachelors in related field; 7 years relevant experience with Masters in related field; 4 years relevant experience with PhD or Juris Doctorate in related field; or High School Diploma or equivalent and 13 years relevant experience.
* Are a United States citizen with the ability to obtain and maintain a DOD security clearance
* Have extensive experience with object\-oriented programming languages (C\+\+, Java, Python)
* Have exposure to basic logic gates and Boolean math (AND, OR)
* Have the ability to learn new skills quickly
**Preferred Requirements**
 You will go above and beyond if you...
* Already possess an active security clearance
* Have experience with modern C\+\+ standards C\+\+17\) and STL
* Have experience with Python
* Can demonstrate the use of design patterns
* Have developed using software development processes (Agile, TDD, etc.)
* Familiarity with Verilog or VHDL
* Have experience with FPGA design software (Quartus, ISE, Vivado, etc.)
* Have experience with software reverse engineering (IDA Pro, Ghidra, Binary Ninja etc.)
* Are proficient with source control systems (git, svn, perforce, etc.)
* Have experience with the code review process
* Have experience with binary patching
* Have experience bypassing encryption schemes (power glitching, side channel attacks, etc.)
* Have published research regarding cybersecurity, software exploitation, or reverse engineering
 The listed salary range for this role is intended as a good faith estimate based on the role's location, expectations, and responsibilities. When extending an offer, HII's Mission Technologies division takes a variety of factors into consideration which include, but are not limited to, the role's function and a candidate's education or training, work experience, and key skills.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103">
      <c r="A103" t="inlineStr">
        <is>
          <t>li-3986111781</t>
        </is>
      </c>
      <c r="B103" t="inlineStr">
        <is>
          <t>Software Engineer</t>
        </is>
      </c>
      <c r="C103" t="inlineStr">
        <is>
          <t>Epic</t>
        </is>
      </c>
      <c r="D103" t="inlineStr">
        <is>
          <t>linkedin</t>
        </is>
      </c>
      <c r="E103">
        <f>HYPERLINK("https://www.linkedin.com/jobs/view/3986111781", "https://www.linkedin.com/jobs/view/3986111781")</f>
        <v/>
      </c>
      <c r="F103">
        <f>HYPERLINK("https://epic.avature.net/Careers/ApplyFlowCheck?folderId=740&amp;source=LinkedIn&amp;urlHash=fKwC", "https://epic.avature.net/Careers/ApplyFlowCheck?folderId=740&amp;source=LinkedIn&amp;urlHash=fKwC")</f>
        <v/>
      </c>
      <c r="G103" t="inlineStr">
        <is>
          <t>Aberdeen, SD</t>
        </is>
      </c>
      <c r="H103" t="inlineStr"/>
      <c r="I103"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04">
      <c r="A104" t="inlineStr">
        <is>
          <t>li-4301767592</t>
        </is>
      </c>
      <c r="B104" t="inlineStr">
        <is>
          <t>Java/Data Analytics Software Engineer II (Onsite)</t>
        </is>
      </c>
      <c r="C104" t="inlineStr">
        <is>
          <t>Raytheon</t>
        </is>
      </c>
      <c r="D104" t="inlineStr">
        <is>
          <t>linkedin</t>
        </is>
      </c>
      <c r="E104">
        <f>HYPERLINK("https://www.linkedin.com/jobs/view/4301767592", "https://www.linkedin.com/jobs/view/4301767592")</f>
        <v/>
      </c>
      <c r="F104" t="inlineStr"/>
      <c r="G104" t="inlineStr">
        <is>
          <t>State College, PA</t>
        </is>
      </c>
      <c r="H104" t="inlineStr"/>
      <c r="I104" t="inlineStr">
        <is>
          <t>**Date Posted:**
 2026\-01\-16
**Country:**
 United States of America
**Location:**
 PA602: 302 Science Park Road, Bldg 5C 302 Science Park Road Building 5C, State College, PA, 16803\-2214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TS/SCI \- Current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In the
 **Java/Data Analytics Software Engineering II** 
 role, you will design, develop, and test Java/Spring code in a Linux, Agile, DevOps environment. We are at the forefront of the aerospace and defense technology. Our Satellite Ground Systems Team plays a pivotal role in ensuring communication, surveillance, and defense capabilities through cutting\-edge satellite systems. We invite you to be part of a team that pushes the boundaries of what's possible. Due to the security clearance requirement, this is an onsite position in our
 **State College, PA** 
 office.
**What You Will Do**
* Design, develop, and maintain advanced software applications for our Satellite Ground Systems.
* Collaborate closely with systems engineers, hardware designers, and other software engineers to deliver reliable and high\-performance software solutions.
* Design, implement, and test Java code along with Spring Framework, Wildfly/JBoss, ActiveMQ based applications and software components for satellite ground systems.
* Work with the Elastic Stack for data visualization and data analytics
* Work in parallel with legacy platform teams to eventually migrate workloads onto your pipelines.
* Collaborate with cross\-functional teams to define software requirements and specifications.
* Work with previously written code and make modifications as necessary.
* Ensure software performance, reliability, and scalability.
* Participate in software design reviews, code reviews, and system integration activities.
* Contribute to the completion of program and project milestones under the specific guidance of their immediate supervisor.
* Follow established Software processes and procedures, development, documentation and maintenance/management of operations concepts, requirements (system, element, segment level), external and internal interfaces, and other software engineering work products/artifacts.
**Qualifications You Must Have**
* An active and transferable Top Secret security clearance that can be crossed over to a TS/SCI security clearance is required prior to start date. U.S. citizenship is required, as only U.S. citizens are eligible for a security clearance.
* Typically requires a degree in Science, Technology, Engineering or Mathematics (STEM) and two (2\) years of Software Engineering experience.
* Experience in object\-oriented software design and development using Java and related technologies (e.g. Spring Framework, Wildfly/JBoss, ActiveMQ) in a Linux environment.
* Experience with software testing tools (e.g., JUnit, Cucumber).
* Experience with data analytics and visualization tools (e.g., Elastic Stack/ELK stack).
* Experience working in an Agile environment.
**Qualifications We Prefer**
* Experience with scripting languages such as Python, Perl, or Bash
* Experience with AI/ML and Data Science.
* Experience working with large datasets and performing data analysis.
* Security\+ certification.
* Experience with Git, Jenkins, Docker, Kubernetes.
* Experience with the Atlassian Tool Suite (e.g. JIRA, Confluence, BitBucket).
* Experience with cloud computing platforms (e.g. AWS or Azure).
* Experience with satellite communication systems and protocols is highly preferred.
* Familiarity with secure coding practices, especially in a defense or aerospace setting.
**What We Offer**
* Whether you’re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 Relocation Eligibility \- Relocation assistance is available.
**Learn More \&amp; Apply Now!**
* Please consider the following role type definition as you apply for this role. Onsite: Employees who are working in Onsite roles will work primarily onsite. This includes all production and maintenance employees, as they are essential to the development of our products.
* This position requires a security clearance. DCSA Consolidated Adjudication Services (DCSA), an agency of the Department of Defense, handles and adjudicates the security clearance process. More information about Security Clearances can be found on the US Department of State government website here: https://www.state.gov/m/ds/clearances/c10978\.htm
* State College, PA: https://careers.rtx.com/global/en/raytheon\-state\-college,\-pa\-location
* We Are RTX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05">
      <c r="A105" t="inlineStr">
        <is>
          <t>li-4354295969</t>
        </is>
      </c>
      <c r="B105" t="inlineStr">
        <is>
          <t>Market Data and Integrations Lead Software Engineer - Multi-thread, Java, Financial Trading Applications - Hybrid</t>
        </is>
      </c>
      <c r="C105" t="inlineStr">
        <is>
          <t>FactSet</t>
        </is>
      </c>
      <c r="D105" t="inlineStr">
        <is>
          <t>linkedin</t>
        </is>
      </c>
      <c r="E105">
        <f>HYPERLINK("https://www.linkedin.com/jobs/view/4354295969", "https://www.linkedin.com/jobs/view/4354295969")</f>
        <v/>
      </c>
      <c r="F105">
        <f>HYPERLINK("https://factset.wd108.myworkdayjobs.com/FactSetCareers/job/United-States-New-York-111-West-33rd-Street/Market-Data-and-Integrations-Lead-Software-Engineer\u002d\u002dHybrid-or-US-Based-_R30300?source=LinkedIn&amp;urlHash=uBoC", "https://factset.wd108.myworkdayjobs.com/FactSetCareers/job/United-States-New-York-111-West-33rd-Street/Market-Data-and-Integrations-Lead-Software-Engineer\u002d\u002dHybrid-or-US-Based-_R30300?source=LinkedIn&amp;urlHash=uBoC")</f>
        <v/>
      </c>
      <c r="G105" t="inlineStr">
        <is>
          <t>Austin, TX</t>
        </is>
      </c>
      <c r="H105" t="inlineStr"/>
      <c r="I105"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We are seeking a talented and experienced
 **Lead Software Engineer** 
 to join our engineering team. In this role, you will help
 **design and develop financial trading applications and work with our market data infrastructure** 
 . You will be part of a passionate team working on mission\-critical systems, leveraging object\-oriented programming, primarily in Java, to build scalable, robust trading applications.
**Responsibilities:** 
* Design, develop, and maintain high\-performance features across complex, multi\-threaded backend (Java) components.
* Troubleshoot and resolve complex technical issues within a fast\-paced financial trading environment.
* Participate in code reviews, mentor junior engineers, and uphold high standards for code quality, usability, and performance.
* Optimize application performance for both backend processes and frontend user experience, focusing on scalability and low latency.
* Contribute to feature planning, architectural discussions, and technical documentation.
**Job Requirements:** 
* 6\+ years of software engineering experience required, preferably including Java
* Excellent problem\-solving and execution skills
* Significant experience with multi\-threaded applications
* Strong experience with unit testing
**Desired Skills:** 
* Knowledge of the financial trading ecosystem
* Full\-stack engineering experience
* Experience writing high performance code
**Education**
* Bachelor’s degree in computer science or relevant
 The budgeted salary range for this position in the states of Connecticut and New York is
 **$165,000\.00 \- 190,000\.00**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06">
      <c r="A106" t="inlineStr">
        <is>
          <t>li-4336802524</t>
        </is>
      </c>
      <c r="B106" t="inlineStr">
        <is>
          <t>Software Engineer II with Test Equipment</t>
        </is>
      </c>
      <c r="C106" t="inlineStr">
        <is>
          <t>Raytheon</t>
        </is>
      </c>
      <c r="D106" t="inlineStr">
        <is>
          <t>linkedin</t>
        </is>
      </c>
      <c r="E106">
        <f>HYPERLINK("https://www.linkedin.com/jobs/view/4336802524", "https://www.linkedin.com/jobs/view/4336802524")</f>
        <v/>
      </c>
      <c r="F106" t="inlineStr"/>
      <c r="G106" t="inlineStr">
        <is>
          <t>Tucson, AZ</t>
        </is>
      </c>
      <c r="H106" t="inlineStr"/>
      <c r="I106" t="inlineStr">
        <is>
          <t>**Date Posted:**
 2025\-11\-18
**Country:**
 United States of America
**Location:**
 AZ201: RMS AP Bldg 801 1151 East Hermans Road Building 801, Tucson, AZ, 85756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DoD Clearance: Secret
 About Us:
 Raytheon combines our vast resources and investments and is dedicated to solving mission\-level vs. product\-level customer challenges – together we can anticipate more, move faster, and make a bigger impact on the big picture.
 This position is 100% on site in Tucson, Arizona
 The Test Solutions Center (TSC) team within the Hardware Discipline Center is a multi\-discipline organization that provides test solutions to support production lines for our entire missile portfolio. The software team within TSC is responsible for developing advanced windows application solutions for all Raytheon products. We are hands\-on, designing with the latest technology and tools, and integrating state of the art software solutions with the most advanced engineering systems in the world. TSC products are in engineering labs, in the field, and in production environments utilized for weapon system products. TSC has job opportunities across all phases of the engineering lifecycle, including demonstrations, early engineering tests, design verification tests, production, and post\-production sustainment.
 This position is focused on the design, development, integration, and maintenance of software as a part of on\-site factory support of systems to support weapon system product development. The selected candidate will develop applications, libraries, and instrument drivers using the software style, development language, and integrated development environment specified by the organization.
 The selected candidate will contribute to multidiscipline engineering teams. Typical work involves the development of both engineering and production equipment, environments, and systems. As such, the candidate will contribute to the completion of all stages of product development for RMD weapon system products. They will be expected to work, either as a part of a team or independently, to design, develop, and implement system level applications in support of producing and maintaining weapon system products.
 What You Will Do:
 Design, develop and integrate object\-oriented software applications using C\#, C\+\+ in Microsoft Visual Studio in a Windows Operating System (OS)
 Prioritize and handle multiple software engineering tasks concurrently
 Troubleshoot software and test equipment instrumentation
 Work in a multidiscipline engineering team environment
 Develop and derive requirements for software products
 Qualifications You Must Have:
 Typically requires a Bachelor’s Degree in Science, Technology, Engineering, or Mathematics (STEM) and minimum 2 years prior relevant experience, or an Advanced degree in a related field.
 Experience in developing and integrating software applications using programming languages including but not limited to C\+\+, C\#, Java, Python or Visual Basic.
 Experience in utilizing integrated development environments and debugging tools to troubleshoot software implementation and ensure integrity of the software products.
 Experience with Windows Operating System and Microsoft Visual Studio is required.
 Active and transferable U.S. government issued security clearance is required prior to start date. U.S. citizenship is required, as only U.S. citizens are eligible for a security clearance.
 Qualifications We Prefer:
 Knowledge of computer architecture and computer hardware optimization techniques
 Knowledge of the development of software drivers for the operation of computer hardware interfaces
 Knowledge in common computer hardware interface and data protocols such as TCP/IP or UDP
 Knowledge of Unified Modeling Language (UML) to visualize software architecture and design
 Knowledge of software development lifecycles, such as Waterfall and Agile
 Knowledge of Software Configuration Management principles
 Good written and interpersonal communication skills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66,000 USD \- 130,000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07">
      <c r="A107" t="inlineStr">
        <is>
          <t>li-4365339099</t>
        </is>
      </c>
      <c r="B107" t="inlineStr">
        <is>
          <t>Senior Software Engineer, Full Stack</t>
        </is>
      </c>
      <c r="C107" t="inlineStr">
        <is>
          <t>Capital One</t>
        </is>
      </c>
      <c r="D107" t="inlineStr">
        <is>
          <t>linkedin</t>
        </is>
      </c>
      <c r="E107">
        <f>HYPERLINK("https://www.linkedin.com/jobs/view/4365339099", "https://www.linkedin.com/jobs/view/4365339099")</f>
        <v/>
      </c>
      <c r="F107" t="inlineStr"/>
      <c r="G107" t="inlineStr">
        <is>
          <t>New York, NY</t>
        </is>
      </c>
      <c r="H107" t="inlineStr"/>
      <c r="I10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8">
      <c r="A108" t="inlineStr">
        <is>
          <t>li-4362624438</t>
        </is>
      </c>
      <c r="B108" t="inlineStr">
        <is>
          <t>Lead Principal Java Scala Blockchain Software Engineer</t>
        </is>
      </c>
      <c r="C108" t="inlineStr">
        <is>
          <t>Request Technology, LLC</t>
        </is>
      </c>
      <c r="D108" t="inlineStr">
        <is>
          <t>linkedin</t>
        </is>
      </c>
      <c r="E108">
        <f>HYPERLINK("https://www.linkedin.com/jobs/view/4362624438", "https://www.linkedin.com/jobs/view/4362624438")</f>
        <v/>
      </c>
      <c r="F108" t="inlineStr"/>
      <c r="G108" t="inlineStr">
        <is>
          <t>Chicago, IL</t>
        </is>
      </c>
      <c r="H108" t="inlineStr"/>
      <c r="I108" t="inlineStr">
        <is>
          <t>This is
**not**
 a C2C role, permanent W2 direct\-hire only\*\*\*
 \*\*\*Position is bonus eligible\*\*\*
 Prestigious Financial Institution is currently seeking a Lead Principal Software Java Engineer, with Scala and Blockchain experience. Candidate will be responsible for the development and delivery of business features, integrating a variety of upstream data sources and presenting data through the user interface, all while enriching and advancing the platform. This software must achieve a blend of data\-rich presentation, performance, user experience, and the capacity to support the busiest trading days in the world economy with rock\-solid reliability. The candidate must be able to solve problems creatively, communicate effectively, and proactively engage in technical decision making to achieve these objectives.
**Responsibilities:** 
 Working alongside experts that are building next generation blockchain\-based securities lending system, and paving the future of digital transformation in the capital markets industry
 Collaborating with others to deliver complex projects which may involve multiple systems
 Continuously thinking about the next steps while improving yourself and others around you
 Developing solutions to complex technical challenges while coding, testing, troubleshooting, debugging, and documenting the systems you develop
 Optimizing application performance through analysis, code refactoring, and system tuning
 Recommending technologies and tools that improve the efficiency and quality of the systems and development processes.
**Qualifications:** 
 \[Required] 2\+ years of development experience with Scala
 \[Required] 7\+ years of experience in software development
 \[Required] 5\+ years of experience in Java or related technologies
 \[Required] 3\+ years of experience in react js or similar technologies
 \[Required] 1\+ years of experience with distributed application design \&amp; blockchain
 \[Required] Experience with Akka or other actor\-based systems
 \[Required] Experience with Devops and CICD tools (GIT, Jenkins, Docker, Kubernetes, Harness, Rancher)
 \[Required] Ability to write clean, bug\-free code that is easy to understand and easily maintainable
 \[Required] Experience with BDD methodologies \&amp; automated acceptance testing
**Technical Skills \&amp; Background:** 
 \[Required] Scala\-based software development experience
 \[Required] Web/mobile application development experience
 \[Required] Understanding of message brokers, Queues and distributed datastores (Kafka, MQ, Redis, Splunk)
 \[Required] Experience working Unix/Linux environments, large software system development, security software development, public\-cloud platforms
 \[Required] Fluent in functional programming, object\-oriented design, industry best practices, software patterns, and architecture principles
 \[Required] Proficient in the following types of testing: unit, integration, system, functional, non\-functional, regression, performance, security, and acceptance
 \[Required] Deep understanding of performance issues and multi\-threaded development
 \[Required] Experience with continuous integration tools and techniques, automating processes, and writing scripts using Python and other languages.
**Education:** 
 \[Required] BS degree in Computer Science, similar technical field required
 \[Preferred] Masters preferred</t>
        </is>
      </c>
    </row>
    <row r="109">
      <c r="A109" t="inlineStr">
        <is>
          <t>li-4362167766</t>
        </is>
      </c>
      <c r="B109" t="inlineStr">
        <is>
          <t>Staff Software Engineer, AI/ML, Google Ads</t>
        </is>
      </c>
      <c r="C109" t="inlineStr">
        <is>
          <t>Google</t>
        </is>
      </c>
      <c r="D109" t="inlineStr">
        <is>
          <t>linkedin</t>
        </is>
      </c>
      <c r="E109">
        <f>HYPERLINK("https://www.linkedin.com/jobs/view/4362167766", "https://www.linkedin.com/jobs/view/4362167766")</f>
        <v/>
      </c>
      <c r="F109" t="inlineStr"/>
      <c r="G109" t="inlineStr">
        <is>
          <t>Pittsburgh, PA</t>
        </is>
      </c>
      <c r="H109" t="inlineStr"/>
      <c r="I109" t="inlineStr">
        <is>
          <t>Note: By applying to this position you will have an opportunity to share your preferred working location from the following:
 **Mountain View, CA, USA; Pittsburgh, PA, USA** 
 .
 **Minimum qualifications:**
* Bachelor’s degree or equivalent practical experience.
* 8 years of experience programming in Python or C\+\+.
* 5 years of experience testing, and launching software products.
* 5 years of experience with one or more of the following: Speech/audio (e.g., technology duplicating and responding to the human voice), reinforcement learning (e.g., sequential decision making), ML infrastructure, or specialization in another ML field.
* 5 years of experience leading ML design and optimizing ML infrastructure (e.g., model deployment, model evaluation, data processing, debugging, fine tuning).
* 3 years of experience with software design and architecture.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an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0">
      <c r="A110" t="inlineStr">
        <is>
          <t>li-4354185969</t>
        </is>
      </c>
      <c r="B110" t="inlineStr">
        <is>
          <t>Market Data and Integrations Lead Software Engineer - Multi-thread, Java, Financial Trading Applications - Hybrid</t>
        </is>
      </c>
      <c r="C110" t="inlineStr">
        <is>
          <t>FactSet</t>
        </is>
      </c>
      <c r="D110" t="inlineStr">
        <is>
          <t>linkedin</t>
        </is>
      </c>
      <c r="E110">
        <f>HYPERLINK("https://www.linkedin.com/jobs/view/4354185969", "https://www.linkedin.com/jobs/view/4354185969")</f>
        <v/>
      </c>
      <c r="F110" t="inlineStr"/>
      <c r="G110" t="inlineStr">
        <is>
          <t>Lakewood, CO</t>
        </is>
      </c>
      <c r="H110" t="inlineStr"/>
      <c r="I110"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We are seeking a talented and experienced
 **Lead Software Engineer** 
 to join our engineering team. In this role, you will help
 **design and develop financial trading applications and work with our market data infrastructure** 
 . You will be part of a passionate team working on mission\-critical systems, leveraging object\-oriented programming, primarily in Java, to build scalable, robust trading applications.
**Responsibilities:** 
* Design, develop, and maintain high\-performance features across complex, multi\-threaded backend (Java) components.
* Troubleshoot and resolve complex technical issues within a fast\-paced financial trading environment.
* Participate in code reviews, mentor junior engineers, and uphold high standards for code quality, usability, and performance.
* Optimize application performance for both backend processes and frontend user experience, focusing on scalability and low latency.
* Contribute to feature planning, architectural discussions, and technical documentation.
**Job Requirements:** 
* 6\+ years of software engineering experience required, preferably including Java
* Excellent problem\-solving and execution skills
* Significant experience with multi\-threaded applications
* Strong experience with unit testing
**Desired Skills:** 
* Knowledge of the financial trading ecosystem
* Full\-stack engineering experience
* Experience writing high performance code
**Education**
* Bachelor’s degree in computer science or relevant
 The budgeted salary range for this position in the states of Connecticut and New York is
 **$165,000\.00 \- 190,000\.00**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11">
      <c r="A111" t="inlineStr">
        <is>
          <t>li-4365333546</t>
        </is>
      </c>
      <c r="B111" t="inlineStr">
        <is>
          <t>Senior Software Engineer, Back End (AWS, Python, Querying Snowflake, Glue)</t>
        </is>
      </c>
      <c r="C111" t="inlineStr">
        <is>
          <t>Capital One</t>
        </is>
      </c>
      <c r="D111" t="inlineStr">
        <is>
          <t>linkedin</t>
        </is>
      </c>
      <c r="E111">
        <f>HYPERLINK("https://www.linkedin.com/jobs/view/4365333546", "https://www.linkedin.com/jobs/view/4365333546")</f>
        <v/>
      </c>
      <c r="F111">
        <f>HYPERLINK("https://dsp.prng.co/sIFdh_b&amp;urlHash=XF6R", "https://dsp.prng.co/sIFdh_b&amp;urlHash=XF6R")</f>
        <v/>
      </c>
      <c r="G111" t="inlineStr">
        <is>
          <t>Richmond, VA</t>
        </is>
      </c>
      <c r="H111" t="inlineStr"/>
      <c r="I11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Python, SQL, Node, Go, Java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Python, Scala, JavaScript, Java, TypeScript, SQL, or Go
* 2\+ years of experience with AWS cloud services, GCP, Azure, or another cloud services
* 1\+ years of experience using AWS Glue or Lambda
* 1\+ years of experience SQL querying in Snowflake or Apache Spark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2">
      <c r="A112" t="inlineStr">
        <is>
          <t>li-4355330204</t>
        </is>
      </c>
      <c r="B112" t="inlineStr">
        <is>
          <t>Senior Principal/Staff Cyber Software Engineer CI Poly with Security Clearance</t>
        </is>
      </c>
      <c r="C112" t="inlineStr">
        <is>
          <t>ClearanceJobs</t>
        </is>
      </c>
      <c r="D112" t="inlineStr">
        <is>
          <t>linkedin</t>
        </is>
      </c>
      <c r="E112">
        <f>HYPERLINK("https://www.linkedin.com/jobs/view/4355330204", "https://www.linkedin.com/jobs/view/4355330204")</f>
        <v/>
      </c>
      <c r="F112" t="inlineStr"/>
      <c r="G112" t="inlineStr">
        <is>
          <t>Herndon, VA</t>
        </is>
      </c>
      <c r="H112" t="inlineStr"/>
      <c r="I112" t="inlineStr">
        <is>
          <t>* MUST HAVE AN ACTIVE TS/SCI WITH CI POLY CLEARANCE\*\*\*\*\*\* Software Engineer IV We are looking for a Software Engineer to join our diverse team at our Herndon, VA, office. The candidate will work within a cross\-functional Agile Scrum Team primarily focusing on building and maintaining systems running in a containerized environment. For Senior Principal level: A Bachelor's degree with 9\+ years of relevant experience; OR a Master's degree with 7\+ years of relevant experience; OR a PhD with 4\+ years of relevant experience an additional 4 years of experience may be considered in lieu of a degree requirement For Staff level: A Bachelor's degree with 14\+ years of relevant experience; OR a Master's degree with 12\+ years of relevant experience; OR a PhD with 9\+ years of relevant experience an additional 4 years of experience may be considered in lieu of a degree requirement Required: Significant Java and Python development experience Experience with SQL Shell Script experience Hands\-on experience with Unix/Linux TS/SCI with Poly \*\*\*\*\*MUST HAVE AN ACTIVE TS/SCI WITH CI POLY CLEARANCE\*\*\*\*\*\* Desired: Security\+ or equivalent certification and willingness to serve as a privileged user supporting deployed systems testing
**Experience With Kubernetes (Red Hat OpenShift Or Another Variant)**
 Familiarity with NiFi
 Experience with cross\-domain systems
 Experience with JavaScript Shld, Inc. is an Equal Opportunity/Affirmative Action employer. All qualified applicants will receive consideration for employment without regard to race, color, religion, sex, sexual orientation, gender identity, national origin, disability, or veteran status, or any other protected class.</t>
        </is>
      </c>
    </row>
    <row r="113">
      <c r="A113" t="inlineStr">
        <is>
          <t>li-4355244917</t>
        </is>
      </c>
      <c r="B113" t="inlineStr">
        <is>
          <t>Senior Principal/Staff Cyber Software Engineer (TS/SCI) with Security Clearance</t>
        </is>
      </c>
      <c r="C113" t="inlineStr">
        <is>
          <t>ClearanceJobs</t>
        </is>
      </c>
      <c r="D113" t="inlineStr">
        <is>
          <t>linkedin</t>
        </is>
      </c>
      <c r="E113">
        <f>HYPERLINK("https://www.linkedin.com/jobs/view/4355244917", "https://www.linkedin.com/jobs/view/4355244917")</f>
        <v/>
      </c>
      <c r="F113" t="inlineStr"/>
      <c r="G113" t="inlineStr">
        <is>
          <t>Herndon, VA</t>
        </is>
      </c>
      <c r="H113" t="inlineStr"/>
      <c r="I113" t="inlineStr">
        <is>
          <t>* MUST HAVE AN ACTIVE TS/SCI WITH ABILITY TO OBTAIN TO PASS A POLY CLEARANCE\*\*\*\*\*\* Software Engineer IV Our client's Space \&amp; Intelligence Sector is looking for a Software Engineer to join their diverse team in their Herndon, VA, office. The candidate should have experience with structured software development methodologies and modern software tools and techniques. The selected candidate will work within a cross\-functional Scrum team, and will perform software engineering and development activities, associated with supporting, maintaining, and enhancing software using an Agile DevSecOps model. The engineer should be comfortable working with containers and automated testing frameworks. For Senior Principal level: A Bachelor's degree with 9\+ years of relevant experience; OR a Master's degree with 7\+ years of relevant experience; OR a PhD with 4\+ years of relevant experience an additional 4 years of experience may be considered in lieu of a degree requirement For Staff level: A Bachelor's degree with 14\+ years of relevant experience; OR a Master's degree with 12\+ years of relevant experience; OR a PhD with 9\+ years of relevant experience an additional 4 years of experience may be considered in lieu of a degree requirement Required Strong Python development experience, especially with workflow orchestration Elasticsearch/Open Search, PostgreSQL, MySQL experience Experience with state machines, task queues (e.g., Celery), or workflow engines. Understanding of RESTful APIs and data serialization (JSON, XML). TS/SCI with ability to pass a poly \*\*\*\*\*MUST HAVE AN ACTIVE TS/SCI CLEARANCE\*\*\*\*\*\* Desired: Knowledge of API design best practices and data governance. Experience using Node.js. Familiarity with frameworks like Django, FastAPI, or Flask. Security\+ or equivalent certification and willingness to serve as a privileged user supporting deployed systems testing P/W Shld, Inc. is an Equal Opportunity/Affirmative Action employer. All qualified applicants will receive consideration for employment without regard to race, color, religion, sex, sexual orientation, gender identity, national origin, disability, or veteran status, or any other protected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2026-01-22T18:25:33Z</dcterms:created>
  <dcterms:modified xsi:type="dcterms:W3CDTF">2026-01-22T18:25:33Z</dcterms:modified>
</cp:coreProperties>
</file>