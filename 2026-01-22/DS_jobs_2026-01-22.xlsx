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in-19c661a2de258777</t>
        </is>
      </c>
      <c r="B2" t="inlineStr">
        <is>
          <t>Senior Data Scientist</t>
        </is>
      </c>
      <c r="C2" t="inlineStr">
        <is>
          <t>AspenView Technology Partners</t>
        </is>
      </c>
      <c r="D2" t="inlineStr">
        <is>
          <t>indeed</t>
        </is>
      </c>
      <c r="E2">
        <f>HYPERLINK("https://www.indeed.com/viewjob?jk=19c661a2de258777", "https://www.indeed.com/viewjob?jk=19c661a2de258777")</f>
        <v/>
      </c>
      <c r="F2">
        <f>HYPERLINK("https://ats.rippling.com/aspenview/jobs/a4d1a717-9620-4ba2-83bb-ff641cdf52b1?jobSite=Indeed", "https://ats.rippling.com/aspenview/jobs/a4d1a717-9620-4ba2-83bb-ff641cdf52b1?jobSite=Indeed")</f>
        <v/>
      </c>
      <c r="G2" t="inlineStr">
        <is>
          <t>Denver, CO, US</t>
        </is>
      </c>
      <c r="H2" s="2" t="n">
        <v>46044</v>
      </c>
      <c r="I2" t="inlineStr">
        <is>
          <t>**Build the Future with AspenView Technology Partners**
At AspenView, we are passionate about transforming the way organizations approach technology. We specialize in creating high\-performing, nearshore IT teams to help North American clients innovate faster and more efficiently. As we continue to grow, we’re looking for exceptional people to join our team and help drive impactful change across industries.
**Why Join AspenView?**
At AspenView, we’re more than a nearshore IT partner—we’re a **people\-first, purpose\-driven** company that believes great culture drives great outcomes. We’re passionate about connecting talent and technology to deliver measurable value for clients—and meaningful career paths for our people.
Here’s what you can expect:
* Competitive base
* Comprehensive benefits and wellness support
* Flexible work model: hybrid, remote, or in\-office
* Real growth opportunities and leadership visibility
* Inclusive, respectful culture that blends U.S. innovation with Colombian heart
* A company that listens, invests in you, and celebrates wins together
 **About the role**
As Senior Data Scientist, you’ll take on a high\-impact role focused on building and scaling advanced models that balance customer acquisition with strong risk management. You’ll lead initiatives to allow more customers while carefully managing risks, working with advanced analytics and machine learning techniques to distinguish between high\-risk and trustworthy profiles.
**What you will do:**
* Design, build, and evaluate machine learning and deep learning models for classification, regression, recommendation, NLP, computer vision, and time\-series forecasting.
* Apply deep learning techniques (e.g., CNNs, RNNs, LSTMs, Transformers) to solve complex, data\-intensive problems.
* Lead the development of ML products, from model prototyping through production deployment, performance monitoring, and continuous improvement.
* Select appropriate architectures, optimize model performance, and use proper evaluation metrics based on the use case.
* Collaborate with product managers and engineers to translate business challenges into deployable solutions using AI/ML.
* Design automated pipelines for data preprocessing, feature engineering, training, and inference (batch or real\-time).
* Evaluate model drift, monitor performance post\-deployment, and implement retraining pipelines as part of a production MLOps system.
* Mentor junior data scientists, contribute to code reviews, and lead technical discussions across the data science and engineering teams.
**What you bring:**
* Bachelor’s degree in Computer Science, Statistics, Applied Math, or related field (Master’s or PhD strongly preferred).
* 7\+ years of industry experience in applied machine learning, with 5\+ years focused on deep learning and neural network applications.
* Proficiency in Python and ML libraries such as scikit\-learn, XGBoost, TensorFlow, Keras, or PyTorch.
* Deep understanding of neural networks, model regularization, overfitting/underfitting prevention, and GPU\-accelerated training.
* Proven track record of building, evaluating, and deploying machine learning models at scale in production environments.
* Experience with cloud platforms (AWS/GCP/Azure), containerization, and model serving technologies.
* Excellent communication skills, with the ability to present complex findings to both technical and non\-technical stakeholders.
**Nice if you have:**
* Hands\-on experience with real\-world applications of deep learning, such as recommendation engines, fraud detection, customer segmentation, document summarization, image recognition, or speech processing.
* Familiarity with MLOps tools (e.g., MLflow, SageMaker, Airflow, Kubeflow).
* Experience with CI/CD for ML, feature stores, and real\-time inference systems.
* Contributions to academic research, open\-source ML projects, or ML/AI patents
 **Equal Opportunity Employer:**
AspenView is proud to be an equal opportunity employer. We believe in creating an environment where all employees feel welcome, valued, and empowered to succeed. We celebrate diversity and strive to build a culture of inclusion where all individuals, regardless of their race, color, gender, gender identity or expression, sexual orientation, disability, age, or any other characteristic, can thrive. We encourage applicants from all walks of life to join our team and make a lasting impact.</t>
        </is>
      </c>
    </row>
    <row r="3">
      <c r="A3" t="inlineStr">
        <is>
          <t>in-24606a256e7ff043</t>
        </is>
      </c>
      <c r="B3" t="inlineStr">
        <is>
          <t>Principal Bioinformatics Data Scientist</t>
        </is>
      </c>
      <c r="C3" t="inlineStr">
        <is>
          <t>Baylor Miraca Genetics Laboratories LLC</t>
        </is>
      </c>
      <c r="D3" t="inlineStr">
        <is>
          <t>indeed</t>
        </is>
      </c>
      <c r="E3">
        <f>HYPERLINK("https://www.indeed.com/viewjob?jk=24606a256e7ff043", "https://www.indeed.com/viewjob?jk=24606a256e7ff043")</f>
        <v/>
      </c>
      <c r="F3">
        <f>HYPERLINK("https://recruiting2.ultipro.com/BAY1006BML/JobBoard/0669eed3-5441-4f8e-a7b1-c5df596a4dfe/OpportunityDetail?opportunityId=9326cd53-df3d-41a5-9dcd-1c80c857ecf3&amp;postingId=1ec7c209-2812-4c2a-8bef-f43e6adb6049", "https://recruiting2.ultipro.com/BAY1006BML/JobBoard/0669eed3-5441-4f8e-a7b1-c5df596a4dfe/OpportunityDetail?opportunityId=9326cd53-df3d-41a5-9dcd-1c80c857ecf3&amp;postingId=1ec7c209-2812-4c2a-8bef-f43e6adb6049")</f>
        <v/>
      </c>
      <c r="G3" t="inlineStr">
        <is>
          <t>US</t>
        </is>
      </c>
      <c r="H3" s="2" t="n">
        <v>46043</v>
      </c>
      <c r="I3" t="inlineStr">
        <is>
          <t>Baylor Genetics is seeking an experienced and visionary Principal Bioinformatics Data Scientist to join our Bioinformatics R\&amp;D and Data Science team. This individual will play a pivotal role in advancing our genomic analysis capabilities through the development of innovative computational methods, algorithms, and ML/AI\-driven models to support our mission of delivering accurate, fast, and clinically actionable genomic insights.
The Principal Bioinformatics Data Scientist at Baylor Genetics will serve as a scientific and technical leader driving innovation at the intersection of bioinformatics, data science, machine learning, and clinical genomics. This individual will develop and implement advanced computational, statistical, machine learning, and AI solutions to enhance genomic analysis pipelines, accelerate diagnostic workflows, and enable data\-driven insights from large\-scale genomic and clinical datasets.
This role requires a seasoned scientist\-engineer who thrives on solving complex biological problems through advanced data science and who is comfortable bridging research innovation and production\-grade deployment in a regulated clinical environment.
The successful candidate will combine deep expertise in bioinformatics, genomics, computer science, and machine learning to lead high\-impact initiatives spanning secondary and tertiary analysis, data integration, and model\-based interpretation of clinical genomics data.
**QUALIFICATIONS:**
* **Education:**
* + Master’s and higher degree (PhD preferred) in Bioinformatics, Computer Science, Data Science, Computational Biology, or a related field.
* **Experience:**
* + 6\+ years of professional experience in genomic data science related to bioinformatics, computational genomics, or similar, including at least 3 years in a senior or lead role.
	+ Proven track record of statistical, machine learning, and AI model development using genomic and clinical data.
	+ Strong experience with secondary and tertiary genomic analysis (alignment, variant calling, annotation, and interpretation).
	+ Experience in data Lakehouse (Databricks, Snowflakes), and precision health platforms (DNAnexus, Velsera).
	+ Experience in big data, data ETL, data visualization, workflow orchestration/logging, and databases (including SQL, no\-SQL, and graph\-based).
	+ Demonstrated experience working in a clinical or diagnostic genetics environment is highly desirable.
	+ Proficient in Python, R, C/C\+\+, Java, or similar programming languages.
	+ Expertise in machine learning frameworks (e.g., TensorFlow, PyTorch, Scikit\-learn, XGBoost).
	+ Advanced understanding of statistical modeling, including Bayesian inference, GLMs, mixed models, and resampling methods.
	+ Experience applying deep learning architectures (transformers, CNNs, GNNs) to genomic and biomedical data.
	+ Deep understanding of statistical analysis, data modeling, and computational methods used in genomics.
	+ Experience with NGS data formats and genome databases.
	+ Familiarity with cloud computing environments (Azure, AWS, GCP) and distributed computing frameworks (e.g., Spark, Dask).
	+ Deep knowledge of statistical modeling, dimensionality reduction, and data visualization.
	+ Familiarity with CI/CD, containerization (Docker/Kubernetes), and version control (Git).
* **Core Competencies:**
* + Exceptional analytical, problem\-solving, and critical thinking skills.
	+ Ability to translate complex data\-driven analyses into actionable biological and clinical insights.
	+ Excellent written and verbal communication skills, with the ability to communicate effectively across disciplines.
	+ Deep understanding of both computational methods and biological context.
	+ Demonstrated leadership in cross\-functional team environments.
	+ Passion for innovation in precision medicine and clinical genomics.
**DUTIES AND RESPONSIBILITIES:**
* **Algorithms and Model Development:**
* + Design, develop, and optimize computational algorithms, statistical models, and machine learning/AI approaches for genomic data analysis.
	+ Develop algorithms for variant prioritization, pathogenicity prediction, phenotype\-genotype association, and diagnostic decision support.
	+ Lead efforts to apply deep learning and predictive modeling to variant interpretation, phenotype correlation, and diagnostic decision support.
	+ Develop and optimize algorithms for secondary and tertiary genomic analysis, variant calling, variant annotation, ACMG classification, and data\-driven interpretation of genomic findings.
	+ Apply deep learning architectures (CNNs, RNNs, GNNs, transformers) and probabilistic modeling approaches to improve variant calling, variant interpretation, and disease prediction.
	+ Design and optimize Bayesian, regression, and ensemble models to quantify uncertainty, improve confidence scoring, and support clinical decision\-making.
* Develop feature engineering and dimensionality reduction strategies for multi\-modal data integration (genomic, transcriptomic, phenotypic, and clinical).
* **Genomic Analysis:**
* + Serve as a subject matter expert (SME) in data science applications for bioinformatics pipeline development, including secondary and tertiary analysis, variant interpretation, and clinical reporting automation.
	+ Drive enhancements to existing bioinformatics pipelines for improved accuracy, performance, and interpretability.
	+ Integrate and analyze multi\-omics datasets (genomic, transcriptomic, phenotypic, and clinical) to extract meaningful biological and clinical insights.
* **System Innovation and Optimization:**
* + Evaluate and enhance existing bioinformatics and data science pipelines for improved accuracy, speed, and scalability.
	+ Collaborate with engineering teams to integrate new algorithms and frameworks into production\-grade analysis pipelines.
	+ Drive novel genomic data platform development to support a cohesive data ecosystem.
* **Research and Development:**
* + Drive innovation in genomics data science through research and development of novel analytical methodologies.
	+ Stay current with emerging tools, frameworks, and technologies in ML, AI, bioinformatics, and genomics, and guide the team in adopting best practices.
* **Cross Functional Collaboration:**
* + Partner closely with laboratory scientists, clinical geneticists, software engineers, and data engineers to translate scientific insights into clinical applications.
	+ Serve as a scientific and technical thought leader across cross\-disciplinary projects.
	+ Evaluate emerging technologies, frameworks, and methodologies to ensure Baylor Genetics remains at the forefront of computational genomics innovation.
	+ Present findings and strategic recommendations to executive and scientific leadership.
* **Mentorship:**
* + Provide technical mentorship and guidance to bioinformatics scientists, data scientists, and software engineers.
	+ Contribute to strategic planning and technical direction for the Bioinformatics R\&amp;D and Data Science group.
**WHY JOIN BAYLOR GENETICS**
At Baylor Genetics, you’ll be part of a world\-class organization at the forefront of clinical genomics, transforming patient care through innovation, quality, and collaboration. You’ll have the opportunity to work alongside some of the brightest minds in genomics and data science, contributing directly to cutting\-edge diagnostic solutions that impact patients and families worldwide.
**PHYSICAL DEMANDS AND WORK ENVIRONMENT:**
* Frequently required to sit
* Frequently required to stand
* Frequently required to utilize hand and finger dexterity
* Frequently required to talk or hear
* Frequently required to utilize visual acuity to operate equipment, read technical information, and/or use a keyboard
* Occasionally exposed to bloodborne and airborne pathogens or infectious materials
**EEO Statement:**
Baylor Genetics is proud to be an equal opportunity employer dedicated to building an inclusive and diverse workforce. We do not discriminate based on race, religion, color, national origin, sex, sexual orientation, age, gender identity, veteran status, disability, genetic information, pregnancy, childbirth, or related medical conditions, or any other status protected under applicable federal, state, or local law.
#### **Summary:**
The Director, Corporate Financial Planning \&amp; Analysis is responsible for leading Baylor Genetics’ strategic financial planning, budgeting, forecasting, FP\&amp;A process improvement. This role plays a critical part in aligning financial strategy with long\-term business goals. The Director will provide executive\-level insights to leadership and external stakeholders while ensuring financial models and projections reflect the organization’s growth trajectory and performance.
#### **Qualifications and Experience:**
* **Education:**
	+ Bachelor's degree in Finance, Accounting, or a related field; MBA or relevant advanced degree preferred.
#### **Experience:**
* Minimum of 10 years of experience in financial planning and analysis or corporate finance
* At least 3 years in a financial leadership role
* Proven success in FP\&amp;A process improvement, experience in Adaptive planning platform implementation required
* Strong background in financial modeling, budgeting, and strategic forecasting
#### **Duties and Responsibilities:**
* **Strategic Financial Planning \&amp; Forecasting:**
	+ Lead the development of company\-wide financial models and long\-term forecasts
	+ Translate strategic objectives into detailed financial plans aligned with organizational priorities
	+ Collaborate with executive leadership to assess financial performance, risks, and growth opportunities
#### **Budget and Forecast Management:**
* Oversee the annual budgeting process and rolling forecasts
* Ensure alignment between actual results and forecasts, identifying key trends and drivers
* Partner with department heads to develop financially sound operational plans
#### **Revenue Analysis \&amp; Decision Support:**
* Lead revenue and margin analysis to support strategic decision\-making
* Drive business performance by analyzing sales trends, pricing strategies, and market dynamics
* Provide financial insights that support resource allocation and investment decisions
#### **Dashboards, Planning and Reporting:**
* Develop and maintain dashboards, planning and reporting tools for executive and departmental use including Adaptive planning platform
* Provide timely and actionable financial insights to guide company performance
#### **Team Leadership:**
* Build and lead a high\-performing FP\&amp;A team
* Foster a culture of collaboration, continuous improvement, and accountability
#### **Physical Demands and Work Environment:**
* Frequently required to
* Frequently required to utilize hand and finger
* Frequently required to talk or
#### **EEO Statement:**
Baylor Genetics is proud to be an equal opportunity employer dedicated to building an inclusive and diverse workforce. We do not discriminate based on race, religion, color, national origin, sex, sexual orientation, age, gender identity, veteran status, disability, genetic information, pregnancy, childbirth, or related medical conditions, or any other status protected under applicable federal, state, or local law.
**Note to Recruiters:**
**We value building direct relationships with our candidates and prefer to manage our hiring process internally. While we occasionally partner with select recruitment agencies for specialized roles, we do not accept unsolicited resumes from recruiters or agencies without a written agreement executed by the authorized signatory for Baylor Genetics ("Agreement"). Any resumes submitted to Baylor Genetics in the absence of an Agreement executed by Baylor Genetics' authorized signatory will be considered the property of Baylor Genetics, and Baylor Genetics will not be obligated to pay any associated recruitment fees.**</t>
        </is>
      </c>
    </row>
    <row r="4">
      <c r="A4" t="inlineStr">
        <is>
          <t>in-c3c3f3c0027d3412</t>
        </is>
      </c>
      <c r="B4" t="inlineStr">
        <is>
          <t>Data Scientist</t>
        </is>
      </c>
      <c r="C4" t="inlineStr">
        <is>
          <t>Aegis Mobile</t>
        </is>
      </c>
      <c r="D4" t="inlineStr">
        <is>
          <t>indeed</t>
        </is>
      </c>
      <c r="E4">
        <f>HYPERLINK("https://www.indeed.com/viewjob?jk=c3c3f3c0027d3412", "https://www.indeed.com/viewjob?jk=c3c3f3c0027d3412")</f>
        <v/>
      </c>
      <c r="F4">
        <f>HYPERLINK("http://www.indeed.com/job/data-scientist-c3c3f3c0027d3412", "http://www.indeed.com/job/data-scientist-c3c3f3c0027d3412")</f>
        <v/>
      </c>
      <c r="G4" t="inlineStr">
        <is>
          <t>Vienna, VA, US</t>
        </is>
      </c>
      <c r="H4" s="2" t="n">
        <v>46044</v>
      </c>
      <c r="I4" t="inlineStr">
        <is>
          <t>*Aegis seeks to hire a Data Scientist to join a rapidly growing department that provides analytics research and services to both internal and external customers. The successful candidate will report to an Aegis physical location in Tyson’s Corner, VA, or Mobile, AL. Both in\-office and hybrid working arrangements may be considered.* 
**Job Summary**
We are seeking a detail\-oriented and analytically strong Data Scientist to contribute to and create advanced data\-focused solutions supporting our global telecommunications clients. As a member of the Data Intelligence Department the ideal candidate will regularly integrate knowledge of data science, applied AI, and machine learning for predictive modeling and analysis. This is a position requiring focus and flexibility, independence, effective organizational skills, and a willingness to improvise when crafting novel solutions.
As a member of the Data Intelligence Department the ideal candidate will investigate and capture the data and intelligence needed to deliver business analytics for brand protection, partner risk assessment, and operational insight and efficiency. This is a position requiring excellent analytical and communication skills, understanding of the software development lifecycle, and confidence in presenting to senior\-level stakeholders.
**Key responsibilities:**
· Build, validate, and deploy predictive and machine learning models supporting telecom operations
· Work with enterprise data sources including Azure
· Develop data pipelines, transformations, and analytical workflows to support real\-time and batch processing
· Create dashboards, reports, and analytical artifacts using Power BI
· Collaborate with internal business units to identify opportunities for data science and AI integration
· Translate analytics and model outputs into actionable recommendations that support strategic decision\-making
· Design, build, and refine agentic workflows and LLM\-based applications, leveraging frameworks such as LangChain or Azure AI Studio
· Implement AI agents capable of task automation, retrieval\-augmented generation (RAG), and enterprise workflow orchestration
· Evaluate emerging AI technologies and prototype new capabilities for future deployment
· Work with the Data Intelligence team to build scalable, reliable, and secure AI systems
**Basic Qualifications:**
· Bachelor’s or Master’s degree in Data Science, Statistics, Computer Science, Engineering, or a related quantitative field
· 4\+ years of professional experience in data science or machine learning engineering
· Strong Python skills, including experience with modern ML/AI libraries
· Advanced SQL experience and comfort working in Azure Data services
· Hands\-on experience with data visualization tools such as Power BI or Tableau
· Strong understanding of traditional machine learning, feature engineering, and statistical methodology
· Familiarity with LLM workflows, embeddings, vector stores, RAG, or modern AI architecture
· Experience with version control, preferably in Azure Repo or directly in Git
Preferred Qualifications
· Experience implementing agentic AI workflows, LLM\-based tools, or AI orchestration frameworks.
· Experience with Azure AI, Azure ML, Foundry, Databricks, or similar environments
· Understanding of data governance and PII data handling
· Past telecom industry experience is a plus
· Past work in anomaly/fraud detection or sentiment analysis is a plus
**Additional Requirements:**
· In compliance with federal law, all persons hired will be required to verify identity and eligibility to work in the United States and to complete the required employment eligibility verification process upon hire. **Aegis cannot sponsor a work visa for this position.**
*·* All people hired are required, without exception, to pass a criminal background check and a drug screen
*· Candidates may be asked to provide references*
**Why You’ll Want to Work with Aegis:**
Aegis is an innovative, diverse, and dynamic company with tightly woven teams constantly exploring new ways to produce advantages for our clients. With offices in Virginia, Maryland, and Alabama, we provide opportunities to work in a variety of settings and use the collaborative brainpower around you to ask and answer interesting questions. You can expect to see the solutions you develop rapidly incorporated into our world class products and services that are critical to the global telecom industry. We have a broad range of backgrounds and interests: experts in fields such as finance, real estate, politics, naval engineering, law enforcement, and even professional equestrian sports come together to make an intriguing and educational work environment. We offer excellent benefits and competitive salaries. Find out more at www.aegismobile.com.
Job Type: Full\-time
Benefits:
* 401(k)
* 401(k) matching
* Dental insurance
* Flexible schedule
* Flexible spending account
* Health insurance
* Life insurance
* Paid time off
* Professional development assistance
* Referral program
* Tuition reimbursement
* Vision insurance
Ability to Commute:
* Vienna, VA 22182 (Required)
Work Location: Hybrid remote in Vienna, VA 22182</t>
        </is>
      </c>
    </row>
    <row r="5">
      <c r="A5" t="inlineStr">
        <is>
          <t>in-512bd6151dea63e4</t>
        </is>
      </c>
      <c r="B5" t="inlineStr">
        <is>
          <t>Founding Data Scientist</t>
        </is>
      </c>
      <c r="C5" t="inlineStr"/>
      <c r="D5" t="inlineStr">
        <is>
          <t>indeed</t>
        </is>
      </c>
      <c r="E5">
        <f>HYPERLINK("https://www.indeed.com/viewjob?jk=512bd6151dea63e4", "https://www.indeed.com/viewjob?jk=512bd6151dea63e4")</f>
        <v/>
      </c>
      <c r="F5">
        <f>HYPERLINK("https://grnh.se/jm554h0w4us", "https://grnh.se/jm554h0w4us")</f>
        <v/>
      </c>
      <c r="G5" t="inlineStr">
        <is>
          <t>New York, NY, US</t>
        </is>
      </c>
      <c r="H5" s="2" t="n">
        <v>46043</v>
      </c>
      <c r="I5" t="inlineStr">
        <is>
          <t>*Merge is the leading provider of agentic tools and customer\-facing integrations for frontier LLMs, Fortune 500 organizations, and B2B SaaS companies. Our platform offers two core products: Merge Unified, which enables businesses to add hundreds of integrations to their products with a single API, and Merge Agent Handler, which empowers AI agents with secure access to thousands of third\-party tools. Merge's enterprise\-grade platform handles the entire integration lifecycle, from authentication and security to monitoring and maintenance. Thousands of companies trust Merge to accelerate product development, unblock sales, reduce customer churn, and save engineering resources—allowing them to focus on their core product.*
We're hiring our **founding data scientist** to help define how data shapes decisions at Merge.
This is a hands\-on, high\-ownership role for someone who enjoys being early: setting up the data foundation, digging into real product and business questions, and turning messy inputs into clear direction. You move independently, decide what's worth digging into, and don't wait for perfect prompts.
You'll be trusted to take ambiguous problems, form a clear point of view using data, and communicate it concisely—what's happening, what to do next, and why it matters—so the company can move forward with confidence.
#### **What you will do:**
* Own Merge's data work end\-to\-end, from ingestion and modeling to analysis and recommendation.
* Design, build, and maintain core data pipelines in partnership with engineering.
* Decide what to measure and why, rather than waiting for questions to be asked.
* Analyze usage, adoption, reliability, and revenue data to surface opportunities and risks.
* Deliver clear, actionable recommendations with explicit tradeoffs and success metrics.
**The ideal candidate will have:**
* 5–8\+ years of experience in data science, decision science, or analytics\-heavy roles.
* Proven track record of operating with autonomy in ambiguous environments.
* Strong fluency in SQL and Python, with comfort reading and modifying production code.
* Experience designing, building, or owning production data pipelines and data models.
* Ability to turn messy, incomplete data into clear, decision\-ready insight.
* Excellent written and verbal communication, with a concise and opinionated point of view.
**Compensation:**
* The cash compensation range for this role is $210,000 \- $230,000
* Actual compensation packages are based on a wide array of factors unique to each candidate, including but not limited to skill set, years \&amp; depth of experience, and certifications. In addition to cash compensation, all full time employees receive an equity compensation package
**Benefits:**
* Unlimited PTO \+ 10 company holidays
* Pre\-Tax commuter benefits
* 100% covered health, vision, and dental insurance
* 401K Plan
* $200 one\-time home office stipend
* In office snacks and free dinner when working past 7pm
*Merge is an equal opportunity employer, and we value diversity at our company. We do not discriminate on the basis of race, religion, color, national origin, gender, sexual orientation, age, marital status, veteran status, disability status, or any other protected class.*</t>
        </is>
      </c>
    </row>
    <row r="6">
      <c r="A6" t="inlineStr">
        <is>
          <t>in-364d45591b5c8889</t>
        </is>
      </c>
      <c r="B6" t="inlineStr">
        <is>
          <t>Applied Scientist, AGI</t>
        </is>
      </c>
      <c r="C6" t="inlineStr">
        <is>
          <t>Amazon.com</t>
        </is>
      </c>
      <c r="D6" t="inlineStr">
        <is>
          <t>indeed</t>
        </is>
      </c>
      <c r="E6">
        <f>HYPERLINK("https://www.indeed.com/viewjob?jk=364d45591b5c8889", "https://www.indeed.com/viewjob?jk=364d45591b5c8889")</f>
        <v/>
      </c>
      <c r="F6">
        <f>HYPERLINK("https://www.amazon.jobs/jobs/3139033/applied-scientist-agi?cmpid=DA_INAD200785B", "https://www.amazon.jobs/jobs/3139033/applied-scientist-agi?cmpid=DA_INAD200785B")</f>
        <v/>
      </c>
      <c r="G6" t="inlineStr">
        <is>
          <t>Sunnyvale, CA, US</t>
        </is>
      </c>
      <c r="H6" s="2" t="n">
        <v>45998</v>
      </c>
      <c r="I6"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in-7f078ce6105af140</t>
        </is>
      </c>
      <c r="B7" t="inlineStr">
        <is>
          <t>Applied Scientist, AGI</t>
        </is>
      </c>
      <c r="C7" t="inlineStr">
        <is>
          <t>Amazon.com</t>
        </is>
      </c>
      <c r="D7" t="inlineStr">
        <is>
          <t>indeed</t>
        </is>
      </c>
      <c r="E7">
        <f>HYPERLINK("https://www.indeed.com/viewjob?jk=7f078ce6105af140", "https://www.indeed.com/viewjob?jk=7f078ce6105af140")</f>
        <v/>
      </c>
      <c r="F7">
        <f>HYPERLINK("https://www.amazon.jobs/jobs/3139033/applied-scientist-agi?cmpid=DA_INAD200785B", "https://www.amazon.jobs/jobs/3139033/applied-scientist-agi?cmpid=DA_INAD200785B")</f>
        <v/>
      </c>
      <c r="G7" t="inlineStr">
        <is>
          <t>New York, NY, US</t>
        </is>
      </c>
      <c r="H7" s="2" t="n">
        <v>45998</v>
      </c>
      <c r="I7"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in-cf0fe1cd2d4e3f4e</t>
        </is>
      </c>
      <c r="B8" t="inlineStr">
        <is>
          <t>Applied Scientist, AGI</t>
        </is>
      </c>
      <c r="C8" t="inlineStr">
        <is>
          <t>Amazon.com</t>
        </is>
      </c>
      <c r="D8" t="inlineStr">
        <is>
          <t>indeed</t>
        </is>
      </c>
      <c r="E8">
        <f>HYPERLINK("https://www.indeed.com/viewjob?jk=cf0fe1cd2d4e3f4e", "https://www.indeed.com/viewjob?jk=cf0fe1cd2d4e3f4e")</f>
        <v/>
      </c>
      <c r="F8">
        <f>HYPERLINK("https://www.amazon.jobs/jobs/3139033/applied-scientist-agi?cmpid=DA_INAD200785B", "https://www.amazon.jobs/jobs/3139033/applied-scientist-agi?cmpid=DA_INAD200785B")</f>
        <v/>
      </c>
      <c r="G8" t="inlineStr">
        <is>
          <t>Bellevue, WA, US</t>
        </is>
      </c>
      <c r="H8" s="2" t="n">
        <v>45998</v>
      </c>
      <c r="I8"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in-4bcf8e15afe8f9dc</t>
        </is>
      </c>
      <c r="B9" t="inlineStr">
        <is>
          <t>Applied Scientist, AGI</t>
        </is>
      </c>
      <c r="C9" t="inlineStr">
        <is>
          <t>Amazon.com</t>
        </is>
      </c>
      <c r="D9" t="inlineStr">
        <is>
          <t>indeed</t>
        </is>
      </c>
      <c r="E9">
        <f>HYPERLINK("https://www.indeed.com/viewjob?jk=4bcf8e15afe8f9dc", "https://www.indeed.com/viewjob?jk=4bcf8e15afe8f9dc")</f>
        <v/>
      </c>
      <c r="F9">
        <f>HYPERLINK("https://www.amazon.jobs/jobs/3139033/applied-scientist-agi?cmpid=DA_INAD200785B", "https://www.amazon.jobs/jobs/3139033/applied-scientist-agi?cmpid=DA_INAD200785B")</f>
        <v/>
      </c>
      <c r="G9" t="inlineStr">
        <is>
          <t>Cambridge, MA, US</t>
        </is>
      </c>
      <c r="H9" s="2" t="n">
        <v>45998</v>
      </c>
      <c r="I9"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in-61274add645626b4</t>
        </is>
      </c>
      <c r="B10" t="inlineStr">
        <is>
          <t>Sr. Applied Scientist, Amazon Ads</t>
        </is>
      </c>
      <c r="C10" t="inlineStr">
        <is>
          <t>Amazon.com</t>
        </is>
      </c>
      <c r="D10" t="inlineStr">
        <is>
          <t>indeed</t>
        </is>
      </c>
      <c r="E10">
        <f>HYPERLINK("https://www.indeed.com/viewjob?jk=61274add645626b4", "https://www.indeed.com/viewjob?jk=61274add645626b4")</f>
        <v/>
      </c>
      <c r="F10">
        <f>HYPERLINK("https://www.amazon.jobs/jobs/3139328/sr-applied-scientist-amazon-ads?cmpid=DA_INAD200785B", "https://www.amazon.jobs/jobs/3139328/sr-applied-scientist-amazon-ads?cmpid=DA_INAD200785B")</f>
        <v/>
      </c>
      <c r="G10" t="inlineStr">
        <is>
          <t>New York, NY, US</t>
        </is>
      </c>
      <c r="H10" s="2"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in-7c4ad440dfe375a7</t>
        </is>
      </c>
      <c r="B11" t="inlineStr">
        <is>
          <t>Sr. Applied Scientist, Amazon Ads</t>
        </is>
      </c>
      <c r="C11" t="inlineStr">
        <is>
          <t>Amazon.com</t>
        </is>
      </c>
      <c r="D11" t="inlineStr">
        <is>
          <t>indeed</t>
        </is>
      </c>
      <c r="E11">
        <f>HYPERLINK("https://www.indeed.com/viewjob?jk=7c4ad440dfe375a7", "https://www.indeed.com/viewjob?jk=7c4ad440dfe375a7")</f>
        <v/>
      </c>
      <c r="F11">
        <f>HYPERLINK("https://www.amazon.jobs/jobs/3139328/sr-applied-scientist-amazon-ads?cmpid=DA_INAD200785B", "https://www.amazon.jobs/jobs/3139328/sr-applied-scientist-amazon-ads?cmpid=DA_INAD200785B")</f>
        <v/>
      </c>
      <c r="G11" t="inlineStr">
        <is>
          <t>Brooklyn, NY, US</t>
        </is>
      </c>
      <c r="H11" s="2"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in-d795071f4d1b90ce</t>
        </is>
      </c>
      <c r="B12" t="inlineStr">
        <is>
          <t>Sr. Applied Scientist, Amazon Ads</t>
        </is>
      </c>
      <c r="C12" t="inlineStr">
        <is>
          <t>Amazon.com</t>
        </is>
      </c>
      <c r="D12" t="inlineStr">
        <is>
          <t>indeed</t>
        </is>
      </c>
      <c r="E12">
        <f>HYPERLINK("https://www.indeed.com/viewjob?jk=d795071f4d1b90ce", "https://www.indeed.com/viewjob?jk=d795071f4d1b90ce")</f>
        <v/>
      </c>
      <c r="F12">
        <f>HYPERLINK("https://www.amazon.jobs/jobs/3139328/sr-applied-scientist-amazon-ads?cmpid=DA_INAD200785B", "https://www.amazon.jobs/jobs/3139328/sr-applied-scientist-amazon-ads?cmpid=DA_INAD200785B")</f>
        <v/>
      </c>
      <c r="G12" t="inlineStr">
        <is>
          <t>Palo Alto, CA, US</t>
        </is>
      </c>
      <c r="H12" s="2" t="n">
        <v>45998</v>
      </c>
      <c r="I1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
      <c r="A13" t="inlineStr">
        <is>
          <t>in-3c49d7d6f6cbd312</t>
        </is>
      </c>
      <c r="B13" t="inlineStr">
        <is>
          <t>Sr. Applied Scientist, Amazon Ads</t>
        </is>
      </c>
      <c r="C13" t="inlineStr">
        <is>
          <t>Amazon.com</t>
        </is>
      </c>
      <c r="D13" t="inlineStr">
        <is>
          <t>indeed</t>
        </is>
      </c>
      <c r="E13">
        <f>HYPERLINK("https://www.indeed.com/viewjob?jk=3c49d7d6f6cbd312", "https://www.indeed.com/viewjob?jk=3c49d7d6f6cbd312")</f>
        <v/>
      </c>
      <c r="F13">
        <f>HYPERLINK("https://www.amazon.jobs/jobs/3139328/sr-applied-scientist-amazon-ads?cmpid=DA_INAD200785B", "https://www.amazon.jobs/jobs/3139328/sr-applied-scientist-amazon-ads?cmpid=DA_INAD200785B")</f>
        <v/>
      </c>
      <c r="G13" t="inlineStr">
        <is>
          <t>Santa Monica, CA, US</t>
        </is>
      </c>
      <c r="H13" s="2" t="n">
        <v>45998</v>
      </c>
      <c r="I1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
      <c r="A14" t="inlineStr">
        <is>
          <t>in-0bf3f444819a0c88</t>
        </is>
      </c>
      <c r="B14" t="inlineStr">
        <is>
          <t>Sr. Applied Scientist, Amazon Ads</t>
        </is>
      </c>
      <c r="C14" t="inlineStr">
        <is>
          <t>Amazon.com</t>
        </is>
      </c>
      <c r="D14" t="inlineStr">
        <is>
          <t>indeed</t>
        </is>
      </c>
      <c r="E14">
        <f>HYPERLINK("https://www.indeed.com/viewjob?jk=0bf3f444819a0c88", "https://www.indeed.com/viewjob?jk=0bf3f444819a0c88")</f>
        <v/>
      </c>
      <c r="F14">
        <f>HYPERLINK("https://www.amazon.jobs/jobs/3139328/sr-applied-scientist-amazon-ads?cmpid=DA_INAD200785B", "https://www.amazon.jobs/jobs/3139328/sr-applied-scientist-amazon-ads?cmpid=DA_INAD200785B")</f>
        <v/>
      </c>
      <c r="G14" t="inlineStr">
        <is>
          <t>Sunnyvale, CA, US</t>
        </is>
      </c>
      <c r="H14" s="2" t="n">
        <v>45998</v>
      </c>
      <c r="I1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
      <c r="A15" t="inlineStr">
        <is>
          <t>in-da0a66f68bd9b4ce</t>
        </is>
      </c>
      <c r="B15" t="inlineStr">
        <is>
          <t>Sr. Applied Scientist, Amazon Ads</t>
        </is>
      </c>
      <c r="C15" t="inlineStr">
        <is>
          <t>Amazon.com</t>
        </is>
      </c>
      <c r="D15" t="inlineStr">
        <is>
          <t>indeed</t>
        </is>
      </c>
      <c r="E15">
        <f>HYPERLINK("https://www.indeed.com/viewjob?jk=da0a66f68bd9b4ce", "https://www.indeed.com/viewjob?jk=da0a66f68bd9b4ce")</f>
        <v/>
      </c>
      <c r="F15">
        <f>HYPERLINK("https://www.amazon.jobs/jobs/3139328/sr-applied-scientist-amazon-ads?cmpid=DA_INAD200785B", "https://www.amazon.jobs/jobs/3139328/sr-applied-scientist-amazon-ads?cmpid=DA_INAD200785B")</f>
        <v/>
      </c>
      <c r="G15" t="inlineStr">
        <is>
          <t>Boulder, CO, US</t>
        </is>
      </c>
      <c r="H15" s="2" t="n">
        <v>45998</v>
      </c>
      <c r="I1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
      <c r="A16" t="inlineStr">
        <is>
          <t>in-81f9895cf43ecf7e</t>
        </is>
      </c>
      <c r="B16" t="inlineStr">
        <is>
          <t>Sr. Applied Scientist, Amazon Ads</t>
        </is>
      </c>
      <c r="C16" t="inlineStr">
        <is>
          <t>Amazon.com</t>
        </is>
      </c>
      <c r="D16" t="inlineStr">
        <is>
          <t>indeed</t>
        </is>
      </c>
      <c r="E16">
        <f>HYPERLINK("https://www.indeed.com/viewjob?jk=81f9895cf43ecf7e", "https://www.indeed.com/viewjob?jk=81f9895cf43ecf7e")</f>
        <v/>
      </c>
      <c r="F16">
        <f>HYPERLINK("https://www.amazon.jobs/jobs/3139328/sr-applied-scientist-amazon-ads?cmpid=DA_INAD200785B", "https://www.amazon.jobs/jobs/3139328/sr-applied-scientist-amazon-ads?cmpid=DA_INAD200785B")</f>
        <v/>
      </c>
      <c r="G16" t="inlineStr">
        <is>
          <t>Seattle, WA, US</t>
        </is>
      </c>
      <c r="H16" s="2" t="n">
        <v>45998</v>
      </c>
      <c r="I1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
      <c r="A17" t="inlineStr">
        <is>
          <t>in-abc25b2d0d6a3270</t>
        </is>
      </c>
      <c r="B17" t="inlineStr">
        <is>
          <t>Sr. Applied Scientist, Amazon Ads</t>
        </is>
      </c>
      <c r="C17" t="inlineStr">
        <is>
          <t>Amazon.com</t>
        </is>
      </c>
      <c r="D17" t="inlineStr">
        <is>
          <t>indeed</t>
        </is>
      </c>
      <c r="E17">
        <f>HYPERLINK("https://www.indeed.com/viewjob?jk=abc25b2d0d6a3270", "https://www.indeed.com/viewjob?jk=abc25b2d0d6a3270")</f>
        <v/>
      </c>
      <c r="F17">
        <f>HYPERLINK("https://www.amazon.jobs/jobs/3139328/sr-applied-scientist-amazon-ads?cmpid=DA_INAD200785B", "https://www.amazon.jobs/jobs/3139328/sr-applied-scientist-amazon-ads?cmpid=DA_INAD200785B")</f>
        <v/>
      </c>
      <c r="G17" t="inlineStr">
        <is>
          <t>Boston, MA, US</t>
        </is>
      </c>
      <c r="H17" s="2" t="n">
        <v>45998</v>
      </c>
      <c r="I1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
      <c r="A18" t="inlineStr">
        <is>
          <t>in-fd4dc7351e6b6474</t>
        </is>
      </c>
      <c r="B18" t="inlineStr">
        <is>
          <t>Sr. Applied Scientist, Amazon Ads</t>
        </is>
      </c>
      <c r="C18" t="inlineStr">
        <is>
          <t>Amazon.com</t>
        </is>
      </c>
      <c r="D18" t="inlineStr">
        <is>
          <t>indeed</t>
        </is>
      </c>
      <c r="E18">
        <f>HYPERLINK("https://www.indeed.com/viewjob?jk=fd4dc7351e6b6474", "https://www.indeed.com/viewjob?jk=fd4dc7351e6b6474")</f>
        <v/>
      </c>
      <c r="F18">
        <f>HYPERLINK("https://www.amazon.jobs/jobs/3139328/sr-applied-scientist-amazon-ads?cmpid=DA_INAD200785B", "https://www.amazon.jobs/jobs/3139328/sr-applied-scientist-amazon-ads?cmpid=DA_INAD200785B")</f>
        <v/>
      </c>
      <c r="G18" t="inlineStr">
        <is>
          <t>Tukwila, WA, US</t>
        </is>
      </c>
      <c r="H18" s="2" t="n">
        <v>45998</v>
      </c>
      <c r="I1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9">
      <c r="A19" t="inlineStr">
        <is>
          <t>in-0723eda9d15630af</t>
        </is>
      </c>
      <c r="B19" t="inlineStr">
        <is>
          <t>Sr. Applied Scientist, Amazon Ads</t>
        </is>
      </c>
      <c r="C19" t="inlineStr">
        <is>
          <t>Amazon.com</t>
        </is>
      </c>
      <c r="D19" t="inlineStr">
        <is>
          <t>indeed</t>
        </is>
      </c>
      <c r="E19">
        <f>HYPERLINK("https://www.indeed.com/viewjob?jk=0723eda9d15630af", "https://www.indeed.com/viewjob?jk=0723eda9d15630af")</f>
        <v/>
      </c>
      <c r="F19">
        <f>HYPERLINK("https://www.amazon.jobs/jobs/3139328/sr-applied-scientist-amazon-ads?cmpid=DA_INAD200785B", "https://www.amazon.jobs/jobs/3139328/sr-applied-scientist-amazon-ads?cmpid=DA_INAD200785B")</f>
        <v/>
      </c>
      <c r="G19" t="inlineStr">
        <is>
          <t>Corvallis, OR, US</t>
        </is>
      </c>
      <c r="H19" s="2" t="n">
        <v>45998</v>
      </c>
      <c r="I1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
      <c r="A20" t="inlineStr">
        <is>
          <t>in-de77a068ade4ca67</t>
        </is>
      </c>
      <c r="B20" t="inlineStr">
        <is>
          <t>Applied Scientist, ML Compiler</t>
        </is>
      </c>
      <c r="C20" t="inlineStr">
        <is>
          <t>Amazon Web Services</t>
        </is>
      </c>
      <c r="D20" t="inlineStr">
        <is>
          <t>indeed</t>
        </is>
      </c>
      <c r="E20">
        <f>HYPERLINK("https://www.indeed.com/viewjob?jk=de77a068ade4ca67", "https://www.indeed.com/viewjob?jk=de77a068ade4ca67")</f>
        <v/>
      </c>
      <c r="F20">
        <f>HYPERLINK("https://www.amazon.jobs/jobs/3136884/applied-scientist-ml-compiler?cmpid=DA_INAD200785B", "https://www.amazon.jobs/jobs/3136884/applied-scientist-ml-compiler?cmpid=DA_INAD200785B")</f>
        <v/>
      </c>
      <c r="G20" t="inlineStr">
        <is>
          <t>Cupertino, CA, US</t>
        </is>
      </c>
      <c r="H20" s="2" t="n">
        <v>45993</v>
      </c>
      <c r="I20"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in-37c3770bf9fcf3f2</t>
        </is>
      </c>
      <c r="B21" t="inlineStr">
        <is>
          <t>Applied Scientist, ML Compiler</t>
        </is>
      </c>
      <c r="C21" t="inlineStr">
        <is>
          <t>Amazon Web Services</t>
        </is>
      </c>
      <c r="D21" t="inlineStr">
        <is>
          <t>indeed</t>
        </is>
      </c>
      <c r="E21">
        <f>HYPERLINK("https://www.indeed.com/viewjob?jk=37c3770bf9fcf3f2", "https://www.indeed.com/viewjob?jk=37c3770bf9fcf3f2")</f>
        <v/>
      </c>
      <c r="F21">
        <f>HYPERLINK("https://www.amazon.jobs/jobs/3136884/applied-scientist-ml-compiler?cmpid=DA_INAD200785B", "https://www.amazon.jobs/jobs/3136884/applied-scientist-ml-compiler?cmpid=DA_INAD200785B")</f>
        <v/>
      </c>
      <c r="G21" t="inlineStr">
        <is>
          <t>Seattle, WA, US</t>
        </is>
      </c>
      <c r="H21" s="2" t="n">
        <v>45993</v>
      </c>
      <c r="I21"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in-6f45e588e844ce1b</t>
        </is>
      </c>
      <c r="B22" t="inlineStr">
        <is>
          <t>Principal Applied Scientist, Amazon Special Projects</t>
        </is>
      </c>
      <c r="C22" t="inlineStr">
        <is>
          <t>Amazon.com</t>
        </is>
      </c>
      <c r="D22" t="inlineStr">
        <is>
          <t>indeed</t>
        </is>
      </c>
      <c r="E22">
        <f>HYPERLINK("https://www.indeed.com/viewjob?jk=6f45e588e844ce1b", "https://www.indeed.com/viewjob?jk=6f45e588e844ce1b")</f>
        <v/>
      </c>
      <c r="F22">
        <f>HYPERLINK("https://www.amazon.jobs/jobs/3132566/principal-applied-scientist-amazon-special-projects?cmpid=DA_INAD200785B", "https://www.amazon.jobs/jobs/3132566/principal-applied-scientist-amazon-special-projects?cmpid=DA_INAD200785B")</f>
        <v/>
      </c>
      <c r="G22" t="inlineStr">
        <is>
          <t>Seattle, WA, US</t>
        </is>
      </c>
      <c r="H22" s="2" t="n">
        <v>45982</v>
      </c>
      <c r="I22"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in-507977886eaa30e7</t>
        </is>
      </c>
      <c r="B23" t="inlineStr">
        <is>
          <t>Principal Applied Scientist, Amazon Special Projects</t>
        </is>
      </c>
      <c r="C23" t="inlineStr">
        <is>
          <t>Amazon.com</t>
        </is>
      </c>
      <c r="D23" t="inlineStr">
        <is>
          <t>indeed</t>
        </is>
      </c>
      <c r="E23">
        <f>HYPERLINK("https://www.indeed.com/viewjob?jk=507977886eaa30e7", "https://www.indeed.com/viewjob?jk=507977886eaa30e7")</f>
        <v/>
      </c>
      <c r="F23">
        <f>HYPERLINK("https://www.amazon.jobs/jobs/3132566/principal-applied-scientist-amazon-special-projects?cmpid=DA_INAD200785B", "https://www.amazon.jobs/jobs/3132566/principal-applied-scientist-amazon-special-projects?cmpid=DA_INAD200785B")</f>
        <v/>
      </c>
      <c r="G23" t="inlineStr">
        <is>
          <t>Boston, MA, US</t>
        </is>
      </c>
      <c r="H23" s="2" t="n">
        <v>45982</v>
      </c>
      <c r="I2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in-be5499bf92b78ed2</t>
        </is>
      </c>
      <c r="B24" t="inlineStr">
        <is>
          <t>Sr. Applied Scientist, SPB Advertiser Guidance</t>
        </is>
      </c>
      <c r="C24" t="inlineStr">
        <is>
          <t>Amazon.com</t>
        </is>
      </c>
      <c r="D24" t="inlineStr">
        <is>
          <t>indeed</t>
        </is>
      </c>
      <c r="E24">
        <f>HYPERLINK("https://www.indeed.com/viewjob?jk=be5499bf92b78ed2", "https://www.indeed.com/viewjob?jk=be5499bf92b78ed2")</f>
        <v/>
      </c>
      <c r="F24">
        <f>HYPERLINK("https://www.amazon.jobs/jobs/3132336/sr-applied-scientist-spb-advertiser-guidance?cmpid=DA_INAD200785B", "https://www.amazon.jobs/jobs/3132336/sr-applied-scientist-spb-advertiser-guidance?cmpid=DA_INAD200785B")</f>
        <v/>
      </c>
      <c r="G24" t="inlineStr">
        <is>
          <t>Palo Alto, CA, US</t>
        </is>
      </c>
      <c r="H24" s="2" t="n">
        <v>45981</v>
      </c>
      <c r="I2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in-bb57b5e7d79e3d81</t>
        </is>
      </c>
      <c r="B25" t="inlineStr">
        <is>
          <t>Sr. Applied Scientist, SPB Advertiser Guidance</t>
        </is>
      </c>
      <c r="C25" t="inlineStr">
        <is>
          <t>Amazon.com</t>
        </is>
      </c>
      <c r="D25" t="inlineStr">
        <is>
          <t>indeed</t>
        </is>
      </c>
      <c r="E25">
        <f>HYPERLINK("https://www.indeed.com/viewjob?jk=bb57b5e7d79e3d81", "https://www.indeed.com/viewjob?jk=bb57b5e7d79e3d81")</f>
        <v/>
      </c>
      <c r="F25">
        <f>HYPERLINK("https://www.amazon.jobs/jobs/3132336/sr-applied-scientist-spb-advertiser-guidance?cmpid=DA_INAD200785B", "https://www.amazon.jobs/jobs/3132336/sr-applied-scientist-spb-advertiser-guidance?cmpid=DA_INAD200785B")</f>
        <v/>
      </c>
      <c r="G25" t="inlineStr">
        <is>
          <t>Seattle, WA, US</t>
        </is>
      </c>
      <c r="H25" s="2" t="n">
        <v>45981</v>
      </c>
      <c r="I2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in-92853fc2eb3b8fd3</t>
        </is>
      </c>
      <c r="B26" t="inlineStr">
        <is>
          <t>Sr. Applied Scientist, SPB Advertiser Guidance</t>
        </is>
      </c>
      <c r="C26" t="inlineStr">
        <is>
          <t>Amazon.com</t>
        </is>
      </c>
      <c r="D26" t="inlineStr">
        <is>
          <t>indeed</t>
        </is>
      </c>
      <c r="E26">
        <f>HYPERLINK("https://www.indeed.com/viewjob?jk=92853fc2eb3b8fd3", "https://www.indeed.com/viewjob?jk=92853fc2eb3b8fd3")</f>
        <v/>
      </c>
      <c r="F26">
        <f>HYPERLINK("https://www.amazon.jobs/jobs/3132336/sr-applied-scientist-spb-advertiser-guidance?cmpid=DA_INAD200785B", "https://www.amazon.jobs/jobs/3132336/sr-applied-scientist-spb-advertiser-guidance?cmpid=DA_INAD200785B")</f>
        <v/>
      </c>
      <c r="G26" t="inlineStr">
        <is>
          <t>New York, NY, US</t>
        </is>
      </c>
      <c r="H26" s="2" t="n">
        <v>45981</v>
      </c>
      <c r="I2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in-fc945eef1910d50e</t>
        </is>
      </c>
      <c r="B27" t="inlineStr">
        <is>
          <t>Senior Applied Scientist, Artificial General Intelligence</t>
        </is>
      </c>
      <c r="C27" t="inlineStr">
        <is>
          <t>Amazon.com</t>
        </is>
      </c>
      <c r="D27" t="inlineStr">
        <is>
          <t>indeed</t>
        </is>
      </c>
      <c r="E27">
        <f>HYPERLINK("https://www.indeed.com/viewjob?jk=fc945eef1910d50e", "https://www.indeed.com/viewjob?jk=fc945eef1910d50e")</f>
        <v/>
      </c>
      <c r="F27">
        <f>HYPERLINK("https://www.amazon.jobs/jobs/3131971/senior-applied-scientist-artificial-general-intelligence?cmpid=DA_INAD200785B", "https://www.amazon.jobs/jobs/3131971/senior-applied-scientist-artificial-general-intelligence?cmpid=DA_INAD200785B")</f>
        <v/>
      </c>
      <c r="G27" t="inlineStr">
        <is>
          <t>Sunnyvale, CA, US</t>
        </is>
      </c>
      <c r="H27" s="2" t="n">
        <v>45980</v>
      </c>
      <c r="I2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in-7c52ee519601d6a4</t>
        </is>
      </c>
      <c r="B28" t="inlineStr">
        <is>
          <t>Senior Applied Scientist, Artificial General Intelligence</t>
        </is>
      </c>
      <c r="C28" t="inlineStr">
        <is>
          <t>Amazon.com</t>
        </is>
      </c>
      <c r="D28" t="inlineStr">
        <is>
          <t>indeed</t>
        </is>
      </c>
      <c r="E28">
        <f>HYPERLINK("https://www.indeed.com/viewjob?jk=7c52ee519601d6a4", "https://www.indeed.com/viewjob?jk=7c52ee519601d6a4")</f>
        <v/>
      </c>
      <c r="F28">
        <f>HYPERLINK("https://www.amazon.jobs/jobs/3131971/senior-applied-scientist-artificial-general-intelligence?cmpid=DA_INAD200785B", "https://www.amazon.jobs/jobs/3131971/senior-applied-scientist-artificial-general-intelligence?cmpid=DA_INAD200785B")</f>
        <v/>
      </c>
      <c r="G28" t="inlineStr">
        <is>
          <t>Boston, MA, US</t>
        </is>
      </c>
      <c r="H28" s="2" t="n">
        <v>45980</v>
      </c>
      <c r="I2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in-cd7d66e193485559</t>
        </is>
      </c>
      <c r="B29" t="inlineStr">
        <is>
          <t>Senior Applied Scientist, Artificial General Intelligence</t>
        </is>
      </c>
      <c r="C29" t="inlineStr">
        <is>
          <t>Amazon.com</t>
        </is>
      </c>
      <c r="D29" t="inlineStr">
        <is>
          <t>indeed</t>
        </is>
      </c>
      <c r="E29">
        <f>HYPERLINK("https://www.indeed.com/viewjob?jk=cd7d66e193485559", "https://www.indeed.com/viewjob?jk=cd7d66e193485559")</f>
        <v/>
      </c>
      <c r="F29">
        <f>HYPERLINK("https://www.amazon.jobs/jobs/3131971/senior-applied-scientist-artificial-general-intelligence?cmpid=DA_INAD200785B", "https://www.amazon.jobs/jobs/3131971/senior-applied-scientist-artificial-general-intelligence?cmpid=DA_INAD200785B")</f>
        <v/>
      </c>
      <c r="G29" t="inlineStr">
        <is>
          <t>New York, NY, US</t>
        </is>
      </c>
      <c r="H29" s="2" t="n">
        <v>45980</v>
      </c>
      <c r="I2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in-ec6b79e5617a3830</t>
        </is>
      </c>
      <c r="B30" t="inlineStr">
        <is>
          <t>Senior Applied Scientist, Artificial General Intelligence</t>
        </is>
      </c>
      <c r="C30" t="inlineStr">
        <is>
          <t>Amazon.com</t>
        </is>
      </c>
      <c r="D30" t="inlineStr">
        <is>
          <t>indeed</t>
        </is>
      </c>
      <c r="E30">
        <f>HYPERLINK("https://www.indeed.com/viewjob?jk=ec6b79e5617a3830", "https://www.indeed.com/viewjob?jk=ec6b79e5617a3830")</f>
        <v/>
      </c>
      <c r="F30">
        <f>HYPERLINK("https://www.amazon.jobs/jobs/3131971/senior-applied-scientist-artificial-general-intelligence?cmpid=DA_INAD200785B", "https://www.amazon.jobs/jobs/3131971/senior-applied-scientist-artificial-general-intelligence?cmpid=DA_INAD200785B")</f>
        <v/>
      </c>
      <c r="G30" t="inlineStr">
        <is>
          <t>Seattle, WA, US</t>
        </is>
      </c>
      <c r="H30" s="2" t="n">
        <v>45980</v>
      </c>
      <c r="I3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in-fe6ad92be67b48f6</t>
        </is>
      </c>
      <c r="B31" t="inlineStr">
        <is>
          <t>Applied Scientist II, SPB Advertiser Guidance</t>
        </is>
      </c>
      <c r="C31" t="inlineStr">
        <is>
          <t>Amazon.com</t>
        </is>
      </c>
      <c r="D31" t="inlineStr">
        <is>
          <t>indeed</t>
        </is>
      </c>
      <c r="E31">
        <f>HYPERLINK("https://www.indeed.com/viewjob?jk=fe6ad92be67b48f6", "https://www.indeed.com/viewjob?jk=fe6ad92be67b48f6")</f>
        <v/>
      </c>
      <c r="F31">
        <f>HYPERLINK("https://www.amazon.jobs/jobs/3131876/applied-scientist-ii-spb-advertiser-guidance?cmpid=DA_INAD200785B", "https://www.amazon.jobs/jobs/3131876/applied-scientist-ii-spb-advertiser-guidance?cmpid=DA_INAD200785B")</f>
        <v/>
      </c>
      <c r="G31" t="inlineStr">
        <is>
          <t>Palo Alto, CA, US</t>
        </is>
      </c>
      <c r="H31" s="2" t="n">
        <v>45980</v>
      </c>
      <c r="I3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in-2044b8f68c8ad419</t>
        </is>
      </c>
      <c r="B32" t="inlineStr">
        <is>
          <t>Applied Scientist II, SPB Advertiser Guidance</t>
        </is>
      </c>
      <c r="C32" t="inlineStr">
        <is>
          <t>Amazon.com</t>
        </is>
      </c>
      <c r="D32" t="inlineStr">
        <is>
          <t>indeed</t>
        </is>
      </c>
      <c r="E32">
        <f>HYPERLINK("https://www.indeed.com/viewjob?jk=2044b8f68c8ad419", "https://www.indeed.com/viewjob?jk=2044b8f68c8ad419")</f>
        <v/>
      </c>
      <c r="F32">
        <f>HYPERLINK("https://www.amazon.jobs/jobs/3131876/applied-scientist-ii-spb-advertiser-guidance?cmpid=DA_INAD200785B", "https://www.amazon.jobs/jobs/3131876/applied-scientist-ii-spb-advertiser-guidance?cmpid=DA_INAD200785B")</f>
        <v/>
      </c>
      <c r="G32" t="inlineStr">
        <is>
          <t>New York, NY, US</t>
        </is>
      </c>
      <c r="H32" s="2" t="n">
        <v>45980</v>
      </c>
      <c r="I3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in-c23e5dd60909d218</t>
        </is>
      </c>
      <c r="B33" t="inlineStr">
        <is>
          <t>Applied Scientist II, SPB Advertiser Guidance</t>
        </is>
      </c>
      <c r="C33" t="inlineStr">
        <is>
          <t>Amazon.com</t>
        </is>
      </c>
      <c r="D33" t="inlineStr">
        <is>
          <t>indeed</t>
        </is>
      </c>
      <c r="E33">
        <f>HYPERLINK("https://www.indeed.com/viewjob?jk=c23e5dd60909d218", "https://www.indeed.com/viewjob?jk=c23e5dd60909d218")</f>
        <v/>
      </c>
      <c r="F33">
        <f>HYPERLINK("https://www.amazon.jobs/jobs/3131876/applied-scientist-ii-spb-advertiser-guidance?cmpid=DA_INAD200785B", "https://www.amazon.jobs/jobs/3131876/applied-scientist-ii-spb-advertiser-guidance?cmpid=DA_INAD200785B")</f>
        <v/>
      </c>
      <c r="G33" t="inlineStr">
        <is>
          <t>Seattle, WA, US</t>
        </is>
      </c>
      <c r="H33" s="2" t="n">
        <v>45980</v>
      </c>
      <c r="I3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in-23de09e7e718ea0b</t>
        </is>
      </c>
      <c r="B34" t="inlineStr">
        <is>
          <t>Principal Applied Scientist, Sponsored Products and Brands</t>
        </is>
      </c>
      <c r="C34" t="inlineStr">
        <is>
          <t>Amazon.com</t>
        </is>
      </c>
      <c r="D34" t="inlineStr">
        <is>
          <t>indeed</t>
        </is>
      </c>
      <c r="E34">
        <f>HYPERLINK("https://www.indeed.com/viewjob?jk=23de09e7e718ea0b", "https://www.indeed.com/viewjob?jk=23de09e7e718ea0b")</f>
        <v/>
      </c>
      <c r="F34">
        <f>HYPERLINK("https://www.amazon.jobs/jobs/3130855/principal-applied-scientist-sponsored-products-and-brands?cmpid=DA_INAD200785B", "https://www.amazon.jobs/jobs/3130855/principal-applied-scientist-sponsored-products-and-brands?cmpid=DA_INAD200785B")</f>
        <v/>
      </c>
      <c r="G34" t="inlineStr">
        <is>
          <t>Seattle, WA, US</t>
        </is>
      </c>
      <c r="H34" s="2" t="n">
        <v>45979</v>
      </c>
      <c r="I3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in-4a7acda30676d431</t>
        </is>
      </c>
      <c r="B35" t="inlineStr">
        <is>
          <t>Principal Applied Scientist, Sponsored Products and Brands</t>
        </is>
      </c>
      <c r="C35" t="inlineStr">
        <is>
          <t>Amazon.com</t>
        </is>
      </c>
      <c r="D35" t="inlineStr">
        <is>
          <t>indeed</t>
        </is>
      </c>
      <c r="E35">
        <f>HYPERLINK("https://www.indeed.com/viewjob?jk=4a7acda30676d431", "https://www.indeed.com/viewjob?jk=4a7acda30676d431")</f>
        <v/>
      </c>
      <c r="F35">
        <f>HYPERLINK("https://www.amazon.jobs/jobs/3130855/principal-applied-scientist-sponsored-products-and-brands?cmpid=DA_INAD200785B", "https://www.amazon.jobs/jobs/3130855/principal-applied-scientist-sponsored-products-and-brands?cmpid=DA_INAD200785B")</f>
        <v/>
      </c>
      <c r="G35" t="inlineStr">
        <is>
          <t>New York, NY, US</t>
        </is>
      </c>
      <c r="H35" s="2" t="n">
        <v>45979</v>
      </c>
      <c r="I3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in-82aeba3fd1c69d50</t>
        </is>
      </c>
      <c r="B36" t="inlineStr">
        <is>
          <t>Sr. Applied Scientist, AGI Foundations</t>
        </is>
      </c>
      <c r="C36" t="inlineStr">
        <is>
          <t>Amazon.com</t>
        </is>
      </c>
      <c r="D36" t="inlineStr">
        <is>
          <t>indeed</t>
        </is>
      </c>
      <c r="E36">
        <f>HYPERLINK("https://www.indeed.com/viewjob?jk=82aeba3fd1c69d50", "https://www.indeed.com/viewjob?jk=82aeba3fd1c69d50")</f>
        <v/>
      </c>
      <c r="F36">
        <f>HYPERLINK("https://www.amazon.jobs/jobs/3128807/sr-applied-scientist-agi-foundations?cmpid=DA_INAD200785B", "https://www.amazon.jobs/jobs/3128807/sr-applied-scientist-agi-foundations?cmpid=DA_INAD200785B")</f>
        <v/>
      </c>
      <c r="G36" t="inlineStr">
        <is>
          <t>Bellevue, WA, US</t>
        </is>
      </c>
      <c r="H36" s="2" t="n">
        <v>45978</v>
      </c>
      <c r="I3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in-8f169f75fc1382ff</t>
        </is>
      </c>
      <c r="B37" t="inlineStr">
        <is>
          <t>Sr. Applied Scientist, AGI Foundations</t>
        </is>
      </c>
      <c r="C37" t="inlineStr">
        <is>
          <t>Amazon.com</t>
        </is>
      </c>
      <c r="D37" t="inlineStr">
        <is>
          <t>indeed</t>
        </is>
      </c>
      <c r="E37">
        <f>HYPERLINK("https://www.indeed.com/viewjob?jk=8f169f75fc1382ff", "https://www.indeed.com/viewjob?jk=8f169f75fc1382ff")</f>
        <v/>
      </c>
      <c r="F37">
        <f>HYPERLINK("https://www.amazon.jobs/jobs/3128807/sr-applied-scientist-agi-foundations?cmpid=DA_INAD200785B", "https://www.amazon.jobs/jobs/3128807/sr-applied-scientist-agi-foundations?cmpid=DA_INAD200785B")</f>
        <v/>
      </c>
      <c r="G37" t="inlineStr">
        <is>
          <t>Boston, MA, US</t>
        </is>
      </c>
      <c r="H37" s="2" t="n">
        <v>45978</v>
      </c>
      <c r="I3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in-4a6143b996e09fe9</t>
        </is>
      </c>
      <c r="B38" t="inlineStr">
        <is>
          <t>Sr. Applied Scientist, AGI Foundations</t>
        </is>
      </c>
      <c r="C38" t="inlineStr">
        <is>
          <t>Amazon.com</t>
        </is>
      </c>
      <c r="D38" t="inlineStr">
        <is>
          <t>indeed</t>
        </is>
      </c>
      <c r="E38">
        <f>HYPERLINK("https://www.indeed.com/viewjob?jk=4a6143b996e09fe9", "https://www.indeed.com/viewjob?jk=4a6143b996e09fe9")</f>
        <v/>
      </c>
      <c r="F38">
        <f>HYPERLINK("https://www.amazon.jobs/jobs/3128807/sr-applied-scientist-agi-foundations?cmpid=DA_INAD200785B", "https://www.amazon.jobs/jobs/3128807/sr-applied-scientist-agi-foundations?cmpid=DA_INAD200785B")</f>
        <v/>
      </c>
      <c r="G38" t="inlineStr">
        <is>
          <t>New York, NY, US</t>
        </is>
      </c>
      <c r="H38" s="2" t="n">
        <v>45978</v>
      </c>
      <c r="I3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in-18e857049e0c16eb</t>
        </is>
      </c>
      <c r="B39" t="inlineStr">
        <is>
          <t>Sr. Applied Scientist, AGI Foundations</t>
        </is>
      </c>
      <c r="C39" t="inlineStr">
        <is>
          <t>Amazon.com</t>
        </is>
      </c>
      <c r="D39" t="inlineStr">
        <is>
          <t>indeed</t>
        </is>
      </c>
      <c r="E39">
        <f>HYPERLINK("https://www.indeed.com/viewjob?jk=18e857049e0c16eb", "https://www.indeed.com/viewjob?jk=18e857049e0c16eb")</f>
        <v/>
      </c>
      <c r="F39">
        <f>HYPERLINK("https://www.amazon.jobs/jobs/3128807/sr-applied-scientist-agi-foundations?cmpid=DA_INAD200785B", "https://www.amazon.jobs/jobs/3128807/sr-applied-scientist-agi-foundations?cmpid=DA_INAD200785B")</f>
        <v/>
      </c>
      <c r="G39" t="inlineStr">
        <is>
          <t>Sunnyvale, CA, US</t>
        </is>
      </c>
      <c r="H39" s="2" t="n">
        <v>45978</v>
      </c>
      <c r="I3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in-c17ae25de2b9112e</t>
        </is>
      </c>
      <c r="B40" t="inlineStr">
        <is>
          <t>Principal Applied Scientist, Amazon AGI</t>
        </is>
      </c>
      <c r="C40" t="inlineStr">
        <is>
          <t>Amazon.com</t>
        </is>
      </c>
      <c r="D40" t="inlineStr">
        <is>
          <t>indeed</t>
        </is>
      </c>
      <c r="E40">
        <f>HYPERLINK("https://www.indeed.com/viewjob?jk=c17ae25de2b9112e", "https://www.indeed.com/viewjob?jk=c17ae25de2b9112e")</f>
        <v/>
      </c>
      <c r="F40">
        <f>HYPERLINK("https://www.amazon.jobs/jobs/3128808/principal-applied-scientist-amazon-agi?cmpid=DA_INAD200785B", "https://www.amazon.jobs/jobs/3128808/principal-applied-scientist-amazon-agi?cmpid=DA_INAD200785B")</f>
        <v/>
      </c>
      <c r="G40" t="inlineStr">
        <is>
          <t>San Francisco, CA, US</t>
        </is>
      </c>
      <c r="H40" s="2" t="n">
        <v>45964</v>
      </c>
      <c r="I4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in-a5faba024fea0991</t>
        </is>
      </c>
      <c r="B41" t="inlineStr">
        <is>
          <t>Principal Applied Scientist, Amazon AGI</t>
        </is>
      </c>
      <c r="C41" t="inlineStr">
        <is>
          <t>Amazon.com</t>
        </is>
      </c>
      <c r="D41" t="inlineStr">
        <is>
          <t>indeed</t>
        </is>
      </c>
      <c r="E41">
        <f>HYPERLINK("https://www.indeed.com/viewjob?jk=a5faba024fea0991", "https://www.indeed.com/viewjob?jk=a5faba024fea0991")</f>
        <v/>
      </c>
      <c r="F41">
        <f>HYPERLINK("https://www.amazon.jobs/jobs/3128808/principal-applied-scientist-amazon-agi?cmpid=DA_INAD200785B", "https://www.amazon.jobs/jobs/3128808/principal-applied-scientist-amazon-agi?cmpid=DA_INAD200785B")</f>
        <v/>
      </c>
      <c r="G41" t="inlineStr">
        <is>
          <t>Boston, MA, US</t>
        </is>
      </c>
      <c r="H41" s="2" t="n">
        <v>45964</v>
      </c>
      <c r="I41"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in-47500523db0378d8</t>
        </is>
      </c>
      <c r="B42" t="inlineStr">
        <is>
          <t>Sr. Applied Scientist, AGI Foundations</t>
        </is>
      </c>
      <c r="C42" t="inlineStr">
        <is>
          <t>Amazon.com</t>
        </is>
      </c>
      <c r="D42" t="inlineStr">
        <is>
          <t>indeed</t>
        </is>
      </c>
      <c r="E42">
        <f>HYPERLINK("https://www.indeed.com/viewjob?jk=47500523db0378d8", "https://www.indeed.com/viewjob?jk=47500523db0378d8")</f>
        <v/>
      </c>
      <c r="F42">
        <f>HYPERLINK("https://www.amazon.jobs/jobs/3123268/sr-applied-scientist-agi-foundations?cmpid=DA_INAD200785B", "https://www.amazon.jobs/jobs/3123268/sr-applied-scientist-agi-foundations?cmpid=DA_INAD200785B")</f>
        <v/>
      </c>
      <c r="G42" t="inlineStr">
        <is>
          <t>Bellevue, WA, US</t>
        </is>
      </c>
      <c r="H42" s="2" t="n">
        <v>45963</v>
      </c>
      <c r="I4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in-234aef46973ef0d0</t>
        </is>
      </c>
      <c r="B43" t="inlineStr">
        <is>
          <t>Sr. Applied Scientist, AGI Foundations</t>
        </is>
      </c>
      <c r="C43" t="inlineStr">
        <is>
          <t>Amazon.com</t>
        </is>
      </c>
      <c r="D43" t="inlineStr">
        <is>
          <t>indeed</t>
        </is>
      </c>
      <c r="E43">
        <f>HYPERLINK("https://www.indeed.com/viewjob?jk=234aef46973ef0d0", "https://www.indeed.com/viewjob?jk=234aef46973ef0d0")</f>
        <v/>
      </c>
      <c r="F43">
        <f>HYPERLINK("https://www.amazon.jobs/jobs/3123268/sr-applied-scientist-agi-foundations?cmpid=DA_INAD200785B", "https://www.amazon.jobs/jobs/3123268/sr-applied-scientist-agi-foundations?cmpid=DA_INAD200785B")</f>
        <v/>
      </c>
      <c r="G43" t="inlineStr">
        <is>
          <t>New York, NY, US</t>
        </is>
      </c>
      <c r="H43" s="2" t="n">
        <v>45963</v>
      </c>
      <c r="I4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in-babe1207d5582119</t>
        </is>
      </c>
      <c r="B44" t="inlineStr">
        <is>
          <t>Sr. Applied Scientist, AGI Foundations</t>
        </is>
      </c>
      <c r="C44" t="inlineStr">
        <is>
          <t>Amazon.com</t>
        </is>
      </c>
      <c r="D44" t="inlineStr">
        <is>
          <t>indeed</t>
        </is>
      </c>
      <c r="E44">
        <f>HYPERLINK("https://www.indeed.com/viewjob?jk=babe1207d5582119", "https://www.indeed.com/viewjob?jk=babe1207d5582119")</f>
        <v/>
      </c>
      <c r="F44">
        <f>HYPERLINK("https://www.amazon.jobs/jobs/3123268/sr-applied-scientist-agi-foundations?cmpid=DA_INAD200785B", "https://www.amazon.jobs/jobs/3123268/sr-applied-scientist-agi-foundations?cmpid=DA_INAD200785B")</f>
        <v/>
      </c>
      <c r="G44" t="inlineStr">
        <is>
          <t>Boston, MA, US</t>
        </is>
      </c>
      <c r="H44" s="2" t="n">
        <v>45963</v>
      </c>
      <c r="I4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in-63d6bcfdb10c0299</t>
        </is>
      </c>
      <c r="B45" t="inlineStr">
        <is>
          <t>Principal Applied Scientist, AWS Agentic AI Science</t>
        </is>
      </c>
      <c r="C45" t="inlineStr">
        <is>
          <t>Amazon Web Services</t>
        </is>
      </c>
      <c r="D45" t="inlineStr">
        <is>
          <t>indeed</t>
        </is>
      </c>
      <c r="E45">
        <f>HYPERLINK("https://www.indeed.com/viewjob?jk=63d6bcfdb10c0299", "https://www.indeed.com/viewjob?jk=63d6bcfdb10c0299")</f>
        <v/>
      </c>
      <c r="F45">
        <f>HYPERLINK("https://www.amazon.jobs/jobs/3132887/principal-applied-scientist-aws-agentic-ai-science?cmpid=DA_INAD200785B", "https://www.amazon.jobs/jobs/3132887/principal-applied-scientist-aws-agentic-ai-science?cmpid=DA_INAD200785B")</f>
        <v/>
      </c>
      <c r="G45" t="inlineStr">
        <is>
          <t>Santa Clara, CA, US</t>
        </is>
      </c>
      <c r="H45" s="2" t="n">
        <v>45963</v>
      </c>
      <c r="I45"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in-413a3a07a4f58495</t>
        </is>
      </c>
      <c r="B46" t="inlineStr">
        <is>
          <t>Principal Applied Scientist, AWS Agentic AI Science</t>
        </is>
      </c>
      <c r="C46" t="inlineStr">
        <is>
          <t>Amazon Web Services</t>
        </is>
      </c>
      <c r="D46" t="inlineStr">
        <is>
          <t>indeed</t>
        </is>
      </c>
      <c r="E46">
        <f>HYPERLINK("https://www.indeed.com/viewjob?jk=413a3a07a4f58495", "https://www.indeed.com/viewjob?jk=413a3a07a4f58495")</f>
        <v/>
      </c>
      <c r="F46">
        <f>HYPERLINK("https://www.amazon.jobs/jobs/3132887/principal-applied-scientist-aws-agentic-ai-science?cmpid=DA_INAD200785B", "https://www.amazon.jobs/jobs/3132887/principal-applied-scientist-aws-agentic-ai-science?cmpid=DA_INAD200785B")</f>
        <v/>
      </c>
      <c r="G46" t="inlineStr">
        <is>
          <t>New York, NY, US</t>
        </is>
      </c>
      <c r="H46" s="2" t="n">
        <v>45963</v>
      </c>
      <c r="I46"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in-e3ad895fa859a99a</t>
        </is>
      </c>
      <c r="B47" t="inlineStr">
        <is>
          <t>Sr. Applied Scientist, Sponsored Product Off-Search</t>
        </is>
      </c>
      <c r="C47" t="inlineStr">
        <is>
          <t>Amazon.com</t>
        </is>
      </c>
      <c r="D47" t="inlineStr">
        <is>
          <t>indeed</t>
        </is>
      </c>
      <c r="E47">
        <f>HYPERLINK("https://www.indeed.com/viewjob?jk=e3ad895fa859a99a", "https://www.indeed.com/viewjob?jk=e3ad895fa859a99a")</f>
        <v/>
      </c>
      <c r="F47">
        <f>HYPERLINK("https://www.amazon.jobs/jobs/3120815/sr-applied-scientist-sponsored-product-offsearch-?cmpid=DA_INAD200785B", "https://www.amazon.jobs/jobs/3120815/sr-applied-scientist-sponsored-product-offsearch-?cmpid=DA_INAD200785B")</f>
        <v/>
      </c>
      <c r="G47" t="inlineStr">
        <is>
          <t>New York, NY, US</t>
        </is>
      </c>
      <c r="H47" s="2" t="n">
        <v>45963</v>
      </c>
      <c r="I47"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in-0cba4d3581a8fac8</t>
        </is>
      </c>
      <c r="B48" t="inlineStr">
        <is>
          <t>Sr. Applied Scientist, Sponsored Product Off-Search</t>
        </is>
      </c>
      <c r="C48" t="inlineStr">
        <is>
          <t>Amazon.com</t>
        </is>
      </c>
      <c r="D48" t="inlineStr">
        <is>
          <t>indeed</t>
        </is>
      </c>
      <c r="E48">
        <f>HYPERLINK("https://www.indeed.com/viewjob?jk=0cba4d3581a8fac8", "https://www.indeed.com/viewjob?jk=0cba4d3581a8fac8")</f>
        <v/>
      </c>
      <c r="F48">
        <f>HYPERLINK("https://www.amazon.jobs/jobs/3120815/sr-applied-scientist-sponsored-product-offsearch-?cmpid=DA_INAD200785B", "https://www.amazon.jobs/jobs/3120815/sr-applied-scientist-sponsored-product-offsearch-?cmpid=DA_INAD200785B")</f>
        <v/>
      </c>
      <c r="G48" t="inlineStr">
        <is>
          <t>Seattle, WA, US</t>
        </is>
      </c>
      <c r="H48" s="2" t="n">
        <v>45963</v>
      </c>
      <c r="I48"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in-fe19036647c1e848</t>
        </is>
      </c>
      <c r="B49" t="inlineStr">
        <is>
          <t>Applied Scientist, AWS Agentic AI</t>
        </is>
      </c>
      <c r="C49" t="inlineStr">
        <is>
          <t>Amazon Web Services</t>
        </is>
      </c>
      <c r="D49" t="inlineStr">
        <is>
          <t>indeed</t>
        </is>
      </c>
      <c r="E49">
        <f>HYPERLINK("https://www.indeed.com/viewjob?jk=fe19036647c1e848", "https://www.indeed.com/viewjob?jk=fe19036647c1e848")</f>
        <v/>
      </c>
      <c r="F49">
        <f>HYPERLINK("https://www.amazon.jobs/jobs/3141517/applied-scientist-aws-agentic-ai-?cmpid=DA_INAD200785B", "https://www.amazon.jobs/jobs/3141517/applied-scientist-aws-agentic-ai-?cmpid=DA_INAD200785B")</f>
        <v/>
      </c>
      <c r="G49" t="inlineStr">
        <is>
          <t>Santa Clara, CA, US</t>
        </is>
      </c>
      <c r="H49" s="2" t="n">
        <v>45962</v>
      </c>
      <c r="I4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in-23723d4c8b1e7524</t>
        </is>
      </c>
      <c r="B50" t="inlineStr">
        <is>
          <t>Applied Scientist, AWS Agentic AI</t>
        </is>
      </c>
      <c r="C50" t="inlineStr">
        <is>
          <t>Amazon Web Services</t>
        </is>
      </c>
      <c r="D50" t="inlineStr">
        <is>
          <t>indeed</t>
        </is>
      </c>
      <c r="E50">
        <f>HYPERLINK("https://www.indeed.com/viewjob?jk=23723d4c8b1e7524", "https://www.indeed.com/viewjob?jk=23723d4c8b1e7524")</f>
        <v/>
      </c>
      <c r="F50">
        <f>HYPERLINK("https://www.amazon.jobs/jobs/3141517/applied-scientist-aws-agentic-ai-?cmpid=DA_INAD200785B", "https://www.amazon.jobs/jobs/3141517/applied-scientist-aws-agentic-ai-?cmpid=DA_INAD200785B")</f>
        <v/>
      </c>
      <c r="G50" t="inlineStr">
        <is>
          <t>Seattle, WA, US</t>
        </is>
      </c>
      <c r="H50" s="2" t="n">
        <v>45962</v>
      </c>
      <c r="I5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in-54e117afc22c52ab</t>
        </is>
      </c>
      <c r="B51" t="inlineStr">
        <is>
          <t>Applied Scientist, AWS Agentic AI</t>
        </is>
      </c>
      <c r="C51" t="inlineStr">
        <is>
          <t>Amazon Web Services</t>
        </is>
      </c>
      <c r="D51" t="inlineStr">
        <is>
          <t>indeed</t>
        </is>
      </c>
      <c r="E51">
        <f>HYPERLINK("https://www.indeed.com/viewjob?jk=54e117afc22c52ab", "https://www.indeed.com/viewjob?jk=54e117afc22c52ab")</f>
        <v/>
      </c>
      <c r="F51">
        <f>HYPERLINK("https://www.amazon.jobs/jobs/3141517/applied-scientist-aws-agentic-ai-?cmpid=DA_INAD200785B", "https://www.amazon.jobs/jobs/3141517/applied-scientist-aws-agentic-ai-?cmpid=DA_INAD200785B")</f>
        <v/>
      </c>
      <c r="G51" t="inlineStr">
        <is>
          <t>New York, NY, US</t>
        </is>
      </c>
      <c r="H51" s="2" t="n">
        <v>45962</v>
      </c>
      <c r="I5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in-f15f61767b9686fb</t>
        </is>
      </c>
      <c r="B52" t="inlineStr">
        <is>
          <t>Principal Applied Scientist, Advertiser Growth, Amazon Sponsored Products &amp; Brands</t>
        </is>
      </c>
      <c r="C52" t="inlineStr">
        <is>
          <t>Amazon.com</t>
        </is>
      </c>
      <c r="D52" t="inlineStr">
        <is>
          <t>indeed</t>
        </is>
      </c>
      <c r="E52">
        <f>HYPERLINK("https://www.indeed.com/viewjob?jk=f15f61767b9686fb", "https://www.indeed.com/viewjob?jk=f15f61767b9686fb")</f>
        <v/>
      </c>
      <c r="F52">
        <f>HYPERLINK("https://www.amazon.jobs/jobs/3115279/principal-applied-scientist-advertiser-growth-amazon-sponsored-products--brands?cmpid=DA_INAD200785B", "https://www.amazon.jobs/jobs/3115279/principal-applied-scientist-advertiser-growth-amazon-sponsored-products--brands?cmpid=DA_INAD200785B")</f>
        <v/>
      </c>
      <c r="G52" t="inlineStr">
        <is>
          <t>Palo Alto, CA, US</t>
        </is>
      </c>
      <c r="H52" s="2" t="n">
        <v>45942</v>
      </c>
      <c r="I5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in-88458f1ccd1ee106</t>
        </is>
      </c>
      <c r="B53" t="inlineStr">
        <is>
          <t>Principal Applied Scientist, Advertiser Growth, Amazon Sponsored Products &amp; Brands</t>
        </is>
      </c>
      <c r="C53" t="inlineStr">
        <is>
          <t>Amazon.com</t>
        </is>
      </c>
      <c r="D53" t="inlineStr">
        <is>
          <t>indeed</t>
        </is>
      </c>
      <c r="E53">
        <f>HYPERLINK("https://www.indeed.com/viewjob?jk=88458f1ccd1ee106", "https://www.indeed.com/viewjob?jk=88458f1ccd1ee106")</f>
        <v/>
      </c>
      <c r="F53">
        <f>HYPERLINK("https://www.amazon.jobs/jobs/3115279/principal-applied-scientist-advertiser-growth-amazon-sponsored-products--brands?cmpid=DA_INAD200785B", "https://www.amazon.jobs/jobs/3115279/principal-applied-scientist-advertiser-growth-amazon-sponsored-products--brands?cmpid=DA_INAD200785B")</f>
        <v/>
      </c>
      <c r="G53" t="inlineStr">
        <is>
          <t>New York, NY, US</t>
        </is>
      </c>
      <c r="H53" s="2" t="n">
        <v>45942</v>
      </c>
      <c r="I5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in-19614b8a140d9e9b</t>
        </is>
      </c>
      <c r="B54" t="inlineStr">
        <is>
          <t>Principal Applied Scientist, Advertiser Growth, Amazon Sponsored Products &amp; Brands</t>
        </is>
      </c>
      <c r="C54" t="inlineStr">
        <is>
          <t>Amazon.com</t>
        </is>
      </c>
      <c r="D54" t="inlineStr">
        <is>
          <t>indeed</t>
        </is>
      </c>
      <c r="E54">
        <f>HYPERLINK("https://www.indeed.com/viewjob?jk=19614b8a140d9e9b", "https://www.indeed.com/viewjob?jk=19614b8a140d9e9b")</f>
        <v/>
      </c>
      <c r="F54">
        <f>HYPERLINK("https://www.amazon.jobs/jobs/3115279/principal-applied-scientist-advertiser-growth-amazon-sponsored-products--brands?cmpid=DA_INAD200785B", "https://www.amazon.jobs/jobs/3115279/principal-applied-scientist-advertiser-growth-amazon-sponsored-products--brands?cmpid=DA_INAD200785B")</f>
        <v/>
      </c>
      <c r="G54" t="inlineStr">
        <is>
          <t>Seattle, WA, US</t>
        </is>
      </c>
      <c r="H54" s="2" t="n">
        <v>45942</v>
      </c>
      <c r="I5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in-da5c59f2312c3c8a</t>
        </is>
      </c>
      <c r="B55" t="inlineStr">
        <is>
          <t>Sr. Applied Scientist, SPB Advertiser Guidance</t>
        </is>
      </c>
      <c r="C55" t="inlineStr">
        <is>
          <t>Amazon.com</t>
        </is>
      </c>
      <c r="D55" t="inlineStr">
        <is>
          <t>indeed</t>
        </is>
      </c>
      <c r="E55">
        <f>HYPERLINK("https://www.indeed.com/viewjob?jk=da5c59f2312c3c8a", "https://www.indeed.com/viewjob?jk=da5c59f2312c3c8a")</f>
        <v/>
      </c>
      <c r="F55">
        <f>HYPERLINK("https://www.amazon.jobs/jobs/3106497/sr-applied-scientist-spb-advertiser-guidance?cmpid=DA_INAD200785B", "https://www.amazon.jobs/jobs/3106497/sr-applied-scientist-spb-advertiser-guidance?cmpid=DA_INAD200785B")</f>
        <v/>
      </c>
      <c r="G55" t="inlineStr">
        <is>
          <t>New York, NY, US</t>
        </is>
      </c>
      <c r="H55" s="2" t="n">
        <v>45939</v>
      </c>
      <c r="I5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in-abfe02c138a552df</t>
        </is>
      </c>
      <c r="B56" t="inlineStr">
        <is>
          <t>Applied Scientist</t>
        </is>
      </c>
      <c r="C56" t="inlineStr">
        <is>
          <t>Amazon.com</t>
        </is>
      </c>
      <c r="D56" t="inlineStr">
        <is>
          <t>indeed</t>
        </is>
      </c>
      <c r="E56">
        <f>HYPERLINK("https://www.indeed.com/viewjob?jk=abfe02c138a552df", "https://www.indeed.com/viewjob?jk=abfe02c138a552df")</f>
        <v/>
      </c>
      <c r="F56">
        <f>HYPERLINK("https://www.amazon.jobs/jobs/3106501/applied-scientist?cmpid=DA_INAD200785B", "https://www.amazon.jobs/jobs/3106501/applied-scientist?cmpid=DA_INAD200785B")</f>
        <v/>
      </c>
      <c r="G56" t="inlineStr">
        <is>
          <t>Palo Alto, CA, US</t>
        </is>
      </c>
      <c r="H56" s="2" t="n">
        <v>45939</v>
      </c>
      <c r="I5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in-2f52ac014ff230df</t>
        </is>
      </c>
      <c r="B57" t="inlineStr">
        <is>
          <t>Applied Scientist</t>
        </is>
      </c>
      <c r="C57" t="inlineStr">
        <is>
          <t>Amazon.com</t>
        </is>
      </c>
      <c r="D57" t="inlineStr">
        <is>
          <t>indeed</t>
        </is>
      </c>
      <c r="E57">
        <f>HYPERLINK("https://www.indeed.com/viewjob?jk=2f52ac014ff230df", "https://www.indeed.com/viewjob?jk=2f52ac014ff230df")</f>
        <v/>
      </c>
      <c r="F57">
        <f>HYPERLINK("https://www.amazon.jobs/jobs/3106501/applied-scientist?cmpid=DA_INAD200785B", "https://www.amazon.jobs/jobs/3106501/applied-scientist?cmpid=DA_INAD200785B")</f>
        <v/>
      </c>
      <c r="G57" t="inlineStr">
        <is>
          <t>New York, NY, US</t>
        </is>
      </c>
      <c r="H57" s="2" t="n">
        <v>45939</v>
      </c>
      <c r="I5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in-3f2d47e16754fa34</t>
        </is>
      </c>
      <c r="B58" t="inlineStr">
        <is>
          <t>Sr. Applied Scientist, SPB Advertiser Guidance</t>
        </is>
      </c>
      <c r="C58" t="inlineStr">
        <is>
          <t>Amazon.com</t>
        </is>
      </c>
      <c r="D58" t="inlineStr">
        <is>
          <t>indeed</t>
        </is>
      </c>
      <c r="E58">
        <f>HYPERLINK("https://www.indeed.com/viewjob?jk=3f2d47e16754fa34", "https://www.indeed.com/viewjob?jk=3f2d47e16754fa34")</f>
        <v/>
      </c>
      <c r="F58">
        <f>HYPERLINK("https://www.amazon.jobs/jobs/3106497/sr-applied-scientist-spb-advertiser-guidance?cmpid=DA_INAD200785B", "https://www.amazon.jobs/jobs/3106497/sr-applied-scientist-spb-advertiser-guidance?cmpid=DA_INAD200785B")</f>
        <v/>
      </c>
      <c r="G58" t="inlineStr">
        <is>
          <t>Palo Alto, CA, US</t>
        </is>
      </c>
      <c r="H58" s="2" t="n">
        <v>45939</v>
      </c>
      <c r="I5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in-8ef8e8fb3b027aa9</t>
        </is>
      </c>
      <c r="B59" t="inlineStr">
        <is>
          <t>Applied Scientist</t>
        </is>
      </c>
      <c r="C59" t="inlineStr">
        <is>
          <t>Amazon.com</t>
        </is>
      </c>
      <c r="D59" t="inlineStr">
        <is>
          <t>indeed</t>
        </is>
      </c>
      <c r="E59">
        <f>HYPERLINK("https://www.indeed.com/viewjob?jk=8ef8e8fb3b027aa9", "https://www.indeed.com/viewjob?jk=8ef8e8fb3b027aa9")</f>
        <v/>
      </c>
      <c r="F59">
        <f>HYPERLINK("https://www.amazon.jobs/jobs/3106501/applied-scientist?cmpid=DA_INAD200785B", "https://www.amazon.jobs/jobs/3106501/applied-scientist?cmpid=DA_INAD200785B")</f>
        <v/>
      </c>
      <c r="G59" t="inlineStr">
        <is>
          <t>Seattle, WA, US</t>
        </is>
      </c>
      <c r="H59" s="2" t="n">
        <v>45939</v>
      </c>
      <c r="I5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in-d54eb3e4c630ccd9</t>
        </is>
      </c>
      <c r="B60" t="inlineStr">
        <is>
          <t>Sr. Applied Scientist, SPB Advertiser Guidance</t>
        </is>
      </c>
      <c r="C60" t="inlineStr">
        <is>
          <t>Amazon.com</t>
        </is>
      </c>
      <c r="D60" t="inlineStr">
        <is>
          <t>indeed</t>
        </is>
      </c>
      <c r="E60">
        <f>HYPERLINK("https://www.indeed.com/viewjob?jk=d54eb3e4c630ccd9", "https://www.indeed.com/viewjob?jk=d54eb3e4c630ccd9")</f>
        <v/>
      </c>
      <c r="F60">
        <f>HYPERLINK("https://www.amazon.jobs/jobs/3106497/sr-applied-scientist-spb-advertiser-guidance?cmpid=DA_INAD200785B", "https://www.amazon.jobs/jobs/3106497/sr-applied-scientist-spb-advertiser-guidance?cmpid=DA_INAD200785B")</f>
        <v/>
      </c>
      <c r="G60" t="inlineStr">
        <is>
          <t>Seattle, WA, US</t>
        </is>
      </c>
      <c r="H60" s="2" t="n">
        <v>45939</v>
      </c>
      <c r="I6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in-f2c434f07dfb4d62</t>
        </is>
      </c>
      <c r="B61" t="inlineStr">
        <is>
          <t>Applied Scientist II, Prime Video - Personalization and Discovery Science, Personalization and Discovery Science</t>
        </is>
      </c>
      <c r="C61" t="inlineStr">
        <is>
          <t>Amazon.com</t>
        </is>
      </c>
      <c r="D61" t="inlineStr">
        <is>
          <t>indeed</t>
        </is>
      </c>
      <c r="E61">
        <f>HYPERLINK("https://www.indeed.com/viewjob?jk=f2c434f07dfb4d62", "https://www.indeed.com/viewjob?jk=f2c434f07dfb4d62")</f>
        <v/>
      </c>
      <c r="F61">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61" t="inlineStr">
        <is>
          <t>New York, NY, US</t>
        </is>
      </c>
      <c r="H61" s="2" t="n">
        <v>45930</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in-919813d05973dbf7</t>
        </is>
      </c>
      <c r="B62" t="inlineStr">
        <is>
          <t>Applied Scientist II, Prime Video - Personalization and Discovery Science, Personalization and Discovery Science</t>
        </is>
      </c>
      <c r="C62" t="inlineStr">
        <is>
          <t>Amazon.com</t>
        </is>
      </c>
      <c r="D62" t="inlineStr">
        <is>
          <t>indeed</t>
        </is>
      </c>
      <c r="E62">
        <f>HYPERLINK("https://www.indeed.com/viewjob?jk=919813d05973dbf7", "https://www.indeed.com/viewjob?jk=919813d05973dbf7")</f>
        <v/>
      </c>
      <c r="F6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62" t="inlineStr">
        <is>
          <t>Seattle, WA, US</t>
        </is>
      </c>
      <c r="H62" s="2" t="n">
        <v>45930</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in-3b354d2e450b3b4e</t>
        </is>
      </c>
      <c r="B63" t="inlineStr">
        <is>
          <t>Applied Scientist II, Prime Video - Personalization and Discovery Science, Personalization and Discovery Science</t>
        </is>
      </c>
      <c r="C63" t="inlineStr">
        <is>
          <t>Amazon.com</t>
        </is>
      </c>
      <c r="D63" t="inlineStr">
        <is>
          <t>indeed</t>
        </is>
      </c>
      <c r="E63">
        <f>HYPERLINK("https://www.indeed.com/viewjob?jk=3b354d2e450b3b4e", "https://www.indeed.com/viewjob?jk=3b354d2e450b3b4e")</f>
        <v/>
      </c>
      <c r="F6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63" t="inlineStr">
        <is>
          <t>Sunnyvale, CA, US</t>
        </is>
      </c>
      <c r="H63" s="2" t="n">
        <v>45930</v>
      </c>
      <c r="I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in-cd304b88f0135c25</t>
        </is>
      </c>
      <c r="B64" t="inlineStr">
        <is>
          <t>Principal Applied Scientist, Amazon - Sponsored Products</t>
        </is>
      </c>
      <c r="C64" t="inlineStr">
        <is>
          <t>Amazon.com</t>
        </is>
      </c>
      <c r="D64" t="inlineStr">
        <is>
          <t>indeed</t>
        </is>
      </c>
      <c r="E64">
        <f>HYPERLINK("https://www.indeed.com/viewjob?jk=cd304b88f0135c25", "https://www.indeed.com/viewjob?jk=cd304b88f0135c25")</f>
        <v/>
      </c>
      <c r="F64">
        <f>HYPERLINK("https://www.amazon.jobs/jobs/3094885/principal-applied-scientist-amazon--sponsored-products-?cmpid=DA_INAD200785B", "https://www.amazon.jobs/jobs/3094885/principal-applied-scientist-amazon--sponsored-products-?cmpid=DA_INAD200785B")</f>
        <v/>
      </c>
      <c r="G64" t="inlineStr">
        <is>
          <t>Palo Alto, CA, US</t>
        </is>
      </c>
      <c r="H64" s="2" t="n">
        <v>45924</v>
      </c>
      <c r="I64"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in-554b998da01273f3</t>
        </is>
      </c>
      <c r="B65" t="inlineStr">
        <is>
          <t>Principal Applied Scientist, Amazon - Sponsored Products</t>
        </is>
      </c>
      <c r="C65" t="inlineStr">
        <is>
          <t>Amazon.com</t>
        </is>
      </c>
      <c r="D65" t="inlineStr">
        <is>
          <t>indeed</t>
        </is>
      </c>
      <c r="E65">
        <f>HYPERLINK("https://www.indeed.com/viewjob?jk=554b998da01273f3", "https://www.indeed.com/viewjob?jk=554b998da01273f3")</f>
        <v/>
      </c>
      <c r="F65">
        <f>HYPERLINK("https://www.amazon.jobs/jobs/3094885/principal-applied-scientist-amazon--sponsored-products-?cmpid=DA_INAD200785B", "https://www.amazon.jobs/jobs/3094885/principal-applied-scientist-amazon--sponsored-products-?cmpid=DA_INAD200785B")</f>
        <v/>
      </c>
      <c r="G65" t="inlineStr">
        <is>
          <t>Seattle, WA, US</t>
        </is>
      </c>
      <c r="H65" s="2" t="n">
        <v>45924</v>
      </c>
      <c r="I65"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in-06cc898bbf47e9bd</t>
        </is>
      </c>
      <c r="B66" t="inlineStr">
        <is>
          <t>Principal Applied Scientist, Amazon - Sponsored Products</t>
        </is>
      </c>
      <c r="C66" t="inlineStr">
        <is>
          <t>Amazon.com</t>
        </is>
      </c>
      <c r="D66" t="inlineStr">
        <is>
          <t>indeed</t>
        </is>
      </c>
      <c r="E66">
        <f>HYPERLINK("https://www.indeed.com/viewjob?jk=06cc898bbf47e9bd", "https://www.indeed.com/viewjob?jk=06cc898bbf47e9bd")</f>
        <v/>
      </c>
      <c r="F66">
        <f>HYPERLINK("https://www.amazon.jobs/jobs/3094885/principal-applied-scientist-amazon--sponsored-products-?cmpid=DA_INAD200785B", "https://www.amazon.jobs/jobs/3094885/principal-applied-scientist-amazon--sponsored-products-?cmpid=DA_INAD200785B")</f>
        <v/>
      </c>
      <c r="G66" t="inlineStr">
        <is>
          <t>New York, NY, US</t>
        </is>
      </c>
      <c r="H66" s="2" t="n">
        <v>45924</v>
      </c>
      <c r="I66"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in-7c2bd738f6397b13</t>
        </is>
      </c>
      <c r="B67" t="inlineStr">
        <is>
          <t>Senior Applied Scientist, Sponsored Products and Brands</t>
        </is>
      </c>
      <c r="C67" t="inlineStr">
        <is>
          <t>Amazon.com</t>
        </is>
      </c>
      <c r="D67" t="inlineStr">
        <is>
          <t>indeed</t>
        </is>
      </c>
      <c r="E67">
        <f>HYPERLINK("https://www.indeed.com/viewjob?jk=7c2bd738f6397b13", "https://www.indeed.com/viewjob?jk=7c2bd738f6397b13")</f>
        <v/>
      </c>
      <c r="F67">
        <f>HYPERLINK("https://www.amazon.jobs/jobs/3094886/senior-applied-scientist-sponsored-products-and-brands?cmpid=DA_INAD200785B", "https://www.amazon.jobs/jobs/3094886/senior-applied-scientist-sponsored-products-and-brands?cmpid=DA_INAD200785B")</f>
        <v/>
      </c>
      <c r="G67" t="inlineStr">
        <is>
          <t>New York, NY, US</t>
        </is>
      </c>
      <c r="H67" s="2" t="n">
        <v>45922</v>
      </c>
      <c r="I6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in-509403622213b8a6</t>
        </is>
      </c>
      <c r="B68" t="inlineStr">
        <is>
          <t>Senior Applied Scientist, Sponsored Products and Brands</t>
        </is>
      </c>
      <c r="C68" t="inlineStr">
        <is>
          <t>Amazon.com</t>
        </is>
      </c>
      <c r="D68" t="inlineStr">
        <is>
          <t>indeed</t>
        </is>
      </c>
      <c r="E68">
        <f>HYPERLINK("https://www.indeed.com/viewjob?jk=509403622213b8a6", "https://www.indeed.com/viewjob?jk=509403622213b8a6")</f>
        <v/>
      </c>
      <c r="F68">
        <f>HYPERLINK("https://www.amazon.jobs/jobs/3094886/senior-applied-scientist-sponsored-products-and-brands?cmpid=DA_INAD200785B", "https://www.amazon.jobs/jobs/3094886/senior-applied-scientist-sponsored-products-and-brands?cmpid=DA_INAD200785B")</f>
        <v/>
      </c>
      <c r="G68" t="inlineStr">
        <is>
          <t>Seattle, WA, US</t>
        </is>
      </c>
      <c r="H68" s="2" t="n">
        <v>45922</v>
      </c>
      <c r="I6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in-05cb8e987a0d5272</t>
        </is>
      </c>
      <c r="B69" t="inlineStr">
        <is>
          <t>Applied Scientist, Workplace Health &amp; Safety</t>
        </is>
      </c>
      <c r="C69" t="inlineStr">
        <is>
          <t>Amazon.com</t>
        </is>
      </c>
      <c r="D69" t="inlineStr">
        <is>
          <t>indeed</t>
        </is>
      </c>
      <c r="E69">
        <f>HYPERLINK("https://www.indeed.com/viewjob?jk=05cb8e987a0d5272", "https://www.indeed.com/viewjob?jk=05cb8e987a0d5272")</f>
        <v/>
      </c>
      <c r="F69">
        <f>HYPERLINK("https://www.amazon.jobs/jobs/3144886/applied-scientist-workplace-health--safety-?cmpid=DA_INAD200785B", "https://www.amazon.jobs/jobs/3144886/applied-scientist-workplace-health--safety-?cmpid=DA_INAD200785B")</f>
        <v/>
      </c>
      <c r="G69" t="inlineStr">
        <is>
          <t>Bellevue, WA, US</t>
        </is>
      </c>
      <c r="H69" s="2" t="n">
        <v>45917</v>
      </c>
      <c r="I6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in-796ca36bf8471552</t>
        </is>
      </c>
      <c r="B70" t="inlineStr">
        <is>
          <t>Applied Scientist, Workplace Health &amp; Safety</t>
        </is>
      </c>
      <c r="C70" t="inlineStr">
        <is>
          <t>Amazon.com</t>
        </is>
      </c>
      <c r="D70" t="inlineStr">
        <is>
          <t>indeed</t>
        </is>
      </c>
      <c r="E70">
        <f>HYPERLINK("https://www.indeed.com/viewjob?jk=796ca36bf8471552", "https://www.indeed.com/viewjob?jk=796ca36bf8471552")</f>
        <v/>
      </c>
      <c r="F70">
        <f>HYPERLINK("https://www.amazon.jobs/jobs/3144886/applied-scientist-workplace-health--safety-?cmpid=DA_INAD200785B", "https://www.amazon.jobs/jobs/3144886/applied-scientist-workplace-health--safety-?cmpid=DA_INAD200785B")</f>
        <v/>
      </c>
      <c r="G70" t="inlineStr">
        <is>
          <t>Nashville, TN, US</t>
        </is>
      </c>
      <c r="H70" s="2" t="n">
        <v>45917</v>
      </c>
      <c r="I7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in-a2fbc866fe8b375f</t>
        </is>
      </c>
      <c r="B71" t="inlineStr">
        <is>
          <t>Applied Scientist II, Prime Video - Personalization and Discovery Science</t>
        </is>
      </c>
      <c r="C71" t="inlineStr">
        <is>
          <t>Amazon.com</t>
        </is>
      </c>
      <c r="D71" t="inlineStr">
        <is>
          <t>indeed</t>
        </is>
      </c>
      <c r="E71">
        <f>HYPERLINK("https://www.indeed.com/viewjob?jk=a2fbc866fe8b375f", "https://www.indeed.com/viewjob?jk=a2fbc866fe8b375f")</f>
        <v/>
      </c>
      <c r="F71">
        <f>HYPERLINK("https://www.amazon.jobs/jobs/3086060/applied-scientist-ii-prime-video--personalization-and-discovery-science?cmpid=DA_INAD200785B", "https://www.amazon.jobs/jobs/3086060/applied-scientist-ii-prime-video--personalization-and-discovery-science?cmpid=DA_INAD200785B")</f>
        <v/>
      </c>
      <c r="G71" t="inlineStr">
        <is>
          <t>New York, NY, US</t>
        </is>
      </c>
      <c r="H71" s="2" t="n">
        <v>45915</v>
      </c>
      <c r="I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in-9aa3c288eda28e63</t>
        </is>
      </c>
      <c r="B72" t="inlineStr">
        <is>
          <t>Applied Scientist II, Prime Video - Personalization and Discovery Science</t>
        </is>
      </c>
      <c r="C72" t="inlineStr">
        <is>
          <t>Amazon.com</t>
        </is>
      </c>
      <c r="D72" t="inlineStr">
        <is>
          <t>indeed</t>
        </is>
      </c>
      <c r="E72">
        <f>HYPERLINK("https://www.indeed.com/viewjob?jk=9aa3c288eda28e63", "https://www.indeed.com/viewjob?jk=9aa3c288eda28e63")</f>
        <v/>
      </c>
      <c r="F72">
        <f>HYPERLINK("https://www.amazon.jobs/jobs/3086060/applied-scientist-ii-prime-video--personalization-and-discovery-science?cmpid=DA_INAD200785B", "https://www.amazon.jobs/jobs/3086060/applied-scientist-ii-prime-video--personalization-and-discovery-science?cmpid=DA_INAD200785B")</f>
        <v/>
      </c>
      <c r="G72" t="inlineStr">
        <is>
          <t>Sunnyvale, CA, US</t>
        </is>
      </c>
      <c r="H72" s="2" t="n">
        <v>45915</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in-a2bb7edadd605d58</t>
        </is>
      </c>
      <c r="B73" t="inlineStr">
        <is>
          <t>Applied Scientist II, Prime Video - Personalization and Discovery Science</t>
        </is>
      </c>
      <c r="C73" t="inlineStr">
        <is>
          <t>Amazon.com</t>
        </is>
      </c>
      <c r="D73" t="inlineStr">
        <is>
          <t>indeed</t>
        </is>
      </c>
      <c r="E73">
        <f>HYPERLINK("https://www.indeed.com/viewjob?jk=a2bb7edadd605d58", "https://www.indeed.com/viewjob?jk=a2bb7edadd605d58")</f>
        <v/>
      </c>
      <c r="F73">
        <f>HYPERLINK("https://www.amazon.jobs/jobs/3086060/applied-scientist-ii-prime-video--personalization-and-discovery-science?cmpid=DA_INAD200785B", "https://www.amazon.jobs/jobs/3086060/applied-scientist-ii-prime-video--personalization-and-discovery-science?cmpid=DA_INAD200785B")</f>
        <v/>
      </c>
      <c r="G73" t="inlineStr">
        <is>
          <t>Seattle, WA, US</t>
        </is>
      </c>
      <c r="H73" s="2" t="n">
        <v>45915</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in-41c0ea3196f05d8a</t>
        </is>
      </c>
      <c r="B74" t="inlineStr">
        <is>
          <t>Sr. Applied Scientist, Prime Video - Personalization and Discovery Science</t>
        </is>
      </c>
      <c r="C74" t="inlineStr">
        <is>
          <t>Amazon.com</t>
        </is>
      </c>
      <c r="D74" t="inlineStr">
        <is>
          <t>indeed</t>
        </is>
      </c>
      <c r="E74">
        <f>HYPERLINK("https://www.indeed.com/viewjob?jk=41c0ea3196f05d8a", "https://www.indeed.com/viewjob?jk=41c0ea3196f05d8a")</f>
        <v/>
      </c>
      <c r="F74">
        <f>HYPERLINK("https://www.amazon.jobs/jobs/3083564/sr-applied-scientist-prime-video--personalization-and-discovery-science?cmpid=DA_INAD200785B", "https://www.amazon.jobs/jobs/3083564/sr-applied-scientist-prime-video--personalization-and-discovery-science?cmpid=DA_INAD200785B")</f>
        <v/>
      </c>
      <c r="G74" t="inlineStr">
        <is>
          <t>New York, NY, US</t>
        </is>
      </c>
      <c r="H74" s="2" t="n">
        <v>45914</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in-48c44bdbc8a65b98</t>
        </is>
      </c>
      <c r="B75" t="inlineStr">
        <is>
          <t>Sr. Applied Scientist, Prime Video - Personalization and Discovery Science</t>
        </is>
      </c>
      <c r="C75" t="inlineStr">
        <is>
          <t>Amazon.com</t>
        </is>
      </c>
      <c r="D75" t="inlineStr">
        <is>
          <t>indeed</t>
        </is>
      </c>
      <c r="E75">
        <f>HYPERLINK("https://www.indeed.com/viewjob?jk=48c44bdbc8a65b98", "https://www.indeed.com/viewjob?jk=48c44bdbc8a65b98")</f>
        <v/>
      </c>
      <c r="F75">
        <f>HYPERLINK("https://www.amazon.jobs/jobs/3083564/sr-applied-scientist-prime-video--personalization-and-discovery-science?cmpid=DA_INAD200785B", "https://www.amazon.jobs/jobs/3083564/sr-applied-scientist-prime-video--personalization-and-discovery-science?cmpid=DA_INAD200785B")</f>
        <v/>
      </c>
      <c r="G75" t="inlineStr">
        <is>
          <t>Seattle, WA, US</t>
        </is>
      </c>
      <c r="H75" s="2" t="n">
        <v>45914</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in-15b966e10b6c7c9a</t>
        </is>
      </c>
      <c r="B76" t="inlineStr">
        <is>
          <t>Sr. Applied Scientist, Prime Video - Personalization and Discovery Science</t>
        </is>
      </c>
      <c r="C76" t="inlineStr">
        <is>
          <t>Amazon.com</t>
        </is>
      </c>
      <c r="D76" t="inlineStr">
        <is>
          <t>indeed</t>
        </is>
      </c>
      <c r="E76">
        <f>HYPERLINK("https://www.indeed.com/viewjob?jk=15b966e10b6c7c9a", "https://www.indeed.com/viewjob?jk=15b966e10b6c7c9a")</f>
        <v/>
      </c>
      <c r="F76">
        <f>HYPERLINK("https://www.amazon.jobs/jobs/3083564/sr-applied-scientist-prime-video--personalization-and-discovery-science?cmpid=DA_INAD200785B", "https://www.amazon.jobs/jobs/3083564/sr-applied-scientist-prime-video--personalization-and-discovery-science?cmpid=DA_INAD200785B")</f>
        <v/>
      </c>
      <c r="G76" t="inlineStr">
        <is>
          <t>Sunnyvale, CA, US</t>
        </is>
      </c>
      <c r="H76" s="2" t="n">
        <v>45914</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in-87d5a1d757da5897</t>
        </is>
      </c>
      <c r="B77" t="inlineStr">
        <is>
          <t>Applied Scientist II, Prime Video - Personalization and Discovery Science</t>
        </is>
      </c>
      <c r="C77" t="inlineStr">
        <is>
          <t>Amazon.com</t>
        </is>
      </c>
      <c r="D77" t="inlineStr">
        <is>
          <t>indeed</t>
        </is>
      </c>
      <c r="E77">
        <f>HYPERLINK("https://www.indeed.com/viewjob?jk=87d5a1d757da5897", "https://www.indeed.com/viewjob?jk=87d5a1d757da5897")</f>
        <v/>
      </c>
      <c r="F77">
        <f>HYPERLINK("https://www.amazon.jobs/jobs/3059253/applied-scientist-ii-prime-video--personalization-and-discovery-science?cmpid=DA_INAD200785B", "https://www.amazon.jobs/jobs/3059253/applied-scientist-ii-prime-video--personalization-and-discovery-science?cmpid=DA_INAD200785B")</f>
        <v/>
      </c>
      <c r="G77" t="inlineStr">
        <is>
          <t>Sunnyvale, CA, US</t>
        </is>
      </c>
      <c r="H77" s="2" t="n">
        <v>45881</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in-418ce756c8b0232f</t>
        </is>
      </c>
      <c r="B78" t="inlineStr">
        <is>
          <t>Applied Scientist II, Prime Video - Personalization and Discovery Science</t>
        </is>
      </c>
      <c r="C78" t="inlineStr">
        <is>
          <t>Amazon.com</t>
        </is>
      </c>
      <c r="D78" t="inlineStr">
        <is>
          <t>indeed</t>
        </is>
      </c>
      <c r="E78">
        <f>HYPERLINK("https://www.indeed.com/viewjob?jk=418ce756c8b0232f", "https://www.indeed.com/viewjob?jk=418ce756c8b0232f")</f>
        <v/>
      </c>
      <c r="F78">
        <f>HYPERLINK("https://www.amazon.jobs/jobs/3059253/applied-scientist-ii-prime-video--personalization-and-discovery-science?cmpid=DA_INAD200785B", "https://www.amazon.jobs/jobs/3059253/applied-scientist-ii-prime-video--personalization-and-discovery-science?cmpid=DA_INAD200785B")</f>
        <v/>
      </c>
      <c r="G78" t="inlineStr">
        <is>
          <t>New York, NY, US</t>
        </is>
      </c>
      <c r="H78" s="2" t="n">
        <v>45881</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in-bfdbd92c4a29ec5e</t>
        </is>
      </c>
      <c r="B79" t="inlineStr">
        <is>
          <t>Applied Scientist II, Prime Video - Personalization and Discovery Science</t>
        </is>
      </c>
      <c r="C79" t="inlineStr">
        <is>
          <t>Amazon.com</t>
        </is>
      </c>
      <c r="D79" t="inlineStr">
        <is>
          <t>indeed</t>
        </is>
      </c>
      <c r="E79">
        <f>HYPERLINK("https://www.indeed.com/viewjob?jk=bfdbd92c4a29ec5e", "https://www.indeed.com/viewjob?jk=bfdbd92c4a29ec5e")</f>
        <v/>
      </c>
      <c r="F79">
        <f>HYPERLINK("https://www.amazon.jobs/jobs/3059253/applied-scientist-ii-prime-video--personalization-and-discovery-science?cmpid=DA_INAD200785B", "https://www.amazon.jobs/jobs/3059253/applied-scientist-ii-prime-video--personalization-and-discovery-science?cmpid=DA_INAD200785B")</f>
        <v/>
      </c>
      <c r="G79" t="inlineStr">
        <is>
          <t>Seattle, WA, US</t>
        </is>
      </c>
      <c r="H79" s="2" t="n">
        <v>45881</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in-7d43b40704df362f</t>
        </is>
      </c>
      <c r="B80" t="inlineStr">
        <is>
          <t>Sr. Applied Scientist, Prime Video - Personalization and Discovery Science</t>
        </is>
      </c>
      <c r="C80" t="inlineStr">
        <is>
          <t>Amazon.com</t>
        </is>
      </c>
      <c r="D80" t="inlineStr">
        <is>
          <t>indeed</t>
        </is>
      </c>
      <c r="E80">
        <f>HYPERLINK("https://www.indeed.com/viewjob?jk=7d43b40704df362f", "https://www.indeed.com/viewjob?jk=7d43b40704df362f")</f>
        <v/>
      </c>
      <c r="F80">
        <f>HYPERLINK("https://www.amazon.jobs/jobs/3059256/sr-applied-scientist-prime-video--personalization-and-discovery-science?cmpid=DA_INAD200785B", "https://www.amazon.jobs/jobs/3059256/sr-applied-scientist-prime-video--personalization-and-discovery-science?cmpid=DA_INAD200785B")</f>
        <v/>
      </c>
      <c r="G80" t="inlineStr">
        <is>
          <t>Seattle, WA, US</t>
        </is>
      </c>
      <c r="H80" s="2" t="n">
        <v>45881</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in-36c9c7508c69271f</t>
        </is>
      </c>
      <c r="B81" t="inlineStr">
        <is>
          <t>Sr. Applied Scientist, Prime Video - Personalization and Discovery Science</t>
        </is>
      </c>
      <c r="C81" t="inlineStr">
        <is>
          <t>Amazon.com</t>
        </is>
      </c>
      <c r="D81" t="inlineStr">
        <is>
          <t>indeed</t>
        </is>
      </c>
      <c r="E81">
        <f>HYPERLINK("https://www.indeed.com/viewjob?jk=36c9c7508c69271f", "https://www.indeed.com/viewjob?jk=36c9c7508c69271f")</f>
        <v/>
      </c>
      <c r="F81">
        <f>HYPERLINK("https://www.amazon.jobs/jobs/3059256/sr-applied-scientist-prime-video--personalization-and-discovery-science?cmpid=DA_INAD200785B", "https://www.amazon.jobs/jobs/3059256/sr-applied-scientist-prime-video--personalization-and-discovery-science?cmpid=DA_INAD200785B")</f>
        <v/>
      </c>
      <c r="G81" t="inlineStr">
        <is>
          <t>New York, NY, US</t>
        </is>
      </c>
      <c r="H81" s="2" t="n">
        <v>45881</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in-3be5802d7f8c2903</t>
        </is>
      </c>
      <c r="B82" t="inlineStr">
        <is>
          <t>Sr. Applied Scientist, Prime Video - Personalization and Discovery Science</t>
        </is>
      </c>
      <c r="C82" t="inlineStr">
        <is>
          <t>Amazon.com</t>
        </is>
      </c>
      <c r="D82" t="inlineStr">
        <is>
          <t>indeed</t>
        </is>
      </c>
      <c r="E82">
        <f>HYPERLINK("https://www.indeed.com/viewjob?jk=3be5802d7f8c2903", "https://www.indeed.com/viewjob?jk=3be5802d7f8c2903")</f>
        <v/>
      </c>
      <c r="F82">
        <f>HYPERLINK("https://www.amazon.jobs/jobs/3059256/sr-applied-scientist-prime-video--personalization-and-discovery-science?cmpid=DA_INAD200785B", "https://www.amazon.jobs/jobs/3059256/sr-applied-scientist-prime-video--personalization-and-discovery-science?cmpid=DA_INAD200785B")</f>
        <v/>
      </c>
      <c r="G82" t="inlineStr">
        <is>
          <t>Sunnyvale, CA, US</t>
        </is>
      </c>
      <c r="H82" s="2" t="n">
        <v>45881</v>
      </c>
      <c r="I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in-0dc973192ef2e2c5</t>
        </is>
      </c>
      <c r="B83" t="inlineStr">
        <is>
          <t>Sr. Applied Scientist, Amazon Advertising</t>
        </is>
      </c>
      <c r="C83" t="inlineStr">
        <is>
          <t>Amazon.com</t>
        </is>
      </c>
      <c r="D83" t="inlineStr">
        <is>
          <t>indeed</t>
        </is>
      </c>
      <c r="E83">
        <f>HYPERLINK("https://www.indeed.com/viewjob?jk=0dc973192ef2e2c5", "https://www.indeed.com/viewjob?jk=0dc973192ef2e2c5")</f>
        <v/>
      </c>
      <c r="F83">
        <f>HYPERLINK("https://www.amazon.jobs/jobs/3035686/sr-applied-scientist-amazon-advertising?cmpid=DA_INAD200785B", "https://www.amazon.jobs/jobs/3035686/sr-applied-scientist-amazon-advertising?cmpid=DA_INAD200785B")</f>
        <v/>
      </c>
      <c r="G83" t="inlineStr">
        <is>
          <t>Austin, TX, US</t>
        </is>
      </c>
      <c r="H83" s="2" t="n">
        <v>45851</v>
      </c>
      <c r="I8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in-f7e3359c8df9be81</t>
        </is>
      </c>
      <c r="B84" t="inlineStr">
        <is>
          <t>Sr. Applied Scientist, Amazon Advertising</t>
        </is>
      </c>
      <c r="C84" t="inlineStr">
        <is>
          <t>Amazon.com</t>
        </is>
      </c>
      <c r="D84" t="inlineStr">
        <is>
          <t>indeed</t>
        </is>
      </c>
      <c r="E84">
        <f>HYPERLINK("https://www.indeed.com/viewjob?jk=f7e3359c8df9be81", "https://www.indeed.com/viewjob?jk=f7e3359c8df9be81")</f>
        <v/>
      </c>
      <c r="F84">
        <f>HYPERLINK("https://www.amazon.jobs/jobs/3035686/sr-applied-scientist-amazon-advertising?cmpid=DA_INAD200785B", "https://www.amazon.jobs/jobs/3035686/sr-applied-scientist-amazon-advertising?cmpid=DA_INAD200785B")</f>
        <v/>
      </c>
      <c r="G84" t="inlineStr">
        <is>
          <t>Los Angeles, CA, US</t>
        </is>
      </c>
      <c r="H84" s="2" t="n">
        <v>45851</v>
      </c>
      <c r="I8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in-381f167c38c79008</t>
        </is>
      </c>
      <c r="B85" t="inlineStr">
        <is>
          <t>Sr. Applied Scientist, Amazon Advertising</t>
        </is>
      </c>
      <c r="C85" t="inlineStr">
        <is>
          <t>Amazon.com</t>
        </is>
      </c>
      <c r="D85" t="inlineStr">
        <is>
          <t>indeed</t>
        </is>
      </c>
      <c r="E85">
        <f>HYPERLINK("https://www.indeed.com/viewjob?jk=381f167c38c79008", "https://www.indeed.com/viewjob?jk=381f167c38c79008")</f>
        <v/>
      </c>
      <c r="F85">
        <f>HYPERLINK("https://www.amazon.jobs/jobs/3035686/sr-applied-scientist-amazon-advertising?cmpid=DA_INAD200785B", "https://www.amazon.jobs/jobs/3035686/sr-applied-scientist-amazon-advertising?cmpid=DA_INAD200785B")</f>
        <v/>
      </c>
      <c r="G85" t="inlineStr">
        <is>
          <t>Arlington, VA, US</t>
        </is>
      </c>
      <c r="H85" s="2" t="n">
        <v>45851</v>
      </c>
      <c r="I8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in-381a58807af6bad9</t>
        </is>
      </c>
      <c r="B86" t="inlineStr">
        <is>
          <t>Sr. Applied Scientist, Amazon Advertising</t>
        </is>
      </c>
      <c r="C86" t="inlineStr">
        <is>
          <t>Amazon.com</t>
        </is>
      </c>
      <c r="D86" t="inlineStr">
        <is>
          <t>indeed</t>
        </is>
      </c>
      <c r="E86">
        <f>HYPERLINK("https://www.indeed.com/viewjob?jk=381a58807af6bad9", "https://www.indeed.com/viewjob?jk=381a58807af6bad9")</f>
        <v/>
      </c>
      <c r="F86">
        <f>HYPERLINK("https://www.amazon.jobs/jobs/3035686/sr-applied-scientist-amazon-advertising?cmpid=DA_INAD200785B", "https://www.amazon.jobs/jobs/3035686/sr-applied-scientist-amazon-advertising?cmpid=DA_INAD200785B")</f>
        <v/>
      </c>
      <c r="G86" t="inlineStr">
        <is>
          <t>Palo Alto, CA, US</t>
        </is>
      </c>
      <c r="H86" s="2" t="n">
        <v>45851</v>
      </c>
      <c r="I8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in-7421cb6f9c27a7d5</t>
        </is>
      </c>
      <c r="B87" t="inlineStr">
        <is>
          <t>Sr. Applied Scientist, Amazon Advertising</t>
        </is>
      </c>
      <c r="C87" t="inlineStr">
        <is>
          <t>Amazon.com</t>
        </is>
      </c>
      <c r="D87" t="inlineStr">
        <is>
          <t>indeed</t>
        </is>
      </c>
      <c r="E87">
        <f>HYPERLINK("https://www.indeed.com/viewjob?jk=7421cb6f9c27a7d5", "https://www.indeed.com/viewjob?jk=7421cb6f9c27a7d5")</f>
        <v/>
      </c>
      <c r="F87">
        <f>HYPERLINK("https://www.amazon.jobs/jobs/3035686/sr-applied-scientist-amazon-advertising?cmpid=DA_INAD200785B", "https://www.amazon.jobs/jobs/3035686/sr-applied-scientist-amazon-advertising?cmpid=DA_INAD200785B")</f>
        <v/>
      </c>
      <c r="G87" t="inlineStr">
        <is>
          <t>New York, NY, US</t>
        </is>
      </c>
      <c r="H87" s="2" t="n">
        <v>45851</v>
      </c>
      <c r="I8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in-a9908951371da598</t>
        </is>
      </c>
      <c r="B88" t="inlineStr">
        <is>
          <t>Sr. Applied Scientist, Amazon Advertising</t>
        </is>
      </c>
      <c r="C88" t="inlineStr">
        <is>
          <t>Amazon.com</t>
        </is>
      </c>
      <c r="D88" t="inlineStr">
        <is>
          <t>indeed</t>
        </is>
      </c>
      <c r="E88">
        <f>HYPERLINK("https://www.indeed.com/viewjob?jk=a9908951371da598", "https://www.indeed.com/viewjob?jk=a9908951371da598")</f>
        <v/>
      </c>
      <c r="F88">
        <f>HYPERLINK("https://www.amazon.jobs/jobs/3035686/sr-applied-scientist-amazon-advertising?cmpid=DA_INAD200785B", "https://www.amazon.jobs/jobs/3035686/sr-applied-scientist-amazon-advertising?cmpid=DA_INAD200785B")</f>
        <v/>
      </c>
      <c r="G88" t="inlineStr">
        <is>
          <t>Simi Valley, CA, US</t>
        </is>
      </c>
      <c r="H88" s="2" t="n">
        <v>45851</v>
      </c>
      <c r="I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in-22d60d5d0eaa937a</t>
        </is>
      </c>
      <c r="B89" t="inlineStr">
        <is>
          <t>Sr. Applied Scientist, Amazon Advertising</t>
        </is>
      </c>
      <c r="C89" t="inlineStr">
        <is>
          <t>Amazon.com</t>
        </is>
      </c>
      <c r="D89" t="inlineStr">
        <is>
          <t>indeed</t>
        </is>
      </c>
      <c r="E89">
        <f>HYPERLINK("https://www.indeed.com/viewjob?jk=22d60d5d0eaa937a", "https://www.indeed.com/viewjob?jk=22d60d5d0eaa937a")</f>
        <v/>
      </c>
      <c r="F89">
        <f>HYPERLINK("https://www.amazon.jobs/jobs/3035686/sr-applied-scientist-amazon-advertising?cmpid=DA_INAD200785B", "https://www.amazon.jobs/jobs/3035686/sr-applied-scientist-amazon-advertising?cmpid=DA_INAD200785B")</f>
        <v/>
      </c>
      <c r="G89" t="inlineStr">
        <is>
          <t>West Hollywood, CA, US</t>
        </is>
      </c>
      <c r="H89" s="2" t="n">
        <v>45851</v>
      </c>
      <c r="I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in-c53bce29c0b8a98c</t>
        </is>
      </c>
      <c r="B90" t="inlineStr">
        <is>
          <t>Sr. Applied Scientist, Amazon Advertising</t>
        </is>
      </c>
      <c r="C90" t="inlineStr">
        <is>
          <t>Amazon.com</t>
        </is>
      </c>
      <c r="D90" t="inlineStr">
        <is>
          <t>indeed</t>
        </is>
      </c>
      <c r="E90">
        <f>HYPERLINK("https://www.indeed.com/viewjob?jk=c53bce29c0b8a98c", "https://www.indeed.com/viewjob?jk=c53bce29c0b8a98c")</f>
        <v/>
      </c>
      <c r="F90">
        <f>HYPERLINK("https://www.amazon.jobs/jobs/3035686/sr-applied-scientist-amazon-advertising?cmpid=DA_INAD200785B", "https://www.amazon.jobs/jobs/3035686/sr-applied-scientist-amazon-advertising?cmpid=DA_INAD200785B")</f>
        <v/>
      </c>
      <c r="G90" t="inlineStr">
        <is>
          <t>Seattle, WA, US</t>
        </is>
      </c>
      <c r="H90" s="2" t="n">
        <v>45851</v>
      </c>
      <c r="I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in-7e27c7ba8b402fa5</t>
        </is>
      </c>
      <c r="B91" t="inlineStr">
        <is>
          <t>Applied Scientist, Prime Video - Personalization and Discovery Science</t>
        </is>
      </c>
      <c r="C91" t="inlineStr">
        <is>
          <t>Amazon.com</t>
        </is>
      </c>
      <c r="D91" t="inlineStr">
        <is>
          <t>indeed</t>
        </is>
      </c>
      <c r="E91">
        <f>HYPERLINK("https://www.indeed.com/viewjob?jk=7e27c7ba8b402fa5", "https://www.indeed.com/viewjob?jk=7e27c7ba8b402fa5")</f>
        <v/>
      </c>
      <c r="F91">
        <f>HYPERLINK("https://www.amazon.jobs/jobs/3033050/applied-scientist-prime-video--personalization-and-discovery-science?cmpid=DA_INAD200785B", "https://www.amazon.jobs/jobs/3033050/applied-scientist-prime-video--personalization-and-discovery-science?cmpid=DA_INAD200785B")</f>
        <v/>
      </c>
      <c r="G91" t="inlineStr">
        <is>
          <t>Seattle, WA, US</t>
        </is>
      </c>
      <c r="H91" s="2" t="n">
        <v>45845</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in-19b8c1eb07840970</t>
        </is>
      </c>
      <c r="B92" t="inlineStr">
        <is>
          <t>Applied Scientist, Prime Video - Personalization and Discovery Science</t>
        </is>
      </c>
      <c r="C92" t="inlineStr">
        <is>
          <t>Amazon.com</t>
        </is>
      </c>
      <c r="D92" t="inlineStr">
        <is>
          <t>indeed</t>
        </is>
      </c>
      <c r="E92">
        <f>HYPERLINK("https://www.indeed.com/viewjob?jk=19b8c1eb07840970", "https://www.indeed.com/viewjob?jk=19b8c1eb07840970")</f>
        <v/>
      </c>
      <c r="F92">
        <f>HYPERLINK("https://www.amazon.jobs/jobs/3033050/applied-scientist-prime-video--personalization-and-discovery-science?cmpid=DA_INAD200785B", "https://www.amazon.jobs/jobs/3033050/applied-scientist-prime-video--personalization-and-discovery-science?cmpid=DA_INAD200785B")</f>
        <v/>
      </c>
      <c r="G92" t="inlineStr">
        <is>
          <t>Sunnyvale, CA, US</t>
        </is>
      </c>
      <c r="H92" s="2" t="n">
        <v>45845</v>
      </c>
      <c r="I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in-031213540bea86c4</t>
        </is>
      </c>
      <c r="B93" t="inlineStr">
        <is>
          <t>Applied Scientist, Prime Video - Personalization and Discovery Science</t>
        </is>
      </c>
      <c r="C93" t="inlineStr">
        <is>
          <t>Amazon.com</t>
        </is>
      </c>
      <c r="D93" t="inlineStr">
        <is>
          <t>indeed</t>
        </is>
      </c>
      <c r="E93">
        <f>HYPERLINK("https://www.indeed.com/viewjob?jk=031213540bea86c4", "https://www.indeed.com/viewjob?jk=031213540bea86c4")</f>
        <v/>
      </c>
      <c r="F93">
        <f>HYPERLINK("https://www.amazon.jobs/jobs/3033050/applied-scientist-prime-video--personalization-and-discovery-science?cmpid=DA_INAD200785B", "https://www.amazon.jobs/jobs/3033050/applied-scientist-prime-video--personalization-and-discovery-science?cmpid=DA_INAD200785B")</f>
        <v/>
      </c>
      <c r="G93" t="inlineStr">
        <is>
          <t>New York, NY, US</t>
        </is>
      </c>
      <c r="H93" s="2" t="n">
        <v>45845</v>
      </c>
      <c r="I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in-6bdeb7cd1cb8d571</t>
        </is>
      </c>
      <c r="B94" t="inlineStr">
        <is>
          <t>Senior Applied Scientist, Artificial General Intelligence</t>
        </is>
      </c>
      <c r="C94" t="inlineStr">
        <is>
          <t>Amazon.com</t>
        </is>
      </c>
      <c r="D94" t="inlineStr">
        <is>
          <t>indeed</t>
        </is>
      </c>
      <c r="E94">
        <f>HYPERLINK("https://www.indeed.com/viewjob?jk=6bdeb7cd1cb8d571", "https://www.indeed.com/viewjob?jk=6bdeb7cd1cb8d571")</f>
        <v/>
      </c>
      <c r="F94">
        <f>HYPERLINK("https://www.amazon.jobs/jobs/3032183/senior-applied-scientist-artificial-general-intelligence?cmpid=DA_INAD200785B", "https://www.amazon.jobs/jobs/3032183/senior-applied-scientist-artificial-general-intelligence?cmpid=DA_INAD200785B")</f>
        <v/>
      </c>
      <c r="G94" t="inlineStr">
        <is>
          <t>New York, NY, US</t>
        </is>
      </c>
      <c r="H94" s="2" t="n">
        <v>45838</v>
      </c>
      <c r="I9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in-8931035c3b3db5ab</t>
        </is>
      </c>
      <c r="B95" t="inlineStr">
        <is>
          <t>Senior Applied Scientist, Artificial General Intelligence</t>
        </is>
      </c>
      <c r="C95" t="inlineStr">
        <is>
          <t>Amazon.com</t>
        </is>
      </c>
      <c r="D95" t="inlineStr">
        <is>
          <t>indeed</t>
        </is>
      </c>
      <c r="E95">
        <f>HYPERLINK("https://www.indeed.com/viewjob?jk=8931035c3b3db5ab", "https://www.indeed.com/viewjob?jk=8931035c3b3db5ab")</f>
        <v/>
      </c>
      <c r="F95">
        <f>HYPERLINK("https://www.amazon.jobs/jobs/3032183/senior-applied-scientist-artificial-general-intelligence?cmpid=DA_INAD200785B", "https://www.amazon.jobs/jobs/3032183/senior-applied-scientist-artificial-general-intelligence?cmpid=DA_INAD200785B")</f>
        <v/>
      </c>
      <c r="G95" t="inlineStr">
        <is>
          <t>Boston, MA, US</t>
        </is>
      </c>
      <c r="H95" s="2" t="n">
        <v>45838</v>
      </c>
      <c r="I9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in-c879a01ac60152b9</t>
        </is>
      </c>
      <c r="B96" t="inlineStr">
        <is>
          <t>Senior Applied Scientist, Artificial General Intelligence</t>
        </is>
      </c>
      <c r="C96" t="inlineStr">
        <is>
          <t>Amazon.com</t>
        </is>
      </c>
      <c r="D96" t="inlineStr">
        <is>
          <t>indeed</t>
        </is>
      </c>
      <c r="E96">
        <f>HYPERLINK("https://www.indeed.com/viewjob?jk=c879a01ac60152b9", "https://www.indeed.com/viewjob?jk=c879a01ac60152b9")</f>
        <v/>
      </c>
      <c r="F96">
        <f>HYPERLINK("https://www.amazon.jobs/jobs/3032183/senior-applied-scientist-artificial-general-intelligence?cmpid=DA_INAD200785B", "https://www.amazon.jobs/jobs/3032183/senior-applied-scientist-artificial-general-intelligence?cmpid=DA_INAD200785B")</f>
        <v/>
      </c>
      <c r="G96" t="inlineStr">
        <is>
          <t>Sunnyvale, CA, US</t>
        </is>
      </c>
      <c r="H96" s="2" t="n">
        <v>45838</v>
      </c>
      <c r="I9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in-7119fae2668df67e</t>
        </is>
      </c>
      <c r="B97" t="inlineStr">
        <is>
          <t>Sr. Data Scientist, Amazon Leo Global Planning, Amazon Leo</t>
        </is>
      </c>
      <c r="C97" t="inlineStr">
        <is>
          <t>Amazon.com</t>
        </is>
      </c>
      <c r="D97" t="inlineStr">
        <is>
          <t>indeed</t>
        </is>
      </c>
      <c r="E97">
        <f>HYPERLINK("https://www.indeed.com/viewjob?jk=7119fae2668df67e", "https://www.indeed.com/viewjob?jk=7119fae2668df67e")</f>
        <v/>
      </c>
      <c r="F97">
        <f>HYPERLINK("https://www.amazon.jobs/jobs/3016062/sr-data-scientist-amazon-leo-global-planning-amazon-leo?cmpid=DA_INAD200785B", "https://www.amazon.jobs/jobs/3016062/sr-data-scientist-amazon-leo-global-planning-amazon-leo?cmpid=DA_INAD200785B")</f>
        <v/>
      </c>
      <c r="G97" t="inlineStr">
        <is>
          <t>Redmond, WA, US</t>
        </is>
      </c>
      <c r="H97" s="2" t="n">
        <v>45830</v>
      </c>
      <c r="I97"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in-dc6d341ea9ea85c0</t>
        </is>
      </c>
      <c r="B98" t="inlineStr">
        <is>
          <t>Sr. Data Scientist, Amazon Leo Global Planning, Amazon Leo</t>
        </is>
      </c>
      <c r="C98" t="inlineStr">
        <is>
          <t>Amazon.com</t>
        </is>
      </c>
      <c r="D98" t="inlineStr">
        <is>
          <t>indeed</t>
        </is>
      </c>
      <c r="E98">
        <f>HYPERLINK("https://www.indeed.com/viewjob?jk=dc6d341ea9ea85c0", "https://www.indeed.com/viewjob?jk=dc6d341ea9ea85c0")</f>
        <v/>
      </c>
      <c r="F98">
        <f>HYPERLINK("https://www.amazon.jobs/jobs/3016062/sr-data-scientist-amazon-leo-global-planning-amazon-leo?cmpid=DA_INAD200785B", "https://www.amazon.jobs/jobs/3016062/sr-data-scientist-amazon-leo-global-planning-amazon-leo?cmpid=DA_INAD200785B")</f>
        <v/>
      </c>
      <c r="G98" t="inlineStr">
        <is>
          <t>Bellevue, WA, US</t>
        </is>
      </c>
      <c r="H98" s="2" t="n">
        <v>45830</v>
      </c>
      <c r="I98"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in-1391ff766d3febb7</t>
        </is>
      </c>
      <c r="B99" t="inlineStr">
        <is>
          <t>Sr. Applied Scientist, Sales AI</t>
        </is>
      </c>
      <c r="C99" t="inlineStr">
        <is>
          <t>Amazon.com</t>
        </is>
      </c>
      <c r="D99" t="inlineStr">
        <is>
          <t>indeed</t>
        </is>
      </c>
      <c r="E99">
        <f>HYPERLINK("https://www.indeed.com/viewjob?jk=1391ff766d3febb7", "https://www.indeed.com/viewjob?jk=1391ff766d3febb7")</f>
        <v/>
      </c>
      <c r="F99">
        <f>HYPERLINK("https://www.amazon.jobs/jobs/3020528/sr-applied-scientist-sales-ai?cmpid=DA_INAD200785B", "https://www.amazon.jobs/jobs/3020528/sr-applied-scientist-sales-ai?cmpid=DA_INAD200785B")</f>
        <v/>
      </c>
      <c r="G99" t="inlineStr">
        <is>
          <t>New York, NY, US</t>
        </is>
      </c>
      <c r="H99" s="2" t="n">
        <v>45830</v>
      </c>
      <c r="I9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in-b13e5a5bc7a4084a</t>
        </is>
      </c>
      <c r="B100" t="inlineStr">
        <is>
          <t>Sr. Applied Scientist, Sales AI</t>
        </is>
      </c>
      <c r="C100" t="inlineStr">
        <is>
          <t>Amazon.com</t>
        </is>
      </c>
      <c r="D100" t="inlineStr">
        <is>
          <t>indeed</t>
        </is>
      </c>
      <c r="E100">
        <f>HYPERLINK("https://www.indeed.com/viewjob?jk=b13e5a5bc7a4084a", "https://www.indeed.com/viewjob?jk=b13e5a5bc7a4084a")</f>
        <v/>
      </c>
      <c r="F100">
        <f>HYPERLINK("https://www.amazon.jobs/jobs/3020528/sr-applied-scientist-sales-ai?cmpid=DA_INAD200785B", "https://www.amazon.jobs/jobs/3020528/sr-applied-scientist-sales-ai?cmpid=DA_INAD200785B")</f>
        <v/>
      </c>
      <c r="G100" t="inlineStr">
        <is>
          <t>Sunnyvale, CA, US</t>
        </is>
      </c>
      <c r="H100" s="2" t="n">
        <v>45830</v>
      </c>
      <c r="I10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in-aa359efa347662b0</t>
        </is>
      </c>
      <c r="B101" t="inlineStr">
        <is>
          <t>Sr. Applied Scientist, Sales AI</t>
        </is>
      </c>
      <c r="C101" t="inlineStr">
        <is>
          <t>Amazon.com</t>
        </is>
      </c>
      <c r="D101" t="inlineStr">
        <is>
          <t>indeed</t>
        </is>
      </c>
      <c r="E101">
        <f>HYPERLINK("https://www.indeed.com/viewjob?jk=aa359efa347662b0", "https://www.indeed.com/viewjob?jk=aa359efa347662b0")</f>
        <v/>
      </c>
      <c r="F101">
        <f>HYPERLINK("https://www.amazon.jobs/jobs/3020528/sr-applied-scientist-sales-ai?cmpid=DA_INAD200785B", "https://www.amazon.jobs/jobs/3020528/sr-applied-scientist-sales-ai?cmpid=DA_INAD200785B")</f>
        <v/>
      </c>
      <c r="G101" t="inlineStr">
        <is>
          <t>Seattle, WA, US</t>
        </is>
      </c>
      <c r="H101" s="2" t="n">
        <v>45830</v>
      </c>
      <c r="I10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in-63573b78296ba59c</t>
        </is>
      </c>
      <c r="B102" t="inlineStr">
        <is>
          <t>Sr. Applied Scientist, AGI Info</t>
        </is>
      </c>
      <c r="C102" t="inlineStr">
        <is>
          <t>Amazon.com</t>
        </is>
      </c>
      <c r="D102" t="inlineStr">
        <is>
          <t>indeed</t>
        </is>
      </c>
      <c r="E102">
        <f>HYPERLINK("https://www.indeed.com/viewjob?jk=63573b78296ba59c", "https://www.indeed.com/viewjob?jk=63573b78296ba59c")</f>
        <v/>
      </c>
      <c r="F102">
        <f>HYPERLINK("https://www.amazon.jobs/jobs/2999351/sr-applied-scientist-agi-info?cmpid=DA_INAD200785B", "https://www.amazon.jobs/jobs/2999351/sr-applied-scientist-agi-info?cmpid=DA_INAD200785B")</f>
        <v/>
      </c>
      <c r="G102" t="inlineStr">
        <is>
          <t>Sunnyvale, CA, US</t>
        </is>
      </c>
      <c r="H102" s="2" t="n">
        <v>45811</v>
      </c>
      <c r="I102"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in-c35a9fa19e7f2683</t>
        </is>
      </c>
      <c r="B103" t="inlineStr">
        <is>
          <t>Sr. Applied Scientist, AGI Info</t>
        </is>
      </c>
      <c r="C103" t="inlineStr">
        <is>
          <t>Amazon.com</t>
        </is>
      </c>
      <c r="D103" t="inlineStr">
        <is>
          <t>indeed</t>
        </is>
      </c>
      <c r="E103">
        <f>HYPERLINK("https://www.indeed.com/viewjob?jk=c35a9fa19e7f2683", "https://www.indeed.com/viewjob?jk=c35a9fa19e7f2683")</f>
        <v/>
      </c>
      <c r="F103">
        <f>HYPERLINK("https://www.amazon.jobs/jobs/2999351/sr-applied-scientist-agi-info?cmpid=DA_INAD200785B", "https://www.amazon.jobs/jobs/2999351/sr-applied-scientist-agi-info?cmpid=DA_INAD200785B")</f>
        <v/>
      </c>
      <c r="G103" t="inlineStr">
        <is>
          <t>Bellevue, WA, US</t>
        </is>
      </c>
      <c r="H103" s="2" t="n">
        <v>45811</v>
      </c>
      <c r="I103"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in-338d7b02617b86c4</t>
        </is>
      </c>
      <c r="B104" t="inlineStr">
        <is>
          <t>Principal Applied Scientist, Delivery Foundation Model</t>
        </is>
      </c>
      <c r="C104" t="inlineStr">
        <is>
          <t>Amazon.com</t>
        </is>
      </c>
      <c r="D104" t="inlineStr">
        <is>
          <t>indeed</t>
        </is>
      </c>
      <c r="E104">
        <f>HYPERLINK("https://www.indeed.com/viewjob?jk=338d7b02617b86c4", "https://www.indeed.com/viewjob?jk=338d7b02617b86c4")</f>
        <v/>
      </c>
      <c r="F104">
        <f>HYPERLINK("https://www.amazon.jobs/jobs/3006938/principal-applied-scientist-delivery-foundation-model-?cmpid=DA_INAD200785B", "https://www.amazon.jobs/jobs/3006938/principal-applied-scientist-delivery-foundation-model-?cmpid=DA_INAD200785B")</f>
        <v/>
      </c>
      <c r="G104" t="inlineStr">
        <is>
          <t>Austin, TX, US</t>
        </is>
      </c>
      <c r="H104" s="2" t="n">
        <v>45810</v>
      </c>
      <c r="I10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in-2347ba53540b50cd</t>
        </is>
      </c>
      <c r="B105" t="inlineStr">
        <is>
          <t>Principal Applied Scientist, Delivery Foundation Model</t>
        </is>
      </c>
      <c r="C105" t="inlineStr">
        <is>
          <t>Amazon.com</t>
        </is>
      </c>
      <c r="D105" t="inlineStr">
        <is>
          <t>indeed</t>
        </is>
      </c>
      <c r="E105">
        <f>HYPERLINK("https://www.indeed.com/viewjob?jk=2347ba53540b50cd", "https://www.indeed.com/viewjob?jk=2347ba53540b50cd")</f>
        <v/>
      </c>
      <c r="F105">
        <f>HYPERLINK("https://www.amazon.jobs/jobs/3006938/principal-applied-scientist-delivery-foundation-model-?cmpid=DA_INAD200785B", "https://www.amazon.jobs/jobs/3006938/principal-applied-scientist-delivery-foundation-model-?cmpid=DA_INAD200785B")</f>
        <v/>
      </c>
      <c r="G105" t="inlineStr">
        <is>
          <t>New York, NY, US</t>
        </is>
      </c>
      <c r="H105" s="2" t="n">
        <v>45810</v>
      </c>
      <c r="I10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in-b4cc9331dd7b88a0</t>
        </is>
      </c>
      <c r="B106" t="inlineStr">
        <is>
          <t>Principal Applied Scientist, Delivery Foundation Model</t>
        </is>
      </c>
      <c r="C106" t="inlineStr">
        <is>
          <t>Amazon.com</t>
        </is>
      </c>
      <c r="D106" t="inlineStr">
        <is>
          <t>indeed</t>
        </is>
      </c>
      <c r="E106">
        <f>HYPERLINK("https://www.indeed.com/viewjob?jk=b4cc9331dd7b88a0", "https://www.indeed.com/viewjob?jk=b4cc9331dd7b88a0")</f>
        <v/>
      </c>
      <c r="F106">
        <f>HYPERLINK("https://www.amazon.jobs/jobs/3006938/principal-applied-scientist-delivery-foundation-model-?cmpid=DA_INAD200785B", "https://www.amazon.jobs/jobs/3006938/principal-applied-scientist-delivery-foundation-model-?cmpid=DA_INAD200785B")</f>
        <v/>
      </c>
      <c r="G106" t="inlineStr">
        <is>
          <t>Bellevue, WA, US</t>
        </is>
      </c>
      <c r="H106" s="2" t="n">
        <v>45810</v>
      </c>
      <c r="I10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in-b28cdd6778d8e859</t>
        </is>
      </c>
      <c r="B107" t="inlineStr">
        <is>
          <t>Principal Applied Scientist, Delivery Foundation Model</t>
        </is>
      </c>
      <c r="C107" t="inlineStr">
        <is>
          <t>Amazon.com</t>
        </is>
      </c>
      <c r="D107" t="inlineStr">
        <is>
          <t>indeed</t>
        </is>
      </c>
      <c r="E107">
        <f>HYPERLINK("https://www.indeed.com/viewjob?jk=b28cdd6778d8e859", "https://www.indeed.com/viewjob?jk=b28cdd6778d8e859")</f>
        <v/>
      </c>
      <c r="F107">
        <f>HYPERLINK("https://www.amazon.jobs/jobs/3006938/principal-applied-scientist-delivery-foundation-model-?cmpid=DA_INAD200785B", "https://www.amazon.jobs/jobs/3006938/principal-applied-scientist-delivery-foundation-model-?cmpid=DA_INAD200785B")</f>
        <v/>
      </c>
      <c r="G107" t="inlineStr">
        <is>
          <t>Santa Clara, CA, US</t>
        </is>
      </c>
      <c r="H107" s="2" t="n">
        <v>45810</v>
      </c>
      <c r="I1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in-e08f8f7cf96488f8</t>
        </is>
      </c>
      <c r="B108" t="inlineStr">
        <is>
          <t>Senior Applied Scientist, Delivery Foundation Model</t>
        </is>
      </c>
      <c r="C108" t="inlineStr">
        <is>
          <t>Amazon.com</t>
        </is>
      </c>
      <c r="D108" t="inlineStr">
        <is>
          <t>indeed</t>
        </is>
      </c>
      <c r="E108">
        <f>HYPERLINK("https://www.indeed.com/viewjob?jk=e08f8f7cf96488f8", "https://www.indeed.com/viewjob?jk=e08f8f7cf96488f8")</f>
        <v/>
      </c>
      <c r="F108">
        <f>HYPERLINK("https://www.amazon.jobs/jobs/2998435/senior-applied-scientist-delivery-foundation-model-?cmpid=DA_INAD200785B", "https://www.amazon.jobs/jobs/2998435/senior-applied-scientist-delivery-foundation-model-?cmpid=DA_INAD200785B")</f>
        <v/>
      </c>
      <c r="G108" t="inlineStr">
        <is>
          <t>New York, NY, US</t>
        </is>
      </c>
      <c r="H108" s="2" t="n">
        <v>45806</v>
      </c>
      <c r="I1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in-0c6953a3740df941</t>
        </is>
      </c>
      <c r="B109" t="inlineStr">
        <is>
          <t>Senior Applied Scientist, Delivery Foundation Model</t>
        </is>
      </c>
      <c r="C109" t="inlineStr">
        <is>
          <t>Amazon.com</t>
        </is>
      </c>
      <c r="D109" t="inlineStr">
        <is>
          <t>indeed</t>
        </is>
      </c>
      <c r="E109">
        <f>HYPERLINK("https://www.indeed.com/viewjob?jk=0c6953a3740df941", "https://www.indeed.com/viewjob?jk=0c6953a3740df941")</f>
        <v/>
      </c>
      <c r="F109">
        <f>HYPERLINK("https://www.amazon.jobs/jobs/2998435/senior-applied-scientist-delivery-foundation-model-?cmpid=DA_INAD200785B", "https://www.amazon.jobs/jobs/2998435/senior-applied-scientist-delivery-foundation-model-?cmpid=DA_INAD200785B")</f>
        <v/>
      </c>
      <c r="G109" t="inlineStr">
        <is>
          <t>Santa Clara, CA, US</t>
        </is>
      </c>
      <c r="H109" s="2" t="n">
        <v>45806</v>
      </c>
      <c r="I1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in-ee9ea215579371db</t>
        </is>
      </c>
      <c r="B110" t="inlineStr">
        <is>
          <t>Senior Applied Scientist, Delivery Foundation Model</t>
        </is>
      </c>
      <c r="C110" t="inlineStr">
        <is>
          <t>Amazon.com</t>
        </is>
      </c>
      <c r="D110" t="inlineStr">
        <is>
          <t>indeed</t>
        </is>
      </c>
      <c r="E110">
        <f>HYPERLINK("https://www.indeed.com/viewjob?jk=ee9ea215579371db", "https://www.indeed.com/viewjob?jk=ee9ea215579371db")</f>
        <v/>
      </c>
      <c r="F110">
        <f>HYPERLINK("https://www.amazon.jobs/jobs/2998435/senior-applied-scientist-delivery-foundation-model-?cmpid=DA_INAD200785B", "https://www.amazon.jobs/jobs/2998435/senior-applied-scientist-delivery-foundation-model-?cmpid=DA_INAD200785B")</f>
        <v/>
      </c>
      <c r="G110" t="inlineStr">
        <is>
          <t>Bellevue, WA, US</t>
        </is>
      </c>
      <c r="H110" s="2" t="n">
        <v>45806</v>
      </c>
      <c r="I1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in-1b9a3b245dc30bd0</t>
        </is>
      </c>
      <c r="B111" t="inlineStr">
        <is>
          <t>Sr. Applied Scientist - Privacy, Privacy Engineering</t>
        </is>
      </c>
      <c r="C111" t="inlineStr">
        <is>
          <t>Amazon.com</t>
        </is>
      </c>
      <c r="D111" t="inlineStr">
        <is>
          <t>indeed</t>
        </is>
      </c>
      <c r="E111">
        <f>HYPERLINK("https://www.indeed.com/viewjob?jk=1b9a3b245dc30bd0", "https://www.indeed.com/viewjob?jk=1b9a3b245dc30bd0")</f>
        <v/>
      </c>
      <c r="F111">
        <f>HYPERLINK("https://www.amazon.jobs/jobs/2997657/sr-applied-scientist--privacy-privacy-engineering?cmpid=DA_INAD200785B", "https://www.amazon.jobs/jobs/2997657/sr-applied-scientist--privacy-privacy-engineering?cmpid=DA_INAD200785B")</f>
        <v/>
      </c>
      <c r="G111" t="inlineStr">
        <is>
          <t>Santa Clara, CA, US</t>
        </is>
      </c>
      <c r="H111" s="2" t="n">
        <v>45787</v>
      </c>
      <c r="I11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in-83af1c73f6cdba72</t>
        </is>
      </c>
      <c r="B112" t="inlineStr">
        <is>
          <t>Sr. Applied Scientist - Privacy, Privacy Engineering</t>
        </is>
      </c>
      <c r="C112" t="inlineStr">
        <is>
          <t>Amazon.com</t>
        </is>
      </c>
      <c r="D112" t="inlineStr">
        <is>
          <t>indeed</t>
        </is>
      </c>
      <c r="E112">
        <f>HYPERLINK("https://www.indeed.com/viewjob?jk=83af1c73f6cdba72", "https://www.indeed.com/viewjob?jk=83af1c73f6cdba72")</f>
        <v/>
      </c>
      <c r="F112">
        <f>HYPERLINK("https://www.amazon.jobs/jobs/2997657/sr-applied-scientist--privacy-privacy-engineering?cmpid=DA_INAD200785B", "https://www.amazon.jobs/jobs/2997657/sr-applied-scientist--privacy-privacy-engineering?cmpid=DA_INAD200785B")</f>
        <v/>
      </c>
      <c r="G112" t="inlineStr">
        <is>
          <t>San Francisco, CA, US</t>
        </is>
      </c>
      <c r="H112" s="2" t="n">
        <v>45787</v>
      </c>
      <c r="I11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in-76ecb301cf54b7af</t>
        </is>
      </c>
      <c r="B113" t="inlineStr">
        <is>
          <t>Sr. Applied Scientist - Privacy, Privacy Engineering</t>
        </is>
      </c>
      <c r="C113" t="inlineStr">
        <is>
          <t>Amazon.com</t>
        </is>
      </c>
      <c r="D113" t="inlineStr">
        <is>
          <t>indeed</t>
        </is>
      </c>
      <c r="E113">
        <f>HYPERLINK("https://www.indeed.com/viewjob?jk=76ecb301cf54b7af", "https://www.indeed.com/viewjob?jk=76ecb301cf54b7af")</f>
        <v/>
      </c>
      <c r="F113">
        <f>HYPERLINK("https://www.amazon.jobs/jobs/2997657/sr-applied-scientist--privacy-privacy-engineering?cmpid=DA_INAD200785B", "https://www.amazon.jobs/jobs/2997657/sr-applied-scientist--privacy-privacy-engineering?cmpid=DA_INAD200785B")</f>
        <v/>
      </c>
      <c r="G113" t="inlineStr">
        <is>
          <t>Sunnyvale, CA, US</t>
        </is>
      </c>
      <c r="H113" s="2" t="n">
        <v>45787</v>
      </c>
      <c r="I11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in-0061f039650f1b94</t>
        </is>
      </c>
      <c r="B114" t="inlineStr">
        <is>
          <t>Principal Applied Scientist, Delivery Foundation Model</t>
        </is>
      </c>
      <c r="C114" t="inlineStr">
        <is>
          <t>Amazon.com</t>
        </is>
      </c>
      <c r="D114" t="inlineStr">
        <is>
          <t>indeed</t>
        </is>
      </c>
      <c r="E114">
        <f>HYPERLINK("https://www.indeed.com/viewjob?jk=0061f039650f1b94", "https://www.indeed.com/viewjob?jk=0061f039650f1b94")</f>
        <v/>
      </c>
      <c r="F114">
        <f>HYPERLINK("https://www.amazon.jobs/jobs/2998635/principal-applied-scientist-delivery-foundation-model-?cmpid=DA_INAD200785B", "https://www.amazon.jobs/jobs/2998635/principal-applied-scientist-delivery-foundation-model-?cmpid=DA_INAD200785B")</f>
        <v/>
      </c>
      <c r="G114" t="inlineStr">
        <is>
          <t>Bellevue, WA, US</t>
        </is>
      </c>
      <c r="H114" s="2" t="n">
        <v>45757</v>
      </c>
      <c r="I1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in-1b5fa4788b83e252</t>
        </is>
      </c>
      <c r="B115" t="inlineStr">
        <is>
          <t>Principal Applied Scientist, Delivery Foundation Model</t>
        </is>
      </c>
      <c r="C115" t="inlineStr">
        <is>
          <t>Amazon.com</t>
        </is>
      </c>
      <c r="D115" t="inlineStr">
        <is>
          <t>indeed</t>
        </is>
      </c>
      <c r="E115">
        <f>HYPERLINK("https://www.indeed.com/viewjob?jk=1b5fa4788b83e252", "https://www.indeed.com/viewjob?jk=1b5fa4788b83e252")</f>
        <v/>
      </c>
      <c r="F115">
        <f>HYPERLINK("https://www.amazon.jobs/jobs/2998635/principal-applied-scientist-delivery-foundation-model-?cmpid=DA_INAD200785B", "https://www.amazon.jobs/jobs/2998635/principal-applied-scientist-delivery-foundation-model-?cmpid=DA_INAD200785B")</f>
        <v/>
      </c>
      <c r="G115" t="inlineStr">
        <is>
          <t>Santa Clara, CA, US</t>
        </is>
      </c>
      <c r="H115" s="2" t="n">
        <v>45757</v>
      </c>
      <c r="I11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in-c792278278249a12</t>
        </is>
      </c>
      <c r="B116" t="inlineStr">
        <is>
          <t>Principal Applied Scientist, Delivery Foundation Model</t>
        </is>
      </c>
      <c r="C116" t="inlineStr">
        <is>
          <t>Amazon.com</t>
        </is>
      </c>
      <c r="D116" t="inlineStr">
        <is>
          <t>indeed</t>
        </is>
      </c>
      <c r="E116">
        <f>HYPERLINK("https://www.indeed.com/viewjob?jk=c792278278249a12", "https://www.indeed.com/viewjob?jk=c792278278249a12")</f>
        <v/>
      </c>
      <c r="F116">
        <f>HYPERLINK("https://www.amazon.jobs/jobs/2998635/principal-applied-scientist-delivery-foundation-model-?cmpid=DA_INAD200785B", "https://www.amazon.jobs/jobs/2998635/principal-applied-scientist-delivery-foundation-model-?cmpid=DA_INAD200785B")</f>
        <v/>
      </c>
      <c r="G116" t="inlineStr">
        <is>
          <t>New York, NY, US</t>
        </is>
      </c>
      <c r="H116" s="2" t="n">
        <v>45757</v>
      </c>
      <c r="I11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in-d8909973333f241a</t>
        </is>
      </c>
      <c r="B117" t="inlineStr">
        <is>
          <t>Principal Applied Scientist, FAR (Frontier AI &amp; Robotics)</t>
        </is>
      </c>
      <c r="C117" t="inlineStr">
        <is>
          <t>Amazon.com</t>
        </is>
      </c>
      <c r="D117" t="inlineStr">
        <is>
          <t>indeed</t>
        </is>
      </c>
      <c r="E117">
        <f>HYPERLINK("https://www.indeed.com/viewjob?jk=d8909973333f241a", "https://www.indeed.com/viewjob?jk=d8909973333f241a")</f>
        <v/>
      </c>
      <c r="F117">
        <f>HYPERLINK("https://www.amazon.jobs/jobs/2938625/principal-applied-scientist-far-frontier-ai--robotics?cmpid=DA_INAD200785B", "https://www.amazon.jobs/jobs/2938625/principal-applied-scientist-far-frontier-ai--robotics?cmpid=DA_INAD200785B")</f>
        <v/>
      </c>
      <c r="G117" t="inlineStr">
        <is>
          <t>San Francisco, CA, US</t>
        </is>
      </c>
      <c r="H117" s="2" t="n">
        <v>45740</v>
      </c>
      <c r="I11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in-a2f846fce9199d2d</t>
        </is>
      </c>
      <c r="B118" t="inlineStr">
        <is>
          <t>Principal Applied Scientist, FAR (Frontier AI &amp; Robotics)</t>
        </is>
      </c>
      <c r="C118" t="inlineStr">
        <is>
          <t>Amazon.com</t>
        </is>
      </c>
      <c r="D118" t="inlineStr">
        <is>
          <t>indeed</t>
        </is>
      </c>
      <c r="E118">
        <f>HYPERLINK("https://www.indeed.com/viewjob?jk=a2f846fce9199d2d", "https://www.indeed.com/viewjob?jk=a2f846fce9199d2d")</f>
        <v/>
      </c>
      <c r="F118">
        <f>HYPERLINK("https://www.amazon.jobs/jobs/2938625/principal-applied-scientist-far-frontier-ai--robotics?cmpid=DA_INAD200785B", "https://www.amazon.jobs/jobs/2938625/principal-applied-scientist-far-frontier-ai--robotics?cmpid=DA_INAD200785B")</f>
        <v/>
      </c>
      <c r="G118" t="inlineStr">
        <is>
          <t>Seattle, WA, US</t>
        </is>
      </c>
      <c r="H118" s="2" t="n">
        <v>45740</v>
      </c>
      <c r="I11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li-4362681008</t>
        </is>
      </c>
      <c r="B2" t="inlineStr">
        <is>
          <t>Data Scientist- Product Owner</t>
        </is>
      </c>
      <c r="C2" t="inlineStr">
        <is>
          <t>Tata Consultancy Services</t>
        </is>
      </c>
      <c r="D2" t="inlineStr">
        <is>
          <t>linkedin</t>
        </is>
      </c>
      <c r="E2">
        <f>HYPERLINK("https://www.linkedin.com/jobs/view/4362681008", "https://www.linkedin.com/jobs/view/4362681008")</f>
        <v/>
      </c>
      <c r="F2" t="inlineStr"/>
      <c r="G2" t="inlineStr">
        <is>
          <t>Long Beach, CA</t>
        </is>
      </c>
      <c r="H2" t="inlineStr"/>
      <c r="I2" t="inlineStr">
        <is>
          <t>**Job Description**
 Experience in executing projects in Agile Framework
 Understanding of machine learning and deep learning frameworks
 Understanding of generative models (e.g., GANs, VAEs, Transformers) and natural language processing.
 Understanding of natural language processing (NLP).
 Understanding of data preprocessing and model fine\-tuning.
 Awareness of ethical considerations and bias mitigation strategies.
 Proficiency in programming language Python / C\#
 Strong analytical and problem\-solving skills.
 Base Salary Range: $110,000 \- $145,000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3">
      <c r="A3" t="inlineStr">
        <is>
          <t>li-4343162643</t>
        </is>
      </c>
      <c r="B3" t="inlineStr">
        <is>
          <t>Data Scientist, Algorithms - Lyft Ads</t>
        </is>
      </c>
      <c r="C3" t="inlineStr">
        <is>
          <t>Lyft</t>
        </is>
      </c>
      <c r="D3" t="inlineStr">
        <is>
          <t>linkedin</t>
        </is>
      </c>
      <c r="E3">
        <f>HYPERLINK("https://www.linkedin.com/jobs/view/4343162643", "https://www.linkedin.com/jobs/view/4343162643")</f>
        <v/>
      </c>
      <c r="F3">
        <f>HYPERLINK("http://boards.greenhouse.io/lyft/jobs/8330595002?gh_src=dd08aaff2us&amp;urlHash=fQDX", "http://boards.greenhouse.io/lyft/jobs/8330595002?gh_src=dd08aaff2us&amp;urlHash=fQDX")</f>
        <v/>
      </c>
      <c r="G3" t="inlineStr">
        <is>
          <t>New York, NY</t>
        </is>
      </c>
      <c r="H3" t="inlineStr"/>
      <c r="I3" t="inlineStr">
        <is>
          <t>At Lyft, our purpose is to serve and connect. We aim to achieve this by cultivating a work environment where all team members belong and have the opportunity to thrive.
 Lyft Ads is one of Lyft’s newest and fastest\-growing businesses, focused on building the world’s largest transportation media network. Our mission is to help brands reach riders during key moments of their journey—before, during, and after a ride—by delivering meaningful, contextually relevant ad experiences. We operate at the intersection of mobility data, real\-time decision systems, and AI\-powered personalization, enabling advertisers to run high\-impact campaigns with measurable outcomes.
 We are seeking an
 **Algorithms Scientist** 
 to help build the next generation of ads relevance, targeting, optimization, and measurement algorithms that power the Lyft Ads platform. In this role, you will work across large\-scale datasets and complex real\-time systems to design, prototype, and deploy production\-grade machine learning models. You’ll collaborate closely with Engineering, Product, Data Science, and Sales to translate ambiguous business and advertiser needs into rigorous algorithmic solutions that improve ad performance, enhance marketplace efficiency, and drive meaningful revenue growth.
 This is a high\-impact, highly technical role within a rapidly scaling business line. The ideal candidate brings strong applied machine learning intuition, hands\-on modeling experience, and the ability to write clean, efficient production code. You will play a critical role in shaping how advertisers connect with Lyft riders—pushing the boundaries of personalization, measurement, and real\-time optimization in a dynamic marketplace.
 Responsibilities:
* Design, develop, and deploy production\-grade machine learning models and algorithms that power core Lyft Ads capabilities, such as ad relevance, targeting, ranking, bid optimization, pacing, campaign delivery, and measurement.
* Own the end\-to\-end lifecycle of modeling projects — including problem definition, data exploration, feature engineering, model development, offline evaluation, deployment, and monitoring.
* Collaborate closely with Ads Engineering to integrate models into real\-time ad\-serving and batch decision systems, ensuring performance across latency, scalability, and reliability constraints.
* Analyze large\-scale mobility, behavioral, and ads performance datasets to identify patterns, surface opportunities, and guide ML and AI driven product improvements.
* Implement rigorous model evaluation frameworks, including offline metrics, statistical tests, calibration, sensitivity analysis, and A/B experimentation to validate both model impact and system\-level outcomes.
* Build robust training pipelines, feature transformations, and scoring infrastructure, ensuring reproducibility, observability, and long\-term maintainability.
* Partner with Product, Engineering, and Sales to translate ambiguous advertiser goals (e.g., increased conversions, reach efficiency, brand lift) into measurable requirements and success metrics.
* Investigate and resolve model behavior issues, production regressions, calibration drift, and performance anomalies in close partnership with Ads Infra teams.
* Drive innovation by staying current with advances in ML for ranking, recommendation, causal inference, optimization, and ads measurement — and proactively identifying opportunities to apply them.
* Contribute to Lyft Ads’ modeling and experimentation infrastructure, through model cards, documentation, reproducibility standards, and code quality improvements.
 Experience:
* Master’s, or PhD in Machine Learning, Computer Science, Statistics, Applied Mathematics, Engineering, or related quantitative fields; or equivalent applied industry experience.
* 3–5 years of hands\-on ML/applied science experience, ideally involving production models, large\-scale systems, or ads/recommendation/relevance domains. Strong proficiency in Python and machine learning frameworks such as PyTorch, TensorFlow, JAX, or scikit\-learn; ability to write clean, efficient, production\-adjacent code.
* Experience working with large\-scale datasets and distributed data tools (Spark, Snowflake, Presto, Databricks).
* Practical experience building and evaluating:
+ Ranking and relevance models
+ Optimization or pacing algorithms
+ Predictive models for CTR, CVR, or user response
+ Causal or experimentation\-based measurement methods
* Understanding of online/offline evaluation techniques, including:
+ Offline metrics (AUC, NDCG, MRR, calibration)
+ A/B testing methodologies
+ Bias correction and counterfactual estimation
* Ability to solve ambiguous problems by structuring analyses, evaluating trade\-offs, and proposing algorithmic solutions grounded in scientific rigor.
* Strong communication skills, with an ability to clearly explain model behavior, constraints, trade\-offs, and recommendations to engineering, product, and sales partners.
* Demonstrated ownership of modeling work, including debugging, monitoring, documentation, and iteration after deployment.
* Curiosity, initiative, and a track record of delivering measurable improvements through high\-quality modeling.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$128,000 \- $160,000\.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
 Total compensation is dependent on a variety of factors, including qualifications, experience, and geographic location. Your recruiter can share more information about the salary range specific to your working location and other factors during the hiring process.</t>
        </is>
      </c>
    </row>
    <row r="4">
      <c r="A4" t="inlineStr">
        <is>
          <t>li-4365329046</t>
        </is>
      </c>
      <c r="B4" t="inlineStr">
        <is>
          <t>Data Scientist II</t>
        </is>
      </c>
      <c r="C4" t="inlineStr">
        <is>
          <t>Uber</t>
        </is>
      </c>
      <c r="D4" t="inlineStr">
        <is>
          <t>linkedin</t>
        </is>
      </c>
      <c r="E4">
        <f>HYPERLINK("https://www.linkedin.com/jobs/view/4365329046", "https://www.linkedin.com/jobs/view/4365329046")</f>
        <v/>
      </c>
      <c r="F4">
        <f>HYPERLINK("https://tnl2.jometer.com/v2/job?jz=5wqzsa658afcc3b7077e4d78b35151e806b81KIAGUCAAAABQ&amp;iis=Job%20Board%20-%20Recruitment%20Marketing&amp;iisn=LinkedIn&amp;urlHash=uW1_", "https://tnl2.jometer.com/v2/job?jz=5wqzsa658afcc3b7077e4d78b35151e806b81KIAGUCAAAABQ&amp;iis=Job%20Board%20-%20Recruitment%20Marketing&amp;iisn=LinkedIn&amp;urlHash=uW1_")</f>
        <v/>
      </c>
      <c r="G4" t="inlineStr">
        <is>
          <t>Seattle, WA</t>
        </is>
      </c>
      <c r="H4" t="inlineStr"/>
      <c r="I4" t="inlineStr">
        <is>
          <t>**About The Role**
 The TA Analytics team's goal is to raise the bar for all of Talent Acquisition when it comes to data literacy. A successful candidate is a proactive thinker, flexible with shifting project priorities and pressure. You demonstrate confidence in handling problems, as well as the ability to work with a variety of different people. As a seasoned Data Scientist, you will utilize a variety of tools and approaches to answer complex questions from myriad stakeholders.
 You will also innovate new ways to analyze our data for more efficient and effective decision\-making. You are a highly motivated and energetic self\-starter, directly working with leaders to ensure that they are getting all the support needed to make meaningful, informed decisions (which may not be what they are asking for, but what they need). You will proactively identify new areas of analytical features and enhancements, including AI, that will further increase data quality, reliability, and insightfulness.
 \-\-\-\- What You Will Do \-\-\-\-
* Help build a new analytics suite that helps prove and increase the impact that TA has on the business.
* Innovate new ways to analyze TA/People data that drives incremental business impact.
* Understand business goals and apply appropriate analytics, causal inference, experimentation and machine learning to provide practical insights to partners and stakeholders.
* Work closely with the Engineering teams to create data instrumentation and improve data quality.
* Collaborate with cross\-functional organizations to find opportunities, design, implement and analyze experiments, and perform deep dives for better decision\-making.
* Communicate optimally with non\-technical customers on technical topics.
**Basic Qualifications**
* Undergraduate and/or graduate degree in Math, Economics, Statistics, Engineering, Computer Science, or other quantitative fields.
* 4\+ years experience as a Data Scientist, Product Analyst, Sr. Data Analyst, or other types of data analysis\-focused functions
* Excellent understanding of statistical and scientific principles
* Advanced SQL expertise
* Experience with either Python or R for data analysis
* Proven track record to wrangle large datasets, extract insights from data, and summarize learnings/takeaways.
* Experience with Excel and some dashboarding/data visualization (i.e. Tableau, Looker, or similar)
* Proven aptitude toward Data Storytelling and Root Cause Analysis using data
* Ability to learn and adapt to new methodologies for data collection and analysis
**Preferred Qualifications**
* Advanced experience with experimental design and statistical methods such as causal Inference.
* Experience in utilizing AI features in reporting to enhance reporting products and deliverables.
* Ability to communicate effectively and manage relationships with partners coming from both technical and non\-technical backgrounds
* Excellent judgment, critical thinking, and decision\-making skills
* Proven ability to identify key stakeholders and manage high expectations
 For New York, NY\-based roles: The base salary range for this role is USD$140,000 per year \- USD$156,000 per year. For San Francisco, CA\-based roles: The base salary range for this role is USD$140,000 per year \- USD$156,000 per year. For Seattle, WA\-based roles: The base salary range for this role is USD$140,000 per year \- USD$156,000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USD$140,000 per year \- USD$156,000 per year. For San Francisco, CA\-based roles: The base salary range for this role is USD$140,000 per year \- USD$156,000 per year. For Seattle, WA\-based roles: The base salary range for this role is USD$140,000 per year \- USD$156,000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5">
      <c r="A5" t="inlineStr">
        <is>
          <t>li-4343202353</t>
        </is>
      </c>
      <c r="B5" t="inlineStr">
        <is>
          <t>Data Scientist, Algorithms - Lyft Ads</t>
        </is>
      </c>
      <c r="C5" t="inlineStr">
        <is>
          <t>Lyft</t>
        </is>
      </c>
      <c r="D5" t="inlineStr">
        <is>
          <t>linkedin</t>
        </is>
      </c>
      <c r="E5">
        <f>HYPERLINK("https://www.linkedin.com/jobs/view/4343202353", "https://www.linkedin.com/jobs/view/4343202353")</f>
        <v/>
      </c>
      <c r="F5">
        <f>HYPERLINK("http://boards.greenhouse.io/lyft/jobs/8330398002?gh_src=dd08aaff2us&amp;urlHash=jTDL", "http://boards.greenhouse.io/lyft/jobs/8330398002?gh_src=dd08aaff2us&amp;urlHash=jTDL")</f>
        <v/>
      </c>
      <c r="G5" t="inlineStr">
        <is>
          <t>San Francisco County, CA</t>
        </is>
      </c>
      <c r="H5" t="inlineStr"/>
      <c r="I5" t="inlineStr">
        <is>
          <t>At Lyft, our purpose is to serve and connect. We aim to achieve this by cultivating a work environment where all team members belong and have the opportunity to thrive.
 Lyft Ads is one of Lyft’s newest and fastest\-growing businesses, focused on building the world’s largest transportation media network. Our mission is to help brands reach riders during key moments of their journey—before, during, and after a ride—by delivering meaningful, contextually relevant ad experiences. We operate at the intersection of mobility data, real\-time decision systems, and AI\-powered personalization, enabling advertisers to run high\-impact campaigns with measurable outcomes.
 We are seeking an
 **Algorithms Scientist** 
 to help build the next generation of ads relevance, targeting, optimization, and measurement algorithms that power the Lyft Ads platform. In this role, you will work across large\-scale datasets and complex real\-time systems to design, prototype, and deploy production\-grade machine learning models. You’ll collaborate closely with Engineering, Product, Data Science, and Sales to translate ambiguous business and advertiser needs into rigorous algorithmic solutions that improve ad performance, enhance marketplace efficiency, and drive meaningful revenue growth.
 This is a high\-impact, highly technical role within a rapidly scaling business line. The ideal candidate brings strong applied machine learning intuition, hands\-on modeling experience, and the ability to write clean, efficient production code. You will play a critical role in shaping how advertisers connect with Lyft riders—pushing the boundaries of personalization, measurement, and real\-time optimization in a dynamic marketplace.
 Responsibilities:
* Design, develop, and deploy production\-grade machine learning models and algorithms that power core Lyft Ads capabilities, such as ad relevance, targeting, ranking, bid optimization, pacing, campaign delivery, and measurement.
* Own the end\-to\-end lifecycle of modeling projects — including problem definition, data exploration, feature engineering, model development, offline evaluation, deployment, and monitoring.
* Collaborate closely with Ads Engineering to integrate models into real\-time ad\-serving and batch decision systems, ensuring performance across latency, scalability, and reliability constraints.
* Analyze large\-scale mobility, behavioral, and ads performance datasets to identify patterns, surface opportunities, and guide ML and AI driven product improvements.
* Implement rigorous model evaluation frameworks, including offline metrics, statistical tests, calibration, sensitivity analysis, and A/B experimentation to validate both model impact and system\-level outcomes.
* Build robust training pipelines, feature transformations, and scoring infrastructure, ensuring reproducibility, observability, and long\-term maintainability.
* Partner with Product, Engineering, and Sales to translate ambiguous advertiser goals (e.g., increased conversions, reach efficiency, brand lift) into measurable requirements and success metrics.
* Investigate and resolve model behavior issues, production regressions, calibration drift, and performance anomalies in close partnership with Ads Infra teams.
* Drive innovation by staying current with advances in ML for ranking, recommendation, causal inference, optimization, and ads measurement — and proactively identifying opportunities to apply them.
* Contribute to Lyft Ads’ modeling and experimentation infrastructure, through model cards, documentation, reproducibility standards, and code quality improvements.
 Experience:
* Master’s, or PhD in Machine Learning, Computer Science, Statistics, Applied Mathematics, Engineering, or related quantitative fields; or equivalent applied industry experience.
* 3–5 years of hands\-on ML/applied science experience, ideally involving production models, large\-scale systems, or ads/recommendation/relevance domains. Strong proficiency in Python and machine learning frameworks such as PyTorch, TensorFlow, JAX, or scikit\-learn; ability to write clean, efficient, production\-adjacent code.
* Experience working with large\-scale datasets and distributed data tools (Spark, Snowflake, Presto, Databricks).
* Practical experience building and evaluating:
+ Ranking and relevance models
+ Optimization or pacing algorithms
+ Predictive models for CTR, CVR, or user response
+ Causal or experimentation\-based measurement methods
* Understanding of online/offline evaluation techniques, including:
+ Offline metrics (AUC, NDCG, MRR, calibration)
+ A/B testing methodologies
+ Bias correction and counterfactual estimation
* Ability to solve ambiguous problems by structuring analyses, evaluating trade\-offs, and proposing algorithmic solutions grounded in scientific rigor.
* Strong communication skills, with an ability to clearly explain model behavior, constraints, trade\-offs, and recommendations to engineering, product, and sales partners.
* Demonstrated ownership of modeling work, including debugging, monitoring, documentation, and iteration after deployment.
* Curiosity, initiative, and a track record of delivering measurable improvements through high\-quality modeling.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 \- $160,000\.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
 Total compensation is dependent on a variety of factors, including qualifications, experience, and geographic location. Your recruiter can share more information about the salary range specific to your working location and other factors during the hiring process.</t>
        </is>
      </c>
    </row>
    <row r="6">
      <c r="A6" t="inlineStr">
        <is>
          <t>li-4365293513</t>
        </is>
      </c>
      <c r="B6" t="inlineStr">
        <is>
          <t>Data Scientist (Remote)</t>
        </is>
      </c>
      <c r="C6" t="inlineStr">
        <is>
          <t>Elder Research</t>
        </is>
      </c>
      <c r="D6" t="inlineStr">
        <is>
          <t>linkedin</t>
        </is>
      </c>
      <c r="E6">
        <f>HYPERLINK("https://www.linkedin.com/jobs/view/4365293513", "https://www.linkedin.com/jobs/view/4365293513")</f>
        <v/>
      </c>
      <c r="F6" t="inlineStr"/>
      <c r="G6" t="inlineStr"/>
      <c r="H6" t="inlineStr"/>
      <c r="I6" t="inlineStr">
        <is>
          <t>**Job Title: Data Scientist**
**Workplace: Remote** 
 (preference for candidates located in the National Capital Region \- DMV)
**Clearance Required:** 
 a
 **TS** 
 or
 **CBP BI** 
 or
 **DHS Suitability** 
 clearance adjudicated within the past 4 years
**Position Overview**
 Supports U.S. Customs and Border Protection. As a Data Scientist, with little or no supervision, apply expert knowledge in statistical analysis, complex data mining, and artificial intelligence to make value out of data. Provide consulting relating to the data mining and analysis of data from a range of sources to transform raw data into concise and actionable insights. Design and implement data\-driven solutions, with specific focus on advanced analytical methods, data models, and visualizations. Develop quantitative simulations and models to provide descriptive and predictive analytics solution recommendations. Identify trends and problems through complex big data analysis. Maintain current in emerging tools and techniques in machine learning, statistical modeling, and analytics.
**Requirements**
* Six (6\) years of relevant experience in applied research, big data analytics, statistics, applied mathematics, data science, computer science, operations research or other closely related other quantitative or mathematical discipline. At least three (3\) years of direct experience in machine learning.
* Advanced Degree (Masters or PhD) in Statistics, Applied Mathematics, Data Science, Computer Science, Operations Research or other closely related other quantitative or mathematical discipline. A PhD degree may be substituted for up to three (3\) years of relevant experience.
* Demonstrates knowledge of data mining methods, databases, data visualization and machine learning.
* Ability to communicate analysis techniques, concepts and products.
* Ability to develop data\-driven solutions, data models, and visualizations
**Preferred Experience And Skills**
* Expertise using Qlik to embed visualizations into webpages
* Familiarity with Databricks or similar cloud\-based distributed database technologies
* Familiarity with PySpark and Python
* Comfortable developing complex SQL queries to extract, transform, and load data
* Experience with analytic techniques such as Anomaly detection, Clustering, and Time\-series (e.g., ARIMA)
* Experience implementing NLP concepts including preprocessing (stemming, etc.), TF\-IDF, Named Entity Recognition, and LLMs.
**Why apply to this position at Elder Research?**
* Competitive Salary and Benefits
* Important Work / Make a Difference: supporting Customs and Border Protection in their efforts to protect the United States.
* Job Stability: Elder Research is not a typical government contractor, we hire you for a career not just a contract.
* Remote Work: in an industry of declining remote work opportunities.
* People\-Focused Culture: we prioritize work\-life\-balance and provide a positive, supportive work environment as well as opportunities for professional growth and advancement.
* Company Stock Ownership: all employees are provided with shares of the company each year based on company value and profits.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7">
      <c r="A7" t="inlineStr">
        <is>
          <t>li-4365328676</t>
        </is>
      </c>
      <c r="B7" t="inlineStr">
        <is>
          <t>Data Scientist</t>
        </is>
      </c>
      <c r="C7" t="inlineStr">
        <is>
          <t>Elder Research</t>
        </is>
      </c>
      <c r="D7" t="inlineStr">
        <is>
          <t>linkedin</t>
        </is>
      </c>
      <c r="E7">
        <f>HYPERLINK("https://www.linkedin.com/jobs/view/4365328676", "https://www.linkedin.com/jobs/view/4365328676")</f>
        <v/>
      </c>
      <c r="F7" t="inlineStr"/>
      <c r="G7" t="inlineStr">
        <is>
          <t>Arlington, VA</t>
        </is>
      </c>
      <c r="H7" t="inlineStr"/>
      <c r="I7" t="inlineStr">
        <is>
          <t>**General Information**
**Requisition \#** 
 642
**Locations** 
 USA\-VA\-Arlington \- Hybrid, USA\-DC\-Washington \- Hybrid, USA\-MD\-Maryland \- Hybrid, USA\-VA\-Virginia \- Hybrid, USA \- Remote \- Eastern Time Zone
**Posting Date** 
 01/22/2026
**Security Clearance Required** 
 \- Active IRS Public Trust w/ Background Investigation
**Remote Type** 
 Onsite/Hybrid
**Time Type** 
 Full time
**Description \&amp; Requirements**
 As a Data Scientist, you will support the Internal Revenue Service’s mission to improve tax compliance, fraud detection, and risk identification across large, complex tax and financial data environments. You will work directly with government clients, program managers, and technical teams to understand business and compliance challenges, design analytical approaches, and deliver data\-driven solutions that inform enforcement, audit prioritization, and fraud prevention efforts.
 In this role, you will develop, test, and deploy predictive and statistical models using structured and unstructured data to identify anomalies, non\-compliance risk, and potential fraud within tax records and related datasets. You will contribute across the full data science lifecycle, from problem formulation and data exploration through model validation, deployment, and stakeholder communication.
**Responsibilities Include But Are Not Limited To**
* Prior programming experience, preferably in Python or R, including data exploration, feature engineering, and model development
* Explore, clean, and wrangle large, complex datasets to uncover insights and identify opportunities for data science–driven solutions in support assessments, gap analyses, and actionable recommendations for IRS stakeholders
* Design, develop, test, and implement quantitative and qualitative data science solutions that are modular, maintainable, and adaptable to evolving government and regulatory requirements
* Demonstrated experience using Python, SQL, and Databricks for data analysis, modeling, and statistical evaluation
* Apply statistical and machine learning techniques to anomaly detection, fraud identification, and non\-compliance risk scoring, including supervised and unsupervised approaches to help prioritize cases based on compliance risk, fraud indicators and business impact
* Develop and evaluate predictive risk models used to support audit selection, refund review, and fraud prevention initiatives
* Test and validate models using robustness, sensitivity, and significance testing, ensuring defensible and explainable results
* Write modular, reusable, and well\-documented code within an iterative development process that includes peer review and collaboration
* Collaborate with clients, subject matter experts, and cross\-functional teams to refine problem statements, requirements, and analytical approaches
* Prepare and deliver technical and non\-technical briefings, reports, and presentations to audiences with varying levels of analytical sophistication
* Demonstrated ability to work independently in a collaborative, fast\-paced environment
* Strong interpersonal, written, and verbal communication skills, with the ability to translate business and compliance needs into technical solutions
* Experience using Markdown for technical documentation
**Minimum Qualifications**
* Bachelor of Science degree in a relevant field such as statistics, computer science, economics, mathematics, analytics, data science, business, or social sciences
* 2\-10\+ years of experience in data science, analytics, or a related technical field
* Experience using version control systems (e.g., Git) and collaborative development practices
* Strong understanding of relational databases and SQL
* Comfortable learning new tools, methodologies, and domains, including working outside your comfort zone
* Strong analytical mindset with a willingness to tackle complex mathematical and statistical challenges
* Willingness to travel and work on\-site at client locations as required by project needs
**Preferred Qualifications**
* Advanced degree (MS or PhD) in statistics, computer science, data science, mathematics, analytics, engineering, or related fields
* Experience with PySpark, Unity Catalog, and Jobs in DataBricks
* Experience with Natural Language Processing (NLP) and text analytics applied to unstructured documents or case notes
* Experience with graph analytics and network analysis to identify relationships, fraud rings, or interconnected entities
* Familiarity with platforms and tools such as Databricks, and AWS
* Experience with containerization and environment management (e.g., venv, conda)
* Understanding of the data analytics lifecycle (e.g., CRISP\-DM)
* Experience applying advanced statistical concepts including sampling considerations, bias detection, weighting techniques, handling missing or outlier data, exploratory analysis, and longitudinal forecasting
* Experience operating in secure or remote government environments, including use of bash and command\-line tools
**Clearance \&amp; Other Requirements**
* Must currently possess an IRS Public Trust clearance with Full Background Investigation
**Physical Requirements**
* Must be able to remain in a stationary position 50%
* Needs to occasionally move about inside the office to access file cabinets, office machinery, etc.
* Frequently communicates with co\-workers, management, and customers, which may involve delivering presentations. Must be able to exchange accurate information in these situations
**Why apply to this position at Elder Research?**
* Competitive Salary and Benefits
* Important Work / Make a Difference supporting U.S. national security.
* Job Stability: Elder Research is not a typical government contractor, we hire you for a career not just a contract.
* People\-Focused Culture: we prioritize work\-life\-balance and provide a supportive, positive, and collaborative work environment as well as opportunities for professional growth and advancement.
**About Elder Research, Inc**
**People Centered. Data Driven**
*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 Elder Research is a Government contractor and many of our positions require US Citizenship.</t>
        </is>
      </c>
    </row>
    <row r="8">
      <c r="A8" t="inlineStr">
        <is>
          <t>li-4365336259</t>
        </is>
      </c>
      <c r="B8" t="inlineStr">
        <is>
          <t>Data Scientist</t>
        </is>
      </c>
      <c r="C8" t="inlineStr">
        <is>
          <t>Elder Research</t>
        </is>
      </c>
      <c r="D8" t="inlineStr">
        <is>
          <t>linkedin</t>
        </is>
      </c>
      <c r="E8">
        <f>HYPERLINK("https://www.linkedin.com/jobs/view/4365336259", "https://www.linkedin.com/jobs/view/4365336259")</f>
        <v/>
      </c>
      <c r="F8" t="inlineStr"/>
      <c r="G8" t="inlineStr">
        <is>
          <t>Fort George G. Meade, MD</t>
        </is>
      </c>
      <c r="H8" t="inlineStr"/>
      <c r="I8" t="inlineStr">
        <is>
          <t>**Job Title:** 
 Data Scientist (U.S. Intelligence Community)
**Location:** 
 Ft. Meade, MD
**Workplace:** 
 On\-site (hands\-on access to high impact data systems needed)
**Clearance Required:** 
 TS/SCI with Polygraph
**Why Join Elder Research** 
* Mission\-Driven Work: Support the U.S. Intelligence Community by building secure, scalable data systems that enable real\-time insights.
* Career Stability: We hire for careers, not contracts—our work is growing
* People\-Focused Culture: We value work\-life balance, collaboration, and professional growth.
* Ownership Mindset: Every employee is a shareholder through our Employee Stock Ownership Plan (ESOP).
* Competitive Pay \&amp; Benefits:
+ Typical salary range: $117k\-$196K, depending on experience and contract labor category
+ 401(k) with employer contribution
+ Health, dental, and vision coverage
+ Paid parental leave and flexible PTO
**Ready to make an Impact?** 
 Message our recruiting team directly at: recruiting@datamininglab.com
**Position Overview**
 We are seeking talented and motivated Data Scientists with expertise in machine learning, statistical analysis, and artificial intelligence to join our team. In these roles, you will be responsible for developing advanced algorithms and data\-driven solutions that address complex challenges.
 These positions will be part of our Defense and Intelligence Business unit serving the Intelligence Community as our primary customer.
**Essential Functions**
 As a Data Scientist, you will:
* Develop and implement machine learning, data mining, statistical, and graph\-based algorithms to analyze large and complex datasets.
* Prototype and evaluate multiple algorithms, selecting the final model based on rigorous performance metrics.
* Design and execute experiments or create models to generate data when training datasets are unavailable.
* Generate reports and visualizations that provide actionable insights and summarize data findings for clients.
* Translate complex data analysis into clear, actionable recommendations.
* Collaborate with subject matter experts to automate manual data analysis processes and integrate analytics into production frameworks.
* Conduct assessments of clients' preparedness to integrate data analytics into their operations, including technical, cultural, and workforce aspects.
* Apply expert knowledge in data science to deliver solutions that address clients' business needs.
* Stay current with emerging tools and techniques in machine learning, statistical modeling, and data analytics to continuously improve the quality of your work.
* This role requires a self\-driven individual capable of working under minimal supervision, with a strong ability to translate raw data into concise and actionable insights. You will work closely with clients, managers, and technical staff to understand business needs and deliver effective, data\-driven solutions that enhance decision\-making and operational effectiveness.
**Requirements**
* A current TS/SCI with Polygraph is required for this role.
* BA/BS in Math, Statistics, Engineering, Computer Science, or related field
* Proficiency with Python and R.
* Experience using large data sets to solve problems.
* Knowledge of and experience with machine learning, data wrangling, advanced statistical data analysis and modeling.
* AWS or Cloud experience.
* Ability to communicate complex models and concepts effectively in non\-technical language.
**Desired Qualifications**
* Bachelors Degree with 4\+ years of relevant experience.
* Masters Degree with 2\+ years of relevant experience.
* PhD. with 1\+ years of relevant experience.
* Familiarity with commercial and open\-source data science software.
* Familiarity with relational databases: Oracle, SQL, and ETL tools.
**Salary And Benefit Information**
 The likely salary range for this position is $117,000\-$196,000\. This is not, however, a guarantee of compensation or salary. Salary will be set based on experience, geographic location and contractual requirements, which could possibly fall outside of this range.
 Elder Research values continuous learning, a supportive work environment, and a healthy work\-life balance. We provide family health, dental, and vision benefits, employer\-paid disability, paid\-time off, and paid parental leave. We offer a 401(k) plan with employer contribution as well as an Employee Stock Option Plan (ESOP). Our employees enjoy reasonable hours, solid pay, low travel, and extremely flexible time off.
**About Elder Research, Inc**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for example,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9">
      <c r="A9" t="inlineStr">
        <is>
          <t>li-4365333083</t>
        </is>
      </c>
      <c r="B9" t="inlineStr">
        <is>
          <t>Data Scientist</t>
        </is>
      </c>
      <c r="C9" t="inlineStr">
        <is>
          <t>Wiraa</t>
        </is>
      </c>
      <c r="D9" t="inlineStr">
        <is>
          <t>linkedin</t>
        </is>
      </c>
      <c r="E9">
        <f>HYPERLINK("https://www.linkedin.com/jobs/view/4365333083", "https://www.linkedin.com/jobs/view/4365333083")</f>
        <v/>
      </c>
      <c r="F9">
        <f>HYPERLINK("https://www.wiraa.com/job-description/usE9E17E433465E57825B252226121F97D?source=Linkedin&amp;urlHash=rdA8", "https://www.wiraa.com/job-description/usE9E17E433465E57825B252226121F97D?source=Linkedin&amp;urlHash=rdA8")</f>
        <v/>
      </c>
      <c r="G9" t="inlineStr"/>
      <c r="H9" t="inlineStr"/>
      <c r="I9" t="inlineStr">
        <is>
          <t>**About The Company**
 The Media Image is an independent, global, and agile full\-funnel digital marketing agency renowned for its innovative approach and award\-winning performance across multiple markets. Serving a diverse clientele in sectors such as e\-commerce, financial services, iGaming, skincare, beauty, and online grocery, our operations span the US, UK, and EMEA regions. Our core values—Unity, Proactive Partnerships, Inclusive Collaboration, Data\-Driven Excellence, and Supporting Authenticity—guide our daily operations and strategic initiatives. We pride ourselves on being market disruptors, delivering best\-in\-class results through a unique combination of creativity, data intelligence, and technological expertise. Our commitment to authenticity and inclusivity fosters a collaborative environment that leverages individual strengths to achieve outstanding client outcomes.
**About The Role**
 We are seeking a versatile and innovative Data Scientist with expertise in machine learning to join our dynamic team. In this role, you will be instrumental in driving impactful data\-driven solutions that enhance our digital marketing strategies and operational efficiencies. Your responsibilities will include conducting exploratory data analysis, formulating and testing hypotheses, and designing, training, and evaluating machine learning models to solve complex challenges. You will develop and interpret experiments to generate actionable insights, working closely with data engineers to enrich datasets and develop internal tools leveraging open\-source models, including those powered by OpenAI. Collaboration with the Business Intelligence (BI) team and other departments will be key, as you translate business needs into effective AI and machine learning solutions. Additionally, you will monitor and optimize model performance, analyze datasets for insights, and stay abreast of the latest trends in data science and digital marketing to continuously improve organizational capabilities.
**Qualifications**
* A recognized degree in a quantitative discipline such as Computer Science, Data Science, Software Engineering, Mathematics, or related fields.
* Proven relevant experience in a data science or machine learning role.
* Strong understanding of Probability, Statistics, and Machine Learning concepts.
* Hands\-on experience developing and deploying AI and Machine Learning models.
* Proficiency in Python programming, with familiarity in libraries such as Pandas, Scikit\-Learn, Seaborn, and Matplotlib.
* Ability to write clean, efficient, and well\-documented code, including implementing unit tests for reliability.
* Strong problem\-solving and critical\-thinking skills.
* Excellent communication skills for effective collaboration and technical explanation.
* Enthusiasm for continuous learning and self\-motivation to work independently.
**Responsibilities**
* Conduct exploratory data analysis to understand datasets and identify patterns.
* Formulate and test hypotheses to inform strategic decisions.
* Design, train, and evaluate machine learning models to address complex business challenges.
* Develop and interpret experiments to generate actionable insights for marketing and operational improvements.
* Collaborate with data engineers to enrich datasets and ensure data quality.
* Develop internal tools utilizing open\-source models, including OpenAI\-powered systems.
* Work closely with the BI team and other departments to identify opportunities for AI and ML applications.
* Translate business requirements into technical solutions and provide expert guidance during client and stakeholder engagements.
* Monitor, evaluate, and optimize the performance of predictive models.
* Stay informed on emerging trends, best practices, and innovations in data science and digital marketing.
**Benefits**
* Competitive holiday entitlement of 25 days plus 1 additional day per annum worked.
* Access to the Employee Assistance Program (EAP) for personal and professional support.
* Contributory pension scheme with 5% employer contribution via salary sacrifice.
* Medical coverage through Vitality health insurance.
* Flexible, remote working environment promoting work\-life balance.
* Opportunities for professional development and continuous learning.
* Inclusive and collaborative organizational culture fostering innovation and authenticity.
 Equal Opportunity
 The Media Image is committed to creating a diverse environment and is proud to be an equal opportunity employer. We welcome applications from all qualified individuals regardless of race, gender, age, religion, sexual orientation, disability, or any other characteristic protected by applicable law. We believe that a diverse workforce enhances our creativity, innovation, and overall success, and we are dedicated to fostering an inclusive workplace where everyone can thrive.</t>
        </is>
      </c>
    </row>
    <row r="10">
      <c r="A10" t="inlineStr">
        <is>
          <t>li-4365326229</t>
        </is>
      </c>
      <c r="B10" t="inlineStr">
        <is>
          <t>Data Scientist</t>
        </is>
      </c>
      <c r="C10" t="inlineStr">
        <is>
          <t>Wiraa</t>
        </is>
      </c>
      <c r="D10" t="inlineStr">
        <is>
          <t>linkedin</t>
        </is>
      </c>
      <c r="E10">
        <f>HYPERLINK("https://www.linkedin.com/jobs/view/4365326229", "https://www.linkedin.com/jobs/view/4365326229")</f>
        <v/>
      </c>
      <c r="F10" t="inlineStr"/>
      <c r="G10" t="inlineStr"/>
      <c r="H10" t="inlineStr"/>
      <c r="I10" t="inlineStr">
        <is>
          <t>**About The Company** 
 Humana Inc. is a leading health and well\-being company dedicated to putting health first for our members, employees, and communities. With a strong commitment to innovation and excellence, Humana operates through its insurance services and healthcare segments, including CenterWell, to deliver comprehensive health solutions. The organization emphasizes advancing healthcare quality and accessibility by leveraging cutting\-edge technologies and fostering a culture of inclusion and diversity. Humana's mission is to make it easier for people to achieve their best health, offering a wide range of services to diverse populations such as Medicare, Medicaid, military personnel, families, and individuals. As a forward\-thinking company, Humana continually invests in innovative initiatives, including artificial intelligence, to improve care delivery and operational efficiency.
**About The Role** 
 We are seeking a highly skilled and innovative AI Specialist with expertise in agent design, planning, and control to join our Enterprise AI organization. This role involves developing autonomous agents capable of managing complex, long\-term goals in dynamic and uncertain environments. The successful candidate will architect goal\-setting and decomposition mechanisms, design dynamic planning systems, and collaborate across teams to integrate safety and alignment features. You will contribute to building robust, interpretable, and reliable AI agents that interface with various APIs, databases, and real\-world actuators to execute tasks efficiently and safely. This position offers an exciting opportunity to influence the future of healthcare technology by advancing agentic systems that can operate independently, adapt to new information, and align with human intent, ultimately improving care quality and operational effectiveness.
**Qualifications** 
* Master’s Degree in Computer Science, Data Science, Machine Learning, or a related field
* 4\+ years of experience in research, ML engineering, or applied research roles focused on AI solutions
* 2\+ years of leadership experience in developing AI/ML systems
* Proficiency in SQL, Python, and data analysis/data mining tools
* Experience with machine learning frameworks such as Pytorch, Jax, LangChain, LangGraph, or AutoGen
* Experience with high\-performance, large\-scale ML systems
* Background in language modeling with transformers
* Knowledge of symbolic planning, causal reasoning, and model\-based reinforcement learning
* Experience with large\-scale ETL processes
* Preferred: Ph.D. in relevant fields and demonstrated experience shipping autonomous or semi\-autonomous agents in production or simulation
**Responsibilities** 
* Design and implement goal setting and decomposition mechanisms for autonomous agents operating in uncertain or open\-ended environments
* Develop dynamic planning systems, including hierarchical planning, curriculum learning, and self\-refinement loops
* Collaborate on memory, tool\-use, and feedback\-loop designs to enable multi\-step, self\-directed agent behaviors
* Create evaluation frameworks to ensure alignment with human intent, monitor progress against long\-term objectives, and ensure safety
* Prototype agents capable of interfacing with APIs, servers, search engines, databases, and real\-world actuators for goal execution
* Explore mechanisms to detect and mitigate goal misalignment, undesirable behaviors, or emergent strategies
* Work across teams to integrate safety, alignment, and operational reliability into agent systems
* Contribute to the development of accountable AI modules and pipelines adhering to best practices in ethical AI deployment
**Benefits** 
* Work from home flexibility with a remote US work location
* Generous paid time off and holiday leave policies
* Health benefits effective from day one of employment
* Annual Incentive Plan based on performance
* 401(k) retirement plan with an excellent company match
* Well\-being programs supporting physical and mental health
* Paid volunteer time off to support community engagement
* Opportunities for professional development and career growth within a leading healthcare organization
 Equal Opportunity
 Humana is an equal opportunity employer that values diversity and inclusion. We do not discriminate against any employee or applicant based on race, color, religion, sex, sexual orientation, gender identity, national origin, age, marital status, genetic information, disability, or protected veteran status.</t>
        </is>
      </c>
    </row>
    <row r="11">
      <c r="A11" t="inlineStr">
        <is>
          <t>li-4365290205</t>
        </is>
      </c>
      <c r="B11" t="inlineStr">
        <is>
          <t>Data Scientist</t>
        </is>
      </c>
      <c r="C11" t="inlineStr">
        <is>
          <t>Hirenza</t>
        </is>
      </c>
      <c r="D11" t="inlineStr">
        <is>
          <t>linkedin</t>
        </is>
      </c>
      <c r="E11">
        <f>HYPERLINK("https://www.linkedin.com/jobs/view/4365290205", "https://www.linkedin.com/jobs/view/4365290205")</f>
        <v/>
      </c>
      <c r="F11" t="inlineStr"/>
      <c r="G11" t="inlineStr"/>
      <c r="H11" t="inlineStr"/>
      <c r="I11" t="inlineStr">
        <is>
          <t>**About The Company**
 Bowhead / UIC Technical Services is a leading provider of advanced technical solutions and services dedicated to supporting national security and defense initiatives. With a strong commitment to innovation, quality, and excellence, Bowhead serves various government agencies, including the Department of Defense, offering specialized expertise in engineering, data analysis, cybersecurity, and systems integration. Our team is composed of highly skilled professionals who are passionate about delivering impactful results that enhance operational capabilities and mission success.
**About The Role**
 We are seeking a highly skilled Data Scientist to join our team supporting the Naval Surface Warfare Center Dahlgren Division (NSWCDD), E Department. This role involves applying advanced data analysis techniques, including mathematics, statistics, predictive modeling, and machine learning, to uncover valuable insights from complex data sets. The ideal candidate will possess a strong background in data trend analysis and be capable of developing innovative tools and models that support decision\-making processes. This position requires onsite work at either the Bowhead office or Navy installation, emphasizing collaboration with multidisciplinary teams and stakeholders.
**Qualifications**
 The ideal candidate will hold a Bachelor's Degree in physics, data science, or a related field, complemented by a minimum of 5\-8 years of relevant experience. Demonstrated expertise in database management, data warehousing, and analytical tools is essential. Experience with relational database management systems and SQL query development is required, along with coding and software development skills. Familiarity with virtual machines, artificial intelligence, and data visualization tools will be highly advantageous. Candidates must possess strong mathematical reasoning abilities and excellent communication skills, both oral and written, to effectively support customer requirements and collaborate with technical and non\-technical audiences. Security clearance at the Secret level is mandatory, and U.S. citizenship is a prerequisite for obtaining and maintaining this clearance.
**Responsibilities**
* Apply mathematical, statistical, and machine learning techniques to analyze high\-volume, high\-velocity, and diverse data types, including numbers, symbols, text, sound, and images.
* Design, develop, test, and document new and amended software components to deliver value to stakeholders effectively.
* Create and refine tools for data testing, validation, and visualization to facilitate comprehensive data understanding.
* Develop predictive, real\-time, model\-based insights to support strategic decision\-making and automation processes.
* Present complex data findings and insights in innovative formats that are accessible to both technical and non\-technical audiences.
* Identify, validate, and leverage internal and external datasets generated from various processes to enhance analysis accuracy and scope.
* Manage and organize data and information in all forms, including logical analysis of taxonomies, data, and metadata structures.
* Collaborate with cross\-functional teams to gather requirements, validate data models, and implement solutions that meet project goals.
* Perform other related duties as assigned, contributing to the continuous improvement of data analysis capabilities.
**Benefits**
 Bowhead offers a comprehensive benefits package designed to support the well\-being and professional growth of our employees. This includes competitive health insurance options, retirement plans, paid time off, and opportunities for ongoing training and development. We foster a collaborative and inclusive work environment that encourages innovation and recognizes individual contributions. Additionally, employees have access to flexible work arrangements and resources to promote work\-life balance, ensuring a fulfilling career experience within a mission\-driven organization.
 Equal Opportunity
 Bowhead / UIC Technical Services is an equal opportunity employer. We are committed to fostering an inclusive workplace that values diversity and provides equal employment opportunities regardless of race, color, religion, sex, national origin, age, disability, or any other protected status. We believe that a diverse workforce enhances our ability to serve our clients and achieve our organizational goals. All qualified applicants are encouraged to apply and will be considered without discrimination.</t>
        </is>
      </c>
    </row>
    <row r="12">
      <c r="A12" t="inlineStr">
        <is>
          <t>li-4318537624</t>
        </is>
      </c>
      <c r="B12" t="inlineStr">
        <is>
          <t>Staff Data Scientist, Product Analytics</t>
        </is>
      </c>
      <c r="C12" t="inlineStr">
        <is>
          <t>OVERJET</t>
        </is>
      </c>
      <c r="D12" t="inlineStr">
        <is>
          <t>linkedin</t>
        </is>
      </c>
      <c r="E12">
        <f>HYPERLINK("https://www.linkedin.com/jobs/view/4318537624", "https://www.linkedin.com/jobs/view/4318537624")</f>
        <v/>
      </c>
      <c r="F12">
        <f>HYPERLINK("https://jobs.ashbyhq.com/Overjet/2e1a9ee9-447f-4ede-884d-9e58e45f1b66/application?utm_source=1qKlgjYXAj&amp;src=linkedin&amp;urlHash=V2IC", "https://jobs.ashbyhq.com/Overjet/2e1a9ee9-447f-4ede-884d-9e58e45f1b66/application?utm_source=1qKlgjYXAj&amp;src=linkedin&amp;urlHash=V2IC")</f>
        <v/>
      </c>
      <c r="G12" t="inlineStr"/>
      <c r="H12" t="inlineStr"/>
      <c r="I12" t="inlineStr">
        <is>
          <t>**Lead the Future of Dentistry.**
 Overjet is the world\-leader in dental AI. Already, thousands of dental providers and insurers rely on our platform to deliver the best possible care. Now, we’re looking for talented people to fulfill our mission: improve oral health for all.
 Overjet is where builders become leaders. Everyone here loves to make new things: new products, new partnerships, new content, and a new category of AI technology. And as Overjet grows ridiculously fast, so will you.
 Simply put, there’s no better place to accelerate your career. Come join us!
**The Role**
 Overjet is looking for an experienced Staff Data Scientist of Product Analytics to join our Data \&amp; Analytics team. You’ll work shoulder\-to\-shoulder with our data engineers, data analysts, product managers, and customer success teams to deliver for our customers. You’ll take a leading role in defining how the company leverages product analytics to develop product strategy and gather product insights to better support internal and external stakeholders at scale.
**Responsibilities**
* Collaborate with cross\-functional teams (product, engineering, customer success, business) to define key product\- and business\-driven questions and translate them into analytical solutions, and deliver actionable insights to support business objectives.
* Utilize Python, SQL, BI tools, and analytic techniques to analyze large and complex data sets, identifying trends, patterns, and opportunities for optimization.
* Derive actionable insights from our data to provide recommendations to shape the product roadmap and convey the value story of our products to our customers.
* Collaborate with our data engineers on the construction and maintenance of data pipelines and ETL processes to ensure data integrity, quality, and observability.
* Create compelling data visualizations and products using tools like Sigma to effectively communicate findings to internal and external stakeholders and enable self\-service dashboards and tools.
* Serve as a trusted advisor to external customers and develop and deploy external\-facing data products and embedded analytics that enable customers to derive value from Overjet’s unique data.
* Stay informed about industry trends and emerging technologies to ensure that our analytics capabilities remain cutting\-edge.
* Collaborate with data analysts, data engineers, and product managers on data products, dashboards, and the company’s data infrastructure.
* Create strong documentation and dictionaries to ensure users interpret KPIs and data in a consistent manner.
* Ability to thrive in a fast\-paced, technical, and mission\-focused environment.
**Qualifications**
* Excellent academic background in a heavily quantitative and analytics\-related field
* Significant experience with increasing levels of responsibility working in data analytics/data science
* Excellent technical proficiency in Python, SQL, and data transformation tools
* Strong familiarity with data visualization tools such as Looker, Sigma, Tableau, or Power BI
* Experience leading engagements with external customers on analytics projects, creating compelling data presentations, and mastery of working with senior leaders
* Excellent communication skills with the ability to translate complex technical concepts into easily understandable insights for non\-technical stakeholders
* Strong problem\-solving skills and attention to detail
* Experience working in SaaS, B2B software, and at a high\-growth startup
* Healthcare experience is a plus
**Why Overjet?**
* Competitive Compensation and Equity
* Hybrid workplace that provides flexibility, vibrant in\-person workspaces, and the ability to build strong connections across all of Overjet \- regardless of location
* 401k plans with a matching program
* Medical, Dental and Vision coverage: 99% employee premium covered, 75% dependent premium covered
* Life and AD\+D Insurance
* 8 weeks Paid Parental Leave
* Optional HSA with Employer contribution
* Flexible Time Off and company paid holidays
* Annual Learning and Development Stipend
* Work from Home Stipend
**Our Hybrid Workplace**
 We have a unique hybrid workplace at Overjet — which combines the teamwork of meeting in person, with the flexibility of working from anywhere.
 Many of our positions are based in San Mateo, New York City, Boston, Salt Lake City, and Lahore. The Jetsetters who live in these “geo\-hubs” come to the office on Tuesdays and Wednesdays, while having the option to work from home the rest of the week.
 Our People Team is happy to answer any questions about what hybrid work means for your specific role!
**Overjet's Values**
* Excellence: We set ambitious goals and strive for excellence.
* Velocity: We focus, act with urgency, and deliver results.
* Ownership: We take ownership, dive deep and solve problems.
* Win\-win: We play to win, setting ourselves and our customers up for success.
* Growth: We stay curious, seek feedback, and continuously learn and grow.
**Company Recognition**
* Honored as one of the 2025 Best Places to Work by Built In and
 2024 Best Places to Work by Built In
* Named one of the TIME Best Inventions of 2024
* Recognized in Newsweek’s Most Loved Workplaces in America 2024
* Won the Dental Health category at the Digital Health Awards 2024
* Recognized as one of the Top Startups of 2023 by LinkedIn
* Named one of the 2023 World’s Most Innovative Companies by Fast Company
* Included on the definitive 2022 Forbes AI 50
* Featured in Bloomberg, Forbes, Fast Company, and TechCrunch
**EEOC**
*Overjet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*If you are a Colorado resident: Please contact us by emailing recruiting@overjet.ai to receive compensation and benefits information for this role. Please include the job title in the subject line of the email.*</t>
        </is>
      </c>
    </row>
    <row r="13">
      <c r="A13" t="inlineStr">
        <is>
          <t>li-4362606605</t>
        </is>
      </c>
      <c r="B13" t="inlineStr">
        <is>
          <t>Data Scientist</t>
        </is>
      </c>
      <c r="C13" t="inlineStr">
        <is>
          <t>Precision Technologies</t>
        </is>
      </c>
      <c r="D13" t="inlineStr">
        <is>
          <t>linkedin</t>
        </is>
      </c>
      <c r="E13">
        <f>HYPERLINK("https://www.linkedin.com/jobs/view/4362606605", "https://www.linkedin.com/jobs/view/4362606605")</f>
        <v/>
      </c>
      <c r="F13" t="inlineStr"/>
      <c r="G13" t="inlineStr"/>
      <c r="H13" t="inlineStr"/>
      <c r="I13" t="inlineStr">
        <is>
          <t>**Job Title: Data Scientist** 
**Location: United States — Onsite / Hybrid / Remote** 
**Employment Type: W2 · Full\-time · All immigration statuses accepted** 
**Job Description:**
 Precision Technologies Corp (PTC) is seeking an experienced Data Scientist to analyze complex datasets, build predictive models, and generate actionable insights that drive business decisions. The ideal candidate will have strong statistical, analytical, and machine learning skills with hands\-on experience delivering data\-driven solutions in production environments.
**Key Responsibilities:**
* Analyze large, complex datasets to identify trends, patterns, and actionable insights.
* Build, train, and validate statistical models and machine learning models for prediction and classification.
* Perform data cleaning, preprocessing, and feature engineering on structured and unstructured data.
* Develop and evaluate models using techniques such as regression, classification, clustering, and time\-series analysis.
* Apply data visualization techniques to communicate insights to technical and non\-technical stakeholders.
* Collaborate with business, product, and engineering teams to translate requirements into data solutions.
* Deploy and monitor models in production and continuously improve model performance.
* Ensure data quality, data integrity, and compliance with data governance standards.
* Document data science methodologies, experiments, and results.
* Stay current with emerging trends and best practices in Data Science and Analytics.
* Participate in Agile/Scrum ceremonies and cross\-functional reviews.
**About Precision Technologies Corp (PTC):**
 Precision Technologies Corp (PTC) is an E\-Verified IT \&amp; Business Consulting firm headquartered in New Jersey and ranked on the Inc. 5000 for rapid growth. With 14\+ years of experience, PTC delivers digital transformation solutions across BFSI, Healthcare, Retail, Telecom, and Enterprise clients.
**Contact:**
**Mahesh Kyadari, Lead – Talent Management Team** 
**📧 maheshk@precisiontechcorp.com**</t>
        </is>
      </c>
    </row>
    <row r="14">
      <c r="A14" t="inlineStr">
        <is>
          <t>li-4358536446</t>
        </is>
      </c>
      <c r="B14" t="inlineStr">
        <is>
          <t>Senior Data Scientist</t>
        </is>
      </c>
      <c r="C14" t="inlineStr">
        <is>
          <t>Nava</t>
        </is>
      </c>
      <c r="D14" t="inlineStr">
        <is>
          <t>linkedin</t>
        </is>
      </c>
      <c r="E14">
        <f>HYPERLINK("https://www.linkedin.com/jobs/view/4358536446", "https://www.linkedin.com/jobs/view/4358536446")</f>
        <v/>
      </c>
      <c r="F14" t="inlineStr"/>
      <c r="G14" t="inlineStr"/>
      <c r="H14" t="inlineStr"/>
      <c r="I14" t="inlineStr">
        <is>
          <t>**About Nava**
 Nava is a consultancy and public benefit corporation working to make government services simple and effective. Since 2015, federal, state, and local agencies have trusted Nava to help solve highly scrutinized technology modernization challenges.
 As a client services company, we guide agencies constrained by legacy systems to a future with sharp user experiences built on secure, reliable, fault\-tolerant cloud infrastructure. We bill for our time, offering our expertise and problem\-solving approach to help our government partners enhance their digital products and services. People are at the heart of our work, from members of the public who rely on benefit programs to government agency staff. Through human\-centered design and modern engineering best practices, we help our government partners understand user needs and deliver on their missions more effectively. This focus gives everyone at Nava the opportunity to do work that is meaningful, impactful, and deeply connected to public good.
**Position Summary**
 As a Data Scientist, you will use data to generate insights, build predictive models, and inform decisions that improve program outcomes and public services.
**What You'll Do**
* Work with program, product, engineering, and policy teams to identify high\-impact questions and turn them into data\-driven analysis
* Build, evaluate, and deploy predictive models that help forecast trends, improve service delivery, and inform policy decisions
* Build and maintain data pipelines and models that support analytics and operational reporting
* Develop data workflows and algorithms for cleaning, transforming, and validating data from multiple sources
* Design metrics, dashboards, and experiments to measure outcomes and program performance
* Apply statistical and machine learning methods to analyze complex datasets and inform product and policy design
* Work closely with subject matter experts to understand data and perform quality control
**Required Skills**
* Experience with Python for data analysis, modeling, and visualization
* Strong SQL skills and familiarity with relational databases (e.g., Postgres, MySQL)
* Hands\-on experience developing predictive or statistical models using techniques such as regression, classification, clustering, or time\-series forecasting
* Experience building or maintaining ETL/ELT pipelines and working with messy, real\-world datasets
* Understanding of data validation, model evaluation, and experiment design
* Ability to translate data findings into actionable recommendations
* Awareness of privacy, security, and responsible data practices
**Desired Skills**
* Experience with LLMs and generative AI systems
**Other Requirements**
***All roles at Nava require the following:***
 Legal authorization to work in the United States
 Ability to meet any other requirements for government contracts for which candidates are hired
 Work authorization that doesn’t require visa sponsorship, now or in the future
 May be subject to a government background check or security clearance, depending on the contract
**Perks working with Nava**
**Health coverage** 
 — comprehensive medical, dental, and vision plans to support your overall health needs
**Insurance coverage** 
 — Nava provides disability, life, and accidental death insurance at no cost
**Time off** 
 — vacation, holidays (including Juneteenth), and floating holidays to rest and recharge
**Company holidays** 
 — enjoy 12 paid federal holidays each year on top of your regular PTO
**Annual bonus** 
 — when Nava meets its goals, eligible employees receive a performance\-based annual bonus
**Parental leave** 
 — paid time off for new parents, plus weekly meals delivered to your home
**Wellness program** 
 — full platform offering physical, mental, \&amp; emotional health resources \&amp; support tools
**Virtual care** 
 — see doctors online with no copay through UnitedHealthcare’s virtual visit program
**Sabbatical leave** 
 — earn extended unpaid leave after continuous service for personal growth or rest
**401(k) match** 
 — Nava matches 4% of your salary to support your retirement savings plan
**Flexible work** 
 — remote\-first environment with flexibility built around your schedule and responsibilities
**Home office setup** 
 — company laptop \&amp; setup assistance provided via Staples for remote work needs
**Utility support** 
 — monthly reimbursement to help offset eligible home office utility expenses
**Learning opportunities** 
 — internal training programs and resources to help grow your professional skills
**Development opportunities** 
 — LinkedIn Learning access \&amp; an annual allowance for courses, tuition, \&amp; certs
**Referral bonus** 
 — get rewarded when you refer great people who join the Nava team
**Commuter benefits** 
 — pre\-tax commuter programs to support in\-office travel when applicable
**Supportive culture** 
 — A collaborative and remote\-friendly team environment where people genuinely care
**Location**
 We have fully remote options if you reside in one of the following states:
 Alabama, Arizona, California, Colorado, DC, Delaware, Florida, Georgia, Illinois, Louisiana, Maine, Maryland, Massachusetts, Michigan, Minnesota, Missouri, Nevada, North Carolina, New Jersey, New York, Ohio, Oklahoma, Oregon, Pennsylvania, Rhode Island, South Carolina, Texas, Tennessee, Utah, Virginia, Washington, Wisconsin
* If you are not living in one of the states listed above, unfortunately, you will not be considered for a position at this time.
**Stay in touch**
 Sign up for our newsletter to find out about career opportunities, new partnerships, and news from the broader civic tech community.
 Please contact the recruiting team at recruiting@navapbc.com if you would like to request reasonable accommodation during the application or interviewing process.
*We participate in E\-Verify. Upon hire, we will provide the federal government with your Form I\-9 information to confirm that you are authorized to work in the U.S. This role requires you to work from the contiguous United States.*
**Equal Employment Opportunity**
 Nava is committed to providing equal employment opportunities without discrimination or harassment on the basis of race, gender and/or gender identity or expression, color, creed, religion, religious creed, age, national origin, ethnicity, disability, veteran or military status, sex, sexual orientation, reproductive health autonomy, pregnancy, childbirth, and medical conditions related to pregnancy or childbirth, genetic information, domestic violence victim status, marital status, citizenship status, or any other characteristic protected by law. Nava prohibits any such discrimination or harassment. This policy applies to all employees, applicants, contractors, and temporary workers of Nava.</t>
        </is>
      </c>
    </row>
    <row r="15">
      <c r="A15" t="inlineStr">
        <is>
          <t>li-4365296070</t>
        </is>
      </c>
      <c r="B15" t="inlineStr">
        <is>
          <t>Data Scientist</t>
        </is>
      </c>
      <c r="C15" t="inlineStr">
        <is>
          <t>Best Job Tool</t>
        </is>
      </c>
      <c r="D15" t="inlineStr">
        <is>
          <t>linkedin</t>
        </is>
      </c>
      <c r="E15">
        <f>HYPERLINK("https://www.linkedin.com/jobs/view/4365296070", "https://www.linkedin.com/jobs/view/4365296070")</f>
        <v/>
      </c>
      <c r="F15" t="inlineStr"/>
      <c r="G15" t="inlineStr"/>
      <c r="H15" t="inlineStr"/>
      <c r="I15" t="inlineStr">
        <is>
          <t>**About The Company**
 DSM\-H LLC is a leading organization dedicated to delivering innovative solutions within the construction equipment industry. Committed to excellence and continuous improvement, DSM\-H LLC leverages cutting\-edge technology and industry expertise to provide high\-quality products and services to clients worldwide. Our company values integrity, collaboration, and a customer\-centric approach, fostering a dynamic work environment where employees are empowered to contribute to our strategic growth and success.
**About The Role**
 This role will have a significant impact on using data to drive actionable insights in the aftermarket division. The successful candidate will be responsible for analyzing aftermarket sales data, supporting various projects, validating data accuracy, and creating comprehensive dashboards to assist field teams. The role requires a keen analytical mindset and the ability to interpret complex data from multiple sources to recommend and facilitate the correct actions needed to optimize aftermarket performance. The individual will work closely with a global team, primarily interacting with colleagues based in Peoria, to support their data needs and enhance existing data visualization tools. This position offers an excellent opportunity to influence strategic decision\-making through data\-driven insights and to develop advanced skills in data analysis and visualization within a collaborative team environment.
**Qualifications**
* 3\-5 years of professional experience in data analysis, business intelligence, or related fields.
* Bachelor’s degree in Computer Science, Statistics, Economics, Mathematics, or a related discipline.
* Experience with cloud platforms such as Azure and Snowflake.
* Strong proficiency in PowerPoint for presenting data insights to leadership.
* Knowledge of construction equipment and aftermarket industry dynamics is a plus.
* Excellent communication skills, both written and verbal, with the ability to convey complex data insights clearly and effectively.
* Proficiency in mathematics and statistical analysis to support data validation and interpretation.
**Responsibilities**
* Review and analyze aftermarket sales data to support ongoing projects and strategic initiatives.
* Validate data accuracy and integrity across multiple sources to ensure reliable insights.
* Create and enhance dashboards and visualizations to support field teams and management decision\-making.
* Support the development of new data views and reports tailored to different stakeholder needs.
* Collaborate with team members across various regions, primarily supporting colleagues based in Peoria.
* Assist in interpreting complex data sets and translating findings into actionable recommendations.
* Develop presentations and reports using PowerPoint to communicate data insights effectively to leadership.
* Stay updated with the latest trends and tools in data analysis, cloud computing, and business intelligence.
* Contribute to a culture of continuous improvement by identifying opportunities to optimize data processes and reporting.
**Benefits**
 DSM\-H LLC offers a comprehensive benefits package designed to support the well\-being and professional growth of our employees. This includes competitive salary packages, health insurance, retirement plans, and paid time off. Employees have access to ongoing training and development programs, fostering career advancement and skill enhancement. We promote a collaborative and inclusive work environment that encourages innovation, teamwork, and work\-life balance. Additionally, employees benefit from a dynamic global team, exposure to cutting\-edge technologies, and opportunities to contribute to impactful projects within the construction equipment industry.
 Equal Opportunity
 DSM\-H LLC is an equal opportunity employer. We are committed to creating an inclusive environment for all employees and applicants regardless of race, color, religion, gender, sexual orientation, gender identity or expression, national origin, age, disability, or veteran status. We believe that diversity and inclusion are key drivers of our success and are dedicated to fostering a workplace where everyone can thrive and contribute to our shared goals.</t>
        </is>
      </c>
    </row>
    <row r="16">
      <c r="A16" t="inlineStr">
        <is>
          <t>li-4365310088</t>
        </is>
      </c>
      <c r="B16" t="inlineStr">
        <is>
          <t>Data Scientist (Ref: 192764)</t>
        </is>
      </c>
      <c r="C16" t="inlineStr">
        <is>
          <t>Forsyth Barnes</t>
        </is>
      </c>
      <c r="D16" t="inlineStr">
        <is>
          <t>linkedin</t>
        </is>
      </c>
      <c r="E16">
        <f>HYPERLINK("https://www.linkedin.com/jobs/view/4365310088", "https://www.linkedin.com/jobs/view/4365310088")</f>
        <v/>
      </c>
      <c r="F16" t="inlineStr"/>
      <c r="G16" t="inlineStr">
        <is>
          <t>Cincinnati, OH</t>
        </is>
      </c>
      <c r="H16" t="inlineStr"/>
      <c r="I16" t="inlineStr">
        <is>
          <t>Position: Data Scientist
 Salary: $120k\-$150k (DOE)
 Location: Fairfield, Cincinnati
 About Us
 We are collaborating with our client, a prominent entity in the insurance sector, dedicated to delivering extensive coverage and customer\-focused solutions. With a wealth of experience, this organization emphasizes innovative strategies and prioritizes the well\-being of its clients, significantly influencing the marketplace.
 Job Description
 This role is for a skilled Data Scientist who is passionate about converting data into actionable insights. The ideal candidate will leverage statistical analysis and machine learning methods to enhance insurance products, improve operational efficiencies, and facilitate informed decision\-making processes. The Data Scientist will interact with various teams, ensuring that data\-driven initiatives align with organizational objectives.
 Key Responsibilities
* Analyze large datasets, both structured and unstructured, to extract valuable insights.
* Design and implement predictive models that align with business strategies and product development.
* Work collaboratively with cross\-functional teams to define data needs and establish analytical frameworks.
* Communicate insights and findings effectively to stakeholders, offering actionable recommendations.
* Continuously enhance algorithms to boost predictive precision and operational efficiency.
* Keep abreast of industry advancements and technologies to incorporate leading practices in data science.
 Requirements
* Bachelor's degree in Data Science, Statistics, Mathematics, or a related discipline; a Master's degree is preferred.
* Expertise in programming languages, particularly Python or R.
* Hands\-on experience with machine learning libraries and frameworks such as scikit\-learn or TensorFlow.
* Strong grasp of statistical modeling and data analysis methods.
* Outstanding problem\-solving abilities coupled with a keen attention to detail.
* Excellent communication skills to effectively present complex information.
 Benefits
* Attractive salary with performance\-related bonuses.
* Comprehensive health benefits, including medical, dental, and vision insurance.
* Retirement savings plan with employer matching contributions.
* Generous paid time off along with a holiday schedule.
* Opportunities for professional development and ongoing education.
 Other
 This organization fosters a supportive and collaborative work culture that values diversity and innovation. Their dedication to employee development and community involvement not only makes them an excellent workplace but also reflects their commitment to being a responsible corporate citizen.</t>
        </is>
      </c>
    </row>
    <row r="17">
      <c r="A17" t="inlineStr">
        <is>
          <t>li-4319572014</t>
        </is>
      </c>
      <c r="B17" t="inlineStr">
        <is>
          <t>Principal Data Scientist - Machine Learning</t>
        </is>
      </c>
      <c r="C17" t="inlineStr">
        <is>
          <t>AvePoint</t>
        </is>
      </c>
      <c r="D17" t="inlineStr">
        <is>
          <t>linkedin</t>
        </is>
      </c>
      <c r="E17">
        <f>HYPERLINK("https://www.linkedin.com/jobs/view/4319572014", "https://www.linkedin.com/jobs/view/4319572014")</f>
        <v/>
      </c>
      <c r="F17" t="inlineStr"/>
      <c r="G17" t="inlineStr"/>
      <c r="H17" t="inlineStr"/>
      <c r="I17" t="inlineStr">
        <is>
          <t>**About AvePoint**
 Beyond Secure. AvePoint is the global leader in data security, governance, and resilience, going beyond traditional solutions to ensure a robust data foundation and enable organizations everywhere to collaborate with confidence. Over 25,000 customers worldwide rely on the AvePoint Confidence Platform to prepare, secure, and optimize their critical data across Microsoft, Google, Salesforce, and other collaboration environments. AvePoint’s global channel partner program includes approximately 5,000 managed service providers, value\-added resellers, and systems integrators, with our solutions available in more than 100 cloud marketplaces. To learn more, visit
 **www.avepoint.com** 
 .
 At AvePoint, we are committed to investing in our people. Agility, passion and teamwork set us up to do our best work and foster a culture where you are empowered to craft your career, make an impact, and own (y)our future. Unleash the power of you!
**What You'll Be Doing**
 We are seeking an analytical and innovative Data Scientist to join our Data \&amp; AI team. You will play a key role in developing and deploying advanced machine learning models to solve real\-world business challenges. Your efforts will help optimize data pipelines, extract actionable insights, and shape the future of intelligent solutions at AvePoint.
**Your Key Responsibilities**
* Design, build, and deploy machine learning models leveraging structured and unstructured data.
* Shape and engineer data pipelines for optimal model performance and production\-grade scalability.
* Collaborate cross\-functionally with engineers, researchers, and product teams to define requirements and deliver impactful AI/ML solutions.
* Analyze experimental data, conduct model validation, and continuously improve accuracy and robustness.
* Document methodologies and results, presenting findings to both technical and non\-technical stakeholders.
* Stay up\-to\-date with the latest advancements in machine learning and data science best practices.
* Support operationalizing models within AvePoint’s ecosystem, ensuring responsible data handling and compliance.
**Preferred Qualifications**
* Bachelor’s or Master’s degree in Computer Science, Data Science, Engineering, Statistics, or related field (PhD not required, but a strong plus).
* 10\+ years of hands\-on machine learning experience, including building, evaluating, and streamlining data\-driven models for business use.
* Proficiency with Python and major ML/data libraries (e.g., Pandas, Scikit\-learn, TensorFlow, PyTorch).
* Strong background in data wrangling, cleansing, feature engineering, and ETL pipeline development.
* Practical experience deploying models in a cloud or distributed environment.
**What We Value**
* Commitment to excellence and continual professional development.
* Excellent analytical, problem\-solving, and communication skills.
* Initiative and ownership in research and project execution.
* Collaboration with diverse, global teams.
* Clarity in communicating technical information to varied audiences.
**Benefits We Offer**
* Competitive market\-based compensation (salary, yearly bonus \+ equity).
* Career progression and internal mobility opportunities.
* Work\-life balance through a hybrid working model.
* Unlimited PTO.
 This role offers the opportunity to work at the intersection of machine learning innovation and industry impact, contributing to AvePoint’s vision for secure, intelligent, and data\-driven workplaces.
 If you are passionate about transforming data into actionable solutions and want to be part of a global tech leader, we want to hear from you!
 The Salary Range for this role is $200,000 \- $245,000\. At AvePoint, we strive to offer competitive, fair, and equitable total rewards. The listed salary range represents a good faith estimate, with final offers based on location, experience, skills, and qualifications. The listed range reflects base salary only; our total rewards include base salary, comprehensive benefits (medical, dental, vision, 401(k) with match, unlimited PTO), and depending on the role, bonuses, commissions, or equity (RSUs). We welcome compensation discussions—apply even if your expectations fall outside the range.
 Any personal data you share with us during the application process will be processed strictly in compliance with applicable data protection laws and our Privacy Notice.</t>
        </is>
      </c>
    </row>
    <row r="18">
      <c r="A18" t="inlineStr">
        <is>
          <t>li-4339472913</t>
        </is>
      </c>
      <c r="B18" t="inlineStr">
        <is>
          <t>Staff Data Scientist, Product Analytics</t>
        </is>
      </c>
      <c r="C18" t="inlineStr">
        <is>
          <t>OVERJET</t>
        </is>
      </c>
      <c r="D18" t="inlineStr">
        <is>
          <t>linkedin</t>
        </is>
      </c>
      <c r="E18">
        <f>HYPERLINK("https://www.linkedin.com/jobs/view/4339472913", "https://www.linkedin.com/jobs/view/4339472913")</f>
        <v/>
      </c>
      <c r="F18">
        <f>HYPERLINK("https://jobs.ashbyhq.com/Overjet/2e1a9ee9-447f-4ede-884d-9e58e45f1b66/application?utm_source=1qKlgjYXAj&amp;src=linkedin&amp;urlHash=V2IC", "https://jobs.ashbyhq.com/Overjet/2e1a9ee9-447f-4ede-884d-9e58e45f1b66/application?utm_source=1qKlgjYXAj&amp;src=linkedin&amp;urlHash=V2IC")</f>
        <v/>
      </c>
      <c r="G18" t="inlineStr">
        <is>
          <t>New York, NY</t>
        </is>
      </c>
      <c r="H18" t="inlineStr"/>
      <c r="I18" t="inlineStr">
        <is>
          <t>**Lead the Future of Dentistry.**
 Overjet is the world\-leader in dental AI. Already, thousands of dental providers and insurers rely on our platform to deliver the best possible care. Now, we’re looking for talented people to fulfill our mission: improve oral health for all.
 Overjet is where builders become leaders. Everyone here loves to make new things: new products, new partnerships, new content, and a new category of AI technology. And as Overjet grows ridiculously fast, so will you.
 Simply put, there’s no better place to accelerate your career. Come join us!
**The Role**
 Overjet is looking for an experienced Staff Data Scientist of Product Analytics to join our Data \&amp; Analytics team. You’ll work shoulder\-to\-shoulder with our data engineers, data analysts, product managers, and customer success teams to deliver for our customers. You’ll take a leading role in defining how the company leverages product analytics to develop product strategy and gather product insights to better support internal and external stakeholders at scale.
**Responsibilities**
* Collaborate with cross\-functional teams (product, engineering, customer success, business) to define key product\- and business\-driven questions and translate them into analytical solutions, and deliver actionable insights to support business objectives.
* Utilize Python, SQL, BI tools, and analytic techniques to analyze large and complex data sets, identifying trends, patterns, and opportunities for optimization.
* Derive actionable insights from our data to provide recommendations to shape the product roadmap and convey the value story of our products to our customers.
* Collaborate with our data engineers on the construction and maintenance of data pipelines and ETL processes to ensure data integrity, quality, and observability.
* Create compelling data visualizations and products using tools like Sigma to effectively communicate findings to internal and external stakeholders and enable self\-service dashboards and tools.
* Serve as a trusted advisor to external customers and develop and deploy external\-facing data products and embedded analytics that enable customers to derive value from Overjet’s unique data.
* Stay informed about industry trends and emerging technologies to ensure that our analytics capabilities remain cutting\-edge.
* Collaborate with data analysts, data engineers, and product managers on data products, dashboards, and the company’s data infrastructure.
* Create strong documentation and dictionaries to ensure users interpret KPIs and data in a consistent manner.
* Ability to thrive in a fast\-paced, technical, and mission\-focused environment.
**Qualifications**
* Excellent academic background in a heavily quantitative and analytics\-related field
* Significant experience with increasing levels of responsibility working in data analytics/data science
* Excellent technical proficiency in Python, SQL, and data transformation tools
* Strong familiarity with data visualization tools such as Looker, Sigma, Tableau, or Power BI
* Experience leading engagements with external customers on analytics projects, creating compelling data presentations, and mastery of working with senior leaders
* Excellent communication skills with the ability to translate complex technical concepts into easily understandable insights for non\-technical stakeholders
* Strong problem\-solving skills and attention to detail
* Experience working in SaaS, B2B software, and at a high\-growth startup
* Healthcare experience is a plus
**Why Overjet?**
* Competitive Compensation and Equity
* Hybrid workplace that provides flexibility, vibrant in\-person workspaces, and the ability to build strong connections across all of Overjet \- regardless of location
* 401k plans with a matching program
* Medical, Dental and Vision coverage: 99% employee premium covered, 75% dependent premium covered
* Life and AD\+D Insurance
* 8 weeks Paid Parental Leave
* Optional HSA with Employer contribution
* Flexible Time Off and company paid holidays
* Annual Learning and Development Stipend
* Work from Home Stipend
**Our Hybrid Workplace**
 We have a unique hybrid workplace at Overjet — which combines the teamwork of meeting in person, with the flexibility of working from anywhere.
 Many of our positions are based in San Mateo, New York City, Boston, Salt Lake City, and Lahore. The Jetsetters who live in these “geo\-hubs” come to the office on Tuesdays and Wednesdays, while having the option to work from home the rest of the week.
 Our People Team is happy to answer any questions about what hybrid work means for your specific role!
**Overjet's Values**
* Excellence: We set ambitious goals and strive for excellence.
* Velocity: We focus, act with urgency, and deliver results.
* Ownership: We take ownership, dive deep and solve problems.
* Win\-win: We play to win, setting ourselves and our customers up for success.
* Growth: We stay curious, seek feedback, and continuously learn and grow.
**Company Recognition**
* Honored as one of the 2025 Best Places to Work by Built In and
 2024 Best Places to Work by Built In
* Named one of the TIME Best Inventions of 2024
* Recognized in Newsweek’s Most Loved Workplaces in America 2024
* Won the Dental Health category at the Digital Health Awards 2024
* Recognized as one of the Top Startups of 2023 by LinkedIn
* Named one of the 2023 World’s Most Innovative Companies by Fast Company
* Included on the definitive 2022 Forbes AI 50
* Featured in Bloomberg, Forbes, Fast Company, and TechCrunch
**EEOC**
*Overjet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*If you are a Colorado resident: Please contact us by emailing recruiting@overjet.ai to receive compensation and benefits information for this role. Please include the job title in the subject line of the email.*</t>
        </is>
      </c>
    </row>
    <row r="19">
      <c r="A19" t="inlineStr">
        <is>
          <t>li-4355235183</t>
        </is>
      </c>
      <c r="B19" t="inlineStr">
        <is>
          <t>Data Scientist, Credit Risk</t>
        </is>
      </c>
      <c r="C19" t="inlineStr">
        <is>
          <t>Zepz</t>
        </is>
      </c>
      <c r="D19" t="inlineStr">
        <is>
          <t>linkedin</t>
        </is>
      </c>
      <c r="E19">
        <f>HYPERLINK("https://www.linkedin.com/jobs/view/4355235183", "https://www.linkedin.com/jobs/view/4355235183")</f>
        <v/>
      </c>
      <c r="F19">
        <f>HYPERLINK("https://zepz.careers.hibob.com/jobs/732582fe-6557-41d2-a122-05196605dda2&amp;urlHash=vuA7", "https://zepz.careers.hibob.com/jobs/732582fe-6557-41d2-a122-05196605dda2&amp;urlHash=vuA7")</f>
        <v/>
      </c>
      <c r="G19" t="inlineStr"/>
      <c r="H19" t="inlineStr"/>
      <c r="I19" t="inlineStr">
        <is>
          <t>**Join Zepz: Breaking Down Borders, Together** 
**Our Meaningful Mission** 
 At Zepz, we're all about breaking down barriers for our customers and our teammates. Our purpose is deeply personal, we provide a lifeline and deliver opportunities to cross\-border communities that need it most through cutting edge finance and tech.Zepz is the power behind WorldRemit and Sendwave, driven by the mission to celebrate the incredible impact migrants have, both at home and abroad. We're not just moving money; we're building a world that truly recognizes and supports global connections.
**Who You'll Be Joining** 
 We look for mission\-driven builders who thrive in a fast\-paced environment connected to a true purpose. We’re an always developing team of experts that enjoy problem solving and bring clarity to tough challenges. At Zepz, we are Relentless Learners, always seeking feedback, and Responsible Owners, treating company resources like your own. We depend on Transparent Communicators who keep the team aligned through open, honest talk.
**Our Core Commitments — What We Live By** 
 Our vibrant and truly diverse culture is built on three core commitments, that guide how we work and interact:
* Integrity: We always do the right thing. It’s simple, but it’s the foundation of everything we build for our customers and each other.
* Outcomes: We work for our customers. Their success and prosperity are the results we focus on delivering.
* Velocity: We are fast! We maintain high energy levels and make smart decisions quickly, keeping us nimble and ahead of the curve.
**Perks of Joining Our Team** 
 We believe in empowering colleagues because we genuinely trust our team. Our culture is founded on this high trust, which naturally encourages the high ownership that drives us to meet our shared high expectations and deliver high performance. Our remote\-first culture means you have the flexibility to work in your employing country wherever you feel the most focused and productive. This freedom comes with wonderful tailored, location\-specific perks designed to support your whole life, not just your work. Think unlimited annual leave , great healthcare benefits, and employee discounts. We want you to thrive and focus entirely on making your biggest impact! In turn, we expect you to bring high ownership and commitment to your work. This is a place where we value trust and high performance, and we'll provide the environment and support needed for you to excel
**About The Role** 
 We're excited to welcome a Data Scientist to our team ! We value diverse perspectives and are looking for someone who can bring their unique skills to help us assess and manage consumer credit risk. In this role, you’ll have a big impact by analyzing credit risk exposure, collaborating with different teams to improve our risk metrics, and developing machine learning models for credit and fraud risk. You’ll work closely with both internal and external partners to streamline our monitoring processes and contribute to our credit risk strategy and portfolio management in partnership with our Product and Finance teams.
**What We’re Looking For** 
* Experience: You have 5\-8 years of experience in consumer credit risk management.
* Technical Skills: Proficiency in SQL and Python.
* Credit Risk Expertise: Experience in formulating credit risk policies and making underwriting decisions.
* Analytical Skills: Ability to assess customers' creditworthiness using diverse data sources and predictive analytics to set credit limits that balance growth with minimized risk, especially for consumers with “thin credit files”.
* Risk Monitoring: You’re skilled in monitoring and analyzing key loss indicators, identifying trends, and improving credit risk strategies to optimize approval rates, customer utilization, and loss performance.
* Statistical and Analytical Tools: Proficiency in using statistical and analytical tools, including machine learning frameworks, for credit risk and fraud detection.
* Organizational Skills: Strong organizational and project management skills, with experience managing multiple projects in a fast\-paced environment.
* Decision\-Making: Ability to make sound, data\-informed decisions in new and ambiguous situations with minimal guidance.
* Reporting and Automation: Experience in supporting, building, and automating reports and operational processes.
* Collaboration: Proven ability to work and communicate effectively with cross\-functional teams, including Engineering, Data, Product, and Finance.
**Bonus Points** 
* Growth Mindset: A passion for learning and growing, with a willingness to embrace challenges.
* Fintech Experience: Experience in Fintech or startup environments is a plus but not required.
* Education: An educational background in Finance, Economics, Statistics, Data Science, or a related discipline is beneficial but not a hard requirement.
 If you want to join us in our journey to help break barriers in financial access and improve lives globally, there's no better place or time to join.
 Our global team of 800\+ people is spread across six continents. We aspire to hire the best mix of people from former Olympians to YouTube influencers and we speak over twenty languages. This incredible diversity isn't a bonus; it's the engine that lets us serve the world.
**Ready to Apply? Let’s Go.**</t>
        </is>
      </c>
    </row>
    <row r="20">
      <c r="A20" t="inlineStr">
        <is>
          <t>li-4362651730</t>
        </is>
      </c>
      <c r="B20" t="inlineStr">
        <is>
          <t>Data Scientist</t>
        </is>
      </c>
      <c r="C20" t="inlineStr">
        <is>
          <t>Insight Global</t>
        </is>
      </c>
      <c r="D20" t="inlineStr">
        <is>
          <t>linkedin</t>
        </is>
      </c>
      <c r="E20">
        <f>HYPERLINK("https://www.linkedin.com/jobs/view/4362651730", "https://www.linkedin.com/jobs/view/4362651730")</f>
        <v/>
      </c>
      <c r="F20" t="inlineStr"/>
      <c r="G20" t="inlineStr"/>
      <c r="H20" t="inlineStr"/>
      <c r="I20" t="inlineStr">
        <is>
          <t>**Title:** 
 Senior Data Scientist
**Location:** 
 100% Remote
**Duration:** 
 6 month contract to hire
**Required Skills \&amp; Experience** 
* 3\-5\+ years of professional experience (POST GRAD) as a delivery\-focused Data Scientist or ML Engineer
* Understand how LLMs integrate to complex systems and experience building LLM's
* Deep understanding of RAG and hands\-on experience
* Hands\-on experience with NLP
* Strong in Python programming
* Experience creating AI Agents and Agentic Workflows
**Nice to Have Skills \&amp; Experience (NOT required):** 
* Masters and PHD
**Job Description** 
 As a Senior Data Scientist, you will leverage your advanced analytical skills to extract insights from complex datasets. Your expertise will drive data\-driven decision\-making and contribute to the development of innovative solutions. You will collaborate with cross\-functional teams to enhance business strategies and drive growth through actionable data analysis.
* Leading the development of advanced AI and machine learning models to solve complex business problem
* Working closely with other data scientists and engineers to design, develop, and deploy AI solutions
* Collaborating with cross\-functional teams to ensure AI solutions are aligned with business goals and customer needs
* Building models, performing analytics, and creating AI features
* Mentoring junior data scientists and provide guidance on AI and machine learning best practices
* Working with product leaders to apply data science solutions</t>
        </is>
      </c>
    </row>
    <row r="21">
      <c r="A21" t="inlineStr">
        <is>
          <t>li-4355205556</t>
        </is>
      </c>
      <c r="B21" t="inlineStr">
        <is>
          <t>Data Scientist &amp; Data Analyst</t>
        </is>
      </c>
      <c r="C21" t="inlineStr">
        <is>
          <t>Applied Materials</t>
        </is>
      </c>
      <c r="D21" t="inlineStr">
        <is>
          <t>linkedin</t>
        </is>
      </c>
      <c r="E21">
        <f>HYPERLINK("https://www.linkedin.com/jobs/view/4355205556", "https://www.linkedin.com/jobs/view/4355205556")</f>
        <v/>
      </c>
      <c r="F21" t="inlineStr"/>
      <c r="G21" t="inlineStr">
        <is>
          <t>Santa Clara, CA</t>
        </is>
      </c>
      <c r="H21" t="inlineStr"/>
      <c r="I21" t="inlineStr">
        <is>
          <t>**Who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Salary:
 $124,000\.00 \- $171,000\.00
 Location:
 Santa Clara,CA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**Overview**
 The EPIC Center’s success depends on high‑quality operational data, unified data models, measurable velocity metrics, and advanced analytics that accelerate R\&amp;D and lab execution. We are seeking a Data Scientist \&amp; Data Analyst to lead the development of EPIC’s operational data foundation and deliver insights that enable measurable improvements in lab productivity, experiment throughput, resource efficiency, and end‑to‑end process velocity.
 Key Responsibilities
 Operational Data Foundation \&amp; Modeling
* Develop and maintain conceptual, logical, and operational data models for lab operations, experiments, equipment, materials, metrology, and supporting workflows.
* Identify data gaps and fragmentation across systems, workflows, and sources; propose solutions to improve data completeness, consistency, and quality.
* Define and refine threading keys required for end‑to‑end visibility and velocity measurement across lab processes.
* Build structured datasets that enable measurement of cycle time, productivity, utilization, and other operational KPIs.
 Analytics, Insights \&amp; Decision Support
* Analyze operational workflows and experiment cycles to identify bottlenecks, inefficiencies, and opportunities for acceleration.
* Build dashboards, reports, and analytical tools that provide real‑time visibility into lab performance and velocity metrics.
* Apply data science, statistical modeling, and predictive analytics to support continuous improvement and scenario analysis.
* Support leaders with insights that influence strategic decisions, resource planning, and operational design.
 AI‑Enabled Lab Operations \&amp; Automation
* Contribute to development of AI‑assisted operational workflows, including agents for optimization and automated insights.
* Identify opportunities for automation and machine‑learning‑driven recommendations across lab operations.
 Cross‑Functional Collaboration
* Work closely with lab operations, engineering, R\&amp;D, logistics, facilities, and system owners to understand data needs and operational context.
* Collaborate with information system owners and technical teams to ensure analytics requirements shape data architecture and system design.
* Partner with transformation and business process teams to integrate analytics into redesign efforts.
 Measurement Frameworks \&amp; Velocity Metrics
* Define and maintain frameworks that measure velocity, productivity, and throughput across lab processes.
* Develop methods to quantify improvements from system changes, workflow redesign, and operational interventions.
* Support creation of baseline measurement dashboards and KPIs for EPIC workflows.
**Qualifications**
* Bachelor’s or Master’s degree in Data Science, Computer Science, Engineering, Statistics, or related field.
* 3–7 years of experience in data analytics, data science, or operational analytics, preferably in a technical or R\&amp;D environment.
* Strong skills in data modeling, statistical analysis, and translating operational workflows into structured datasets.
* Proficiency with data analysis tools (Python, R, SQL) and visualization platforms.
* Experience building dashboards, models, and analytics that support operations, productivity, or process optimization.
* Ability to communicate insights clearly to technical and non‑technical audiences.
* Semiconductor industry experience preferred.
* Familiarity with lab environments, experiment workflows, or operational data challenges is a strong plus.
**Additional Information**
**Time Type:**
 Full time
**Employee Type:**
 Assignee / Regular
**Travel:**
 Yes, 10% of the Time
**Relocation Eligible:**
 Yes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
 In addition, Applied endeavors to make our careers site accessible to all users. If you would like to contact us regarding accessibility of our website or need assistance completing the application process, please contact us via e\-mail at Accommodations\_Program@amat.com, or by calling our HR Direct Help Line at 877\-612\-7547, option 1, and following the prompts to speak to an HR Advisor. This contact is for accommodation requests only and cannot be used to inquire about the status of applications.</t>
        </is>
      </c>
    </row>
    <row r="22">
      <c r="A22" t="inlineStr">
        <is>
          <t>li-4225062630</t>
        </is>
      </c>
      <c r="B22" t="inlineStr">
        <is>
          <t>Senior/Staff Applied Scientist</t>
        </is>
      </c>
      <c r="C22" t="inlineStr">
        <is>
          <t>Glean</t>
        </is>
      </c>
      <c r="D22" t="inlineStr">
        <is>
          <t>linkedin</t>
        </is>
      </c>
      <c r="E22">
        <f>HYPERLINK("https://www.linkedin.com/jobs/view/4225062630", "https://www.linkedin.com/jobs/view/4225062630")</f>
        <v/>
      </c>
      <c r="F22">
        <f>HYPERLINK("https://job-boards.greenhouse.io/gleanwork/jobs/4424103005&amp;urlHash=8qT2", "https://job-boards.greenhouse.io/gleanwork/jobs/4424103005&amp;urlHash=8qT2")</f>
        <v/>
      </c>
      <c r="G22" t="inlineStr"/>
      <c r="H22" t="inlineStr"/>
      <c r="I22"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building a world\-class Data Organization composed of product data science, applied science, data engineering and business intelligence groups. This is an applied science role based in our Palo Alto or San Francisco office. It covers a subset of:
**A/B Experimentation**
* Collaborate with product data science and engineering teams to identify techniques, tooling and process improvements in online A/B experimentation to assist rigorous decision making across all relevant product domains.
* Develop and maintain our A/B experimentation platform based on stakeholder feedback
* Write code or identify vendors to deploy these techniques to production in a scalable manner that’s easy to use by engineering, product data science, product management and design teams
**Generative AI Evaluation**
* End to end evaluation of various hero use cases like document/URL uploads, including evaluation set generation, coming up with evaluation criteria and methods to interpret the results.
* Breaking down end to end evaluations into more granular evaluation of various tasks \&amp; skills including but not limited to content summarization/analysis/generation, multi\-step reasoning \&amp; strategizing, tool selection \&amp; use, coding \&amp; system design.
* Design, development and ownership of best practices, tools and processes across various evaluation problems, e.g. query intent classification, standardizing the use of best statistical principles to handle LLM stochasticity, industry benchmarking.
**About You**
* You have 5\+ years of experience as a Masters degree holder, 3\+ as a PhD degree holders (Masters/PhD degree in Statistics, Mathematics or Computer Science, or another quantitative field)
* You’re strong in statistics and/or machine learning. You have experience in applying these skills into tangible improvements in products, internal tools, and processes in a pragmatic way that puts business urgencies first.
* You are very proficient in Python, e.g. proficient enough to maintain an internal source\-controlled library used by dozens of others.
* You are concise and precise in written and verbal communication. Technical documentation is your strong suit.
* You are proficient in SQL and the modern data stack (e.g. source\-controlled dbt pipelines for ETL/ELT).
* You are strong at defining good product KPIs/guardrail metrics, dashboarding and analysis of raw data to derive strategic insights.
* You have experience in B2B SaaS.
* You have experience working on ranking, developing, and maintaining A/B experimentation platforms and/or ML measurement problems.
* You are passionate about using AI to improve the productivity of data teams as well as non\-data professionals trying to derive more value of their company’s data.
**Location:**
* This role is hybrid (3\-4 days a week in one of our SF Bay Area offices)
**Compensation \&amp; Benefits**
 The standard base salary range for this position is $175,000 \- $230,000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23">
      <c r="A23" t="inlineStr">
        <is>
          <t>li-4362516104</t>
        </is>
      </c>
      <c r="B23" t="inlineStr">
        <is>
          <t>Senior Data Scientist II (Healthcare Data)</t>
        </is>
      </c>
      <c r="C23" t="inlineStr">
        <is>
          <t>Particle Health</t>
        </is>
      </c>
      <c r="D23" t="inlineStr">
        <is>
          <t>linkedin</t>
        </is>
      </c>
      <c r="E23">
        <f>HYPERLINK("https://www.linkedin.com/jobs/view/4362516104", "https://www.linkedin.com/jobs/view/4362516104")</f>
        <v/>
      </c>
      <c r="F23" t="inlineStr"/>
      <c r="G23" t="inlineStr">
        <is>
          <t>New York, NY</t>
        </is>
      </c>
      <c r="H23" t="inlineStr"/>
      <c r="I23" t="inlineStr">
        <is>
          <t>**About Particle**
 Particle Health is revolutionizing healthcare data analytics and interoperability. Our mission is to unlock the power of medical records in an intelligent platform that focuses health back on the patient.
 Through our modern data platform, we enable healthcare innovators—ranging from value\-based care providers and payers to digital health companies and health systems—to access standardized, real\-time patient data. By bridging fragmented data silos, Particle empowers organizations to tackle critical use cases such as care coordination, risk stratification, patient identity management, and regulatory compliance with ease and precision.
 Our solutions of Snapshot, Signal, Navigator, and Workbench address the complex challenges of healthcare data analytics and interoperability, helping our customers transform data into actionable insights, improve patient outcomes, and streamline workflows.
**About The Role**
 As a company, a key to our success is in analyzing healthcare data and creating new insights to help our customers treat patients, so we are growing our data science function. We have access to some very compelling data sets, primarily EHR, Rx Fill Data, and Provider Data that are enabled by recent healthcare interoperability regulations. We are looking for a seasoned expert who will help us advance our mission and build data products and capabilities.
 As a key member of the Particle Health Data Science team, you will be a key player in shaping and executing foundational components of our analytics strategy, helping to define key models for some of the most interesting and challenging problems in healthcare. As a recognized expert on experiment design and statistical significance within the company, you will play a crucial role in identifying the limits of inference within our data and work closely with product and engineering to identify new analytical products, helping to ensure that our product roadmap continues to evolve toward products that are not only desirable, but feasible and viable as well. You will also contribute to our AI \&amp; NLP roadmap, which will become increasingly important over time.
 A “day in the life” of a Senior Data Scientist II at Particle will almost certainly involve a lot of curiosity – being willing to talk to stakeholders, investigate the complexities of patient\-level data. You will think critically about how we can isolate key outcomes within our data and build models showcasing approaches toward identifying treatment adherence, gaps in care, risk scoring, and more. And you will work very closely with the data engineering function to ensure that these are carried through into production.
**What You’ll Do**
* Our Data Scientists are “full stack” \- their work spans data product development, analytics, data science and machine learning, and data visualization. They are deeply technical, and are able to prepare data they need for their work if needed.
* Work with product and engineering leadership to create product features, and analyses to develop our data understanding.
* Collaborate with other data scientists, data engineers and clinical experts. Lead projects to create new models, features, and data products and help deploy them to production.
* Work on both AI / Machine Learning projects, as well as analytics projects
* Support presales efforts and explore new use cases for our data
* Improve Data Quality \- Identify gaps in data and help find ways to fill them. Data Quality is a major differentiator for our platform.
* Solve problems both through in\-house efforts as well as finding creative ways to partner with other companies or open source initiatives.
* Examples of recent DS\-led projects: AI Summarization of medical history, new product to help health systems to make strategic decisions, new internal data product to understand our geographic coverage, work to improve our data quality by imputing values to close gaps, predictive analytics project for GLP1 medication.
**What We Look For**
* Healthcare Data Expertise: Extensive experience working with healthcare data (especially EHR and / or Claims data, ADTs), including clinical applications and / or risk stratification.
* Problem Solver: Proven ability to translate business goals and domain understanding into analytics strategies, utilizing both supervised and unsupervised analytics techniques effectively.
* Critical Thinker: A natural curiosity and passion for problem solving– the best candidate will be someone who has an innate curiosity and ability to break down complex data sets and extract meaningful insights to drive outcomes
* Innovative Approach: Creativity in addressing data limitations–framing the right questions as we seek to find the answers.
* Technical Proficiency: Strong technical experience SQL is a core part of daily workflows, and strong expertise here is critical. We also use \&amp; Python and Spark.
* End\-to\-End Delivery: Commitment to seeing projects through from ideation to implementation, with enthusiasm for productionalizing solutions and delivering direct impact to end users.
* Clear Communicator: Ability to translate complex technical concepts into accessible language for nontechnical\-stakeholders, fostering collaboration and achieving shared understanding.
**Preferred Qualifications**
* 8\+ years of experience developing and deploying complex ML \&amp; statistical models, delivering impactful, data\-driven solutions in production environments.
* In\-depth knowledge of healthcare data and formats (e.g. CCDA, FHIR, ADTs, Tuva Schema, OMOP), with a proven ability to address real\-world healthcare challenges.
* Experience working with Value Based Care organizations, understanding their data and operational needs.
* Master's degree in a technical field or equivalent practical experience. Advanced healthcare\-related credentials (e.g., MD, Pharm.D. PhD, RN, LPN) are a plus but not required!
* Business Intelligence Tools \&amp; Data Visualization Experience
* Experience with both supervised and unsupervised ML modeling techniques, with a nuanced understanding of their strengths, limitations and applications in a healthcare context.
**Why Particle Health?**
* Purposeful Work: Contribute to projects that directly improve healthcare access, empower providers, and enhance patient outcomes.
* Collaborative Culture: Thrive in a mission\-driven, curiosity\-fueled environment where ownership and bold ideas are celebrated.
* Flexibility \&amp; Balance: Enjoy unlimited PTO and a flexible, fully remote work setup, giving you control over your schedule.
* Comprehensive Benefits:
+ 100% employer\-paid health benefits for you and generous coverage for your family.
+ Employer\-funded 401(k) match to help you build a secure future.
+ Mental health benefits to support your well\-being.
* Invest in Your Future: Receive employee equity, ensuring you share in the company’s success.
* Family Support: Access 14 weeks of fully paid parental leave, so you can focus on what matters most.
**Compensation Range** 
 : For this role, we’re targeting a salary range of
 **$205,000–$225,000** 
 annually, depending on experience and qualifications. If your background aligns more closely with a higher or lower level than the scope outlined here, compensation may vary accordingly.
*At Particle Health, we believe diversity is a strength that drives and fuels our mission to transform healthcare. We are proud to be an equal opportunity employer and are committed to creating an inclusive, supportive environment where everyone can thrive.* 
*We welcome and celebrate individuals of all backgrounds, perspectives, and experiences, regardless of race, religion, color, national origin, gender, sexual orientation, age, marital status, veteran status, or disability. Our commitment to diversity reflects our core values—integrity, curiosity, boldness, ownership, and persistence—and our belief that our differences make us stronger as a team and a company.*
*Data Privacy Notice for Employees and Candidates*
*For more info about Particle and our team, check out the resources \&amp; links included.*
*https://www.particlehealth.com/*
*https://builtin.com/awards/new\-york\-city/2024/best\-startup\-places\-to\-work\#particle\-health*
**Notice: Recruitment Scam Alert**
 We’ve Been Made Aware Of Attempts By Scammers Impersonating Particle Health Or Our Team Members To Post Fake Job Listings, Conduct Fraudulent Interviews, Or Issue Fake Offer Letters. These Scams May Involve
* Requests for personal or financial information
* Interviews conducted only via text or messaging apps
* Emails that don’t come from an @particlehealth.com address
* Offers for jobs you didn’t apply for
**Please Note**
* We will never ask for money, gift cards, or personal financial details at any stage of our hiring process
* All legitimate communication will come from an official @particlehealth.com email address
* Our hiring process always includes video interviews — never just text
 If you’re unsure about the legitimacy of a communication, don’t hesitate to contact us at
 **hiring@particlehealth.com** 
 . We’re here to help.</t>
        </is>
      </c>
    </row>
    <row r="24">
      <c r="A24" t="inlineStr">
        <is>
          <t>li-4365308475</t>
        </is>
      </c>
      <c r="B24" t="inlineStr">
        <is>
          <t>Senior Data Scientist</t>
        </is>
      </c>
      <c r="C24" t="inlineStr">
        <is>
          <t>Amgen</t>
        </is>
      </c>
      <c r="D24" t="inlineStr">
        <is>
          <t>linkedin</t>
        </is>
      </c>
      <c r="E24">
        <f>HYPERLINK("https://www.linkedin.com/jobs/view/4365308475", "https://www.linkedin.com/jobs/view/4365308475")</f>
        <v/>
      </c>
      <c r="F24" t="inlineStr"/>
      <c r="G24" t="inlineStr">
        <is>
          <t>Cambridge, MA</t>
        </is>
      </c>
      <c r="H24" t="inlineStr"/>
      <c r="I24" t="inlineStr">
        <is>
          <t>**Join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**Senior Data Scientist**
**What You Will Do**
 Let’s do this! Let’s change the world!
 In this vital role you will be responsible for developing, maintaining, and deploying first principles and/or machine learning models for biopharmaceutical processes, including but not limited to, cell culture, biologics formulation development, and fill/finish processes. You will be responsible for model design, selection of underlying technologies and infrastructure, and ensuring successful application of models in Process Development.
 The ideal candidate will have a strong background in chemical engineering or mechanical engineering as well as expertise in data science to tackle challenging cross‐functional projects. Fundamental understanding of bioprocesses as well as first principles (i.e., transport phenomena, fluid mechanics, reaction kinetics) is preferred. The candidate will be part of cross\-functional project teams with frequent interactions with Amgen’s SMEs and stakeholders as well as document and communicate the underlying technical basis of the models for use by engineers and scientists.
* Design, develop, and deploy first principles, machine learning, and hybrid models to optimize biopharmaceutical processes.
* Integrate modeling software with connectivity to real\-time equipment data to enable digital twins for improved process performance and understanding.
* Build and maintain robust data pipelines and agentic workflows to streamline the effort required to generate impact\-level insights.
* Collaborate with cross\-functional teams to translate scientific challenges into data\-driven solutions and ensure seamless model integration into process development workflows.
* Champion best practices in software development, including version control, testing, and continuous integration to ensure model reliability, scalability, and reproducibility.
**What We Expect Of You**
 We are all different, yet we all use our unique contributions to serve patients. The Data Sciences professional we seek is an individual with these qualifications.
**Basic Qualifications:**
* High school diploma / GED and 10 years of Data Sciences experience OR
* Associate’s degree and 8 years of Data Sciences experience OR
* Bachelor’s degree and 4 years of Data Sciences experience OR
* Master’s degree and 2 years of Data Sciences experience OR
* Doctorate degree
**Preferred Qualifications:**
* Ph.D. in Chemical Engineering, Mechanical Engineering, Applied Math, or related field
* Strong background in mechanistic modeling and first principles (e.g., transport phenomena, fluid mechanics, reaction kinetics)
* Experience in applying AI and ML algorithms to produce data\-driven solutions to engineering problems
* Track record of leading modeling and data science projects
* 3\+ yrs of coding experience in Python
* Understanding of biopharmaceuticals process and related unit operations
* Experience using Git for version control
* Familiarity with DevOps and software best practices (i.e., version control, continuous integration, test driven development)
* Experience with data engineering \&amp; visualization tools (e.g., Databricks, Spotfire) as well as cloud computing and data storage systems such as AWS
* Experience leveraging AI tools to generate agentic solutions for scientific workflows
* Independent, self‐motivated, organized, and able to multi‐task in time‐sensitive environments
* Excellent communication skills (written and verbal)
* Strong analytical skills with the ability to collect, organize, analyze, and disseminate significant amounts of information with attention to detail and accuracy
**What You Can Expect From Us**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where possible. Refer to the Work Location Type in the job posting to see if this applies.
**Apply now and make a lasting impact with the Amgen team.**
**careers.amgen.com**
 In any materials you submit, you may redact or remove age\-identifying information such as age, date of birth, or dates of school attendance or graduation. You will not be penalized for redacting or removing this information.
**Sponsorship**
 Sponsorship for this role is not guaranteed.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Amgen is an Equal Opportunity employer and will consider you without regard to your race, color, religion, sex, sexual orientation, gender identity, national origin, protected veteran status, or disability status.</t>
        </is>
      </c>
    </row>
    <row r="25">
      <c r="A25" t="inlineStr">
        <is>
          <t>li-4365284582</t>
        </is>
      </c>
      <c r="B25" t="inlineStr">
        <is>
          <t>Applied Scientist II</t>
        </is>
      </c>
      <c r="C25" t="inlineStr">
        <is>
          <t>Microsoft</t>
        </is>
      </c>
      <c r="D25" t="inlineStr">
        <is>
          <t>linkedin</t>
        </is>
      </c>
      <c r="E25">
        <f>HYPERLINK("https://www.linkedin.com/jobs/view/4365284582", "https://www.linkedin.com/jobs/view/4365284582")</f>
        <v/>
      </c>
      <c r="F25" t="inlineStr"/>
      <c r="G25" t="inlineStr">
        <is>
          <t>Redmond, WA</t>
        </is>
      </c>
      <c r="H25" t="inlineStr"/>
      <c r="I25" t="inlineStr">
        <is>
          <t>**Overview**
 The Field Service Scheduling team within Business \&amp; Industry Copilots (BIC) seeks a Applied Scientist II to help realize our vision of building a state\-of\-the\-art scheduling service that sets the standard for our industry.
 We are looking for someone who combines technical excellence with focus in innovation and impact, and who will drive the development of advanced scheduling solutions for our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The candidate should have:
* Optimization experience with scheduling algorithms
* Keep abreast of state\-of\-the\-art approaches (including deep learning models) to address vehicle routing problems.
* Be a member of the product team, designing experiments, creating benchmarks and identifying success metrics, and writing production code to implement the scheduling algorithm(s) with high quality.
* Collaborate closely with research organizations to bridge the gap between research and practice.
* Travel: Occasional travel (0% to 25%) is expected in this role.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Master’s or PhD focus in Artificial Intelligence (Planning and Scheduling), Operations Research (OR) or a related field.
* Background in Multi\-agent Planning and Scheduling and/or Operations Research.
* Experience running your algorithms in a production environment and responding to customer inquiries.
* Experience in reinforcement learning.
* Experience in vehicle routing problems or scheduling optimization (algorithms).
* Experience with coding in languages including, but not limited to, C, C\+\+, C\#, Java, JavaScript, or Python.
* Experience in Genetic / heuristic scheduling algorithms
* Proven experience in solving vehicle routing problems.
* Demonstrated analytical abilities to dissect complex problems and propose effective solutions
 \#BICJOBS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6">
      <c r="A26" t="inlineStr">
        <is>
          <t>li-4362615781</t>
        </is>
      </c>
      <c r="B26" t="inlineStr">
        <is>
          <t>Data Scientist</t>
        </is>
      </c>
      <c r="C26" t="inlineStr">
        <is>
          <t>Harnham</t>
        </is>
      </c>
      <c r="D26" t="inlineStr">
        <is>
          <t>linkedin</t>
        </is>
      </c>
      <c r="E26">
        <f>HYPERLINK("https://www.linkedin.com/jobs/view/4362615781", "https://www.linkedin.com/jobs/view/4362615781")</f>
        <v/>
      </c>
      <c r="F26" t="inlineStr"/>
      <c r="G26" t="inlineStr">
        <is>
          <t>Chicago, IL</t>
        </is>
      </c>
      <c r="H26" t="inlineStr"/>
      <c r="I26" t="inlineStr">
        <is>
          <t>**Data Scientist \- Product \&amp; Analytics** 
**Hybrid (US\-based)** 
**Salary up to $140,000 base \+ benefits** 
 Are you a Data Scientist who wants their work to genuinely matter?
 We're partnering with a fast\-growing, global SaaS business whose products are used by thousands of organisations to improve real\-world outcomes at scale. This is a chance to join a highly collaborative Analytics \&amp; Insights function where data science directly shapes products, strategy, and decision\-making.
 In this role, you'll work end\-to\-end \- from building robust data pipelines through to deploying predictive models that drive measurable impact. You'll collaborate closely with Product, Engineering, and domain experts, translating complex problems into scalable, data\-driven solutions.
**What you'll be doing** 
* Building and deploying statistical and machine learning models to support forecasting, prediction, and optimisation
* Designing scalable data pipelines using modern tooling to turn complex data into actionable insights
* Running experiments and hypothesis testing to measure product impact and improve outcomes
* Partnering cross\-functionally to solve high\-value business and customer problems
* Ensuring data quality, reliability, and performance through monitoring and validation
**What we're looking for** 
* Commercial experience in Data Science or Applied Analytics (SaaS experience a plus)
* Strong foundations in statistics and machine learning
* Hands\-on experience with Python and SQL
* Exposure to cloud or distributed data environments (AWS, GCP, Azure, Spark, etc.)
* Someone who enjoys working across teams and seeing their work used in production
**Why apply?** 
* Hybrid working with flexibility
* Salary up to
 **$140,000 base** 
 plus a strong benefits package
* Work on meaningful, real\-world problems at scale
* High visibility role with genuine influence over product and strategy
* Collaborative, mission\-driven culture with strong technical peers
 If you're looking for a role where your models don't sit on a shelf \- this is worth a conversation.</t>
        </is>
      </c>
    </row>
    <row r="27">
      <c r="A27" t="inlineStr">
        <is>
          <t>li-4346677699</t>
        </is>
      </c>
      <c r="B27" t="inlineStr">
        <is>
          <t>Principal Applied Scientist</t>
        </is>
      </c>
      <c r="C27" t="inlineStr">
        <is>
          <t>Microsoft</t>
        </is>
      </c>
      <c r="D27" t="inlineStr">
        <is>
          <t>linkedin</t>
        </is>
      </c>
      <c r="E27">
        <f>HYPERLINK("https://www.linkedin.com/jobs/view/4346677699", "https://www.linkedin.com/jobs/view/4346677699")</f>
        <v/>
      </c>
      <c r="F27" t="inlineStr"/>
      <c r="G27" t="inlineStr">
        <is>
          <t>Redmond, WA</t>
        </is>
      </c>
      <c r="H27" t="inlineStr"/>
      <c r="I27" t="inlineStr">
        <is>
          <t>**Overview**
 Security represents the most critical priority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The Identity Threat Detection and Response (ITDR) Security Research team leads advanced research in Identity protection, leveraging next\-generation AI and cloud technologies. Our team comprises globally recognized experts in identity and cloud\-related threats—highly skilled, passionate professionals committed to driving innovation and safeguarding customers in an ever\-evolving. We are hiring a Principal Applied Scientist.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 Responsibilities
- Lead independently projects focused on AI / Agentic research applied to cybersecurity problems aiming to translate ideas and prototypes into concrete product advancements or novel capabilities
- Productionize AI \&amp; ML: collaborate with engineering and product teams to productionize models, pipelines, and meet objectives for latency, throughput, and availability. Develop fine\-tuning techniques for transformer models and establish benchmarks for accuracy, robustness, and performance to ensure reliable model delivery.
- Identify and integrate diverse data sources, develop deep expertise across them, and surface new patterns and opportunities—communicating clear, compelling, data driven stories visually and verbally.
- Analyze largescale datasets and build robust, scalable feature engineering pipelines in PySpark based environment.
- Partner with AI, Engineering and Data scientist teams to build machine learning systems that identify anomalies, account compromise, fraud, and identity threats, leveraging GenAI and graph based approaches.
- Collaborate across Threat Research, Engineering, and Product teams to define and instrument metrics that demonstrate product and business success (e.g Detection Efficacy, Coverage, Timetodetect)
- Embody our culture and values
**Qualifications**
 Required Qualifications:
 Bachelor's Degree in Statistics, Econometrics, Computer Science, Electrical or Computer Engineering, or related field AND 6\+ years related experience (e.g., statistics, predictive analytics, research) OR
 Master's Degree in Statistics, Econometrics, Computer Science, Electrical or Computer Engineering, or related field AND 4\+ years related experience (e.g., statistics, predictive analytics, research) OR
 Doctorate in Statistics, Econometrics, Computer Science, Electrical or Computer Engineering, or related field AND 3\+ years related experience (e.g., statistics, predictive analytics, research)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**Preferred Qualifications**
* Proven ability to design end\-to\-end data and feature pipelines (SQL, PySpark, Azure Data Studio) that ship robust, production ready ML models.
* Proven expertise in applying AI/ML systems and solutions to solve real cybersecurity problems
* 7\+ years of hands\-on experience with Spark/PySpark, Databricks, Azure ML, SQL/KQL, and strong programming skills in Python and/or C
* 2\+ years experience presenting at conferences or other events in the outside research/industry community as an invited speaker.
* 3\+ years experience developing and deploying products or systems at multiple points in the product cycle from ideation to shipping.
* 5\+ years experience conducting research as part of a research program (in academic or industry settings).
* Comfortable working with complex, high\-dimensional, multisource data; excels at data wrangling, enrichment, and quality assurance to solve hard, real world problems.
* Works cross\-functionally with Data Scientists, Threat Researchers, Engineering, and Product to define metrics, measure outcomes, and improve customer value. Communicates insights visually and verbally, telling clear, compelling, datadriven stories to drive decisions.
* Applied expertise in classification, prediction, anomaly detection, optimization, graph ML, and NLP. Experience with Generative AI (prompt engineering, RAG, finetuning, responsibleAI practices) is highly valued.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8">
      <c r="A28" t="inlineStr">
        <is>
          <t>li-4365268943</t>
        </is>
      </c>
      <c r="B28" t="inlineStr">
        <is>
          <t>Principal Applied Scientist</t>
        </is>
      </c>
      <c r="C28" t="inlineStr">
        <is>
          <t>Microsoft</t>
        </is>
      </c>
      <c r="D28" t="inlineStr">
        <is>
          <t>linkedin</t>
        </is>
      </c>
      <c r="E28">
        <f>HYPERLINK("https://www.linkedin.com/jobs/view/4365268943", "https://www.linkedin.com/jobs/view/4365268943")</f>
        <v/>
      </c>
      <c r="F28">
        <f>HYPERLINK("https://apply.careers.microsoft.com/careers/job/1970393556744880?utm_source=linkedin&amp;domain=microsoft.com&amp;src=LinkedIn&amp;urlHash=HB2n", "https://apply.careers.microsoft.com/careers/job/1970393556744880?utm_source=linkedin&amp;domain=microsoft.com&amp;src=LinkedIn&amp;urlHash=HB2n")</f>
        <v/>
      </c>
      <c r="G28" t="inlineStr">
        <is>
          <t>Redmond, WA</t>
        </is>
      </c>
      <c r="H28" t="inlineStr"/>
      <c r="I28" t="inlineStr">
        <is>
          <t>**Overview**
 AI has created an unprecedented opportunity to make work better for hundreds of millions of people. Microsoft Teams is the hub for teamwork that integrates the people, content, and tools your team needs to be more engaged and effective. It is at the core of Microsoft’s modern work, life, and education value proposition. We are reinventing the way people communicate and work together across the globe. We are hiring a Principal Applied Scientist to help ensure we maximize this amazing opportunity.
 We are looking for a Principal Applied Scientist who is creative, self\-driven, curious, people\-oriented, and comfortable defining a path through ambiguity toward high\-level goals. Research areas of interest include but are certainly not limited to reinforcement learning, agentic systems multimodal modeling, post\-training techniques and their application, human\-centered artificial intelligence (AI), domain\-specific large language model (LLM) applications (e.g. long\-form writing assistance), personalization, computational social science, memory, agentic retrieval\-augmented generation (RAG), real\-time AI systems, collaborative AI, privacy\-preserving AI, trustworthy AI, data\-centric AI, AI flywheels, and multilingual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Defining, leading, and helping to conduct research projects that simultaneously advance the state\-of\-the\-art and directly benefit Microsoft’s core productivity products.
* Shape product direction by integrating rigorous scientific methods into the product lifecycle.
* Collaborating and coordinating with people in a range of roles, including researchers, engineers, product managers, designers, and other key product stakeholders. Serving as a bridge between research and product.
* Teaching, guiding, and tutoring colleagues without research backgrounds in state\-of\-the\-art techniques and research best practices.
* Sharing your research with others via a range of means, including publication, to enable others to build on your work and to contribute to the understanding of our products as cutting\-edge and science driven.
* Communicating with product leaders (and often Microsoft researchers – MSR) throughout the planning and execution of applied research projects, which often involves learning and teaching complex concepts.
* Embody the Microsoft culture and values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Publications in scientific venues (e.g., NeurIPS, ICML, ICLR, ACL, NAACL, KDD, WWW, CHI, PNAS, Nature, EMNLP, CVPR, ICCV, ECCV, CoRL).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Demonstrated impact from your research through shipped products, improved user experiences, or other measurable benefits for diverse stakeholders.
* Demonstrated interest for continuous learning and innovation in AI.
* Demonstrated technical leadership or mentor experience (influencing technical direction, guiding team members).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9">
      <c r="A29" t="inlineStr">
        <is>
          <t>li-4343181381</t>
        </is>
      </c>
      <c r="B29" t="inlineStr">
        <is>
          <t>Senior Applied Scientist, Generative AI Innovation Center</t>
        </is>
      </c>
      <c r="C29" t="inlineStr">
        <is>
          <t>Amazon Web Services (AWS)</t>
        </is>
      </c>
      <c r="D29" t="inlineStr">
        <is>
          <t>linkedin</t>
        </is>
      </c>
      <c r="E29">
        <f>HYPERLINK("https://www.linkedin.com/jobs/view/4343181381", "https://www.linkedin.com/jobs/view/4343181381")</f>
        <v/>
      </c>
      <c r="F29" t="inlineStr"/>
      <c r="G29" t="inlineStr">
        <is>
          <t>New York, United States</t>
        </is>
      </c>
      <c r="H29" t="inlineStr"/>
      <c r="I29" t="inlineStr">
        <is>
          <t>**Description**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\- 167,100\.00 \- 226,100\.00 USD annually
 USA, NY, New York \- 183,800\.00 \- 248,700\.00 USD annually
 USA, TX, Austin \- 167,100\.00 \- 226,100\.00 USD annually
 USA, TX, Houston \- 167,100\.00 \- 226,100\.00 USD annually
 USA, WA, Bellevue \- 167,100\.00 \- 226,100\.00 USD annually
 USA, WA, Seattle \- 167,100\.00 \- 226,100\.00 USD annually
**Company** 
 \- Amazon Web Services, Inc.
 Job ID: A3137791</t>
        </is>
      </c>
    </row>
    <row r="30">
      <c r="A30" t="inlineStr">
        <is>
          <t>li-4354245128</t>
        </is>
      </c>
      <c r="B30" t="inlineStr">
        <is>
          <t>Software Engineer, Audio Applied Scientist</t>
        </is>
      </c>
      <c r="C30" t="inlineStr">
        <is>
          <t>Meta</t>
        </is>
      </c>
      <c r="D30" t="inlineStr">
        <is>
          <t>linkedin</t>
        </is>
      </c>
      <c r="E30">
        <f>HYPERLINK("https://www.linkedin.com/jobs/view/4354245128", "https://www.linkedin.com/jobs/view/4354245128")</f>
        <v/>
      </c>
      <c r="F30" t="inlineStr"/>
      <c r="G30" t="inlineStr">
        <is>
          <t>Redmond, WA</t>
        </is>
      </c>
      <c r="H30" t="inlineStr"/>
      <c r="I30" t="inlineStr">
        <is>
          <t>At Meta, we're building products that revolutionize the way people connect, work, and play. Our audio teams are at the forefront of this innovation, developing cutting\-edge technologies that redefine the way we experience sound in virtual and augmented worlds.As an audio professional at Meta, you'll have the opportunity to:\- Build new, innovative hardware and software: Collaborate with world\-class experts to create products that push the boundaries of what's possible.\- Solve unique, large\-scale technical problems: Tackle complex challenges that impact billions of people around the world.\- Create immersive audio experiences: Harness the power of AR and VR to make virtual sounds indistinguishable from reality.\- Transform the way people hear and interact: Develop technologies that redefine hearing potential and change the way we connect with each other.Our teams are dedicated to creating a considerate and honest environment where self\-motivated individuals thrive. We encourage ownership, creativity, and collaboration, and we're passionate about making science fiction real.Join us on this adventure: As a member of our audio team, you'll be part of a community that's shaping the future of sound and connection. Together, let's invent the future and change the world.
 Software Engineer, Audio Applied Scientist Responsibilities:
* Develop and implement innovative audio technologies, including general audio processing, audio ML/AI algorithms, and audio codecs
* Identify areas for improvement in scalability, performance, quality, and reliability across the audio stack
* Collaborate with cross\-functional teams to deploy new audio technologies as\-a\-service and as\-a\-platform
* Analyze, design, develop, and debug audio features on Android systems
* Work effectively in a team environment, making architectural tradeoffs to deliver software solutions rapidly
* Develop software for consumer devices, prioritizing efficiency and delivering high\-quality results
* Create clean, readable code and debug complex problems
* Embrace continuous learning, adapt to new technologies, and navigate ambiguity in problem\-solving
 Minimum Qualifications:
* Bachelor's degree in Computer Science, Computer Engineering, relevant technical field, or equivalent practical experience
* 7\+ years software development experience in industry settings or PhD with 4\+ years of experience
* 3\+ years relevant audio software engineering experience in industry settings
* C or C\+\+ experience, including use of C\+\+11/14/17 features
* Demonstrated experience working across disciplines to drive optimal solutions
 Preferred Qualifications:
* MS or PhD in Electrical Engineering, Computer Science or equivalent
* Expertise in audio signal processing and auditory perception, both classical and machine learned techniques
* Proven track record of innovation as demonstrated by products shipped, publications and/or patents
* Proven track record of contribution in two or more of these areas: Design and deployment of ML models on resource constrained devices, near\- and far\-field spatial processing, Adaptive System Identification, multirate systems and filter banks, peech and audio compression, room acoustics or spatial audio
* Experience with audio software development including DSP, machine learning, and/or hybrid systems
* Experience in Android or Linux audio stack development
* Experience developing, debugging, and shipping software products on large code bases that span platforms and tools
* Demonstrated experience working collaboratively in cross\-functional teams
* Experience with audio\-related software features across all layers of the audio stack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1">
      <c r="A31" t="inlineStr">
        <is>
          <t>li-4365341181</t>
        </is>
      </c>
      <c r="B31" t="inlineStr">
        <is>
          <t>Principal Applied Scientist - CoreAI</t>
        </is>
      </c>
      <c r="C31" t="inlineStr">
        <is>
          <t>Microsoft</t>
        </is>
      </c>
      <c r="D31" t="inlineStr">
        <is>
          <t>linkedin</t>
        </is>
      </c>
      <c r="E31">
        <f>HYPERLINK("https://www.linkedin.com/jobs/view/4365341181", "https://www.linkedin.com/jobs/view/4365341181")</f>
        <v/>
      </c>
      <c r="F31" t="inlineStr"/>
      <c r="G31" t="inlineStr">
        <is>
          <t>Redmond, WA</t>
        </is>
      </c>
      <c r="H31" t="inlineStr"/>
      <c r="I31" t="inlineStr">
        <is>
          <t>**Overview**
 The CoreAI organization at Microsoft builds the end\-to\-end Artificial Intelligence (AI) stack and is core to Azure AI innovation and differentiation, as well as all of Microsoft’s flagship products, from GitHub, to Office, Teams, and Xbox. We are the team building Responsible AI, Azure OpenAI, Model as a Service, Azure Machine Learning (ML), Cognitive Services, and the global Azure AI infrastructure for running the largest AI workloads on the planet.
 We ensure Microsoft ships AI systems that are safe, secure, and trustworthy—empowering every person and organization on the planet to achieve more. Our team sits at the intersection of cutting\-edge AI research and planet\-scale production systems, powering technologies like GitHub Copilot and Azure OpenAI. We are looking for a Principal Applied Scientist to join our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In this role you’ll develop machine learning techniques that push the boundaries of safety, alignment, and trustworthy AI. You’ll collaborate across product, research, and engineering teams to design, build, and maintain responsible AI systems that make an impact at scale—from early\-stage development and experimentation to production, monitoring, and continuous iteration.
**Qualifications**
**Required Qualifications:**
* Bachelor's Degree in Computer Science, Computational Linguistics, or related field AND 6\+ years related experience (e.g., statistics, predictive analytics, research)
+ OR Master's Degree in Computer Science, Computational Linguistics or related field AND 4\+ years related experience (e.g., statistics, predictive analytics, research)
+ OR Doctorate in Computer Science, Computational Linguistics, or related field AND 3\+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and familiarity with large language models (LLMs).
* Experience with and a solid foundation in large distributed systems, algorithms, and software engineering principles.
* Master’s or PhD in Computer Science, Machine Learning, Data Science, or a related field.
* 5\+ years of experience in a research/ML engineering or an applied research scientist position, ideally with a focus on AI safety.
* Have hands\-on experience with deep learning and transformer\-based models
* Excel at problem\-solving and analytics, with a proactive approach to challenges
* Thrive in fast\-moving environments where priorities shift and definitions evolve.
* Enjoy taking ownership end\-to\-end and learning whatever is necessary to get results.
* Comfortable working independently while thriving in cross\-team collaborations.
* Understand methods for training and fine\-tuning LLMs, including distillation, supervised fine\-tuning, and policy optimization.
 \#coreai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Applied Sciences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2">
      <c r="A32" t="inlineStr">
        <is>
          <t>li-4365340086</t>
        </is>
      </c>
      <c r="B32" t="inlineStr">
        <is>
          <t>Senior Associate, Data Scientist - People Tech Innovation Hub</t>
        </is>
      </c>
      <c r="C32" t="inlineStr">
        <is>
          <t>Capital One</t>
        </is>
      </c>
      <c r="D32" t="inlineStr">
        <is>
          <t>linkedin</t>
        </is>
      </c>
      <c r="E32">
        <f>HYPERLINK("https://www.linkedin.com/jobs/view/4365340086", "https://www.linkedin.com/jobs/view/4365340086")</f>
        <v/>
      </c>
      <c r="F32" t="inlineStr"/>
      <c r="G32" t="inlineStr">
        <is>
          <t>New York, NY</t>
        </is>
      </c>
      <c r="H32" t="inlineStr"/>
      <c r="I32"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 Call to Innovators
 Are you ready to be the architect of the future workplace? Capital One's People Technology Innovation Lab is hiring a Data Scientist to translate raw data into game\-changing insights and products. We don't just use data; we make it a strategic asset. You’ll be tackling complex, high\-impact problems using cutting\-edge technologies like Generative AI and Knowledge Graphs to transform the employee experience. This is your chance to move beyond incremental improvements and lead the charge in delivering disruptive, innovative use cases that directly shape how Capital One works and evolves. If you thrive on technical challenges, product ownership, and leveraging a diverse tech stack to reveal the insights hidden within massive datasets, then join us and become a core driver of innovation culture.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$123,300 \- $140,700 for Sr Assoc, Data Science
 McLean, VA: $135,600 \- $154,800 for Sr Assoc, Data Science
 New York, NY: $148,000 \- $168,900 for Sr Assoc, Data Science
 Anytown, IL: $123,300 \- $140,700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2026-01-22T18:25:33Z</dcterms:created>
  <dcterms:modified xsi:type="dcterms:W3CDTF">2026-01-22T18:25:33Z</dcterms:modified>
</cp:coreProperties>
</file>