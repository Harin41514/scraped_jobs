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3"/>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in-9caddc33b6ec23b2</t>
        </is>
      </c>
      <c r="B2" t="inlineStr">
        <is>
          <t>Product Data Scientist III, Analytics Insights and Measurement</t>
        </is>
      </c>
      <c r="C2" t="inlineStr">
        <is>
          <t>Google</t>
        </is>
      </c>
      <c r="D2" t="inlineStr">
        <is>
          <t>indeed</t>
        </is>
      </c>
      <c r="E2" t="inlineStr"/>
      <c r="F2" t="inlineStr"/>
      <c r="G2" t="inlineStr">
        <is>
          <t>Mountain View, CA, US</t>
        </is>
      </c>
      <c r="H2" s="2" t="n">
        <v>46033</v>
      </c>
      <c r="I2" t="inlineStr">
        <is>
          <t>### **Minimum qualifications:**
* Bachelor's degree in Statistics, Mathematics, Data Science, Engineering, Physics, Economics, or a related quantitative field.
* 5 years of experience with analysis applications (e.g., extracting insights, performing statistical analysis, or solving business problems), and coding (e.g., Python, R, SQL) or 2 years of experience with a Master's degree.
### **Preferred qualifications:**
* Master's degree in Statistics, Mathematics, Data Science, Engineering, Physics, Economics, or a related quantitative field.
* 5 years of experience with analysis applications (e.g., extracting insights, performing statistical analysis, or solving business problems), and coding (e.g., Python, R, SQL).
**About the job**
-----------------
Help serve Google's worldwide user base of more than a billion people. Data Scientists provide quantitative support, market understanding and a strategic perspective to our partners throughout the organization. As a data\-loving member of the team, you serve as an analytics expert for your partners, using numbers to help them make better decisions. You will weave stories with meaningful insight from data. You'll make critical recommendations for your fellow Googlers in Engineering and Product Management. You relish tallying up the numbers one minute and communicating your findings to a team leader the next.
Measurement is a cornerstone of performance advertising, driving the majority of Google Ads business growth. Accurate and unbiased measurement empowers bidding engines to maximize advertiser Return On Investment (ROI), fostering growth for both advertisers and Google. The Product Analyst team applies advanced analytics to guide Google Ads strategy in this crucial area, ensuring that our advertising solutions effectively connect businesses with customers and deliver measurable results across our broad ad platforms.
Users come first at Google. Nowhere is this more important than on our Advertising and Commerce team: we believe that ads and commercial information can be highly useful to our users if that information is relevant to what our users wish to find or do. Advertisers worldwide use Google Ads to promote their products; publishers use AdSense to serve relevant ads on their website; and business around the world use our products (like Google Shopping, and Google Wallet) to support their online businesses and bring users into their offline stores. We are constantly innovating to deliver the most effective advertising and commerce opportunities of tomorrow.
The US base salary range for this full\-time position is $132,000\-$189,000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Own the process of gathering, extracting, and compiling data across sources via relevant tools (e.g., SQL, R, Python). Format, re\-structure, and validate data to ensure quality.
* Report Key Performance Indicators (KPIs) to support business reviews with cross\-functional/organizational leadership team. Translate analysis results to business insights or product improvement opportunities.
* Provide analytical insights and recommendations to influence product feature development decisions, and with some guidance.
* Build and prototype analysis and business cases iteratively to provide insights at scale. Develop comprehensive knowledge of Google data structures and metrics.
* Execute defined, moderately difficult analytical tasks under guidance from the manager or executive team members/TL. For straightforward problems, execute end\-to\-end analysis with minimal guidance.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3">
      <c r="A3" t="inlineStr">
        <is>
          <t>in-9327005d84570a7c</t>
        </is>
      </c>
      <c r="B3" t="inlineStr">
        <is>
          <t>Senior Business Data Scientist, Trust and Safety</t>
        </is>
      </c>
      <c r="C3" t="inlineStr">
        <is>
          <t>Google</t>
        </is>
      </c>
      <c r="D3" t="inlineStr">
        <is>
          <t>indeed</t>
        </is>
      </c>
      <c r="E3" t="inlineStr"/>
      <c r="F3" t="inlineStr"/>
      <c r="G3" t="inlineStr">
        <is>
          <t>Austin, TX, US</t>
        </is>
      </c>
      <c r="H3" s="2" t="n">
        <v>46033</v>
      </c>
      <c r="I3" t="inlineStr">
        <is>
          <t>### **Minimum qualifications:**
* Master's degree in a quantitative discipline such as Statistics, Engineering, Sciences, or equivalent practical experience.
* 4 years of experience using analytics to solve product or business problems, coding (e.g., Python, R, SQL), querying databases or statistical analysis.
### **Preferred qualifications:**
* 6 years of experience using analytics to solve product or business problems, coding (e.g., Python, R, SQL), querying databases or statistical analysis.
* Experience in the field of Trust and Safety, content moderation, or risk analysis.
**About the job**
-----------------
Google's leadership team hand\-picks thorny business challenges, and members of BizOps work in small teams to find solutions. As part of this team you fully immerse yourself in data collection, draw insight from analysis, and then zoom out to develop compelling, synthesized recommendations. Taking strategy one step further, you also persuasively communicate your recommendations to senior\-level executives, roll\-up your sleeves to help drive implementation and check back\-in to see the impact of your recommendations.
The Trust and Safety team reduces risk and protects the experience of our users and business partners in several languages and across Google's expanding base of products. We defend Google's integrity by fighting spam, fraud and abuse, and develop and communicate product policies. We work with a variety of teams from Engineering to Legal, Public Policy and Sales Engineering to set policies and combat fraud and abuse in a scalable way. Trust and Safety team members are motivated to find innovative solutions to pursue the highest possible quality and safety standards for users across Google products.
As a Senior Business Data Scientist, you will be responsible for designing and developing metrics and measurements needed to support Trust and Safety across various Google products, including Search, Ads, Shopping, Publishers, and YouTube. You will ensure stakeholders have the product, support, and operations data they need to make crucial business decisions. You will have the opportunity to design innovative data solutions and solve test problems to drive business optimization and meet regulatory reporting requirements.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Acquire understanding of product, Trust and Safety manual and automated processes, tools and customer expectations and design and develop scalable measurements to support reporting needs.
* Lead the statistical design, definition, and implementation of metrics such as uncaught badness rate, creating standardized, and defensible measurements applicable across products and violation areas.
* Design, implement and own technical implementation of production\-level data pipelines, documentation, check\-in process, etc.
* Build and scale AI\-based content rating systems in partnership with Engineering teams, accurately measure the efficiency gain.
* Present findings and business recommendations to multiple levels of stakeholders and leadership teams.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4">
      <c r="A4" t="inlineStr">
        <is>
          <t>in-4ed7121d1949a230</t>
        </is>
      </c>
      <c r="B4" t="inlineStr">
        <is>
          <t>Senior Product Data Scientist, Developer and Experiences</t>
        </is>
      </c>
      <c r="C4" t="inlineStr">
        <is>
          <t>Google</t>
        </is>
      </c>
      <c r="D4" t="inlineStr">
        <is>
          <t>indeed</t>
        </is>
      </c>
      <c r="E4" t="inlineStr"/>
      <c r="F4" t="inlineStr"/>
      <c r="G4" t="inlineStr">
        <is>
          <t>Kirkland, WA, US</t>
        </is>
      </c>
      <c r="H4" s="2" t="n">
        <v>46033</v>
      </c>
      <c r="I4" t="inlineStr">
        <is>
          <t>Note: By applying to this position you will have an opportunity to share your preferred working location from the following: **Kirkland, WA, USA; Sunnyvale, CA, USA**.### **Minimum qualifications:**
* Bachelor's degree in Statistics, Mathematics, Data Science, Engineering, Physics, Economics, or a related quantitative field.
* 8 years of work experience using analytics to solve product or business problems, performing statistical analysis, and coding (e.g., Python, R, SQL) or 5 years of work experience with a Master's degree.
### **Preferred qualifications:**
* Master's degree in Statistics, Mathematics, Data Science, Engineering, Physics, Economics, or a related quantitative field.
* 8 years of work experience using analytics to solve product or business problems, performing statistical analysis, and coding (e.g., Python, R, SQL).
**About the job**
-----------------
The Developer and Experiences Data Science team's mission is to empower our organization to make informed, data\-driven product and strategy decisions. We support three main pillars: AI Developer Tools (including AI developer platform, AI hosted tools and AI developer agents), Frameworks and Languages (including Go, Dart, Flutter, and Genkit), and the Cloud SDLC experience.
In this role, you will closely partner with Developer and Experiences Product, Engineering and StratOps teams to deliver actionable insights. Your work will directly influence product strategy and direction, ensuring we continually optimize and elevate the developer experience.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Translate ambiguous or open\-ended problems into well\-scoped, quantifiable analytical projects.
* Define and own key product and business metrics, and build a dashboard to track them. Ensure organization Objectives and Key Results (OKRs) are supported by well\-defined, measurable metrics.
* Lead the in\-depth search analysis to uncover insights to improve product performances and developer experience.
* Apply technical expertise with observational data analysis, modeling, and causal inference to answer the most important product questions.
* Partner closely with Product, Engineering, StratOps and cross\-functional teams to influence, prioritize and support product strategy. Deliver effective presentations of data\-driven insights and recommendations to multiple levels of stakeholders.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5">
      <c r="A5" t="inlineStr">
        <is>
          <t>in-d18566880d41566b</t>
        </is>
      </c>
      <c r="B5" t="inlineStr">
        <is>
          <t>Senior Product Data Scientist, Developer and Experiences</t>
        </is>
      </c>
      <c r="C5" t="inlineStr">
        <is>
          <t>Google</t>
        </is>
      </c>
      <c r="D5" t="inlineStr">
        <is>
          <t>indeed</t>
        </is>
      </c>
      <c r="E5" t="inlineStr"/>
      <c r="F5" t="inlineStr"/>
      <c r="G5" t="inlineStr">
        <is>
          <t>Sunnyvale, CA, US</t>
        </is>
      </c>
      <c r="H5" s="2" t="n">
        <v>46033</v>
      </c>
      <c r="I5" t="inlineStr">
        <is>
          <t>Note: By applying to this position you will have an opportunity to share your preferred working location from the following: **Kirkland, WA, USA; Sunnyvale, CA, USA**.### **Minimum qualifications:**
* Bachelor's degree in Statistics, Mathematics, Data Science, Engineering, Physics, Economics, or a related quantitative field.
* 8 years of work experience using analytics to solve product or business problems, performing statistical analysis, and coding (e.g., Python, R, SQL) or 5 years of work experience with a Master's degree.
### **Preferred qualifications:**
* Master's degree in Statistics, Mathematics, Data Science, Engineering, Physics, Economics, or a related quantitative field.
* 8 years of work experience using analytics to solve product or business problems, performing statistical analysis, and coding (e.g., Python, R, SQL).
**About the job**
-----------------
The Developer and Experiences Data Science team's mission is to empower our organization to make informed, data\-driven product and strategy decisions. We support three main pillars: AI Developer Tools (including AI developer platform, AI hosted tools and AI developer agents), Frameworks and Languages (including Go, Dart, Flutter, and Genkit), and the Cloud SDLC experience.
In this role, you will closely partner with Developer and Experiences Product, Engineering and StratOps teams to deliver actionable insights. Your work will directly influence product strategy and direction, ensuring we continually optimize and elevate the developer experience.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Translate ambiguous or open\-ended problems into well\-scoped, quantifiable analytical projects.
* Define and own key product and business metrics, and build a dashboard to track them. Ensure organization Objectives and Key Results (OKRs) are supported by well\-defined, measurable metrics.
* Lead the in\-depth search analysis to uncover insights to improve product performances and developer experience.
* Apply technical expertise with observational data analysis, modeling, and causal inference to answer the most important product questions.
* Partner closely with Product, Engineering, StratOps and cross\-functional teams to influence, prioritize and support product strategy. Deliver effective presentations of data\-driven insights and recommendations to multiple levels of stakeholders.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6">
      <c r="A6" t="inlineStr">
        <is>
          <t>in-c46cc8b9a59284cf</t>
        </is>
      </c>
      <c r="B6" t="inlineStr">
        <is>
          <t>Bayesian Statistician (Data Scientist) - Aurora, CO</t>
        </is>
      </c>
      <c r="C6" t="inlineStr">
        <is>
          <t>ICR, Inc.</t>
        </is>
      </c>
      <c r="D6" t="inlineStr">
        <is>
          <t>indeed</t>
        </is>
      </c>
      <c r="E6" t="inlineStr"/>
      <c r="F6" t="inlineStr"/>
      <c r="G6" t="inlineStr">
        <is>
          <t>Aurora, CO, US</t>
        </is>
      </c>
      <c r="H6" s="2" t="n">
        <v>46033</v>
      </c>
      <c r="I6" t="inlineStr">
        <is>
          <t>**Bayesian Statistician (Data Scientist)**  
Aurora, CO
Applications will be accepted on an ongoing basis.  
ICR has opportunities available for experienced and motivated Data Scientists with a Bayesian statistics background.  
**Essential Job Responsibilities**  
This Data Scientist will be expected to:
* Work independently on complex technical tasks that require in\-depth data analysis methodologies and data/information collection
* Develop unique technical solutions for applications in the intelligence field
* Participate as a member of a multidisciplinary team to analyze and satisfy customer requirements
* Develop, implement, validate, document, and present findings of specialized analysis software tools and models as required
* Effectively handle concurrent technical tasks with conflicting priorities
* Approach difficult problems with enthusiasm and creativity
* Have the ability to change focus when necessary
* Travel (up to 10%)
**Required Skills and Qualifications**
* Active Top Secret Security Clearance with SSBI and SCI eligibility.
* Experience with Bayesian statistics and time series analysis
* Masters Degree in statistics with a minimum of Two (2\) years of professional experience or PhD in statistics or related field
* Experience with computational analysis tools and developing software with at least one of the following programing language: Python (preferred), R, C\+\+, MATLAB
* Experience with developing and applying advanced statistical/machine learning models and algorithms for one or more of the following: classification, clustering, anomaly detection, density estimation, data mining, pattern recognition, knowledge discovery
* Experience with extracting and processing structured/unstructured data from various sources (e.g. databases, text files, web) and preparing data for analysis
* Collaborate with others in a multidisciplinary team environment to accomplish research goals
* Ability to work effectively in small\-team settings to solve complex problems
* Ability and desire to obtain substantial domain knowledge in fields of application and ability to communicate effectively with subject matter experts
* Proficient verbal and written communication skills to collaborate effectively in a team environment and present and explain technical information to customers
**Desired Qualifications**
* Experience with the intelligence community
* Broad knowledge of statistical analysis, ML methods, and problem\-solving skills
* Experience with: spatial statistics, multivariate statistics, Gaussian Process, Random Forest, Support Vector Machine, Natural Language Processing, Neural Networks
* Proficient with Python, Jupyter, Markdown
* Experience working with databases such as SQL and/or ELK stack
* Experience with creating data visualizations / dashboards
Salary Range: $78,853 \- $236,579
This position offers a comprehensive benefits package that includes company equity, retirement plan, company\-paid health care benefits, flexible paid time off policy, and opportunity for a raise and bonus during the year.  
ICR, Inc. considers several factors when extending job offers, including but not limited to candidates’ key skills, relevant work and/or military experience, education, training certifications and work location.
*ICR is proud to be an equal opportunity employer and considers qualified applicants for employment without regard to race, color, creed, religion, national origin, sex, sexual orientation, gender identity and expression, age, disability, veteran status, or any other protected factor.*</t>
        </is>
      </c>
    </row>
    <row r="7">
      <c r="A7" t="inlineStr">
        <is>
          <t>in-ecef3b35d7f7ce74</t>
        </is>
      </c>
      <c r="B7" t="inlineStr">
        <is>
          <t>Senior Product Data Scientist, Media Services</t>
        </is>
      </c>
      <c r="C7" t="inlineStr">
        <is>
          <t>Apple</t>
        </is>
      </c>
      <c r="D7" t="inlineStr">
        <is>
          <t>indeed</t>
        </is>
      </c>
      <c r="E7" t="inlineStr"/>
      <c r="F7" t="inlineStr"/>
      <c r="G7" t="inlineStr">
        <is>
          <t>Culver City, CA, US</t>
        </is>
      </c>
      <c r="H7" s="2" t="n">
        <v>46033</v>
      </c>
      <c r="I7" t="inlineStr">
        <is>
          <t>Services at Apple help hundreds of millions of customers get the most out of the devices they love through amazing apps, award\-winning shows and movies, immersive music in spatial audio, world\-class workouts and meditations, super fun games and more! The Services Products Data Science \&amp; Analytics organization is passionate about developing discerning insights and machine learning solutions to help continually improve these services and accelerate growth while maintaining a strong dedication to customer privacy.  
Our team is looking for a Data Scientist to help support the product and business teams with data\-driven solutions for insights on content performance, strategy, and customer experience in our apps. As a key member of our diverse and multi\-faceted organization, we have the rare and exciting opportunity to work with datasets of unique magnitude, richness, and dedication to customer privacy that will frequently require innovative approaches. We work collaboratively with partners across Business, Marketing, Product, Content, and Engineering daily to deliver material customer and business value.  
**Description**  
Provide data\-driven insights to support decision\-making across product, business, and creative teams focused on Apple Services.  
Inform our understanding of how users discover and engage with content and subscription offerings.  
Define engineering and business intelligence requirements for new datasets and data products to enable product feature and content launches.  
Collaborate with the broader data science organization on cross\-functional initiatives to ensure a comprehensive view of our products and services.  
Design, implement, and evaluate A/B tests and experiments to continuously improve the product experience.  
Develop and deploy machine learning models to optimize our products and services.  
Partner with business stakeholders to shape and guide roadmaps, influence priorities, and support product strategy with data.  
**Preferred Qualifications**  
Experience with advance causal inference methods.  
Experience with distributed computing frameworks like Spark.  
Experience in using AI to augment data science workflows.  
Experience in media or entertainment industry.  
Passion for film, television, and/or music domains.  
**Minimum Qualifications**  
Bachelor’s degree in Computer Science, Statistics, Mathematics, Engineering, or a related field.  
Proficient in extracting insights from large datasets using programming languages such as Python and SQL.  
Skilled in designing and executing experimentation strategies, including test definition and results measurement.  
Skilled in applying statistical methods to business problems including classification, segmentation, and forecasting.  
Experienced in applying data science techniques to solve ambiguous, real\-world problems and clearly communicate insights to stakeholders.  
Excellent interpersonal and communication skills, with the ability to collaborate effectively across technial and non\-technical teams.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8">
      <c r="A8" t="inlineStr">
        <is>
          <t>in-1c44987a61908b7e</t>
        </is>
      </c>
      <c r="B8" t="inlineStr">
        <is>
          <t>Senior Applied ML Scientist - Generative Video</t>
        </is>
      </c>
      <c r="C8" t="inlineStr">
        <is>
          <t>Apple</t>
        </is>
      </c>
      <c r="D8" t="inlineStr">
        <is>
          <t>indeed</t>
        </is>
      </c>
      <c r="E8" t="inlineStr"/>
      <c r="F8" t="inlineStr"/>
      <c r="G8" t="inlineStr">
        <is>
          <t>Cupertino, CA, US</t>
        </is>
      </c>
      <c r="H8" s="2" t="n">
        <v>46033</v>
      </c>
      <c r="I8" t="inlineStr">
        <is>
          <t>We are looking for a passionate Senior Applied ML Researcher to drive innovation in generative video modeling, with a strong focus on diffusion\-based methods and related generative features. In this role, you will research, design, and deploy models at the intersection of machine learning research and real\-world product impact.  
You will collaborate closely with research scientists, engineers, and product teams to find novel applications of generative AI capabilities to assist our creative user base. Your mission is to elevate the workflows of millions of creators by combining generative AI with Apple’s human\-centered design principles.  
**Description**  
Design and train state\-of\-the\-art generative video models, primarily based on diffusion, consistency, rectified flow, or related generative frameworks  
Explore novel architectures for spatiotemporal modeling (e.g., 3D U\-Nets, DiT\-style Transformers, hybrid CNN\-Transformer models)  
Conduct experiments on long\-range temporal coherence, motion consistency, controllability, and multi\-modal conditioning (text, audio, images)  
**Preferred Qualifications**  
PhD with research focused on generative modeling, diffusion models, or video understanding  
Experience with text\-to\-video, image\-to\-video, or video\-to\-video generation  
Publications in top\-tier ML conferences (e.g., NeurIPS, ICML, ICLR, CVPR, ICCV, ECCV, etc.)  
**Minimum Qualifications**  
MS in Computer Science, Machine Learning, or a related field, or equivalent practical experience  
4\+ years of experience in deep learning for generative models, particularly diffusion\-based methods  
Hands\-on experience in distributed training of large models using PyTorch (or equivalent frameworks)  
Solid understanding of video representations, spatiotemporal modeling, and neural network optimization.  
Experience designing \&amp; training multi\-modal DiT\-style Transformers, latent diffusion, or multi\-stage video generation pipelines  
Experience design \&amp; training adapters  
Proven ability as a creative problem solver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9">
      <c r="A9" t="inlineStr">
        <is>
          <t>in-86bca014687d31d5</t>
        </is>
      </c>
      <c r="B9" t="inlineStr">
        <is>
          <t>Staff Data Scientist</t>
        </is>
      </c>
      <c r="C9" t="inlineStr">
        <is>
          <t>Intuit</t>
        </is>
      </c>
      <c r="D9" t="inlineStr">
        <is>
          <t>indeed</t>
        </is>
      </c>
      <c r="E9">
        <f>HYPERLINK("https://www.indeed.com/viewjob?jk=86bca014687d31d5", "https://www.indeed.com/viewjob?jk=86bca014687d31d5")</f>
        <v/>
      </c>
      <c r="F9">
        <f>HYPERLINK("https://jobs.intuit.com/job/mountain-view/staff-data-scientist/27595/90522099168", "https://jobs.intuit.com/job/mountain-view/staff-data-scientist/27595/90522099168")</f>
        <v/>
      </c>
      <c r="G9" t="inlineStr">
        <is>
          <t>Mountain View, CA, US</t>
        </is>
      </c>
      <c r="H9" s="3" t="n">
        <v>46033</v>
      </c>
      <c r="I9" t="inlineStr">
        <is>
          <t>Category Data
Location Mountain View, California
Job ID 18978
Company Overview
Intuit is the global financial technology platform that powers prosperity for the people and communities we serve. With approximately 100 million customers worldwide using products such as TurboTax, Credit Karma, QuickBooks, and Mailchimp, we believe that everyone should have the opportunity to prosper. We never stop working to find new, innovative ways to make that possible.
Job Overview
Intuit’s **Global Business Solutions Group (GBSG)** is dedicated to serving the needs of more than **2 million small businesses and self\-employed customers worldwide**. Our mission is to power prosperity around the world by helping customers run their businesses with confidence, save time, and make better decisions—leveraging Intuit’s cloud platform, data, and ecosystem of app partners.
The **Data Analytics \&amp; Science** organization plays a critical role in driving customer growth and retention across GBSG through deep product insights, advanced analytics, and data\-driven optimization of marketing and lifecycle strategies. We partner closely with product, marketing, engineering, and finance teams to influence strategy at scale using industry\-leading tools, techniques, and best practices.
We are seeking a **Staff Data Scientist** to join the **Audience Personalization \&amp; Targeting** team. This role requires deep expertise in **marketing\-centric data modeling, measurement, and optimization**, along with the ability to provide technical and strategic leadership. As a Staff Data Scientist, you will shape how we identify, understand, and engage the right customers with the right experiences—driving measurable impact across acquisition, engagement, and retention.
In this role, you will:
* Lead the development of advanced models and analytical frameworks to support **audience segmentation, targeting, and personalization** across marketing channels
* Inform and influence **growth marketing strategy** through rigorous measurement, experimentation, and causal analysis
* Partner cross\-functionally with **marketing, product, engineering, sales, and finance** to translate business problems into scalable data science solutions
* Drive alignment on metrics, methodologies, and best practices, raising the overall analytical bar across teams
* Act as a technical thought leader and mentor, contributing to the long\-term vision of personalization and targeting at Intuit
 **Responsibilities**
* **Lead the design and development of advanced predictive and optimization models** used across the QuickBooks marketing site and in\-product surfaces to personalize experiences for prospective and existing customers, driving meaningful improvements in acquisition, engagement, and retention.
* **Own the measurement and evaluation strategy** for personalization, targeting, and growth initiatives, including defining success metrics, experimentation frameworks, and causal methodologies to quantify impact and ROI.
* **Partner with marketing, product, and finance to evaluate ROI** for new pricing, packaging, and growth strategy initiatives, providing data\-driven recommendations to inform investment and prioritization decisions.
* **Serve as the analytics and data science lead** for large\-scale campaigns, experiments, and cross\-functional initiatives, ensuring rigorous design, execution, and interpretation of results.
* **Influence growth and personalization strategy** by translating complex analyses into clear, actionable insights and recommendations for both technical and non\-technical stakeholders, including senior leadership.
* **Set technical and analytical standards** for the team by establishing best practices in modeling, experimentation, and measurement, and mentoring other data scientists to raise the overall quality and impact of work.
* **Demonstrate strong judgment and strategic thinking**, balancing short\-term wins with long\-term platform and capability investments, and proactively identifying new opportunities to improve customer relevance and business outcomes.
 **Qualifications**
* **MS or PhD in a quantitative field** such as Statistics, Mathematics, Economics, Finance, Operations Research, Computer Science, or a related discipline, with **6\+ years of hands\-on experience** in data science, analytics, or applied machine learning roles (or equivalent industry experience).
* **Deep expertise in statistical modeling and marketing measurement**, with a demonstrated track record of applying these techniques to drive business impact in areas such as personalization, targeting, pricing, experimentation, or growth optimization.
* **Strong proficiency in Python or R**, and extensive experience working with large\-scale data using **SQL\-based technologies** (e.g., SQL, Hive, SparkSQL).
* **Solid understanding of customer lifecycle analytics**, including acquisition funnels, engagement, retention, and lifetime value modeling.
* **Advanced knowledge of machine learning and quantitative methods**, including but not limited to regression, classification, clustering, time series, causal inference, econometrics, and optimization techniques.
* **Excellent communication and storytelling skills**, with the ability to translate complex analyses into clear, actionable insights for both technical and executive audiences.
* **Demonstrated ownership and sound judgment**, with the ability to independently lead ambiguous, high\-impact initiatives from problem definition through execution.
 **Preferred Qualifications**
* Experience building or influencing **personalization and targeting systems** across marketing channels or in\-product experiences.
* Hands\-on experience with **experimentation platforms, A/B testing, and causal inference techniques** in real\-world business settings.
* Familiarity with **pricing, packaging, or growth strategy analytics** in SaaS or consumer software products.
* Experience **mentoring or technically leading other data scientists**, setting best practices, and raising analytical standards across teams.
* Experience working in a **cross\-functional environment** with product managers, engineers, marketers, and finance partners.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$186,500 \- $252,000\.</t>
        </is>
      </c>
    </row>
    <row r="10">
      <c r="A10" t="inlineStr">
        <is>
          <t>in-f73232d39abc9fef</t>
        </is>
      </c>
      <c r="B10" t="inlineStr">
        <is>
          <t>Product Policy - Data Scientist</t>
        </is>
      </c>
      <c r="C10" t="inlineStr">
        <is>
          <t>OpenAI</t>
        </is>
      </c>
      <c r="D10" t="inlineStr">
        <is>
          <t>indeed</t>
        </is>
      </c>
      <c r="E10">
        <f>HYPERLINK("https://www.indeed.com/viewjob?jk=f73232d39abc9fef", "https://www.indeed.com/viewjob?jk=f73232d39abc9fef")</f>
        <v/>
      </c>
      <c r="F10">
        <f>HYPERLINK("https://openai.com/careers/product-policy-data-scientist-san-francisco/", "https://openai.com/careers/product-policy-data-scientist-san-francisco/")</f>
        <v/>
      </c>
      <c r="G10" t="inlineStr">
        <is>
          <t>San Francisco, CA, US</t>
        </is>
      </c>
      <c r="H10" s="3" t="n">
        <v>46033</v>
      </c>
      <c r="I10" t="inlineStr">
        <is>
          <t>About the Team
The Product Research team partners closely with Product Management, Design, Engineering, and Policy to ensure OpenAI builds products that are useful, usable, and responsible. We help teams understand user needs, evaluate product concepts, and validate experiences across the full product lifecycle—from early exploration through launch and iteration.
Our work directly informs how OpenAI’s products evolve, ensuring that we deliver experiences that meet real\-world needs while upholding OpenAI’s mission to ensure AI benefits all of humanity.
About the role
As a
Product Policy \- Data Scientist
, you will design and lead high\-impact research that shapes OpenAI’s product strategy and user experience. You’ll work across multiple product teams to generate insights that influence product decisions, inform design direction, and improve how people interact with AI.
You will own research from start to finish—partnering with stakeholders to define the right questions, choosing the best methods, executing studies, and turning findings into clear, actionable recommendations. This role requires someone who can balance rigor with speed, bring clarity to ambiguity, and confidently influence cross\-functional partners at all levels.
This role is based in the
San Francisco Bay Area
and requires being in the office
three days per week
to collaborate closely with cross\-functional partners.
**We're looking for people who:**  
Partner with product managers, designers, and engineers to identify and prioritize research opportunities that improve product decisions and user experience
Design and execute high\-quality qualitative and quantitative research across all stages of product development, including foundational research, concept testing, prototyping, and usability testing
Lead end\-to\-end research projects, from scoping and study design through recruitment, fieldwork, analysis, and reporting
Translate complex research findings into clear, compelling insights that inform product strategy and design direction
Present findings and recommendations to senior leadership and key stakeholders
Balance rigor and speed by adapting methods to timelines while maintaining high standards for data quality and validity
**In this role, you will:**  
7\+ years of experience in user experience research, market research, or a related field
Deep expertise in
mixed\-methods research
, with strong qualitative skills and the ability to conduct and analyze quantitative studies at scale
Proven experience leading research that has shaped product or design decisions
Exceptional written and verbal communication skills, with the ability to influence across disciplines and levels
Experience working with senior stakeholders and cross\-functional teams
**You might thrive in this role if. you:**  
Experience with advanced quantitative methods (e.g., MaxDiff, conjoint, segmentation)
Experience working with executive audiences or large enterprise clients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 No response will be provided to inquiries unrelated to job posting compliance.
We are committed to providing reasonable accommodations to applicants with disabilities.
OpenAI Global Applicant Privacy Policy
At OpenAI, we believe artificial intelligence has the potential to help people solve immense global challenges, and we want the upside of AI to be widely shared. Join us in shaping the future of technology.
Compensation
$325K – $405K \+ Offers Equity</t>
        </is>
      </c>
    </row>
    <row r="11">
      <c r="A11" t="inlineStr">
        <is>
          <t>in-4c561c806d692426</t>
        </is>
      </c>
      <c r="B11" t="inlineStr">
        <is>
          <t>Data Scientist</t>
        </is>
      </c>
      <c r="C11" t="inlineStr">
        <is>
          <t>Commence</t>
        </is>
      </c>
      <c r="D11" t="inlineStr">
        <is>
          <t>indeed</t>
        </is>
      </c>
      <c r="E11">
        <f>HYPERLINK("https://www.indeed.com/viewjob?jk=4c561c806d692426", "https://www.indeed.com/viewjob?jk=4c561c806d692426")</f>
        <v/>
      </c>
      <c r="F11">
        <f>HYPERLINK("https://recruiting.paylocity.com/recruiting/jobs/Details/3831635/Commence/Data-Scientist?source=Indeed_Feed", "https://recruiting.paylocity.com/recruiting/jobs/Details/3831635/Commence/Data-Scientist?source=Indeed_Feed")</f>
        <v/>
      </c>
      <c r="G11" t="inlineStr">
        <is>
          <t>US</t>
        </is>
      </c>
      <c r="H11" s="3" t="n">
        <v>46033</v>
      </c>
      <c r="I11" t="inlineStr">
        <is>
          <t>Description:
At Commence, we’re the start of a new age of data\-centric transformation, elevating health outcomes and powering better, more efficient process to program and patient health. We combine quality data\-driven solutions that fuel answers, technology that advances performance, and clinical expertise that builds trust to create a more efficient path to quality care.
With human\-centered, healthcare\-relevant, and value\-based solutions, we create new possibilities with data. We provide proof beyond the concept and performance beyond the scope with a focus on efficiencies that transform the lives of those we serve. With a culture driven by purpose, straightforward communication and clinical domain expertise, Commence cuts straight to better care.
Requirements:
The Data Scientist combines advanced analytics and machine learning with deep domain knowledge to generate clinical and operational insights, build predictive models, and support decision\-making across the healthcare ecosystem. The ideal candidate will be adept at working with complex datasets (e.g., EHRs, claims, FHIR), collaborating cross\-functionally, and ensuring data use aligns with regulatory and ethical standards.
* Prepare and analyze large and complex datasets to identify trends, patterns, and insights that drive business decisions.
* Develop, implement, and optimize machine learning models, including Generative AI, for predictive analytics, classification, and other applications.
* Apply statistical techniques to analyze data and build models that forecast future trends and behaviors (e.g., risk stratification, disease progression, readmission likelihood).
* Create compelling data visualizations and dashboards to effectively communicate findings and insights to stakeholders.
* Connect and match within and across data sources both internal/ external to augment and enhance analyses.
* Work closely with cross\-functional teams, including data engineers, software developers, and business analysts, to gather requirements and deliver data solutions.
* Stay current with industry trends and advancements in data science and integrate new techniques and tools into existing workflows. Identify, review, and execute impactful analytical approaches from industry whitepapers.
* Translate complex data into actionable insights to support clinical decision\-making, care optimization, and operational efficiency, often through dashboards or reports.
* Collaborate with clinicians, informaticists, and SMEs to derive relevant features from health data, such as comorbidity indices, lab value trajectories, or time\-to\-treatment measures.
* Ensure data use complies with HIPAA, 42 CFR Part 2, and other applicable regulations. Apply de\-identification, data masking, or differential privacy techniques when needed.
* Help define and sometimes implement workflows for data acquisition, preprocessing, and model inference pipelines, often in cloud\-based environments (e.g., AWS, Azure).
* Identify and mitigate potential biases in data or models, and ensure outputs are interpretable by clinical or policy stakeholders.
* Monitor model performance over time and retrain or recalibrate as necessary to maintain accuracy and relevance in evolving clinical environments.
**Basic Qualifications**
* Bachelor’s degree in Data Science, Computer Science, Statistics, Mathematics, or a related field; Master’s or PhD preferred.
* Minimum of 4 years of experience in data science or a related field.
* Proficiency in programming languages such as Python, R, or SQL.
* Demonstrated experience practically leveraging and deploying AI/ML models to production.
* Working knowledge of Generative AI tuning and implementation techniques and toolsets i.e. AWS Bedrock, LangChain, Anthropic MCP, and LlamaIndex.
* Experience with big data frameworks/ toolsets such as Apache Spark, Databricks, and AWS EMR Studio.
* Experience with AI/ machine learning libraries and frameworks (e.g., TensorFlow, Scikit\-Learn, PyTorch, and Spark ML Flow).
* Experience working with healthcare datasets such as EHRs, medical claims, FHIR, HL7, or patient\-reported outcomes
* Familiarity with healthcare regulations and standards (e.g., HIPAA, 42 CFR Part 2, HEDIS, CMS measures)
* Demonstrated experience working with Notebook tools such as Databricks/ Jupyter.
* Strong understanding of statistical analysis and modeling techniques.
* Experience with data visualization tools (e.g., Amazon Quicksight, Power BI, Matplotlib).
* Excellent problem\-solving skills and attention to detail.
* Strong communication and interpersonal skills, with the ability to work effectively with diverse teams and stakeholders.
**Preferred Qualifications**
* AI/ ML certifications.
* Familiarity with Databricks, Snowflake, or other modern data platforms
* Understanding of data governance and security frameworks relevant to healthcare (e.g., NIST, HITRUST)
* Prior experience working with government agencies (e.g., CMS, VA, DoD) or payer/provider organizations
* Knowledge of healthcare delivery systems and policy frameworks
Commence is an equal employment opportunity employer. All personnel processes are merit\-based and applied without discrimination on the basis of race, color, religion, sex, sexual orientation, gender identity, marital status, age, disability, national or ethnic origin, military and veteran status or any other characteristic protected by applicable law.
If you need assistance or an accommodation due to a disability, you may contact us at 757\-306\-4920 or hr@commence.ai</t>
        </is>
      </c>
    </row>
    <row r="12">
      <c r="A12" t="inlineStr">
        <is>
          <t>in-72b1866b50e9f6a5</t>
        </is>
      </c>
      <c r="B12" t="inlineStr">
        <is>
          <t>Data Scientist II</t>
        </is>
      </c>
      <c r="C12" t="inlineStr">
        <is>
          <t>Cencora</t>
        </is>
      </c>
      <c r="D12" t="inlineStr">
        <is>
          <t>indeed</t>
        </is>
      </c>
      <c r="E12">
        <f>HYPERLINK("https://www.indeed.com/viewjob?jk=72b1866b50e9f6a5", "https://www.indeed.com/viewjob?jk=72b1866b50e9f6a5")</f>
        <v/>
      </c>
      <c r="F12">
        <f>HYPERLINK("https://careers.cencora.com/us/en/job/CHKCENUSR26122EXTERNALENUS/Data-Scientist-II?utm_source=indeed&amp;utm_medium=phenom-feeds", "https://careers.cencora.com/us/en/job/CHKCENUSR26122EXTERNALENUS/Data-Scientist-II?utm_source=indeed&amp;utm_medium=phenom-feeds")</f>
        <v/>
      </c>
      <c r="G12" t="inlineStr">
        <is>
          <t>Conshohocken, PA, US</t>
        </is>
      </c>
      <c r="H12" s="3" t="n">
        <v>46033</v>
      </c>
      <c r="I12" t="inlineStr">
        <is>
          <t>Our team members are at the heart of everything we do. At Cencora, we are united in our responsibility to create healthier futures, and every person here is essential to us being able to deliver on that purpose. If you want to make a difference at the center of health, come join our innovative company and help us improve the lives of people and animals everywhere. Apply today!
**Job Details**
===============
**Summary:**
The Enterprise Data and Analytics group at Cencora is looking for a **Data Scientist\-II** interested in working with data to answer questions about sourcing, pricing, and distributing pharmaceuticals across the United States. Individuals within the Data Scientist role work closely with business stakeholders, Analysts, Data Engineers, Data Visualization Specialists and other team members to turn data into critical information and knowledge that can be used to make sound organizational decisions. They need to be creative thinkers and propose innovative ways to look at problems by using data mining (the process of discovering new patterns from large datasets) approaches across a wide range and variety of data assets. They will need to validate their findings using an experimental and iterative approach. Also, Data Scientists will need to be able to present back their findings to the business by exposing their assumptions and validation work in a way that can be easily understood by their business counterparts.
**Core responsibilities focus on:**
Work Complexity:
* Designs experiments, tests hypotheses and builds analytic models.
* Conducts data analysis and designs and develops moderately complex analytic algorithms.
Business Requirements:
* Works with business stakeholders and others to identify the business requirements and the expected outcome.
* Helps model and frame business scenarios that are meaningful and which impact on critical business processes and/or decisions.
* Gains knowledge of internal and external data sources and business data domain expertise.
Data Requirements:
* Collaborates with subject matter experts to select relevant sources of information.
* Translates business requirements into semantic access, conceptual, logical and/or physical data models.
Analytics:
* Works with others to solve client analytics problems and documents results and methodologies.
* Performs experimental design approaches to validate findings or test hypotheses.
* Validates analysis by comparing appropriate samples.
* Employs the appropriate algorithm to discover patterns.
**Educational, Skillset Qualifications:**
* Bachelor’s degree in mathematics, statistics or computer science or related field.
* Typically requires at least three (3\) or more years experience manipulating large datasets and using databases, and one (3\) years’ experience with a general\-purpose programming language (such as Hadoop MapReduce, Spark or other big data frameworks, Java, Python).
* Experience using SQL to access and analyze data.
* Experience in the use of statistical packages.
* Experience with Azure and Databricks \- desired but not required
* Familiarity with basic principles of distributed computing and/or distributed databases.
* Demonstrable ability to quickly understand new concepts\-all the way down to the theorems\- and to come out with original solutions to mathematical issues.
* Good communication and interpersonal skills.
* Knowledge of one or more business/functional areas.
* Ability to work well both independently as well as within a team oriented environment
* Ability to work hybrid on\-site in Conshohocken, PA
**What Cencora offers**
=======================
We provide compensation, benefits, and resources that enable a highly inclusive culture and support our team members’ ability to live with purpose every day. In addition to traditional offerings like medical, dental, and vision care, we also provide a comprehensive suite of benefits that focus on the physical, emotional, financial, and social aspects of wellness. This encompasses support for working families, which may include backup dependent care, adoption assistance, infertility coverage, family building support, behavioral health solutions, paid parental leave, and paid caregiver leave. To encourage your personal growth, we also offer a variety of training programs, professional development resources, and opportunities to participate in mentorship programs, employee resource groups, volunteer activities, and much more. For details, visit https://www.virtualfairhub.com/cencora
Full time**Equal Employment Opportunity**
================================
Cencora is committed to providing equal employment opportunity without regard to race, color, religion, sex, sexual orientation, gender identity, genetic information, national origin, age, disability, veteran status or membership in any other class protected by federal, state or local law.
The company’s continued success depends on the full and effective utilization of qualified individuals. Therefore, harassment is prohibited and all matters related to recruiting, training, compensation, benefits, promotions and transfers comply with equal opportunity principles and are non\-discriminatory.
Cencora is committed to providing reasonable accommodations to individuals with disabilities during the employment process which are consistent with legal requirements. If you wish to request an accommodation while seeking employment, please call 888\.692\.2272 or email hrsc@cencora.com. We will make accommodation determinations on a request\-by\-request basis. Messages and emails regarding anything other than accommodations requests will not be returned
**Affiliated Companies**
========================
Affiliated Companies: AmerisourceBergen Drug Corporation</t>
        </is>
      </c>
    </row>
    <row r="13">
      <c r="A13" t="inlineStr">
        <is>
          <t>in-3d612a25bd994d03</t>
        </is>
      </c>
      <c r="B13" t="inlineStr">
        <is>
          <t>Associate Data Scientist – Supply Chain</t>
        </is>
      </c>
      <c r="C13" t="inlineStr">
        <is>
          <t>Best Buy</t>
        </is>
      </c>
      <c r="D13" t="inlineStr">
        <is>
          <t>indeed</t>
        </is>
      </c>
      <c r="E13">
        <f>HYPERLINK("https://www.indeed.com/viewjob?jk=3d612a25bd994d03", "https://www.indeed.com/viewjob?jk=3d612a25bd994d03")</f>
        <v/>
      </c>
      <c r="F13">
        <f>HYPERLINK("https://bestbuyorganic.thejobnetwork.com/Job/602435405?etd=MUVP6CXQ22IN5CCAKSSM5NGYFKBKJ37IPACXANKBCHM3JVCTYVAK5T3NEZXCVRKRJHVMIDVMVPE2OP3KCCVVHFEWEUO7IEBAO3ZFMEEMBJTLL5XIMMJA%3d%3d%3d%3d", "https://bestbuyorganic.thejobnetwork.com/Job/602435405?etd=MUVP6CXQ22IN5CCAKSSM5NGYFKBKJ37IPACXANKBCHM3JVCTYVAK5T3NEZXCVRKRJHVMIDVMVPE2OP3KCCVVHFEWEUO7IEBAO3ZFMEEMBJTLL5XIMMJA%3d%3d%3d%3d")</f>
        <v/>
      </c>
      <c r="G13" t="inlineStr">
        <is>
          <t>Minneapolis, MN, US</t>
        </is>
      </c>
      <c r="H13" s="3" t="n">
        <v>46033</v>
      </c>
      <c r="I13" t="inlineStr">
        <is>
          <t>Best Buy’s Advanced Analytics is on the forefront of Best Buy’s purpose to enrich lives through technology. The Advanced Analytic team is responsible for elevating our highest\-stake, largest\-impact decisions with advanced analytic insights and solutions.
As a **Data Scientist on the Supply Chain Analytics Team,** you will play a key role within Best Buy Data \&amp; Analytics COE to drive transformational change in Best Buy’s supply chain. The contribution of this role directly impacts our customer and delivers differentiated value to Best Buy through innovative data capabilities and insights to highlight the opportunities present to optimize holistic Supply Chain processes and strategies. The team seeks a candidate with a background in applying analytic techniques to solve problems in supply chain across domains of Network Strategy, Inventory Management, and Assortment Optimization. A strong candidate will possess a background in a diverse slate of data science and optimization research techniques in addition to having a strong understanding of its application in retail supply chain.  
This role is **hybrid**, which means you will be required to work some days on\-site at the Best Buy location listed on this posting and some days virtually from home or another non\-Best Buy location. The specific work arrangements vary by role and team. The recruiter or hiring manager will provide more details during the hiring process.
**Key Accountabilities*** Build an understanding of Best Buy’s supply chain operations and relevant processes and systems.
* Source, interpret, and transform operational and transactional data into valuable analytical insights.
* Use your knowledge of optimization, statistics, and predictive modeling to identify and test new analytic solutions that create improvements for business operations.
* Craft and deliver compelling presentations to stakeholders, effectively communicating findings and recommendations to technical and non\-technical audiences.
* Collaborate with data engineers to design and implement scalable data pipelines and infrastructure for advanced analytics.
* Serve as a trusted advisor to Best Buy’s Logistics, Inventory and Distribution Operations teams. Partnering for shared understanding and driving common outcomes.
* Actively work to identify improvements to internal processes, to improve analytical outcomes and drive enterprise KPIs.
* Explore and experiment with emerging technologies and methodologies in data science to continuously enhance the capabilities of the supply chain analytics team.
* Collaborate with a team of decision and data scientists and interact with cross functional partners to ensure accurate, timely and impactful delivery of projects.
* Formulate, research and solve business\-critical problems.
**Basic Qualifications*** Bachelor’s Degree from accredited college/university preferably in mathematics, statistics, economics, computer science, or related STEM field
* 2\+ years of relevant experience in data science such as statistics, operations research, design and analysis of experiments, machine learning, and/or quantitative analysis
* 2\+ years of experience using Python and SQL
* Hands\-on experience using data analytics and optimization tools (i.e., SQL, Python, R, Gurobi, Vertex AI).
* Hands\-on experience working in large structured and unstructured data environments
**Preferred Qualifications*** Masters in Operations Research, Industrial Engineering, Mathematics, Statistics, Economics, Computer Science, or related STEM field.
* 2\+ years of experience in the areas of Operations Research and/or Supply Chain Projects (demand planning, forecasting, inventory, transportation, network optimization, segmentation, and S\&amp;OP) in sophisticated and complex environments
* 2\+ years of experience of practical utilization and application of computer programming languages such as Python, R
* Knowledge of Machine Learning / Deep Learning, including Python libraries like TensorFlow and PyTorch
* Experience with Supply Chain Network Design software, including AIMMS SC Navigator, Tactical Planning, Inventory Planning
* Experience working with globally distributed team
**What is in it for you**  
We are committed to helping our people thrive at work and at home. We offer generous benefits that address your total well\-being and provide support as you need it, especially at key moments in your life.  
Our benefits include:* Competitive pay and PTO package
* Generous employee discount
* Physical and mental well\-being support
* Robust benefit package
**About us**  
As part of the Best Buy team, you will help us fulfill our purpose to enrich lives through technology. We bring that to life every day by humanizing and personalizing tech solutions for every stage of life — in our stores, online and in customers’ homes.  
Our culture is built on deeply supporting and valuing our amazing employees who make it all possible. We are committed to being a great place to work, where you can unlock unique career possibilities. Above all, we aim to provide a place where you can bring your full, authentic self to work now and into the future. Tomorrow works here. ™  
Best Buy is an equal opportunity employer.
Position Type: Full time</t>
        </is>
      </c>
    </row>
    <row r="14">
      <c r="A14" t="inlineStr">
        <is>
          <t>in-f54ef59194c1891b</t>
        </is>
      </c>
      <c r="B14" t="inlineStr">
        <is>
          <t>Lead Data Scientist</t>
        </is>
      </c>
      <c r="C14" t="inlineStr">
        <is>
          <t>TD Bank</t>
        </is>
      </c>
      <c r="D14" t="inlineStr">
        <is>
          <t>indeed</t>
        </is>
      </c>
      <c r="E14">
        <f>HYPERLINK("https://www.indeed.com/viewjob?jk=f54ef59194c1891b", "https://www.indeed.com/viewjob?jk=f54ef59194c1891b")</f>
        <v/>
      </c>
      <c r="F14">
        <f>HYPERLINK("https://td.wd3.myworkdayjobs.com/en-US/TD_Bank_Careers/job/Remote-Lincoln-NE/Lead-Data-Scientist_R_1466424", "https://td.wd3.myworkdayjobs.com/en-US/TD_Bank_Careers/job/Remote-Lincoln-NE/Lead-Data-Scientist_R_1466424")</f>
        <v/>
      </c>
      <c r="G14" t="inlineStr">
        <is>
          <t>Lincoln, NE, US</t>
        </is>
      </c>
      <c r="H14" s="3" t="n">
        <v>46033</v>
      </c>
      <c r="I14" t="inlineStr">
        <is>
          <t>**Work Location:**
Lincoln, Nebraska, United States of America
**Hours:**
40
**Pay Details:**
$123,050 \- $ 184,570 USD
TD is committed to providing fair and equitable compensation opportunities to all colleagues. Growth opportunities and skill development are defining features of the colleague experience at TD. Our compensation policies and practices have been designed to allow colleagues to progress through the salary range over time as they progress in their role. The base pay actually offered may vary based upon the candidate's skills and experience, job\-related knowledge, geographic location, and other specific business and organizational needs.
As a candidate, you are encouraged to ask compensation related questions and have an open dialogue with your recruiter who can provide you more specific details for this role.
**Line of Business:**
Analytics, Insights, \&amp; Artificial Intelligence
**Job Description:**
The Lead Data Scientist is responsible for collecting data and using a wide range of data science techniques, including but not limited to data wrangling, profiling and visualization, statistical inference, to uncover actionable insights or build analytics solutions that guide decision making and strategic planning.
In addition, the Lead Data Scientist provides oversight and consultative advice and guidance to others as the lead or top Data Scientist with enterprise or significant cross business mandate. This role may also evaluate, investigate and identify technical solutions and provide leading\-edge techniques and lead innovation to create methodologies to solve a wide array of complex business or enterprise issues.
**Depth \&amp; Scope:**
* Delivers advanced analytical capabilities above and beyond existing methods
* Exceptionally leads and runs analytical projects autonomously and creates and effectively delivers analytical presentations for executive audiences/stakeholders
* Showcases advanced level peer leadership, impacts and influences partner, and may mentor/coach peers
* Extensive understanding of the business supported and the overall bank with deep expertise and highly specialized knowledge of analytical concepts and techniques
* Acts as a key business partner, guides and collaborates with business leaders to prioritize and identify key business needs and provides impactful analytical insights
**Education \&amp; Experience:**
* Undergraduate degree or advanced technical degree preferred (e.g., math, physics, engineering, finance or computer science) Graduate's degree preferred with either progressive project work experience, or;
* 7\+ year of relevant experience; higher degree education and research tenure can be counted
**Customer Accountabilities:**
* Works closely with business owners to identify opportunities and serves as an ambassador for data science
* Is familiar with the business context and data infrastructure and can translate business problems to viable data science solutions
* Uses a wide range of programing languages (e.g. Python) and techniques for extracting and preparing data, applying statistics and various advanced analytics, along with business acumen to extract insights from the big data
* Visualizes insights from the data to tell and illustrate stories that clearly convey the meaning of results to decision\-makers and stakeholders at every level of technical understanding
* Collaborates with other partners, such as data and business analysts, software engineers, data engineers, and application developers to develop scalable and sustainable data science solutions that retains long term benefit to the business
* Provides deep technical leadership and expertise to support and define future direction in one or more specialized areas or leads strategic development efforts on new or emerging data science related projects
* Plays a lead role on cross functional teams of data scientists, data analysts, data engineers, and business process owners to build cutting edge analytic solutions
**Shareholder Accountabilities:**
* Provides analytical thought leadership and stays current on developments in data mining and the application of data science
* Provides thought leadership and/or broad industry knowledge across multiple business/functional areas or across the enterprise
* Applies industry/analytical expertise to provide innovative and sound solutions that increases business results and/or minimizes risk
* Identifies new analytical trends/data needs and repeatable analytic solutions and works with stakeholders to generate hypothesis and creates analytical models that help answer impactful business questions
* Protects the interests of the organization – identifies and manages risks, and escalates non\-standard, high\-risk activities as necessary
* Accountable for creating and implementing processes and systems to extract knowledge or insights from data of various forms either structured or unstructured
* Employs techniques and theories drawn on many fields within the broad areas of mathematics and statistics
* Adheres to enterprise frameworks or methodologies that relates to activities for business area
* Participates in cross\-functional/enterprise initiatives as a subject matter expert helping to identify risk/provide guidance for complex situations
* Leads/facilitates and/or implements action/remediation plans to address performance/risk/governance issues
* Actively manages relationships within and across various business lines, corporate and/or control functions and ensures alignment with enterprise and/or regulatory requirements
* Keeps abreast of emerging issues, trends, and evolving regulatory requirements and assesses potential impacts
* Maintains a culture of risk management and control, supported by effective processes in alignment with risk appetite
**Employee/Team Accountabilities:**
* Participates fully as a member of the team, supports a positive work environment that promotes service to the business, quality, innovation and teamwork and ensures timely communication of issues/points of interest
* Provides thought leadership and/or industry knowledge for own area of expertise in own area and participates in knowledge transfer within the team and business unit
* Keeps current on emerging trends/developments and grows knowledge of the business, related tools and techniques
* Participates in personal performance management and development activities, including cross training within own team
* Keeps others informed and up to date about the status/progress of projects and/or all relevant or useful information related to day\-to\-day activities
* Contributes to team development of skills and capabilities through mentorship of others, by sharing knowledge and experiences and leveraging best practices
* Leads, motivates and develops relationships with internal and external business partners/stakeholders to develop productive working relationships
* Contributes to a fair, positive and equitable environment that supports a diverse workforce
* Acts as a brand ambassador for your business area/function and the bank, both internally and/or externally
**Physical Requirements:**
Never: 0%; Occasional: 1\-33%; Frequent: 34\-66%; Continuous: 67\-100%
* Domestic Travel – Occasional
* International Travel – Never
* Performing sedentary work – Continuous
* Performing multiple tasks – Continuous
* Operating standard office equipment \- Continuous
* Responding quickly to sounds – Occasional
* Sitting – Continuous
* Standing – Occasional
* Walking – Occasional
* Moving safely in confined spaces – Occasional
* Lifting/Carrying (under 25 lbs.) – Occasional
* Lifting/Carrying (over 25 lbs.) – Never
* Squatting – Occasional
* Bending – Occasional
* Kneeling – Never
* Crawling – Never
* Climbing – Never
* Reaching overhead – Never
* Reaching forward – Occasional
* Pushing – Never
* Pulling – Never
* Twisting – Never
* Concentrating for long periods of time – Continuous
* Applying common sense to deal with problems involving standardized situations – Continuous
* Reading, writing and comprehending instructions – Continuous
* Adding, subtracting, multiplying and dividing – Continuous
The above statements are intended to describe the general nature and level of work being performed by people assigned to this job. They are not intended to be an exhaustive list of all responsibilities, duties and skills required. The listed or specified responsibilities \&amp; duties are considered essential functions for ADA purposes.
**Who We Are:**  
TD is one of the world's leading global financial institutions and is the fifth largest bank in North America by branches/stores. Every day, we deliver legendary customer experiences to over 27 million households and businesses in Canada, the United States and around the world. More than 95,000 TD colleagues bring their skills, talent, and creativity to the Bank, those we serve, and the economies we support. We are guided by our vision to Be the Better Bank and our purpose to enrich the lives of our customers, communities and colleagues.
TD is deeply committed to being a leader in customer experience, that is why we believe that all colleagues, no matter where they work, are customer facing. As we build our business and deliver on our strategy, we are innovating to enhance the customer experience and build capabilities to shape the future of banking. Whether you’ve got years of banking experience or are just starting your career in financial services, we can help you realize your potential. Through regular leadership and development conversations to mentorship and training programs, we’re here to support you towards your goals. As an organization, we keep growing – and so will you.
**Our Total Rewards Package**
Our Total Rewards package reflects the investments we make in our colleagues to help them and their families achieve their financial, physical and mental well\-being goals. Total Rewards at TD includes base salary and variable compensation/incentive awards (e.g., eligibility for cash and/or equity incentive awards, generally through participation in an incentive plan) and several other key plans such as health and well\-being benefits, savings and retirement programs, paid time off (including Vacation PTO, Flex PTO, and Holiday PTO), banking benefits and discounts, career development, and reward and recognition. Learn more
**Additional Information:**  
We’re delighted that you’re considering building a career with TD. Through regular development conversations, training programs, and a competitive benefits plan, we’re committed to providing the support our colleagues need to thrive both at work and at home.
**Colleague Development**  
If you’re interested in a specific career path or are looking to build certain skills, we want to help you succeed. You’ll have regular career, development, and performance conversations with your manager, as well as access to an online learning platform and a variety of mentoring programs to help you unlock future opportunities. Whether you have a passion for helping customers and want to expand your experience, or you want to coach and inspire your colleagues, there are many different career paths within our organization at TD – and we’re committed to helping you identify opportunities that support your goals.
**Training \&amp; Onboarding**  
We will provide training and onboarding sessions to ensure that you’ve got everything you need to succeed in your new role.
**Interview Process**  
We’ll reach out to candidates of interest to schedule an interview. We do our best to communicate outcomes to all applicants by email or phone call.
**Accommodation**
TD Bank is an equal opportunity employer. All qualified applicants will receive consideration for employment without regard to race, color, religion, sex, sexual orientation, gender identity, national origin, age, disability, status as a protected veteran or any other characteristic protected under applicable federal, state, or local law.
If you are an applicant with a disability and need accommodations to complete the application process, please email TD Bank US Workplace Accommodations Program at USWAPTDO@td.com . Include your full name, best way to reach you and the accommodation needed to assist you with the applicant process.</t>
        </is>
      </c>
    </row>
    <row r="15">
      <c r="A15" t="inlineStr">
        <is>
          <t>in-feff188261927c03</t>
        </is>
      </c>
      <c r="B15" t="inlineStr">
        <is>
          <t>Senior ML Scientist - Molecular AI</t>
        </is>
      </c>
      <c r="C15" t="inlineStr">
        <is>
          <t>Novo Nordisk, Inc.</t>
        </is>
      </c>
      <c r="D15" t="inlineStr">
        <is>
          <t>indeed</t>
        </is>
      </c>
      <c r="E15">
        <f>HYPERLINK("https://www.indeed.com/viewjob?jk=feff188261927c03", "https://www.indeed.com/viewjob?jk=feff188261927c03")</f>
        <v/>
      </c>
      <c r="F15">
        <f>HYPERLINK("https://careers.novonordisk.com/job/Lexington-Senior-ML-Scientist-Molecular-AI-MA-02420/1282695601/", "https://careers.novonordisk.com/job/Lexington-Senior-ML-Scientist-Molecular-AI-MA-02420/1282695601/")</f>
        <v/>
      </c>
      <c r="G15" t="inlineStr">
        <is>
          <t>Lexington, MA, US</t>
        </is>
      </c>
      <c r="H15" s="3" t="n">
        <v>46034</v>
      </c>
      <c r="I15" t="inlineStr">
        <is>
          <t>Senior ML Scientist \- Molecular AI
**Facility:** Data \&amp; AI
**Location:**Lexington, MA, US
**About the Site**
Our Research \&amp; Development organization brings together the best minds in life science innovation. The teams located in facilities in Lexington, Watertown, and Cambridge reflect the full R\&amp;D continuum, from early research through late\-stage clinical development. Here, we are building for the future, creating a distinct R\&amp;D community based on collaboration, partnerships, and cutting\-edge research across multiple modalities and therapeutic areas. We recognize that improving human health starts here and that patients rely on us. Our R\&amp;D hub merges biotech speed and agility with large pharmaceutical company quality, resources, and stability, uniting the best of both worlds to develop new medicines for patients.  
**About the Department**
The Molecular AI (MolAI) team is part of Novo Nordisk’s AI and Digital Innovation (ADI) area where we apply and develop state of the art capabilities in predictive science, AI/ML and structure\-based drug design. Scientists within MolAI collaborate seamlessly with teams across the globe to invent better molecules faster. With an unbiased approach to drug modalities, in\-house access to the newest screening techniques, and world\-class experimentation, we have a wealth of opportunities to impact our pipeline and ultimately save and improve patient lives. We work in multidisciplinary, highly collaborative discovery teams both locally and across Novo Nordisk’s global network to invent novel medicines by applying advanced computational techniques and developing innovative computational methods. We engage in external collaborations to ensure access to cutting edge research and technology.  
We believe in the value of a diverse and inclusive culture. Together, we build and grow talent to ensure the development of new solutions. The team is comprised of collaborative, diverse and passionate people who have a true sense of pride in their work. We are committed to helping each other grow, and we are driven by the opportunity to make a difference in the lives of people living with chronic disease. Everything we do starts and ends with the patient. And, while changing the future of chronic disease treatment, such as diabetes and obesity, is no easy task, we also recognize the importance of an enjoyable workplace, which is why we’ve cultivated a culture of fun, ingenuity, and innovation. Our competitive compensation package and support of a healthy work\-life balance all add to a best\-in\-class employee experience.  
**The Position open to hiring at the Lead level commensurate with experience**
The Sr. ML Scientist – Molecular AI will be a critical team member of MolAI and contribute to the research team's effort towards exploring and creating new technology and continuing to be a world leader in molecular drug design. The Sr. ML Scientist will contribute to the development and deployment of state\-of\-the\-art generative AI methodologies within computational drug design and contribute to the teams visibility in this field both internally and externally, via strong contributions to the research portfolio, cross\-organizational engagement, presentations and publications.  
You will join a team and organization that is investing heavily in AI\-enabled discovery: significant experimental and data\-generation resources are being directed toward producing the high\-quality datasets that make advanced generative models and other AI methods most effective. In this environment you will have the opportunity to develop and deploy state\-of\-the\-art models that directly inform experimental design and accelerate therapeutic discovery.  
**Relationships**
The Sr. ML Scientist – Molecular AI reports to the Head of Molecular AI and interacts closely with colleagues in the department and in the other departments within AI and Digital Innovation (ADI), in particular the area of Digital Chemistry and Design, to drive the applications of generative AI within R\&amp;D’s computational drug discovery portfolio. Additional internal partners include experimental and data scientists, specialists, engineers, software developers, technology scouts \&amp; partnership developers and others across US and Denmark. External relationships include commercial and academic collaboration partners.  
**Essential Functions**
* Scientific work
	+ Support and drive integration of state\-of\-the\-art generative AI methodologies within computational drug design
	+ Optimize generative AI methodologies in conjunction with one or more design criteria for novel compound generation.
	+ Develop and implement new deep learning methods
	+ Execute training, fine\-tuning and inference of large models on GPUs
	+ Deliver state of art methodologies and capabilities to the design and optimization of therapeutics by applying and developing the latest machine learning and AI algorithms
	+ Work with ML scientists and engineers to guide the development of our ML models
	+ Conceptualize approaches, identify capability gaps, and set goals within molecular AI.
	+ Represent AI and Digital Innovation as a technical/scientific lead on cross\-functional research teams that include discovery, development and research IT organizations
	+ Maintain a well\-documented, reusable codebase, and traceable model history
	+ Publish research in developing AI methods (example in ICLR, NeurIPS, ICML, Nature, Science, Cell etc.)
* Collaborative teamwork
	+ Work closely with experimental scientists, Digital Chemistry and Design, Research Engineer and other parts of the organization to driven the development and implementation of modern methods for molecular design
	+ Actively participates in virtual global team meetings regularly
	+ Participate in the evaluation of external and internal capabilities and facilitate collaborations with external partners
	+ Present your results to an interdisciplinary team of experimental, modeling scientist and machine learning colleagues at company meetings and strategic program readouts
**Physical Requirements**
Up to 10% overnight travel required.  
**Qualifications**
* Master’s degree, or PhD is highly preferred. Minimum of a Bachelor’s degree required. Degree within machine learning, computer science, computational chemistry or a related quantitative discipline preferred.
* Master’s Degree with 3\+ years’ relevant experience, or PhD with little to no experience, or a Bachelor’s degree with 5\+ years’ relevant experience, can be considered
* Relevant experience includes:
	+ Experience with modern molecular design AI technology.
	+ Experienced in developing and implementing new deep learning methods
	+ Experienced in PyTorch, training, fine\-tuning and inference of large models on GPUs
	+ Strong proficiency in Python and experience with PyTorch deep learning libraries and HPC.
	+ Knowledge of at least 2 of the following: deep learning, diffusion models, reinforcement or active learning, large language models related to the disciplines of molecular design
	+ Excellent problem\-solving skills and the ability to work independently as well as in a team environment.
* Preferred experience includes:
	+ Experience in pharmaceutical industry, healthcare industry, regulated medical device development or in another regulated field
	+ Ability to execute own data science tasks while mentoring more junior Data Scientists in the development of their skills.
	+ Excellent oral and written communication skills.
	+ Detail oriented with strong documentation skills
	+ Examples of your work, such as GitHub repository or publications that can showcase your skill
We commit to an inclusive recruitment process and equality of opportunity for all our job applicants.  
At Novo Nordisk, we're not chasing quick fixes – we're creating lasting change for long\-term health. For over 100 years, we've been driven by a single purpose: to defeat serious chronic diseases and help millions of people live healthier lives. This dedication fuels our constant curiosity and inspires us to push the boundaries of what's possible in healthcare. We embrace diverse perspectives, seek out bold ideas, and build partnerships rooted in shared purpose. Together, we're making healthcare more accessible, treating and defeating diseases, and pioneering solutions that create change spanning generations. When you join us, you become part of something bigger – a legacy of impact that reaches far beyond today.  
Novo Nordisk is an equal opportunity employer. Qualified applicants will receive consideration for employment without regard to race, ethnicity, color, religion, sex, gender identity, sexual orientation, national origin, disability, protected veteran status or any other characteristic protected by local, state or federal laws, rules or regulations.  
If you are interested in applying to Novo Nordisk and need special assistance or an accommodation to apply, please call us at 1\-855\-411\-5290\. This contact is for accommodation requests only and cannot be used to inquire about the status of applications.</t>
        </is>
      </c>
    </row>
    <row r="16">
      <c r="A16" t="inlineStr">
        <is>
          <t>in-34cf0c0ac70768be</t>
        </is>
      </c>
      <c r="B16" t="inlineStr">
        <is>
          <t>Data Scientist/Analyst</t>
        </is>
      </c>
      <c r="C16" t="inlineStr"/>
      <c r="D16" t="inlineStr">
        <is>
          <t>indeed</t>
        </is>
      </c>
      <c r="E16">
        <f>HYPERLINK("https://www.indeed.com/viewjob?jk=34cf0c0ac70768be", "https://www.indeed.com/viewjob?jk=34cf0c0ac70768be")</f>
        <v/>
      </c>
      <c r="F16">
        <f>HYPERLINK("https://fathomanagement.isolvedhire.com/jobs/1683849-128690.html", "https://fathomanagement.isolvedhire.com/jobs/1683849-128690.html")</f>
        <v/>
      </c>
      <c r="G16" t="inlineStr">
        <is>
          <t>Austin, TX, US</t>
        </is>
      </c>
      <c r="H16" s="3" t="n">
        <v>46034</v>
      </c>
      <c r="I16" t="inlineStr">
        <is>
          <t>**Data Scientist/Analyst**
**Contact Center Modernization – Data Scientist/Analyst**
A large U.S. health agency is modernizing its contact centers to improve 24/7 virtual access to high\-quality care. Advisory and implementation services are being provided to support this effort and facilitate large\-scale adoption.
NOTE: **IF YOU DO NOT ANSWER ALL THE QUESTIONS, YOU WILL NOT BE SCREENED.**
ID Card will be verified during the screening.
Interviewer may require screening via video call.
Salary Range: $130,000 \- $150,000 Annually based on experience and technical interview
Location: 100% Remote
Job Type: Full\-Time
Clearance Requirements: Position of Trust (or ability to obtain)
**Role Overview**
The Data Analyst's main duties include updating and managing business queries and data extractions for dashboards and data warehouses, making sure any new or changed data from modernization and consolidation efforts are included. Additionally, the role involves checking data for accuracy and completeness, supporting ongoing reporting requirements, and offering practical insights to leadership to aid data\-driven decision\-making.
Any interested candidate must be detail oriented, organized, excellent at time management, comfortable with ambiguity, and able to work independently with little oversight or instruction.
**Position Responsibilities:**
* Update and optimize business queries and data pulls to reflect new or consolidated data sources.
* Ensure data warehouse and dashboard systems accurately incorporate changes from modernization efforts.
* Collaborate with IT and business teams to align data structures with standardized workflows.
* Review and validate data to confirm successful consolidation and accuracy.
* Identify and resolve data discrepancies, ensuring integrity and consistency across systems.
* Develop and implement data quality checks and validation procedures.
* Develop, maintain, and enhance dashboards and regular reports to monitor key performance indicators (KPIs).
* Design, configure, and operate automated reporting solutions to streamline recurring data analysis and dashboard updates.
* Work closely with business process owners, IT teams, and leadership to understand evolving data requirements.
* Support cross\-functional teams in interpreting and utilizing data for operational improvements.
* Document data processes, query logic, and reporting methodologies.
* Assist in training team members on updated data systems and reporting tools.
**Required Qualifications:**
* 5\+ years of experience in data analysis/science.
* 1\+ years of prior work experience in or with the Federal Government
* 1\+ years of experience and aptitude for working and communicating with various diverse stakeholders, teams, and clients face\-to\-face
* Strong proficiency in SQL, data visualization tools (e.g., Tableau, PowerBI), data warehousing, and data management
* Strong understanding of data integration, ETL processes, and data quality assurance
* Demonstrated experience with dashboard/report development and business intelligence tools.
* Excellent analytical, problem\-solving, and communication skills.
* Ability to quickly adapt and excel in a fast\-paced environment
* Experience working with Microsoft Word, PowerPoint, and Excel
* Must hold a minimum of a Bachelor's degree in Data Analytics, Computer Science, Information Systems, or related field.
* Must be a US Citizen with ability and willingness to acquire a U.S. Public Trust
**Preferred Qualifications:**
* Knowledge of cloud\-based data platforms and modernization initiatives
* Advanced skills in SQL, Python, or other data analysis languages
* Federal Healthcare or VA experience
* Familiarity with Contact Center Operations and workflows
Benefits Overview: Full\-time employees are offered comprehensive and competitive benefits package including paid vacation, sick leave, holidays, health insurance, life insurance, military leave, training, tuition reimbursement, a wellness program, short\- and long\-term disability, 401(k) retirement plan with company matches/immediate vesting, commuter benefits, and more.
EEO Policy: It is our policy to promote equal employment opportunities. All personnel decisions, including, but not limited to, recruiting, hiring, training, promotion, compensation, benefits, and termination, are made without regard to race, creed, color, religion, national origin, sex, age, marital status, sexual orientation, gender identity, citizenship status, veteran status, disability, or any other characteristic protected by applicable federal, state or local law.</t>
        </is>
      </c>
    </row>
    <row r="17">
      <c r="A17" t="inlineStr">
        <is>
          <t>in-cb5c1d3b5e6b1d6e</t>
        </is>
      </c>
      <c r="B17" t="inlineStr">
        <is>
          <t>Data Scientist Network Fault Management (Wireless &amp; IEN Alarms)-1</t>
        </is>
      </c>
      <c r="C17" t="inlineStr">
        <is>
          <t>Realign</t>
        </is>
      </c>
      <c r="D17" t="inlineStr">
        <is>
          <t>indeed</t>
        </is>
      </c>
      <c r="E17">
        <f>HYPERLINK("https://www.indeed.com/viewjob?jk=cb5c1d3b5e6b1d6e", "https://www.indeed.com/viewjob?jk=cb5c1d3b5e6b1d6e")</f>
        <v/>
      </c>
      <c r="F17">
        <f>HYPERLINK("https://realign-llc.com/careers/job-details/IT19523DA-1", "https://realign-llc.com/careers/job-details/IT19523DA-1")</f>
        <v/>
      </c>
      <c r="G17" t="inlineStr">
        <is>
          <t>Basking Ridge, NJ, US</t>
        </is>
      </c>
      <c r="H17" s="3" t="n">
        <v>46034</v>
      </c>
      <c r="I17" t="inlineStr">
        <is>
          <t>Job Type: Contract
Job Category: IT
Job Description
**Role: Data Scientist – Network Fault Management (Wireless \&amp; IEN Alarms)****Location: Basking Ridge, NJ**  
**Duration: Long term Contract**  
* Analyze large\-scale wireless (RAN, Core) and IEN network alarm data from OSS/NMS systems
* Identify patterns, trends, and recurring fault signatures across network domains
* Develop KPIs and dashboards to track network health and fault trends
* Build machine learning models for alarm correlation, noise reduction, root cause analysis, anomaly detection, and predictive fault forecasting
* Apply supervised and unsupervised learning techniques such as clustering, classification, and time\-series analysis
* Clean, normalize, and enrich alarm data from multiple sources
* Integrate data from OSS, EMS, NMS, CMDB, and performance systems
* Automate fault insight pipelines and model deployment
* Collaborate with NOC, Network Engineering, and Reliability teams to translate analytical findings into operational recommendations
* Support proactive maintenance and incident prevention initiatives
* Create interactive dashboards and reports for real\-time fault monitoring
* Present insights clearly to technical and non\-technical stakeholders
* Strong proficiency in Python or R (Pandas, NumPy, Scikit\-learn, PySpark)
* Experience with time\-series data and event/alarm analytics
* Knowledge of machine learning algorithms for classification, clustering, and anomaly detection
* Experience with SQL and big data platforms such as Spark or Hadoop
* Familiarity with visualization tools like Tableau, Power BI, Grafana, or Python visualization libraries
* Understanding of wireless networks (2G/3G/4G/5G, RAN, Core)
* Knowledge of IEN/IP/Ethernet networking concepts
* Familiarity with network alarms, fault management, and OSS/NMS systems
* Understanding of MTTR, SLA, availability, and reliability metrics
* Strong analytical and problem\-solving skills
* Ability to communicate insights effectively and work in cross\-functional operational teams
* Experience in telecom, ISP, or network operations environments preferred
* Knowledge of AIOps or network intelligence platforms preferred
* Experience with real\-time streaming data tools such as Kafka or Flink preferred
* Exposure to ITIL and incident/problem management frameworks preferred
* Deliverables include alarm correlation and RCA models reducing false positives, predictive fault alerts improving proactive maintenance, operational dashboards for NOC and engineering teams, and documentation with model performance reports
Required Skills
DATA ANALYST</t>
        </is>
      </c>
    </row>
    <row r="18">
      <c r="A18" t="inlineStr">
        <is>
          <t>in-a42b074a235c3e3e</t>
        </is>
      </c>
      <c r="B18" t="inlineStr">
        <is>
          <t>Sr. Data Scientist</t>
        </is>
      </c>
      <c r="C18" t="inlineStr">
        <is>
          <t>Bart &amp; Associates, Inc.</t>
        </is>
      </c>
      <c r="D18" t="inlineStr">
        <is>
          <t>indeed</t>
        </is>
      </c>
      <c r="E18">
        <f>HYPERLINK("https://www.indeed.com/viewjob?jk=a42b074a235c3e3e", "https://www.indeed.com/viewjob?jk=a42b074a235c3e3e")</f>
        <v/>
      </c>
      <c r="F18">
        <f>HYPERLINK("https://recruiting.paylocity.com/recruiting/jobs/Details/3830995/Bart-Associates-LLC/Sr-Data-Scientist?source=Indeed_Feed", "https://recruiting.paylocity.com/recruiting/jobs/Details/3830995/Bart-Associates-LLC/Sr-Data-Scientist?source=Indeed_Feed")</f>
        <v/>
      </c>
      <c r="G18" t="inlineStr">
        <is>
          <t>Doral, FL, US</t>
        </is>
      </c>
      <c r="H18" s="3" t="n">
        <v>46033</v>
      </c>
      <c r="I18" t="inlineStr">
        <is>
          <t>**Sr. Data Scientist**
At B\&amp;A, we foster and embrace a distinct set of values that we live by and instill in all aspects of our organization: dedication, commitment, partnership, trust, and recognition. We have incorporated these values into successful delivery for our customers since 1988\. B\&amp;A believes in ensuring its employees feel deeply connected to B\&amp;A, recognizing successes and hard work, and providing continuous opportunities to learn and grow. Our people are entrepreneurial thinkers that combine mindset, vision, and experience to drive value – not only to us as an organization, but to the clients we support. We promote a collaborative culture with our clients, and with each other, as one team working towards a common vision. We’d love for you to join our team!
**Job Summary**
B\&amp;A is looking for a Senior Exploitation Specialist/Data Scientist to support USSOUTHCOM intelligence operations by exploiting large, complex datasets to generate actionable intelligence insights. This role operates at a senior, independent level and blends intelligence analysis with advanced data science, scripting, and visualization to directly support operational planning and mission execution. The position requires deep intelligence domain expertise, strong analytic tradecraft, and the ability to transform raw data into operationally relevant intelligence products.
**Responsibilities**
* Conduct advanced data exploitation and analysis in support of intelligence missions within the USSOUTHCOM AOR.
* Design, develop, and maintain analytic processes and workflows for large, complex datasets to identify patterns, trends, and operational insights.
* Apply intelligence tradecraft to ensure analytic rigor, objectivity, and compliance with IC analytic standards.
* Develop and execute senior\-level Python scripts to automate data processing, analysis, and discovery.
* Create clear, mission\-focused data visualizations that integrate seamlessly into daily operational workflows.
* Translate analytic discoveries into intelligence products that directly support operational planning and decision\-making.
* Provide subject matter expertise on Transnational Criminal Organizations (TCOs), including structure, operations, and networks.
* Analyze and contextualize coca cultivation and production areas within the broader regional security environment.
* Collaborate with intelligence and operational stakeholders while operating independently with minimal oversight.
* Ensure analytic outputs align with ICD 203 (Analytic Standards) and ICD 206 requirements.
**Education and Experience**
* Bachelor’s degree in Data Science, Intelligence Studies, Computer Science, Engineering, Mathematics, or a related discipline (Master’s degree preferred).
* Senior\-level qualification per the applicable labor category calculator.
* Significant prior experience supporting intelligence missions, including analytic exploitation and/or applied data science.
* Demonstrated experience operating independently at a senior level in a mission\-focused intelligence environment.
* Experience supporting or working with NGA, USSOUTHCOM, or DoD intelligence organizations is highly desirable.
**Required Skills**
* Senior\-level proficiency in Python scripting for data processing, automation, and analytics.
* Advanced experience working with large, complex datasets to generate analytic discoveries.
* Strong data visualization skills (e.g., dashboards, charts, geospatial or operational visualizations) that support real\-time operations.
* Intelligence analysis expertise, including structured analytic techniques and analytic writing.
* Deep understanding of:
* Transnational Criminal Organizations (TCOs) in the USSOUTHCOM AOR
* Coca cultivation and production regions and associated intelligence indicators
* Ability to operationalize analytic output—framing intelligence in ways that directly support operational planning and execution.
* Familiarity with ICD 203 and ICD 206 and the ability to apply them to analytic products.
* Strong communication skills to brief complex analytic findings to intelligence and operational audiences
**Security Clearance**
* Active TS/SCI clearance required
**More About B\&amp;A:**
***Notable Clients***
B\&amp;A has grown to be a company that is trusted by our clients for exceptional service, innovative solutions, and inspired employees. Our service extends through federal, state, and local Government, the private sector, and higher education. Some of our notable clients include Department of Homeland Security, U.S. Customs and Border Protection, U.S. Senate, U.S. Courts, U.S. Census Bureau, U.S. Navy, and more.
***Benefits and Programs***
B\&amp;A is proud to offer three robust individual and family medical plans to full time employees, including a Health Savings Account (HSA) option as well as two tiers of dental coverage, vision, life \&amp; AD\&amp;D, disability, accident, hospital indemnity, and critical illness insurance. In addition to these benefits, B\&amp;A employees enjoy paid time off, B\&amp;A sponsored trainings and certifications, pet insurance benefits, commuter transit benefits and a free subscription to a virtual exercise platform (NEOU). B\&amp;A’s 401(k) plan is available to all employees and includes a company matching contribution.
B\&amp;A has launched several programs to focus on employee engagement, wellness, and assistance. These include:
* The B\&amp;A Cares program: 30/60/90\-day wellness check ins, personal development, financial management, and stress management seminars, and more
* A formal mentorship program
* Job shadowing and cross training opportunities
* Brand Ambassador program
* Employee Assistance Program (EAP) \- Access to various support resources to include counseling, legal guidance, financial planning, and more
* Monthly teambuilding events
* B\&amp;A Annual Wellness Challenges: \#StepWithB\&amp;A, \#WalkDuringLunchWithB\&amp;A, \#VolunteeringWithB\&amp;A, \#ExerciseDuringLunchWithB\&amp;A, and more
At B\&amp;A, we place significant importance on improving the communities and lives of citizens across the nation through our involvement, technology expertise, and employees. B\&amp;A puts an emphasis on charitable efforts in the Northern Virginia area, including Capital Area Food Bank pantry drives, book donations, Hope for Henry Foundation events, and many more. In recognition of all these efforts, B\&amp;A has been named a Companies as Responsive Employers (CARE) award recipient by Northern Virginia Family Services and nominated by the Northern Virginia Chamber of Commerce for Outstanding Corporate Citizenship Award.
**EEO**
B\&amp;A provides equal employment opportunities (EEO) to all employees and applicants for employment without regard to race, color, religion, gender, sexual orientation, gender identity or expression, national origin, age, disability, genetic information, marital status, amnesty, or status as a covered veteran in accordance with applicable federal, state and local laws. B\&amp;A complies with applicable state and local laws governing non\-discrimination in employment in every location in which the company has facilities. This policy covers conduct occurring at B\&amp;A’s offices, and other workplaces (including client sites) and all other locations where B\&amp;A is providing services, and to all work\-related activities.
EEO is the Law
B\&amp;A participates in e\-Verify. We provide the Social Security Administration (SSA) and, if necessary, the Department of Homeland Security (DHS) with information from each new employee’s I\-9 Form to confirm work authorization.</t>
        </is>
      </c>
    </row>
    <row r="19">
      <c r="A19" t="inlineStr">
        <is>
          <t>in-54b3896a238a7679</t>
        </is>
      </c>
      <c r="B19" t="inlineStr">
        <is>
          <t>Data Scientist I - Biobank and Electronic Health Record _Cell and Molecular Biology</t>
        </is>
      </c>
      <c r="C19" t="inlineStr">
        <is>
          <t>University of Mississippi Medical Center</t>
        </is>
      </c>
      <c r="D19" t="inlineStr">
        <is>
          <t>indeed</t>
        </is>
      </c>
      <c r="E19">
        <f>HYPERLINK("https://www.indeed.com/viewjob?jk=54b3896a238a7679", "https://www.indeed.com/viewjob?jk=54b3896a238a7679")</f>
        <v/>
      </c>
      <c r="F19">
        <f>HYPERLINK("https://ummc.wd5.myworkdayjobs.com/en-US/UMCCareers/job/Jackson-MS---Main-Campus/Data-Scientist-I---Biobank-and-Electronic-Health-Record--Cell-and-Molecular-Biology_R00047994-1", "https://ummc.wd5.myworkdayjobs.com/en-US/UMCCareers/job/Jackson-MS---Main-Campus/Data-Scientist-I---Biobank-and-Electronic-Health-Record--Cell-and-Molecular-Biology_R00047994-1")</f>
        <v/>
      </c>
      <c r="G19" t="inlineStr">
        <is>
          <t>Jackson, MS, US</t>
        </is>
      </c>
      <c r="H19" s="3" t="n">
        <v>46033</v>
      </c>
      <c r="I19" t="inlineStr">
        <is>
          <t>Hello,
Thank you for your interest in career opportunities with the University of Mississippi Medical Center. Please review the following instructions prior to submitting your job application:* Provide all of your employment history, education, and licenses/certifications/registrations. You will be unable to modify your application after you have submitted it.
* You must meet all of the job requirements at the time of submitting the application.
* You can only apply one time to a job requisition.
* Once you start the application process you cannot save your work. Please ensure you have all required attachment(s) available to complete your application before you begin the process.
* Applications must be submitted prior to the close of the recruitment. Once recruitment has closed, applications will no longer be accepted.
After you apply, we will review your qualifications and contact you if your application is among the most highly qualified. Due to the large volume of applications, we are unable to individually respond to all applicants. You may check the status of your application via your Candidate Profile.
Thank you,
Human Resources
Important Applications Instructions:
Please complete this application in entirety by providing all of your work experience, education and certifications/
license. You will be unable to edit/add/change your application once it is submitted.
Job Requisition ID:
R00047994
Job Category:
Professional and Technical
Organization:
SOM\-Cell and Molecular Biology Bioinformatics
Location/s:
Main Campus Jackson
Job Title:
Data Scientist I \- Biobank and Electronic Health Record \_Cell and Molecular Biology
Job Summary:
Develops and executes basic and intermediate data management functions under direct guidance, including building platforms for database design, data acquisition, data quality assurance, data curation and data distribution. Collaborates with investigators and assists lead data scientists in data management, data visualization and data analytic activities.
Education \&amp; Experience
Education and Experience Required:
Master’s in Computer Science, Statistics, Biostatistics, Analytics or directly related field and one (1\) year of related database platform experience, or Bachelor’s in Computer Science, Statistics, Biostatistics, Analytics or directly related field and two (2\) years of related database platform experience.
Certifications, Licenses or Registration required: N/A
Preferred Qualifications:* Working knowledge of bioinformatics, biostatistics, and data science methods with a preferred biology background.
* Proficiency in programming and statistical environments such as R, Python, SQL, UNIX/Linux environments.
* Experience working with large datasets, including EHR\-derived or biobank\-scale data, such as All of Us and UK Biobank
* Expertise or understanding of omics datasets, including transcriptomics, proteomics, and metabolomics
* Familiarity with phenotype extraction and curation using clinical data; experience with EHR\-based data preferred, such as COSMOS
* Ability to interpret, analyze, and visualize multivariate data.
* Ability to identify data quality issues and support corrective actions.
* Effective written and verbal communication skills suitable for collaboration with multidisciplinary research teams.
Knowledge, Skills \&amp; Abilities
Knowledge, Skills, and Abilities:
Skills and abilities using database platforms such as SQL, NoSQL, \&amp; DBaaS; data acquisition platforms such as REDCap \&amp; OpenClinic; and programming platforms such as PYTHON, R, JAVA/JS/D3\.JS, Stata and/or SAS. Excellent interpersonal communication skills with ability to communicate advanced ideas and concepts clearly.
Responsibilities:* Under direct guidance, build database platforms for the collection of new data and the refinement of existing data, including integration of disparate data sources utilizing a variety of technology resources.
* Under direct guidance, develop and execute validation rules regarding data integrity and data quality as it relates to the impact on research requirements.
* Under direct guidance, develop processes for data queries, ETL (extraction, transformation and loading) and data object delivery while managing permissions.
* Serve in a supporting role for research projects, with consultation or assistance as needed. Demonstrate understanding of how related tasks contribute to the role of the data team on the project. Attend team meetings when appropriate and participate in the data team responsible for designing and validating data and programming projects. Accomplish project responsibilities with supervision or regular support.
* The duties listed are general in nature and are examples of the duties and responsibilities performed and are not meant to be construed as exclusive or all\- inclusive. Management retains the right to add or change duties at any time.
Physical and Environmental Demands  
Requires occasional lifting up to 10 pounds. constant sitting, occasional standing, and occasional walking. (occasional\-up to 20%, frequent\-from 21% to 50%, constant\-51% or more)
Time Type:
Full time
FLSA Designation/Job Exempt:
Yes
Pay Class:
Salary
FTE %:
100
Work Shift:
Day
Benefits Eligibility:
Grant Funded:
Yes
Job Posting Date:
01/12/2026
Job Closing Date (open until filled if no date specified):
01/15/2026</t>
        </is>
      </c>
    </row>
    <row r="20">
      <c r="A20" t="inlineStr">
        <is>
          <t>in-727738312d6c9146</t>
        </is>
      </c>
      <c r="B20" t="inlineStr">
        <is>
          <t>Data Scientist, Mid</t>
        </is>
      </c>
      <c r="C20" t="inlineStr">
        <is>
          <t>Booz Allen Hamilton</t>
        </is>
      </c>
      <c r="D20" t="inlineStr">
        <is>
          <t>indeed</t>
        </is>
      </c>
      <c r="E20">
        <f>HYPERLINK("https://www.indeed.com/viewjob?jk=727738312d6c9146", "https://www.indeed.com/viewjob?jk=727738312d6c9146")</f>
        <v/>
      </c>
      <c r="F20">
        <f>HYPERLINK("https://careers.boozallen.com/careers/JobDetail?jobId=119395", "https://careers.boozallen.com/careers/JobDetail?jobId=119395")</f>
        <v/>
      </c>
      <c r="G20" t="inlineStr">
        <is>
          <t>San Diego, CA, US</t>
        </is>
      </c>
      <c r="H20" s="3" t="n">
        <v>46033</v>
      </c>
      <c r="I20" t="inlineStr">
        <is>
          <t>Data Scientist, Mid**The Opportunity:**
As a data scientist, you’re excited at the prospect of unlocking the secrets held by a data set, and you’re fascinated by the possibilities presented by IoT, machine learning, and artificial intelligence. In an increasingly connected world, massive amounts of structured and unstructured data open new opportunities. As a data scientist at Booz Allen, you can help turn these complex data sets into useful information to solve global challenges. Across private and public sectors—from fraud detection to cancer research to national intelligence—we need you to help find the answers in the data.
On our team, you’ll use your analytical skills and data science knowledge to create real\-world impact. You’ll work closely with your clients to understand their questions and needs, and then dig into their data\-rich environments to find the pieces of their information puzzle. You’ll develop algorithms and systems and use the right combination of tools and frameworks to turn sets of disparate data points into objective answers to help clients make informed decisions. Ultimately, you’ll provide a deep understanding of the data, what it all means, and how it can be used.
Work with us as we use data science for good.
Join us. The world can’t wait.
**You Have:**
* 2\+ years of experience with data exploration, data cleaning, data analysis, data visualization, or data mining
* 2\+ years of experience with statistical and general\-purpose programming languages for data analysis
* Experience analyzing structured and unstructured data sources
* Experience developing predictive data models, quantitative analyses and visualization of targeted data sources
* Knowledge of Machine Learning, Artificial Intelligence, or Natural Language Processing
* Knowledge of text mining or machine learning techniques
* Ability to obtain a Secret clearance
* Bachelor’s degree
**Nice If You Have:**
* 2\+ years of experience in the development of algorithms leveraging R, Python, or SQL and NoSQL
* 2\+ years of experience with Distributed data or computing tools, including MapReduce, Hadoop, Hive, EMR, Kafka, Spark, Gurobi, or MySQL
* 2\+ years of experience with Machine Learning, AI or NLP
* Experience with visualization packages, including Plotly, Seaborn, or ggplot2
* Experience with Business Intelligence (BI) or data visualization tools, such as Power BI, Tableau, or Qlik
* TS/SCI clearance with a polygraph
* Bachelor's degree in Computer Science, Data Science, Computer Engineering, Systems Engineering, or a related field preferred; Master's degree in an Analytical or Engineering field, such as Computer Science, Data Science, Business Analytics, Computer Engineering, or Systems Engineering, or a related field a plus
**Clearance:**
Applicants selected will be subject to a security investigation and may need to meet eligibility requirements for access to classified information.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$77,600\.00 to $176,000\.00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21">
      <c r="A21" t="inlineStr">
        <is>
          <t>in-447afb83376783ae</t>
        </is>
      </c>
      <c r="B21" t="inlineStr">
        <is>
          <t>Staff Data Scientist</t>
        </is>
      </c>
      <c r="C21" t="inlineStr">
        <is>
          <t>Intuit</t>
        </is>
      </c>
      <c r="D21" t="inlineStr">
        <is>
          <t>indeed</t>
        </is>
      </c>
      <c r="E21">
        <f>HYPERLINK("https://www.indeed.com/viewjob?jk=447afb83376783ae", "https://www.indeed.com/viewjob?jk=447afb83376783ae")</f>
        <v/>
      </c>
      <c r="F21">
        <f>HYPERLINK("https://dsp.prng.co/qFKYjYb", "https://dsp.prng.co/qFKYjYb")</f>
        <v/>
      </c>
      <c r="G21" t="inlineStr">
        <is>
          <t>Mountain View, CA, US</t>
        </is>
      </c>
      <c r="H21" s="3" t="n">
        <v>46033</v>
      </c>
      <c r="I21" t="inlineStr">
        <is>
          <t>**Overview**
------------
Intuit’s **Global Business Solutions Group (GBSG)** is dedicated to serving the needs of more than **2 million small businesses and self\-employed customers worldwide**. Our mission is to power prosperity around the world by helping customers run their businesses with confidence, save time, and make better decisions—leveraging Intuit’s cloud platform, data, and ecosystem of app partners.
The **Data Analytics \&amp; Science** organization plays a critical role in driving customer growth and retention across GBSG through deep product insights, advanced analytics, and data\-driven optimization of marketing and lifecycle strategies. We partner closely with product, marketing, engineering, and finance teams to influence strategy at scale using industry\-leading tools, techniques, and best practices.
We are seeking a **Staff Data Scientist** to join the **Audience Personalization \&amp; Targeting** team. This role requires deep expertise in **marketing\-centric data modeling, measurement, and optimization**, along with the ability to provide technical and strategic leadership. As a Staff Data Scientist, you will shape how we identify, understand, and engage the right customers with the right experiences—driving measurable impact across acquisition, engagement, and retention.
In this role, you will:
* Lead the development of advanced models and analytical frameworks to support **audience segmentation, targeting, and personalization** across marketing channels
* Inform and influence **growth marketing strategy** through rigorous measurement, experimentation, and causal analysis
* Partner cross\-functionally with **marketing, product, engineering, sales, and finance** to translate business problems into scalable data science solutions
* Drive alignment on metrics, methodologies, and best practices, raising the overall analytical bar across teams
* Act as a technical thought leader and mentor, contributing to the long\-term vision of personalization and targeting at Intuit
 **Responsibilities**
* **Lead the design and development of advanced predictive and optimization models** used across the QuickBooks marketing site and in\-product surfaces to personalize experiences for prospective and existing customers, driving meaningful improvements in acquisition, engagement, and retention.
* **Own the measurement and evaluation strategy** for personalization, targeting, and growth initiatives, including defining success metrics, experimentation frameworks, and causal methodologies to quantify impact and ROI.
* **Partner with marketing, product, and finance to evaluate ROI** for new pricing, packaging, and growth strategy initiatives, providing data\-driven recommendations to inform investment and prioritization decisions.
* **Serve as the analytics and data science lead** for large\-scale campaigns, experiments, and cross\-functional initiatives, ensuring rigorous design, execution, and interpretation of results.
* **Influence growth and personalization strategy** by translating complex analyses into clear, actionable insights and recommendations for both technical and non\-technical stakeholders, including senior leadership.
* **Set technical and analytical standards** for the team by establishing best practices in modeling, experimentation, and measurement, and mentoring other data scientists to raise the overall quality and impact of work.
* **Demonstrate strong judgment and strategic thinking**, balancing short\-term wins with long\-term platform and capability investments, and proactively identifying new opportunities to improve customer relevance and business outcomes.
 **Qualifications**
* **MS or PhD in a quantitative field** such as Statistics, Mathematics, Economics, Finance, Operations Research, Computer Science, or a related discipline, with **6\+ years of hands\-on experience** in data science, analytics, or applied machine learning roles (or equivalent industry experience).
* **Deep expertise in statistical modeling and marketing measurement**, with a demonstrated track record of applying these techniques to drive business impact in areas such as personalization, targeting, pricing, experimentation, or growth optimization.
* **Strong proficiency in Python or R**, and extensive experience working with large\-scale data using **SQL\-based technologies** (e.g., SQL, Hive, SparkSQL).
* **Solid understanding of customer lifecycle analytics**, including acquisition funnels, engagement, retention, and lifetime value modeling.
* **Advanced knowledge of machine learning and quantitative methods**, including but not limited to regression, classification, clustering, time series, causal inference, econometrics, and optimization techniques.
* **Excellent communication and storytelling skills**, with the ability to translate complex analyses into clear, actionable insights for both technical and executive audiences.
* **Demonstrated ownership and sound judgment**, with the ability to independently lead ambiguous, high\-impact initiatives from problem definition through execution.
### **Preferred Qualifications**
* Experience building or influencing **personalization and targeting systems** across marketing channels or in\-product experiences.
* Hands\-on experience with **experimentation platforms, A/B testing, and causal inference techniques** in real\-world business settings.
* Familiarity with **pricing, packaging, or growth strategy analytics** in SaaS or consumer software products.
* Experience **mentoring or technically leading other data scientists**, setting best practices, and raising analytical standards across teams.
* Experience working in a **cross\-functional environment** with product managers, engineers, marketers, and finance partners.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$186,500 \- $252,000\.</t>
        </is>
      </c>
    </row>
    <row r="22">
      <c r="A22" t="inlineStr">
        <is>
          <t>in-11d77b84b662fdd3</t>
        </is>
      </c>
      <c r="B22" t="inlineStr">
        <is>
          <t>Data Scientist Demand, Pricing, Inventory</t>
        </is>
      </c>
      <c r="C22" t="inlineStr">
        <is>
          <t>Delaware Valley Floral Group</t>
        </is>
      </c>
      <c r="D22" t="inlineStr">
        <is>
          <t>indeed</t>
        </is>
      </c>
      <c r="E22">
        <f>HYPERLINK("https://www.indeed.com/viewjob?jk=11d77b84b662fdd3", "https://www.indeed.com/viewjob?jk=11d77b84b662fdd3")</f>
        <v/>
      </c>
      <c r="F22">
        <f>HYPERLINK("https://www.paycomonline.net/v4/ats/web.php/jobs/ViewJobDetails?job=350020&amp;clientkey=2B48348847738EDB673870ABD9F3F3F9&amp;source=Indeed", "https://www.paycomonline.net/v4/ats/web.php/jobs/ViewJobDetails?job=350020&amp;clientkey=2B48348847738EDB673870ABD9F3F3F9&amp;source=Indeed")</f>
        <v/>
      </c>
      <c r="G22" t="inlineStr">
        <is>
          <t>Sewell, NJ, US</t>
        </is>
      </c>
      <c r="H22" s="3" t="n">
        <v>46033</v>
      </c>
      <c r="I22" t="inlineStr">
        <is>
          <t>About Us/Company Overview:  
For over six decades, the Delaware Valley Floral Group (DVFG) has been at the forefront of providing professional retail florists, event designers and supermarkets across the nation with the highest quality of fresh cut flowers, greens, botanicals, and floral supplies. Established in 1959 as a modest family venture, the DVFG has flourished into one of the largest floral distribution companies in the United States.  
Our modern corporate headquarters, spanning over 100,000 square feet, is strategically situated in Sewell, New Jersey. Complementing this central hub are multiple satellite logistics, distribution and sales facilities located in key geographical regions, including Edison, NJ, Jessup, MD, Hauppauge, NY, Syracuse, NY, Hartford, CT, Wilkes\-Barre, PA, Shrewsbury, MA, Pittsburgh, PA, Cleveland, OH, Richmond, VA, Miami, FL and Oxnard, CA.  
Our mission extends beyond just being a floral wholesaler to our customers; We Aspire To Be Their Most Valuable Supplier. Every member of our team plays a pivotal role in ensuring our customers receive the best possible products and services to help their business grow. We recognize that our employees are the cornerstone of our success as well, which is why we are committed to fostering a family\-oriented culture where every individual's contributions are deeply valued and appreciated. Join us in shaping the future of floral distribution and become a part of our dynamic team here at the DVFG!  
We’re looking for a data\-savvy and curious Data Scientist with 3–5 years of experience to join our Fresh and Supplies Goods category team. In this role, you'll help improve forecasting, pricing, inventory, and promotional strategies by building and refining analytical models. You’ll play a key part in shaping smarter, more data\-driven decisions — with the opportunity to grow your skills toward more advanced analytics and AI/ML integration over time.  
Key Responsibilities  
1\. Demand Forecasting Support  
Build and maintain sales forecasting models at the SKU and category level.  
Use historical trends, seasonality, promotions, and other factors to improve forecast accuracy.  
Work with business teams to turn their needs into practical forecasting tools.  
2\. Pricing \&amp; Margin Analysis  
Support pricing decisions by analyzing costs, competition, and product performance.  
Help design and test simple pricing models that align with margin and inventory goals.  
3\. Inventory Insights  
Analyze inventory patterns and shelf\-life data to reduce shrink and improve stock levels.  
Assist in building tools to flag overstock risks and recommend timely actions.  
4\. Promo Performance Tracking  
Analyze how promotions impact sales and margins using historical and real\-time data.  
Support the team in identifying the best timing and products for future promotions.  
5\. Reporting \&amp; Dashboards  
Create dashboards and reports using tools like Power BI, Tableau, or Python Dash.  
Summarize data findings in a clear, actionable way for non\-technical stakeholders.  
6\. Opportunity to Grow with AI/ML  
Contribute to early\-stage projects that explore machine learning for demand forecasting, pricing, and inventory management.  
Learn and experiment with newer tools and approaches as we evolve our analytics.  
7\. Collaboration Across Teams  
Work closely with category managers, sourcing, marketing, and supply chain teams.  
Help others understand and use data insights to guide everyday decisions.  
Physical Demands:  
This is an office\-based position with extended periods of computer use. Occasional travel to warehouse or distribution facilities, including overnight stays, may be required. Light physical activity such as lifting or filing may occur. Reasonable accommodations may be made to enable individuals with disabilities to perform the essential functions.  
Bachelor’s degree in Data Science, Statistics, Math, Computer Science, or a related field.  
3–5 years of experience in data analysis, preferably in retail, wholesale, or supply chain settings.  
Comfortable working with statistical models (e.g., time series, regression).  
Strong SQL skills; able to work with large datasets.  
Experience with BI tools like Power BI or Tableau.  
Curious, collaborative, and able to communicate findings clearly to non\-technical teams.</t>
        </is>
      </c>
    </row>
    <row r="23">
      <c r="A23" t="inlineStr">
        <is>
          <t>in-a75cade6dc6eff71</t>
        </is>
      </c>
      <c r="B23" t="inlineStr">
        <is>
          <t>Data Scientist/Machine Learning Engineer (req-214 )</t>
        </is>
      </c>
      <c r="C23" t="inlineStr">
        <is>
          <t>Cathexis</t>
        </is>
      </c>
      <c r="D23" t="inlineStr">
        <is>
          <t>indeed</t>
        </is>
      </c>
      <c r="E23">
        <f>HYPERLINK("https://www.indeed.com/viewjob?jk=a75cade6dc6eff71", "https://www.indeed.com/viewjob?jk=a75cade6dc6eff71")</f>
        <v/>
      </c>
      <c r="F23">
        <f>HYPERLINK("https://apply.workable.com/j/FB3D5F2446", "https://apply.workable.com/j/FB3D5F2446")</f>
        <v/>
      </c>
      <c r="G23" t="inlineStr">
        <is>
          <t>Redwood City, CA, US</t>
        </is>
      </c>
      <c r="H23" s="3" t="n">
        <v>46033</v>
      </c>
      <c r="I23" t="inlineStr">
        <is>
          <t>Team CATHEXIS elevates the government contracting experience through rapid response, deep skill, and thoughtful problem\-solving and communication. Our core capabilities are our top\-tier program and project management, data analytics, and audit services, the backbone of which is our integrated approach to operational excellence.
You worked hard to get to where you are. You strive to make every day better than the day before. So do we. Team CATHEXIS operates with an all\-in mindset. We are working together to create a company that supports our shared values and individual goals. Our values are centered around Respect, Engagement, Customer Service, Integrity, Teamwork, and Excellence in everything we do for our employees, clients, partners, and communities. We believe success is best when we listen and lead with empathy; model high standards of ethics to provide a rewarding candidate experience; work hard, have fun, and appreciate the strengths we all bring to the team; and empower our employees to create innovative and trusted results.
We are looking for a dynamic **Data Scientist/ML Engineer** to join our team. The Data Scientist/ML Engineer will work directly with data scientists, software engineers, and subject matter experts in the definition of new analytics capabilities able to provide our federal customers with the information they need to make proper decisions and enable their digital transformation.
### **Responsibilities**
**The responsibilities include, but are not limited to:**
* Research, design, implement, and deploy Machine Learning algorithms for enterprise applications.
* Assist and enable federal customers to build their own applications.
* Contribute to the design and implementation of new features.
**Requirements**
* Bachelor's degree in Computer Science, Electrical Engineering, Statistics, or equivalent fields required.
* MS or PhD in Computer Science, Electrical Engineering, Statistics, or equivalent fields preferred.
* Minimum 2 years relevant work experience preferred.
* Excellent programming skills in Python.
* Applied Machine Learning experience (regression and classification, supervised, and unsupervised learning).
* Strong mathematical background (linear algebra, calculus, probability, and statistics).
* Experience with scalable ML (MapReduce, streaming).
* Ability to drive a project and work both independently and in a team.
* Smart, motivated, can\-do attitude, and seeks to make a difference.
* Excellent verbal and written communication.
* Real passion for developing team\-oriented solutions to complex engineering problems.
* Thrive in an autonomous, empowering and exciting environment.
* Great verbal and written communication skills to collaborate multi\-functionally and improve scalability.
* Interest in committing to a fun, friendly, expansive, and intellectually stimulating environment.
* Convey highly technical concepts and information in written form to technical and non\-technical audiences.
* The ability to work on multiple concurrent projects is essential.
* Strong self \-motivation and the ability to work with minimal supervision.
* Must be a team\-oriented individual, energetic, result \&amp; delivery oriented, with a keen interest on quality and the ability to meet deadlines.
* Ability to work in an agile environment.
### **Desired Skills**
* Hands\-on experience deploying and operating applications using IaaS and PaaS on major cloud providers, such as Amazon AWS, Microsoft Azure, or Google Cloud Services.
* Experience with deep learning, natural language processing, computer vision, or reinforcement learning.
**Benefits**
CATHEXIS offers competitive compensation packages to all eligible employees. Our goal is to provide a compensation package that reflects the value you bring to our team, is competitive with national average market rates, and promotes your financial security and personal well\-being. The annual salary range for this role is $125,000 \- $150,000\. Please note that the salary information provided is a general guideline. CATHEXIS considers various factors in its final offer, including location, qualifications, experience, and skills.
* Performance Bonuses
* Medical Insurance
* Dental Insurance
* Vision Insurance
* 401(k) Plan (Traditional and ROTH)
* Life Insurance (Basic, Voluntary \&amp; AD\&amp;D)
* Paid Time Off
* 11 Federal Holidays
* Parental Leave
* Commute Benefits
* Short Term \&amp; Long Term Disability
* Training \&amp; Development
* Wellness Program
* Community Outreach Initiatives
*CATHEXIS is an Equal Employment Opportunity Employer. All qualified applicants will receive consideration for employment without regard to race, color, religion, sex, sexual orientation, gender identity, national origin, or protected veteran status and will not be discriminated against on the basis of disability EEO IS THE LAW. If you are an individual with a disability and would like to request a reasonable accommodation as part of the employment selection process, please contact the Recruiting Department RecruitingTeam@cathexiscorp.com*</t>
        </is>
      </c>
    </row>
    <row r="24">
      <c r="A24" t="inlineStr">
        <is>
          <t>in-c64193e899ec4498</t>
        </is>
      </c>
      <c r="B24" t="inlineStr">
        <is>
          <t>Data Scientist SME</t>
        </is>
      </c>
      <c r="C24" t="inlineStr">
        <is>
          <t>Tyto Athene</t>
        </is>
      </c>
      <c r="D24" t="inlineStr">
        <is>
          <t>indeed</t>
        </is>
      </c>
      <c r="E24">
        <f>HYPERLINK("https://www.indeed.com/viewjob?jk=c64193e899ec4498", "https://www.indeed.com/viewjob?jk=c64193e899ec4498")</f>
        <v/>
      </c>
      <c r="F24">
        <f>HYPERLINK("https://careers-gotyto.icims.com/jobs/1646/job?utm_source=indeed_integration&amp;iis=Job%20Board&amp;iisn=Indeed&amp;indeed-apply-token=73a2d2b2a8d6d5c0a62696875eaebd669103652d3f0c2cd5445d3e66b1592b0f", "https://careers-gotyto.icims.com/jobs/1646/job?utm_source=indeed_integration&amp;iis=Job%20Board&amp;iisn=Indeed&amp;indeed-apply-token=73a2d2b2a8d6d5c0a62696875eaebd669103652d3f0c2cd5445d3e66b1592b0f")</f>
        <v/>
      </c>
      <c r="G24" t="inlineStr">
        <is>
          <t>Washington, DC, US</t>
        </is>
      </c>
      <c r="H24" s="3" t="n">
        <v>46033</v>
      </c>
      <c r="I24" t="inlineStr">
        <is>
          <t>Description:
Tyto Athene is hiring a **Data Scientist Subject Matter Expert (SME)** to join a newly awarded Cybersecurity and IT Risk Management contract supporting a federal customer. This role is critical to maturing the client’s operational capabilities. You will work within an experienced team dedicated to defending federal infrastructure, transforming large datasets into actionable insights to detect and respond to threats quickly and effectively. **Responsibilities:*** Provide technical and management leadership on major tasks or technology assignments.
* Collaborate with clients, data stewards, project/program managers, and IT teams to turn data into critical insights for organizational decision\-making.
* Ensure data quality, consistency, and reliability.
* Apply creative and innovative data mining approaches to uncover new patterns and insights from large datasets.
* Support cybersecurity initiatives using data analytics, machine learning, and statistical modeling to identify and mitigate threats.
* Provide technical support for Continuous Diagnostics \&amp; Mitigation (CDM) / Zero Trust Architecture (ZTA) phases, including dashboards and visualizations, while communicating complex security concepts to both technical and non\-technical audiences.
* Validate findings using experimental and iterative approaches and present results clearly to business counterparts.
* Lead ongoing research to recommend and implement new concepts in operational analytics and organizational performance management.
* Identify and evaluate data sources to support the SOC data analytics function and implement new data collection methods.
* Automate data collection and aggregation from sources such as SIEM tools, case management systems, and internal databases.
* Conduct root\-cause analysis of operational issues and provide actionable recommendations.
* Provide training on interactive, self\-service dashboards to senior executives.
* Develop documentation for analytics work products, data models, and testing/distribution processes.
* Collaborate within a multi\-disciplinary, fast\-paced, solutions\-oriented team focused on client deliverables.
Qualifications:
**Required:*** Bachelor’s degree in Electrical Engineering, Computer Science, Data Science, Statistics, or equivalent combination of education and experience.
* Minimum 5 years of relevant experience.
* Experience working in a Lean\-Agile environment.
* Hands\-on experience with MS PowerBI.
* Proficiency in Python programming and open\-source libraries.
* Strong analytical skills with the ability to identify trends and insights.
* Experience managing multiple projects simultaneously.
* Ability to connect business outcomes with operational and technological considerations.
* Highly organized with strategic and tactical critical thinking.
* Excellent written, verbal, and presentation skills, with experience briefing senior leadership.
* Proficiency in Microsoft Office (Word, Excel, PowerPoint, Visio, MS Project).
**Desired:*** Experience with Linux, IP networks, APIs, SQL/NoSQL databases, and query tools.
* Experience managing large transformational, data\-driven projects in cybersecurity.
* Familiarity with SOC metrics and security operations.
* Experience with Splunk, Spark, Hadoop, or real\-time algorithm development.
* Six Sigma certification and/or operational excellence experience.
* Familiarity with a range of data analysis techniques: linear regression, random forest, clustering, NLP, supervised/unsupervised learning, graph algorithms, etc.
**Clearance:**
* Active Top Secret clearance required
**Location:**
* Hybrid\-remote in Washington, DC, \~2 days on\-site per week
About Tyto Athene:
**Compensation:*** Compensation is unique to each candidate and relative to the skills and experience they bring to the position. The salary range for this position is typically between $130,000 \- $150,000\. This does not guarantee a specific salary as compensation is based upon multiple factors such as education, experience, certifications, and other requirements, and may fall outside of the above\-stated range.
**Benefits:*** Highlights of our benefits include Health/Dental/Vision, 401(k) match, Paid Time Off, STD/LTD/Life Insurance, Referral Bonuses, professional development reimbursement, and parental leave.
Tyto Athene is a trusted leader in IT services and solutions, delivering mission\-focused digital transformation that drives measurable success. Our expertise spans four core technology domains—Network Modernization, Hybrid Cloud, Cybersecurity, and Enterprise IT—empowering our clients with cutting\-edge solutions tailored to their evolving needs. With over 50 years of experience, Tyto Athene proudly support Defense, Intelligence, Space, National Security, Civilian, Health, and Public Safety clients across the United States and worldwide.
At Tyto Athene, we believe that success starts with our people. We foster a collaborative, innovative, and mission\-driven environment where every team member plays a critical role in shaping the future of technology. Are you ready to join \#TeamTyto?
Tyto Athene, LLC is an Equal Opportunity Employer; all qualified applicants will receive consideration for employment without regard to race, color, religion, sex, \[sexual orientation, gender identity,] national origin, disability, status as a protected veteran, or any characteristic protected by applicable law.</t>
        </is>
      </c>
    </row>
    <row r="25">
      <c r="A25" t="inlineStr">
        <is>
          <t>in-c440b255a81083b4</t>
        </is>
      </c>
      <c r="B25" t="inlineStr">
        <is>
          <t>Principal Data Scientist (Credit Risk Insights &amp; Analysis)</t>
        </is>
      </c>
      <c r="C25" t="inlineStr">
        <is>
          <t>Navy Federal Credit Union</t>
        </is>
      </c>
      <c r="D25" t="inlineStr">
        <is>
          <t>indeed</t>
        </is>
      </c>
      <c r="E25">
        <f>HYPERLINK("https://www.indeed.com/viewjob?jk=c440b255a81083b4", "https://www.indeed.com/viewjob?jk=c440b255a81083b4")</f>
        <v/>
      </c>
      <c r="F25">
        <f>HYPERLINK("https://jobs.talemetry.com/navyfederal/jobs/apply?job_list_id=1045&amp;returnUrl=https%3A%2F%2Ffa-etbx-saasfaprod1.fa.ocs.oraclecloud.com%2FhcmUI%2FCandidateExperience%2Fen%2Fsites%2FCX_1%2Fjob%2F28062&amp;tm_job=28062&amp;tm_event=view&amp;tm_company=903", "https://jobs.talemetry.com/navyfederal/jobs/apply?job_list_id=1045&amp;returnUrl=https%3A%2F%2Ffa-etbx-saasfaprod1.fa.ocs.oraclecloud.com%2FhcmUI%2FCandidateExperience%2Fen%2Fsites%2FCX_1%2Fjob%2F28062&amp;tm_job=28062&amp;tm_event=view&amp;tm_company=903")</f>
        <v/>
      </c>
      <c r="G25" t="inlineStr">
        <is>
          <t>Vienna, VA, US</t>
        </is>
      </c>
      <c r="H25" s="3" t="n">
        <v>46033</v>
      </c>
      <c r="I25" t="inlineStr">
        <is>
          <t>**Overview**
Provide independent data science, machine learning, and analytical insights using member, financial, and organizational data to support credit risk decision\-making. Understand business needs and identify opportunities for process optimization to meet business objectives using cutting\-edge data science. Regarded as an advanced professional in the data science field who can conduct complex work under minimal supervision and with wide latitude for independent judgment. The role requires strong analytical skills, proficiency in data visualization tools, and the ability to communicate complex insights effectively.
**Responsibilities**
* Develop, maintain, and manage advanced reporting, dashboards, data models and analytical results
* Retrieve, analyze and validate data and interpret results
* Lead projects to understand requirements and propose key analytical solutions to drive effective decision\-making and influence business objectives
* Develop and code complex software programs, algorithms, and automated processes
* Use evaluation, judgment, and interpretation to select right course of action
* Work on problems of diverse scope where analysis of information requires evaluation of identifiable factors
* Produce innovative solutions driven by exploratory data analysis from complex and high\-dimensional datasets
* Transform data into charts, tables, or format that aids effective decision making
* Utilize effective written and verbal communication to document analyses and present findings analyses to a diverse audience of stakeholders
* Develop and maintain strong working relationships with team members, subject matter experts, and leaders
* Lead moderate to large projects and initiatives
* Model best practices and ethical AI
* Works with senior management on complex issues
* Assist with the development and enhancement practices, procedures, and instructions
* Serve as technical resource for other team members
* Mentor lower levels
**Qualifications**
* 6\+ years of working experience with requisite competencies
* Complete knowledge and full understanding of specialization
* Statistics, machine learning , data mining, data auditing, aggregation, reconciliation, and visualization
* Programming, data modeling, simulation, and advanced mathematics
* SQL, R, Python, Hadoop, SAS, SPSS, Databricks, Scala, AWS
* Tableau, Power BI, or related data visualization tools
* Model lifecycle execution
* Technical writing
* Data storytelling and technical presentation skills
* Research Skills
* Interpersonal Skills
* Advanced knowledge of procedures, instructions and validation techniques
* Model Development
* Communication
* Critical Thinking
* Collaborate and Build Relationships
* Initiative with sound judgement
* Technical (Big Data Analysis, Coding, Project Management, Technical Writing, etc.)
* Independent Judgment
* Problem Solving (Identifies the constraints and risks)
* Bachelor's Degree in Data Science, Statistics, Mathematics, Computers Science, Engineering, or degrees in similar quantitative fields
**Desired Qualification(s)**
* Master's/PhD Degree in Data Science, Statistics, Mathematics, Computers Science, or Engineering
**Hours:** Monday \- Friday, 8:00AM \- 4:30PM
**Locations:** 820 Follin Lane, Vienna, VA 22180 \| 5510 Heritage Oaks Drive, Pensacola, FL 32526
**About Us**
Navy Federal provides much more than a job. We provide a meaningful career experience, including a culture that is energized, engaged and committed; and fierce appreciation for our teams, who are rewarded with highly competitive pay and generous benefits and perks.  
Our approach to careers is simple yet powerful: Make our mission your passion.* *Fortune* 100 Best Companies to Work For 2025
* Yello and WayUp Top 100 Internship Programs
* Computerworld® Best Places to Work in IT
* Newsweek Most Loved Workplaces
* 2025 PEOPLE® Companies That Care
* Newsweek Most Trustworthy Companies in America
* Military Times 2025 Best for Vets Employers
* Best Companies for Latinos to Work for 2024
* Forbes® 2025 America's Best Large Employers
* Forbes® 2025 America's Best Employers for New Grads
* Forbes® 2025 America's Best Employers for Tech Workers
* 2025 RippleMatch Campus Forward Award Winner for Overall Excellence
* Military.com Top Military Spouse Employers 2025
* 2025 Handshake Early Talent Award
From *Fortune*. ©2025 *Fortune* Media IP Limited. All rights reserved. Used under license. *Fortune* and *Fortune* Media IP Limited are not affiliated with, and do not endorse products or services of, Navy Federal Credit Union. **Equal Employment Opportunity:** All qualified applicants will receive consideration for employment without regard to age, race, sex, color, religion, national origin, disability, veteran status, pregnancy, sexual orientation, genetic information, gender identity or any other basis protected by applicable law. **Disclaimers:** Navy Federal reserves the right to fill this role at a higher/lower grade level based on business need. An assessment may be required to compete for this position. Job postings are subject to close early or extend out longer than the anticipated closing date at the hiring team’s discretion based on qualified applicant volume. Navy Federal Credit Union assesses market data to establish salary ranges that enable us to remain competitive. You are paid within the salary range, based on your experience, location and market position. For additional details regarding compensation and benefits, review the Benefits page of the Navy Federal Career Site. **Protect Yourself from Job Scams:** Navy Federal Credit Union jobs are posted on our career site, jobs.navyfederal.org and reputable job boards (e.g., LinkedIn, Indeed). We do not post jobs on social media marketplaces, messaging apps or unverified websites. We will never ask candidates for payment, bank details or personal financial information during the hiring process. **Bank Secrecy Act:** Remains cognizant of and adheres to Navy Federal policies and procedures, and regulations pertaining to the Bank Secrecy Act.</t>
        </is>
      </c>
    </row>
    <row r="26">
      <c r="A26" t="inlineStr">
        <is>
          <t>in-29ef0ee4271f57cc</t>
        </is>
      </c>
      <c r="B26" t="inlineStr">
        <is>
          <t>Principal Data Scientist (Credit Risk Insights &amp; Analysis)</t>
        </is>
      </c>
      <c r="C26" t="inlineStr">
        <is>
          <t>Navy Federal Credit Union</t>
        </is>
      </c>
      <c r="D26" t="inlineStr">
        <is>
          <t>indeed</t>
        </is>
      </c>
      <c r="E26">
        <f>HYPERLINK("https://www.indeed.com/viewjob?jk=29ef0ee4271f57cc", "https://www.indeed.com/viewjob?jk=29ef0ee4271f57cc")</f>
        <v/>
      </c>
      <c r="F26">
        <f>HYPERLINK("https://jobs.talemetry.com/navyfederal/jobs/apply?job_list_id=1045&amp;returnUrl=https%3A%2F%2Ffa-etbx-saasfaprod1.fa.ocs.oraclecloud.com%2FhcmUI%2FCandidateExperience%2Fen%2Fsites%2FCX_1%2Fjob%2F28062&amp;tm_job=28062-OTHLOC-300000025810540&amp;tm_event=view&amp;tm_company=903", "https://jobs.talemetry.com/navyfederal/jobs/apply?job_list_id=1045&amp;returnUrl=https%3A%2F%2Ffa-etbx-saasfaprod1.fa.ocs.oraclecloud.com%2FhcmUI%2FCandidateExperience%2Fen%2Fsites%2FCX_1%2Fjob%2F28062&amp;tm_job=28062-OTHLOC-300000025810540&amp;tm_event=view&amp;tm_company=903")</f>
        <v/>
      </c>
      <c r="G26" t="inlineStr">
        <is>
          <t>Pensacola, FL, US</t>
        </is>
      </c>
      <c r="H26" s="3" t="n">
        <v>46033</v>
      </c>
      <c r="I26" t="inlineStr">
        <is>
          <t>**Overview**
Provide independent data science, machine learning, and analytical insights using member, financial, and organizational data to support credit risk decision\-making. Understand business needs and identify opportunities for process optimization to meet business objectives using cutting\-edge data science. Regarded as an advanced professional in the data science field who can conduct complex work under minimal supervision and with wide latitude for independent judgment. The role requires strong analytical skills, proficiency in data visualization tools, and the ability to communicate complex insights effectively.
**Responsibilities**
* Develop, maintain, and manage advanced reporting, dashboards, data models and analytical results
* Retrieve, analyze and validate data and interpret results
* Lead projects to understand requirements and propose key analytical solutions to drive effective decision\-making and influence business objectives
* Develop and code complex software programs, algorithms, and automated processes
* Use evaluation, judgment, and interpretation to select right course of action
* Work on problems of diverse scope where analysis of information requires evaluation of identifiable factors
* Produce innovative solutions driven by exploratory data analysis from complex and high\-dimensional datasets
* Transform data into charts, tables, or format that aids effective decision making
* Utilize effective written and verbal communication to document analyses and present findings analyses to a diverse audience of stakeholders
* Develop and maintain strong working relationships with team members, subject matter experts, and leaders
* Lead moderate to large projects and initiatives
* Model best practices and ethical AI
* Works with senior management on complex issues
* Assist with the development and enhancement practices, procedures, and instructions
* Serve as technical resource for other team members
* Mentor lower levels
**Qualifications**
* 6\+ years of working experience with requisite competencies
* Complete knowledge and full understanding of specialization
* Statistics, machine learning , data mining, data auditing, aggregation, reconciliation, and visualization
* Programming, data modeling, simulation, and advanced mathematics
* SQL, R, Python, Hadoop, SAS, SPSS, Databricks, Scala, AWS
* Tableau, Power BI, or related data visualization tools
* Model lifecycle execution
* Technical writing
* Data storytelling and technical presentation skills
* Research Skills
* Interpersonal Skills
* Advanced knowledge of procedures, instructions and validation techniques
* Model Development
* Communication
* Critical Thinking
* Collaborate and Build Relationships
* Initiative with sound judgement
* Technical (Big Data Analysis, Coding, Project Management, Technical Writing, etc.)
* Independent Judgment
* Problem Solving (Identifies the constraints and risks)
* Bachelor's Degree in Data Science, Statistics, Mathematics, Computers Science, Engineering, or degrees in similar quantitative fields
**Desired Qualification(s)**
* Master's/PhD Degree in Data Science, Statistics, Mathematics, Computers Science, or Engineering
**Hours:** Monday \- Friday, 8:00AM \- 4:30PM
**Locations:** 820 Follin Lane, Vienna, VA 22180 \| 5510 Heritage Oaks Drive, Pensacola, FL 32526
**About Us**
Navy Federal provides much more than a job. We provide a meaningful career experience, including a culture that is energized, engaged and committed; and fierce appreciation for our teams, who are rewarded with highly competitive pay and generous benefits and perks.  
Our approach to careers is simple yet powerful: Make our mission your passion.* *Fortune* 100 Best Companies to Work For 2025
* Yello and WayUp Top 100 Internship Programs
* Computerworld® Best Places to Work in IT
* Newsweek Most Loved Workplaces
* 2025 PEOPLE® Companies That Care
* Newsweek Most Trustworthy Companies in America
* Military Times 2025 Best for Vets Employers
* Best Companies for Latinos to Work for 2024
* Forbes® 2025 America's Best Large Employers
* Forbes® 2025 America's Best Employers for New Grads
* Forbes® 2025 America's Best Employers for Tech Workers
* 2025 RippleMatch Campus Forward Award Winner for Overall Excellence
* Military.com Top Military Spouse Employers 2025
* 2025 Handshake Early Talent Award
From *Fortune*. ©2025 *Fortune* Media IP Limited. All rights reserved. Used under license. *Fortune* and *Fortune* Media IP Limited are not affiliated with, and do not endorse products or services of, Navy Federal Credit Union. **Equal Employment Opportunity:** All qualified applicants will receive consideration for employment without regard to age, race, sex, color, religion, national origin, disability, veteran status, pregnancy, sexual orientation, genetic information, gender identity or any other basis protected by applicable law. **Disclaimers:** Navy Federal reserves the right to fill this role at a higher/lower grade level based on business need. An assessment may be required to compete for this position. Job postings are subject to close early or extend out longer than the anticipated closing date at the hiring team’s discretion based on qualified applicant volume. Navy Federal Credit Union assesses market data to establish salary ranges that enable us to remain competitive. You are paid within the salary range, based on your experience, location and market position. For additional details regarding compensation and benefits, review the Benefits page of the Navy Federal Career Site. **Protect Yourself from Job Scams:** Navy Federal Credit Union jobs are posted on our career site, jobs.navyfederal.org and reputable job boards (e.g., LinkedIn, Indeed). We do not post jobs on social media marketplaces, messaging apps or unverified websites. We will never ask candidates for payment, bank details or personal financial information during the hiring process. **Bank Secrecy Act:** Remains cognizant of and adheres to Navy Federal policies and procedures, and regulations pertaining to the Bank Secrecy Act.</t>
        </is>
      </c>
    </row>
    <row r="27">
      <c r="A27" t="inlineStr">
        <is>
          <t>in-4f63b3c163615251</t>
        </is>
      </c>
      <c r="B27" t="inlineStr">
        <is>
          <t>Senior Data Scientist – R01559352</t>
        </is>
      </c>
      <c r="C27" t="inlineStr">
        <is>
          <t>Brillio LLC</t>
        </is>
      </c>
      <c r="D27" t="inlineStr">
        <is>
          <t>indeed</t>
        </is>
      </c>
      <c r="E27">
        <f>HYPERLINK("https://www.indeed.com/viewjob?jk=4f63b3c163615251", "https://www.indeed.com/viewjob?jk=4f63b3c163615251")</f>
        <v/>
      </c>
      <c r="F27">
        <f>HYPERLINK("https://careers.brillio.com/job-details?job-id=20788", "https://careers.brillio.com/job-details?job-id=20788")</f>
        <v/>
      </c>
      <c r="G27" t="inlineStr">
        <is>
          <t>Edison, NJ, US</t>
        </is>
      </c>
      <c r="H27" s="3" t="n">
        <v>46033</v>
      </c>
      <c r="I27" t="inlineStr">
        <is>
          <t>**Senior Data Scientist \- R01559352**
======================================
**About Brillio:**  
Brillio is one of the fastest growing digital technology service providers and a partner of choice for many Fortune 1000 companies seeking to turn disruption into a competitive advantage through innovative digital adoption. Brillio, renowned for its world\-class professionals, referred to as "Brillians", distinguishes itself through their capacity to seamlessly integrate cutting\-edge digital and design thinking skills with an unwavering dedication to client satisfaction.
Brillio takes pride in its status as an employer of choice, consistently attracting the most exceptional and talented individuals due to its unwavering emphasis on contemporary, groundbreaking technologies, and exclusive digital projects. Brillio's relentless commitment to providing an exceptional experience to its Brillians and nurturing their full potential consistently garners them the Great Place to Work® certification year after year. **Senior Data Scientist**###### **Primary Skills**
* Problem Formulation (Business problem to Data Science Problem), OKR Validation against statistical measures, Data Wrangling, Data Storytelling \&amp; Insight Generation, Problem Solving, Excel VBA, Data Curiosity, Technical Decision Making (How many iterations to go for vs when to stop iterating), Communication \&amp; Articulation: Vocal \&amp; Written, Business Acumen (Consume new domains quickly to learn through data), Design Thinking, Data Literacy
###### **Specialization**
* Data Science Foundation: Data Scientist
###### **Job requirements**
**Senior Data Scientist****Key Skills*** Strong proficiency in Python and SQL, ML, and GenAI pipelines
* Hands\-on experience with GenAI / LLM\-based systems (RAG, Fine Tuning, agents)
* Solid understanding of retrieval\-augmented generation (RAG) architectures and vector databases
* Experience applying ML algorithms (classification, regression, ensembles) on structured BFSI data
* BFSI domain knowledge (banking, risk, fraud, compliance etc)
* Experience with LLM platforms and APIs (OpenAI, Azure OpenAI, AWS Bedrock, etc.)
* Ability to design prompt strategies, guardrails, and evaluation metrics for GenAI systems
* Understanding of data lineage, metadata, and traceability concepts in enterprise systems
* Experience working on cloud\-based data and AI platforms (AWS/Azure)
* Strong problem\-solving, communication, and stakeholder\-facing skills in client environments
**Scope of Work / Responsibilities*** Design and build end\-to\-end GenAI solutions for BFSI use cases (RAG, agents)
* Develop and optimize data ingestion, chunking, embedding, and retrieval pipelines
* Integrate domain and regulatory requirements into AI/ML solution design
* Contribute to or implement data lineage\-aware pipelines for traceability and audit readiness
* Develop production\-quality Python code and reusable AI/ML components
* Perform model, prompt, and retrieval evaluation, monitoring, and performance tuning
* Support client interactions, solution walkthroughs, and technical documentation
* Mentor junior data scientists and act as a technical owner for assigned AI/GenAI modules
Know what it’s like to work and grow at Brillio: Click here  
**Salary: 120,000\-130,000 USD per year salary**</t>
        </is>
      </c>
    </row>
    <row r="28">
      <c r="A28" t="inlineStr">
        <is>
          <t>in-14d63458068c021b</t>
        </is>
      </c>
      <c r="B28" t="inlineStr">
        <is>
          <t>Data Scientist (MMM)</t>
        </is>
      </c>
      <c r="C28" t="inlineStr">
        <is>
          <t>FocusKPI Inc.</t>
        </is>
      </c>
      <c r="D28" t="inlineStr">
        <is>
          <t>indeed</t>
        </is>
      </c>
      <c r="E28">
        <f>HYPERLINK("https://www.indeed.com/viewjob?jk=14d63458068c021b", "https://www.indeed.com/viewjob?jk=14d63458068c021b")</f>
        <v/>
      </c>
      <c r="F28">
        <f>HYPERLINK("https://focuskpi.applytojob.com/apply/8xSVUKNTTF/Data-Scientist-MMM?source=INDE&amp;~", "https://focuskpi.applytojob.com/apply/8xSVUKNTTF/Data-Scientist-MMM?source=INDE&amp;~")</f>
        <v/>
      </c>
      <c r="G28" t="inlineStr">
        <is>
          <t>Boston, MA, US</t>
        </is>
      </c>
      <c r="H28" s="3" t="n">
        <v>46033</v>
      </c>
      <c r="I28" t="inlineStr">
        <is>
          <t>FocusKPI is seeking smart, curious, technically savvy, and experienced candidates to join our cutting\-edge internal data science team. The data science team at FocusKPI builds models and machine learning algorithms that power all our clients' ad\-tech/mar\-tech products at scale, develops methodologies and tools to precisely and effectively measure market campaign effects, and researches in\-house and public data sources for insights into consumer spending behavior.  
In this role, you'll spearhead the company's advanced predictive modeling and analytics to elevate our analytical capabilities. In addition, you'll be expected to play an essential role in executing the R\&amp;D agenda and delivering products on time and to high\-quality standards across different businesses.  
**Work Location:** Remote \- anywhere in the US  
**Duration****:** Full\-time position  
**Pay Range:** $80k\+/annum  
**Responsibilities:*** Support clients' modeling needs, including maintenance, enhancement of existing measurement and targeting solutions, and timely, high\-quality delivery.
* Developing innovative and automated solutions for custom needs, leveraging appropriate AI/ML/statistical tools.
* Mine large consumer datasets in the cloud environment to support ad hoc business and statistical analysis.
* Provide analytical/statistical support for marketing test design, campaign measurement, and market insights to clients and stakeholders.
* Communicate methodologies and results to management, clients, and other non\-technical stakeholders.
**Qualifications:*** An advanced degree in Computer Science/Statistics/Mathematics/ Economics, or other fields requires advanced data modeling and analytics training.
* Ph.D. degree in statistics/mathematics, engineering, computer science, economics, or a related field
* Deep understanding and solid knowledge of the fundamentals of statistical reasoning and ML models.
* Experience with causal inference, marketing mix models (MMM), and multi\-touch attribution models are highly valued and are mandatory to have
* An added advantage is familiarity with deep learning and natural language processing (NLP), computer vision, and generative AI.
* Skilled in conceptualizing complex business problems and designing practical, effective modeling and analytical solutions to address them.
* Proficiency in common programming languages such as Python and SQL.
* Experienced and comfortable working with standard big data tools, including cloud platforms, database technologies, and parallel processing frameworks.
* Entrepreneurial, highly self\-motivated, collaborative, keen attention to detail, willing and capable to learn quickly, and effectively prioritize and execute tasks in a demanding environment.
* Great communication skills (verbal, written, and presentation).
Thank you!  
FocusKPI Hiring Team
Founded in 2010, FocusKPI, Inc. (FocusKPI) is a data science and technology firm specializing in predictive analytics practice and methodologies. FocusKPI is a US company headquartered in Silicon Valley, California with an East Coast office in Boston, Massachusetts.
**NOTICE:** Please be aware of fraudulent emails regarding job postings, job offers and fake checks. FocusKPI's recruiting team will strictly reach out via @focuskpi.com email domain. If you have received fraudulent emails now or in the past, please report it to https://reportfraud.ftc.gov/ .  
The domain @focuskpijobs.com is fraudulent and not related to FocusKPI. Please do not not reply or communicate to anyone with @focuskpijobs.com.
8xSVUKNTTF</t>
        </is>
      </c>
    </row>
    <row r="29">
      <c r="A29" t="inlineStr">
        <is>
          <t>in-e28a2d650e91f32f</t>
        </is>
      </c>
      <c r="B29" t="inlineStr">
        <is>
          <t>Senior AI Data Scientist</t>
        </is>
      </c>
      <c r="C29" t="inlineStr">
        <is>
          <t>Energage</t>
        </is>
      </c>
      <c r="D29" t="inlineStr">
        <is>
          <t>indeed</t>
        </is>
      </c>
      <c r="E29">
        <f>HYPERLINK("https://www.indeed.com/viewjob?jk=e28a2d650e91f32f", "https://www.indeed.com/viewjob?jk=e28a2d650e91f32f")</f>
        <v/>
      </c>
      <c r="F29">
        <f>HYPERLINK("https://grnh.se/a530n5hf2us", "https://grnh.se/a530n5hf2us")</f>
        <v/>
      </c>
      <c r="G29" t="inlineStr">
        <is>
          <t>Remote, US</t>
        </is>
      </c>
      <c r="H29" s="3" t="n">
        <v>46033</v>
      </c>
      <c r="I29" t="inlineStr">
        <is>
          <t>**Senior AI Data Scientist**
----------------------------
**Your Mission as a Senior AI Data Scientist**
----------------------------------------------
Energage is seeking a **Senior AI Data Scientist** to join our AI and Product Innovation team. This role is designed for an **AI\-native, product\-minded data scientist** — someone who works fluently in Python, thinks in terms of models, agents, and reasoning systems, and enjoys turning ambiguity into intelligent product capabilities.
You will help shape the future of Employee Experience and Talent Management by building **AI\-driven Advisors, Assistants, and Analysts** that help leaders understand their organizations, ask better questions, and take better action.
You will drive the design and delivery of **production\-grade AI systems** built on large language models, agentic workflows, retrieval\-augmented generation (RAG), and knowledge graphs. This is **not a pure AI engineering or infrastructure role** — it is a hands\-on, applied AI and data science role focused on reasoning, analytics, and decision support, with strong ownership from concept through production.
***Accountability and Impact: In this role, you'll...***
--------------------------------------------------------
* Design and deliver AI\-powered **advisors, assistants, and analytic agents** that reason over organizational data, context, and knowledge to support real workplace decisions.
* Build and maintain high\-quality, production\-ready **Python services** that power AI applications and backend services that integrate into Energage's platform.
* Apply, adapt, and fine\-tune **foundation models** (OpenAI, Gemini, Claude, etc.) to deliver reliable, context\-aware, and explainable AI experiences.
* Architect **agentic AI systems** that coordinate reasoning, planning, and tool use using frameworks such as CrewAI, LangChain, Autogen, or similar.
* Design and evolve **RAG pipelines and knowledge\-based approaches**, enabling AI systems to ground responses in organizational data and domain expertise.
* Develop and systematically test **prompting strategies, agent behaviors, and interaction patterns** to optimize accuracy, robustness, and user trust.
* Enable **conversational analytics**, allowing users to explore data, generate insights, and answer complex questions through natural language.
* Partner closely with product managers, engineers, and researchers to move AI Capabilities from prototype to **scalable, production\-ready features**.
* Stay current with emerging trends in Generative AI and Agentic AI, translating emerging techniques into practical product innovation.
* Clearly communicate AI concepts, tradeoffs, and insights to both technical and non\-technical stakeholders.
### **What Success Could Look Like (First 6–12 Months)**
* One or more AI advisors or analytic agents you've designed are in production and actively used by customers.
* AI outputs are demonstrably grounded in data and trusted by users.
* Prompting, evaluation, and agent patterns you've established become reusable standards across the team.
* Product and engineering partners rely on you as a thought partner for AI\-driven decision support.
You help raise the overall bar for applied AI quality, safety, and clarity at Energage.  
* 
**What You Will Bring to the Role**
-----------------------------------
### **Required Qualifications**
* 5\+ years of experience in **applied AI, data science, or machine learning**, with meaningful hands\-on work in generative AI.
* Strong **Python expertise**, with experience building data\-centric or AI\-driven services used in production environments.
* Practical experience working with **LLM APIs** (OpenAI, Anthropic Claude, Gemini, etc.).
* Deep skill in **prompt engineering**, including structured prompt design, evaluation, and iteration for complex, multi\-step reasoning tasks.
* Solid understanding of **agentic AI concepts**, such as multi\-agent coordination, planning, tool invocation, and memory.
* Experience designing and implementing **RAG architectures**, including vector search and knowledge\-grounded reasoning.
* Familiarity with **AI agent frameworks** such as CrewAI, LangChain, Autogen, or similar tools.
* Track record of delivering **production\-quality AI solutions**, including testing, monitoring, and iterative improvement.
* Strong communication skills and the ability to explain AI behavior, limitations, and outcomes clearly.
* Comfort operating in **ambiguous, early\-stage problem spaces**, with curiosity and a strong sense of ownership.
### **Preferred Qualifications**
* Experience embedding AI into **SaaS or enterprise products**, especially user\-facing, decision\-support systems.
* Hands\-on experience designing or implementing **MCP servers** to expose tools, data, or workflows for agentic systems.
* Experience using AI to **interrogate data, generate insights, and support analytical reasoning** via natural language interfaces.
* Familiarity with **vector databases and semantic search** technologies (e.g., Pinecone, Weaviate, Chroma).
* Experience supporting AI\-driven insights with **analytics pipelines or data visualization**.
* Working knowledge of cloud platforms (AWS, GCP, Azure) and containerized deployment (Docker, Kubernetes), without a focus on heavy infrastructure ownership.
* Interest or background in **HR Tech, people science, employee experience, or organizational analytics**.
**Compensation and Benefits:**
------------------------------
This position has a salary range of **$175,000 to $195,000** annually based on relevant experience. This role is also company bonus eligible.
In addition to base pay, our total rewards package includes:
* PTO policy includes company holidays, sick time, vacation time, and floating holidays
* Remote
* Company pays a portion of individual health care premium
* Option to participate in a company\-sponsored 401(k)
* Training and education
* Professional development; all employees have access to a third party professional coach
* Tuition reimbursement program
* Opportunity to work for a purpose\-driven organization using business as a force for good (https://www.bcorporation.net/)
Energage is a remote workplace with employees in various US locations. While our employees enjoy the flexibility of daily remote work, they are also given the occasional opportunity for in person interaction. This includes in our office in Exton Pa, or in a coworking space/out in their local area. This role is available for remote work in the following states:
* Arizona
* Delaware
* Florida
* Georgia
* Maryland
* Michigan
* North Carolina
* Nebraska
* New Jersey
* New York STATE (NYC residents excluded)
* Pennsylvania
* South Carolina
* Tennessee
* Texas
* Wisconsin
**If you reside outside of the above locations, you will not be considered for this role.**
**About Energage:**
-------------------
Energage is a purpose\-driven company that helps organizations turn employee feedback into useful business intelligence and credible employer recognition through Top Workplaces. Built on 19 years of culture research and the results from 23 million employees surveyed across more than 70,000 organizations, Energage delivers the most accurate competitive benchmark available. With access to a unique combination of patented analytic tools and expert guidance, Energage customers lead the competition with an engaged workforce and an opportunity to gain recognition for their people\-first approach to culture. For more information or to nominate your organization, visit energage.com or topworkplaces.com.
Energage is committed to fostering a diverse and inclusive environment. We are proud to be an equal opportunity employer. Energage encourages all qualified candidates to apply, including those of any race, color, religion, gender, gender identity or expression, sexual orientation, national origin, genetics, disability, age, or veteran status.</t>
        </is>
      </c>
    </row>
    <row r="30">
      <c r="A30" t="inlineStr">
        <is>
          <t>in-68bc183f0141ee14</t>
        </is>
      </c>
      <c r="B30" t="inlineStr">
        <is>
          <t>Data Scientist - eBay Live</t>
        </is>
      </c>
      <c r="C30" t="inlineStr">
        <is>
          <t>eBay</t>
        </is>
      </c>
      <c r="D30" t="inlineStr">
        <is>
          <t>indeed</t>
        </is>
      </c>
      <c r="E30">
        <f>HYPERLINK("https://www.indeed.com/viewjob?jk=68bc183f0141ee14", "https://www.indeed.com/viewjob?jk=68bc183f0141ee14")</f>
        <v/>
      </c>
      <c r="F30">
        <f>HYPERLINK("https://click.appcast.io/t/Ac5o2sP-mdMP3b7zsZDlG6v7nIMmCNbm97yCjUwkXO4=", "https://click.appcast.io/t/Ac5o2sP-mdMP3b7zsZDlG6v7nIMmCNbm97yCjUwkXO4=")</f>
        <v/>
      </c>
      <c r="G30" t="inlineStr">
        <is>
          <t>San Jose, CA, US</t>
        </is>
      </c>
      <c r="H30" s="3" t="n">
        <v>46033</v>
      </c>
      <c r="I30" t="inlineStr">
        <is>
          <t>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 enthusiasts.
Our customers are our compass, authenticity thrives, bold ideas are welcome, and everyone can bring their unique selves to work — every day. We're in this together, sustaining the future of our customers, our company, and our planet.
Join a team of passionate thinkers, innovators, and dreamers — and help us connect people and build communities to create economic opportunity for all.
### **About eBay Live**
**eBay Live** is eBay’s interactive live shopping experience where sellers and creators stream in real time and buyers engage through chat, bidding, and instant purchases. It blends entertainment, community, and commerce into a dynamic, trust‑backed way to discover and shop. Join us to build the analytics and AI backbone that powers discovery, engagement, and quality moderation across Live. It’s a high‑visibility, priority growth initiative with significant runway \- an opportunity to deliver measurable impact at marketplace scale.
### **Opportunity**
As a **Staff Data Scientist**, you will be both a highly skilled analyst and a beginning team leader \- owning end‑to‑end analytical projects, scoping ambiguous problems, selecting the right methods, ensuring quality, and presenting insights to drive action. You will also set standards for analytical best practices, review team outputs, and architect solutions (e.g., data pipelines, tracking schemas) in partnership with engineering to scale product‑impacting analytics for eBay Live.
Specifically you will be part of the journey to build the Data Science engine that powers eBay Live hyper‑growth across Seller Product \&amp; Seller Success, Buyer Product, Categories/Markets expansion, Trust \&amp; Safety, Data Foundation, and Business Performance \- delivering measurable outcomes through causal measurement, experimentation, marketplace and risk modeling, and production‑grade insights/dashboards.
### **What You’ll Do**
You will focus on one of the following pillars, while coaching and raising the bar for analysis quality:
* **Buyer Product Analytics**: Own end‑to‑end analyses for live commerce features; define product metrics and tracking; lead experiments that inform roadmap and growth; review peers’ work to uphold rigor.
* **Seller Product \&amp; Seller Success**: Design and govern growth experiments; analyze onboarding, listing quality, conversion, and retention; propose interventions and measurement plans; enforce review standards and reproducibility.
* **Categories \&amp; Markets Expansion**: Model category–market dynamics; size opportunities; build selection/expansion frameworks; advise sequencing and launch decisions; architect lightweight data assets (e.g., derived tables) to unblock analyses.
* **Trust \&amp; Safety**: Analyze marketplace risk signals; partner on guardrail design and monitoring; apply practical ML/AI; refine test designs and metrics to reduce false positives while protecting good actors.
* **Data Foundation \&amp; Instrumentation**: Clarify metric/event taxonomies; ensure instrumentation quality; build curated datasets and dashboards; troubleshoot data issues; automate recurring tasks with a product‑first mindset.
* **Business Performance**: Own KPIs within scope; synthesize daily/weekly/monthly/quarterly performance narratives; surface opportunities/risks; influence decisions with evidence‑based recommendations.
### **What You Bring**
* **Technical leadership and depth**: Lead analyses end‑to‑end, from scoping to presentation; select robust methods (advanced experimentation, econometrics, statistical modeling) for complex measurements.
* **Review standards and quality bar**: Establish and enforce coding, analysis, and verification best practices; conduct code/analysis reviews; ensure stakeholder‑ready outputs.
* **Architecting solutions**: Identify and drive data solution needs (new pipelines, tracking schemas, derived tables) with engineering; design for scale and maintainability.
* **Applied AI/ML integration**: Spot high‑impact opportunities for ML/AI and automation; prototype solutions and partner with specialists to productionize where appropriate.
* **Influential communication**: Distill complex analyses into crisp narratives; present insights and recommendations to senior stakeholders (directors/VPs) to drive decisions.
* **Ownership of domain and stakeholder management**: Operate autonomously as the primary analytics partner for your area; prioritize high‑impact work; manage cross‑functional project delivery to outcomes.
* **Player‑coach leadership**: Balance hands‑on contributions with mentoring and guidance; set hiring/engagement standards; build a culture of continuous learning and positivity.
### **Qualifications**
* Education/experience: MS in a quantitative field (e.g., Statistics, Economics, CS) or equivalent experience; typically 7\+ years in analytics/data science with multiple production‑quality projects or complex analytical programs.
* Skills: Strong SQL/Python; experimentation design; statistical/econometric modeling; dashboarding; familiarity with marketplace dynamics and product analytics
* Communication: Executive‑ready storytelling that translates analysis into actionable recommendations and influences product decisions.
The base pay range for this position is expected in the range below:
$170,400 \- $227,500
Base pay offered may vary depending on multiple individualized factors, including location, skills, and experience. The total compensation package for this position may also include other elements, including a target bonus and restricted stock units (as applicable) in addition to a full range of medical, financial, and/or other benefits (including 401(k) eligibility and various paid time off benefits, such as PTO and parental leave). Details of participation in these benefit plans will be provided if an employee receives an offer of employment.
If hired, employees will be in an “at\-will position” and the Company reserves the right to modify base salary (as well as any other discretionary payment or compensation program) at any time, including for reasons related to individual performance, Company or individual department/team performance, and market factors.
Please see the Talent Privacy Notice for information regarding how eBay handles your personal data collected when you use the eBay Careers website or apply for a job with eBay.
eBay is an equal opportunity employer. All qualified applicants will receive consideration for employment without regard to race, color, religion, national origin, sex, sexual orientation, gender identity, veteran status, and disability, or other legally protected status. If you have a need that requires accommodation, please contact us at talent@ebay.com. We will make every effort to respond to your request for accommodation as soon as possible. View our accessibility statement to learn more about eBay's commitment to ensuring digital accessibility for people with disabilities. It is unlawful in Massachusetts to require or administer a lie detector test as a condition of employment or continued employment. An employer who violates this law shall be subject to criminal penalties and civil liability.
The eBay Jobs website uses cookies to enhance your experience. By continuing to browse the site, you agree to our use of cookies. Visit our Privacy Center for more information.</t>
        </is>
      </c>
    </row>
    <row r="31">
      <c r="A31" t="inlineStr">
        <is>
          <t>in-52d0d795b333ed46</t>
        </is>
      </c>
      <c r="B31" t="inlineStr">
        <is>
          <t>Data Scientist - Remote</t>
        </is>
      </c>
      <c r="C31" t="inlineStr">
        <is>
          <t>UnitedHealthcare</t>
        </is>
      </c>
      <c r="D31" t="inlineStr">
        <is>
          <t>indeed</t>
        </is>
      </c>
      <c r="E31">
        <f>HYPERLINK("https://www.indeed.com/viewjob?jk=52d0d795b333ed46", "https://www.indeed.com/viewjob?jk=52d0d795b333ed46")</f>
        <v/>
      </c>
      <c r="F31">
        <f>HYPERLINK("https://uhg.taleo.net/careersection/10000/jobdetail.ftl?job=2322534&amp;lang=en", "https://uhg.taleo.net/careersection/10000/jobdetail.ftl?job=2322534&amp;lang=en")</f>
        <v/>
      </c>
      <c r="G31" t="inlineStr">
        <is>
          <t>Plymouth, MN, US</t>
        </is>
      </c>
      <c r="H31" s="3" t="n">
        <v>46033</v>
      </c>
      <c r="I31" t="inlineStr">
        <is>
          <t>At UnitedHealthcare, we're simplifying the health care experience, creating healthier communities and removing barriers to quality care. The work you do here impacts the lives of millions of people for the better. Come build the health care system of tomorrow, making it more responsive, affordable and optimized. Ready to make a difference? Join us to start **Caring. Connecting. Growing together.**
The Application, Development \&amp; Reporting team within UHC SIU Investigations is expanding. We are looking for experienced Data Scientists to join our team. This individual will be responsible for the development and delivery of large and complex predictive modeling projects for healthcare fraud processes. Senior Data Scientist develops innovative and effective approaches to solve client's analytics problems and communicates results and methodologies. Sr. Data Scientist also provides directions and guidelines to Data Scientists to discover business insights, identifies opportunities, and provides solutions and recommendations to solve business problems through the use of statistical, algorithmic, data mining, and visualization techniques. In addition to advanced analytic skills, Sr. Data Scientist is also proficient at integrating, preparing, cleansing, and transforming large, varied datasets from multiple sources to ensure data quality and readiness for analysis, as well as communicating results.
You'll enjoy the flexibility to work remotely \* from anywhere within the U.S. as you take on some tough challenges. For all hires in the Minneapolis or Washington, D.C. area, you will be required to work in the office a minimum of four days per week.
 **Primary Responsibilities:**
* Apply advanced statistical and predictive modeling techniques to build, maintain, and improve on multiple predictive detection engines in UHC SIU Investigations
* Lead discovery processes with Data Scientists and partner with UHC SIU Operation management to identify the business requirements and the expected outcome
* Create and provide sound statistical analyses and frame business scenarios that are meaningful and which impact on critical business processes and/or decisions
* Collaborates with the data steward to gather information to be used for analytics and predictive model building purpose and to ensure the data meets the qualification and assurance requirements of the analysis
* Design sampling methodology, prepare data, including data cleaning, univariate analysis, missing value imputation, etc., identify appropriate analytic and statistical methodology, develop predictive models and document process and results
* Communicate analytics results and predictive models to business partners and clients
* Provide on\-going tracking and monitoring of model performance and recommend ongoing improvements to methods and algorithms that lead to findings, including new information
You'll be rewarded and recognized for your performance in an environment that will challenge you and give you clear direction on what it takes to succeed in your role as well as provide development for other roles you may be interested in.
**Required Qualifications:**
* 5\+ years of experience in data science
* 5\+ years of experience manipulating large datasets
* 2\+ years of experience in delivering production\-grade AI/ML pipelines
* 2\+ years of experience programming in Python and SQL
* Experience with distributed computing technologies such as PySpark
* Experience with Git / Github for version control
 **Preferred Qualifications:**
* Experience with healthcare claims data
* Experience with MLOps
* Experience with Azure, Databricks, Snowflake, and/or similar tools
* Experience in dashboard development for end\-user\-interactive visualizations (e.g. Tableau, Power BI)
* Demonstrated leadership, problem\-solving, and analytical thinking skills
* Demonstrated organizational skills with ability to be flexible and work with ambiguity
* All employees working remotely will be required to adhere to UnitedHealth Group's Telecommuter Policy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$91,700 to $163,700 annually based on full\-time employment. We comply with all minimum wage laws as applicable.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*UnitedHealth Group is a drug\-free workplace. Candidates are required to pass a drug test before beginning employment.*</t>
        </is>
      </c>
    </row>
    <row r="32">
      <c r="A32" t="inlineStr">
        <is>
          <t>in-bbd7c201da0e0d10</t>
        </is>
      </c>
      <c r="B32" t="inlineStr">
        <is>
          <t>Data Scientist - Level 4</t>
        </is>
      </c>
      <c r="C32" t="inlineStr">
        <is>
          <t>Applied Network Solutions Inc.</t>
        </is>
      </c>
      <c r="D32" t="inlineStr">
        <is>
          <t>indeed</t>
        </is>
      </c>
      <c r="E32">
        <f>HYPERLINK("https://www.indeed.com/viewjob?jk=bbd7c201da0e0d10", "https://www.indeed.com/viewjob?jk=bbd7c201da0e0d10")</f>
        <v/>
      </c>
      <c r="F32">
        <f>HYPERLINK("https://recruiting.paylocity.com/recruiting/jobs/Details/3483433/Applied-Network-Solutions-Inc/Data-Scientist---Level-4?source=Indeed_Feed", "https://recruiting.paylocity.com/recruiting/jobs/Details/3483433/Applied-Network-Solutions-Inc/Data-Scientist---Level-4?source=Indeed_Feed")</f>
        <v/>
      </c>
      <c r="G32" t="inlineStr">
        <is>
          <t>Annapolis Junction, MD, US</t>
        </is>
      </c>
      <c r="H32" s="3" t="n">
        <v>46033</v>
      </c>
      <c r="I32" t="inlineStr">
        <is>
          <t>Description:
**Who we are:**
At Applied Network Solutions (ANS), we bring together some of the most **curious** minds in networking and cybersecurity. ANS was founded to **disrupt** the **status quo**. For over 25 years, our team provides expertise in network, system engineering and both offensive and defensive cybersecurity operations.
**What we do:**
Our vision is for a future in which talent and customers alike come to ANS because of our reputation for delivering technical excellence, solving our nation’s toughest challenges and our ability to exceed expectations.
**Why ANS:**
At ANS we value the **integrity** of your work. We are looking for the right person to plan, analyze, design, develop, test, secure, integrate, implement, operate, and maintain the custom solutions that ANS delivers. Together, let’s **ensure today is safe and tomorrow is smarter.**
Requirements:
* Active TS/SCI clearance with Polygraph
* A Bachelor's degree and 15 years of relevant experience. An associate's degree plus 17 years of relevant experience may be considered for individuals with in\-debt experience that is clearly related to the position.
* Degree must be in Mathematics, Applied Mathematics, Statistics, Applied Statistics, Machine Learning, Data Science, Operations Research, or Computer Science
* A broader range of degrees will be considered if accompanied by a Certificate in Data Science from an accredited college/university
* Experience in designing/implementing machine learning, data science, advanced analytical algorithms, programming (skill in at least one high\-level language (e.g., Python) and skill in at least one mid\-level language (e.g., C)), data mining, advanced statistical analysis (e.g., statistical foundations of machine learning, statistical approaches to missing data, time series), advanced mathematical foundations, artificial intelligence, workflow and reproducibility, data management and curation, data modeling and assessment (e.g., model selection, evaluation, and sensitivity analysis), experience as a data scientist working to support a single or multiple domain area, and/or software engineering.
**Desired Qualifications:**
* Looking for an established AI expert with demonstratable experience designing and implementing sophistiacted AI/ML and data science solutions across various domains within the MPO customer environment.
* Candidate must be familiar with design and implemenation of Agentic AI Systems and customized Retrieval Augmented Generation (RAG) capabilitles.
* Candidate must possess in dept knowledge and experience in AI Solutions and an ability to assess, evaluate, and implement the correct ML models for specific purposes and optimized performance.
* Candidate must have experience generating, evaluating, training and optimizing Machine Learning models (i.e. LLMs) for use in low\-memory, low\-resourced edge device environments.
**Benefits:** ANS offers excellent compensation along with a generous benefits package to include:
* Family Medical, Dental (w/ adult orthodontia) and Vision coverage
* Pet Discount Program
* PTO (Paid Time Off)
* Maternity/ Paternity Leave
* Supplemental Military Leave Pay
* 11 Paid Holidays
* 401(k) plan with 6% Company Contribution
* Generous Professional Development Program
* 100% Employer paid Short\- and Long\-Term Disability
* 100% Employer paid Life Insurance
* Supplemental Whole Life Insurance
* Lucrative Referral Bonus Program
* Annual Allowance for ANS Swag
* Potential for Paid Overtime
* Flexible Work Schedules
Applied Network Solutions, Inc. is an Equal Opportunity Employer. All qualified applicants will receive consideration for employment without regard to race, color, religion, sex, pregnancy, sexual orientation, gender identity, national origin, age or protected veteran status and will not be discriminated against on the basis of disability.
As required by local law, Applied Network Solutions, Inc. provides reasonable salary ranges of compensation for work performed in applicable states. Ranges are not a guarantee of compensation and depend on a variety of factors, including but not limited to contractual requirements, work location, years of experience, skill set, and education. Overtime is not guaranteed for this position.
The anticipated pay range for this position is $150,000\.00 \- $220,000\.00 USD.</t>
        </is>
      </c>
    </row>
    <row r="33">
      <c r="A33" t="inlineStr">
        <is>
          <t>in-53cf24cfec3f575e</t>
        </is>
      </c>
      <c r="B33" t="inlineStr">
        <is>
          <t>Data Scientist Level 4</t>
        </is>
      </c>
      <c r="C33" t="inlineStr">
        <is>
          <t>Intelligenesis</t>
        </is>
      </c>
      <c r="D33" t="inlineStr">
        <is>
          <t>indeed</t>
        </is>
      </c>
      <c r="E33">
        <f>HYPERLINK("https://www.indeed.com/viewjob?jk=53cf24cfec3f575e", "https://www.indeed.com/viewjob?jk=53cf24cfec3f575e")</f>
        <v/>
      </c>
      <c r="F33">
        <f>HYPERLINK("https://intelligenesis.applytojob.com/apply/qkhEbWLfY5/Data-Scientist-Level-4?source=INDE&amp;~", "https://intelligenesis.applytojob.com/apply/qkhEbWLfY5/Data-Scientist-Level-4?source=INDE&amp;~")</f>
        <v/>
      </c>
      <c r="G33" t="inlineStr">
        <is>
          <t>Annapolis Junction, MD, US</t>
        </is>
      </c>
      <c r="H33" s="3" t="n">
        <v>46033</v>
      </c>
      <c r="I33" t="inlineStr">
        <is>
          <t>**Job Duties**
* Employ some combination (2 or more) of the following skill areas:
	+ Foundations: (Mathematical, Computational, Statistical)
	+ Data Processing: (Data management and curation, data description and visualization, workflow, and reproducibility)
	+ Modeling, Inference, and Prediction: (Data modeling and assessment, domain\-specific considerations)
* Devise strategies for extracting meaning and value from large datasets
* Make and communicate principled conclusions from data using elements of mathematics, statistics, computer science, and application\-specific knowledge
* Through analytic modeling, statistical analysis, programming, and/or other appropriate scientific method, develop and implement qualitative and quantitative methods for characterizing, exploring and assessing large datasets in various states of organization, cleanliness, and structure that account for the unique features and limitations inherent in customer data holdings
* Translate practical mission needs and analytic questions related to large datasets into technical requirements and, conversely, assist other with drawing appropriate conclusions from the analysis of such data
* Effectively communicate complex technical information to non\-technical audiences
* Make informed recommendations regarding competing technical solutions by maintaining awareness of constantly shifting collection, processing, storage and analytic capabilities and limitations
**Required Skills:**
* US Citizens Only
* Active TS/SCI Clearance and Polygraph required
* Information Assurance Certification may be required
* Minimum of fifteen (15\) years of relevant experience and a Bachelor’s degree or seventeen (17\) years of relevant experience and an Associate’s degree required.
* Degree must be in Mathematics, Applied Mathematics, Statistics, Applied Statistics, Machine Learning, Data Science, Operations Research, or Computer Science
* A broader range of degrees will be considered if accompanied by a Certificate in Data Science from an accredited college/university
* Relevant experience must be two of more of the following:
	+ Designing/implementing machine learning
	+ Data science
	+ Advanced analytical algorithms
	+ Programming (skill in at least one high\-level language (e.g., Python))
	+ Statistical analysis (e.g., variability, sampling error, inference, hypothesis testing, EDA, application of linear models)
	+ Data management (e.g., data cleaning and transformation)
	+ Data mining
	+ Data modeling and assessment
	+ Artificial intelligence
	+ Software engineering
**Salary Range:** **$76,106\.91 \- $167,435\.20**
\_\_\_\_\_\_\_\_\_\_\_\_\_\_\_\_\_\_\_\_\_\_\_\_\_\_\_\_\_\_\_\_\_\_\_\_\_\_\_\_\_\_\_\_\_\_\_\_\_\_\_\_\_\_\_\_\_\_\_\_\_\_\_\_\_\_\_\_\_\_\_\_\_\_\_\_\_\_\_\_\_\_\_\_\_\_\_\_\_\_\_\_\_\_\_\_\_\_\_\_\_
*Compensation ranges encompass a total compensation package and are a general guideline only and not intended as a guaranteed and/or implied final compensation or salary for this job opening. Determination of official compensation or salary relies on several different factors including, but not limited to: level of position, complexity of job responsibilities, geographic location, candidate’s scope of relevant work experience, educational background, certifications, contract\-specific affordability, organizational requirements and alignment with local market data.*
*Our compensation includes other indirect financial components designed to support employees’ total well\-being, which should be considered when evaluating our competitive benefits package. These monetary benefits include medical insurance, life insurance, disability, paid time off, maternity/paternity leave, 401(k) company match, training/education reimbursements and other work/life programs.*
\_\_\_\_\_\_\_\_\_\_\_\_\_\_\_\_\_\_\_\_\_\_\_\_\_\_\_\_\_\_\_\_\_\_\_\_\_\_\_\_\_\_\_\_\_\_\_\_\_\_\_\_\_\_\_\_\_\_\_\_\_\_\_\_\_\_\_\_\_\_\_\_\_\_\_\_\_\_\_\_\_\_\_\_\_\_\_\_\_\_\_\_\_\_\_\_\_\_\_\_\_
IntelliGenesis is committed to providing equal opportunity to all employees and applicants for employment. The Company is an Equal Opportunity Employer (EOE), and as such, does not tolerate discrimination, retaliation, or harassment of its employees or applicants based upon race, color, religion, gender, sexual orientation, national origin, age, genetic information, disability, or any other protected characteristic under local, state, or federal law in any employment practice. Such employment practices include, but are not limited to: hiring, promotion, demotion, transfer, recruitment, or recruitment advertising, selection, disciplinary action layoff, termination, rates of pay, or other forms of compensation and selection of training.
IntelliGenesis is committed to the fair and equal employment of individuals with disabilities. It is the Company’s policy to reasonably accommodate qualified individuals with disabilities unless the accommodation would impose an undue hardship on the organization. In accordance with the Americans with Disabilities Act (ADA) as amended, reasonable accommodations will be provided to qualified individuals with disabilities, when such accommodations are necessary, to enable them to perform the essential functions of their jobs or to enjoy the equal benefits and privileges of employment. This policy applies to all applicants for employment and all employees.
qkhEbWLfY5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6"/>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li-4321279549</t>
        </is>
      </c>
      <c r="B2" t="inlineStr">
        <is>
          <t>Data Scientist I/II (Remote - US)</t>
        </is>
      </c>
      <c r="C2" t="inlineStr">
        <is>
          <t>BNSF Railway</t>
        </is>
      </c>
      <c r="D2" t="inlineStr">
        <is>
          <t>linkedin</t>
        </is>
      </c>
      <c r="E2" t="inlineStr"/>
      <c r="F2" t="inlineStr"/>
      <c r="G2" t="inlineStr"/>
      <c r="H2" t="inlineStr"/>
      <c r="I2" t="inlineStr">
        <is>
          <t>**be part of a team that values safety, inclusion, and excellence**
 we are one of the largest U.S. railroads transporting the nation’s freight across 28 western states and 3 Canadian provinces. as a member of our team, you will play a role in supporting the movement of essential products and materials that help feed, clothe, supply, and power communities throughout America and the world.
**bnsf \| tech:** 
 innovating and transforming the future of freight rail
**bnsf \| tech** 
 is the technology division making BNSF the preeminent freight and mobility company in north america.
**are you ready to drive change?**
 if you are passionate about making a difference and eager to advance your career in a dynamic and supportive environment, we want you on our team! join us in reshaping the future of freight rail and discover a fulfilling career where your contributions matter.
 we are committed to a culture where all employees are included, belong, and have equal opportunity to achieve their full potential. Come make a difference with us!
**Learn More About BNSF And Our Benefits**
**Job Location:** 
 Remote US
**Anticipated Start Date:** 
 01/01/2026
 The US base salary range for this full\-time position is provided below:
**Salary Range:** 
 $93,750\-$175,000
 The range represents the amount bnsf \| tech reasonably expects to pay for the position based on the level, scope, and responsibilities of the role.  Individual compensation and level of position offered is determined by the hiring location and additional factors including but not limited to job\-related skills, experience, and relevant education or training. In addition to base pay and bonus eligibility, BNSF offers a comprehensive benefits package.
**This is a full\-time remote** 
 position. Employees may work from anywhere within the contiguous 48 states of the United States
**Travel is up to 20%.** 
 Employees will be required to occasionally travel to our corporate headquarters in Fort Worth, TX for in person meetings. Travel expenses for business needs will be covered by BNSF
 This position is open to candidates who are currently authorized to work in the United States. We are also open to sponsoring H\-1B transfers, TN nonimmigrant status, and STEM OPT candidates with at least 2 years of remaining eligibility.
 Apply early as this job may be removed or filled prior to the closing date, which is approximately seven (7\) days after the posting date.
**data \&amp; ai:** 
 lead our charge into the future as an ai company by transforming our data assets into a real time enterprise.
**Key Responsibilities May Include**
**Work with cross\-functional teams** 
 to identify business problems and develop data\-driven solutions.
**Apply** 
 data science skills to analyze large, complex datasets and identify meaningful patterns that lead to actionable insights and data\-driven solutions to business problems.
**Develop and implement** 
 machine learning models to predict outcomes and improve processes.
**Collaborate** 
 with stakeholders to understand their needs and provide actionable insights.
**Create** 
 visualizations and reports to communicate findings effectively.
**Maintain and update** 
 data pipelines to ensure data integrity and accuracy.
**Stay current** 
 with industry trends and advancements in data science and machine learning.
**Identify, extract, aggregate, and synthesize** 
 data using SQL and NoSQL databases, R, Python or other appropriate languages to enable analysis, model development, and solution deployment.
**Drive** 
 moderate to complex data science, machine learning, traditional artificial intelligence, generative artificial intelligence or optimization projects, working with stakeholders to understand contextual problems quickly and define, analyze, and deliver solutions based on business objectives
*The duties and responsibilities in this posting are representative categories to be used in deciding whether to apply for this position. This is not an exhaustive list of the position’s duties.*
 At BNSF Railway, we encourage individuals from all backgrounds to apply, showcasing their skills, experiences and development. We provide resources and tools to help you reach your full potential, fostering a supportive and inclusive environment.
**Basic Qualifications**
* Minimum of 2 years experience building data science solutions or relevant experience
* Demonstrated understanding of statistical analysis and machine learning techniques.
* Experience with data visualization tools.
* Proficiency in programming languages such as Python, R, SQL, and familiarity with Java or Scala
* Experience with data science cloud platforms
**Preferred Qualifications**
* Bachelor's degree or higher in Operations Research, Computer Science, Industrial Engineering, or a related field
* Previous hands\-on experience with AI/Machine Learning frameworks and tools like TensorFlow, PyTorch, or scikit\-learn.
* Experience in Rail, Shipping, Airline, Logistics, Warehousing, Supply Chain, or other Transportation industries.
* Experience with geospatial python libraries
* Experience with open\-source libraries and frameworks.
* Experience working in an Agile environment (Scrum, Kanban, SAFe).
**At BNSF, you will have access to a comprehensive and competitive benefits package including:**
* An industry\-leading 401(k) and renowned Railroad Retirement program.
* A range of robust health care options for you and your dependents (including domestic partners), including medical, dental, vision, telemedicine, mental health, cancer support, and high\-quality care network options.
* Health care spending accounts (HSA) with employer contributions, as well as life and disability insurance, provided at no cost.
* Family benefits including parental, pediatric and family building support, adoption and surrogacy reimbursement, and dependent care spending account (with employer match).
* Access to discounts on travel, gym memberships, counseling services and wellness support.
* Annual bonus (Incentive Compensation Program)
* Generous leave / time off policies.
* For more information, visit Benefits.
 Please be aware of potential fraud that can occur when searching for new career opportunities. Please review our FAQ for more information and awareness.
 All positions require pre\-employment background verification.
 BNSF Railway is an Equal Opportunity Employer, all qualified applicants receive consideration for employment without regard to race, color, religion, sex, sexual orientation, gender identity, national origin, disability or protected veteran status.</t>
        </is>
      </c>
    </row>
    <row r="3">
      <c r="A3" t="inlineStr">
        <is>
          <t>li-4305284545</t>
        </is>
      </c>
      <c r="B3" t="inlineStr">
        <is>
          <t>Data Scientist, User Growth</t>
        </is>
      </c>
      <c r="C3" t="inlineStr">
        <is>
          <t>Duolingo</t>
        </is>
      </c>
      <c r="D3" t="inlineStr">
        <is>
          <t>linkedin</t>
        </is>
      </c>
      <c r="E3" t="inlineStr"/>
      <c r="F3" t="inlineStr"/>
      <c r="G3" t="inlineStr">
        <is>
          <t>Pittsburgh, PA</t>
        </is>
      </c>
      <c r="H3" t="inlineStr"/>
      <c r="I3" t="inlineStr">
        <is>
          <t>Our mission at Duolingo is to develop the best education in the world and make it universally available. It’s a big mission, and that’s where you come in!
 At Duolingo, you’ll join a team that cares about finding innovative solutions to complex technical problems, running countless experiments (300\+ at a time!) with our massive user base to make data\-driven decisions, and educating our users and employees alike. You’ll have limitless learning opportunities, mentorship and collaboration with world\-class minds, and a variety of projects with large scopes — while doing work that’s both fun and meaningful.
 Join our life\-changing mission to develop education for our half a billion (and growing!) learners around the world.
**About The Role**
 We’re looking for a Data Scientist to join our Data Science \&amp; Analytics team, with a focus on data modeling and insights to power our User Growth. You will be responsible for analyzing how current and future product changes impact our business performance metrics, then concisely communicating those insights to partner teams. You will also work closely with engineering teams and product managers to harness that understanding and improve the app through experimentation. By working cross\-functionally to empower our partners with empirical insights, you will drive real change and measurable impact for Duolingo every day.
**You will...**
* Derive insights from data to influence product roadmaps and drive business results
* Embed in teams with product managers and engineers to design, run, and analyze experiments to improve user experiences
* Apply advanced analytical methods to model user behavior and estimate the impact of potential new features. Partner with product and engineering teams to develop and implement solutions
* Build dashboards, reports, and/or forecasts (e.g., Sigma, Tableau, Plotly) to analyze trends, make recommendations, and help preserve our culture of fact\-based decision making as we scale
* Collaborate with other data scientists to level up our company's scientific capabilities and data footprint
* Ensure the quality of our tracking and data collection is high (and improving)
**You have...**
* Bachelor’s degree in a relevant field (e.g., Data Science, Economics, Business Analytics, Information Systems)
* Relevant experience in data science, advanced data analytics, business intelligence, or a related field
* Advanced SQL skills to build datasets that enable ad\-hoc analyses and efficient visualization
* Expertise in data visualization tools such as Sigma, Tableau, Hex, or Looker for full\-stack data analysis, insight synthesis, and presentation
* Professional or academic experience with experimentation, A/B testing, and/or causal inference
* Experience in programming (e.g., Python, R) to extract, transform, clean, and analyze large amounts of data
* Experience training machine learning models and deploying them in production
* Outstanding problem\-solving abilities and the capacity to distill complex data into concise explanations and actionable insights
* Excellent verbal and written communication skills that facilitate collaboration with both technical and non\-technical partners
* Ability to relocate to and work in our Pittsburgh office
**Exceptional candidates will have...**
* Master's degree in data science, economics, statistics, or an equivalent quantitative field
* Familiarity with AI tools such as Cursor, a knack for prompt engineering, and a desire to continue to innovate and learn in AI
* Experience at a high\-growth company that has undertaken an IPO
* An impressive Duolingo XP or streak!
**We post a multi\-level salary range for all of our roles.**
*This is not inclusive of the rest of our awesome portfolio that includes equity compensation and world\-class benefits. Our salary ranges are the same for all US locations. Your recruiter can share more details about the range for a specific level during the hiring process.* 
*The actual salary within the range is determined by many factors including but not limited to, skills, experience, education, and internal equity.*
**Salary Range**
 $147,900—$200,100 USD
 Take a peek at how we care for our employees' holistic well\-being with our benefits here.
 We will do everything we can within reason to make sure that your interview takes place in an environment that fairly and accurately assesses your skills. If you need assistance or accommodation, please contact accommodations@duolingo.com.
 Duolingo is proud to be an Equal Employment Opportunity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By applying for this position your data will be processed as per the Duolingo Applicant Privacy Notice.
 Sign up for job alerts here.</t>
        </is>
      </c>
    </row>
    <row r="4">
      <c r="A4" t="inlineStr">
        <is>
          <t>li-4313808393</t>
        </is>
      </c>
      <c r="B4" t="inlineStr">
        <is>
          <t>Data Scientist</t>
        </is>
      </c>
      <c r="C4" t="inlineStr">
        <is>
          <t>OpenAI</t>
        </is>
      </c>
      <c r="D4" t="inlineStr">
        <is>
          <t>linkedin</t>
        </is>
      </c>
      <c r="E4" t="inlineStr"/>
      <c r="F4" t="inlineStr"/>
      <c r="G4" t="inlineStr">
        <is>
          <t>San Francisco, CA</t>
        </is>
      </c>
      <c r="H4" t="inlineStr"/>
      <c r="I4" t="inlineStr">
        <is>
          <t>**About The Team**
 The Strategic Finance team is responsible for some of the largest investment categories at OpenAI. We play a critical role in maximizing OpenAI’s long\-term value by partnering across the business to allocate and deploy resources for the highest\-impact outcomes. We work cross\-functionally with Finance, Product, Engineering, and Go\-To\-Market teams to deliver actionable insights and support strategic decision\-making.
**About The Role**
 As one of the founding Data Scientists on the Strategic Finance Data Science team, you will design, implement, and own critical models, reporting, and analysis. You will work closely with Finance leadership, as well as teams across Research, Applied and Go\-To\-Market.
 This role requires deep expertise in predictive modeling, causal inference, and the ability to surface insights to support high\-stakes decision\-making.
 This role is based in our San Francisco HQ. We use a hybrid work model of three days in the office per week and offer relocation assistance to new employees.
**In This Role, You Will**
* Become an expert in OpenAI’s data and systems. Partnering with Data Engineering, Finance, and other teams, you’ll self\-serve data to derive critical insights.
* Scale causal inference models to measure the impact of different actions on user growth and financial outcomes.
* Architect customer segmentation frameworks to unlock tailored growth strategies and expand lifetime value.
* Automate standardized reporting and analysis by building data products or agentic solutions.
* Support product pricing and other business decisions with ad hoc analysis.
* Design and deliver dashboards for leadership to track key performance indicators and enable optimal decision\-making.
* Manage and lead cross\-functional data science projects end\-to\-end.
**You Might Thrive In This Role If You Have**
* MS or PhD in a quantitative field, with 7\+ years of experience in a highly quantitative role, ideally as an early data scientist at a hyper\-growth company or research organization.
* Proficiency in Python, SQL, Tableau, and other analytical tools.
* Strong analytical skills and experience working with large, complex data sets.
* Proven ability to distill complex data into actionable insights for leadership.
* Ability to independently initiate and complete projects, owning them end\-to\-end.
* Excellent communication and storytelling skills when presenting data insights.
* Exceptional attention to detail and a commitment to accuracy.
**You Could Be An Especially Great Fit If**
* You’re an enthusiastic self\-starter who thrives in fast\-paced, dynamic environments.
* You’re a phenomenal teammate and communicator, able to explain complex topics with clarity and keep stakeholders proactively informed.
* You’re passionate about technology and artificial intelligence.
* You use first\-principles thinking to design solutions from the ground up based on user needs and operational realities.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Compensation Range: $255K \- $405K</t>
        </is>
      </c>
    </row>
    <row r="5">
      <c r="A5" t="inlineStr">
        <is>
          <t>li-4361192792</t>
        </is>
      </c>
      <c r="B5" t="inlineStr">
        <is>
          <t>Data Scientist (Remote from US)</t>
        </is>
      </c>
      <c r="C5" t="inlineStr">
        <is>
          <t>Jobgether</t>
        </is>
      </c>
      <c r="D5" t="inlineStr">
        <is>
          <t>linkedin</t>
        </is>
      </c>
      <c r="E5" t="inlineStr"/>
      <c r="F5" t="inlineStr"/>
      <c r="G5" t="inlineStr"/>
      <c r="H5" t="inlineStr"/>
      <c r="I5" t="inlineStr">
        <is>
          <t>**This position is posted by Jobgether on behalf of a partner company. We are currently looking for a Data Scientist in the United States.**
 This role offers the opportunity to apply advanced data science techniques to solve high\-impact business challenges. You will work across diverse projects, analyzing structured and unstructured datasets, designing predictive and prescriptive models, and delivering actionable insights that drive strategy and operational improvements. The position involves collaboration with business stakeholders, data engineers, and analytics teams to implement data\-driven solutions and improve decision\-making across the organization. You will deploy machine learning and AI tools, support cloud\-based analytics initiatives, and mentor team members to enhance data literacy. Success in this role requires technical expertise, strong problem\-solving skills, and the ability to communicate complex results clearly to a variety of audiences. This is a fully remote position.
**Accountabilities**
* Lead data science initiatives by analyzing complex datasets to uncover insights, trends, and patterns that inform business strategy
* Design, develop, and deploy predictive and prescriptive models using machine learning and deep learning techniques
* Collaborate with business stakeholders to define project objectives, develop analytical approaches, and communicate results effectively
* Extract, transform, and integrate data from multiple sources for analysis, modeling, and reporting
* Apply supervised and unsupervised learning methods to structured and unstructured data
* Serve as a subject matter expert, providing guidance on data science practices and improving data literacy across teams
* Support cloud\-based analytics initiatives and leverage tools like TensorFlow, Keras, Scikit\-learn, and NLP libraries
**Requirements**
* Bachelor’s degree in Applied Mathematics, Statistics, Computer Science, Engineering, Econometrics, or related field (Master’s preferred)
* 5\+ years of experience with data mining, machine learning, and large\-scale dataset analysis
* 5\+ years of Python programming experience and familiarity with ML/DL frameworks such as TensorFlow, Scikit\-learn, Keras, or Torch
* 3\+ years of experience with NLP techniques and libraries
* 2\+ years of cloud computing experience (AWS, GCP, or Azure) and working knowledge of API endpoints
* Strong understanding of supervised and unsupervised learning methods including regression, clustering, bagging, boosting, and neural networks
* Excellent communication skills with the ability to convey complex findings to technical and non\-technical audiences
* Ability to work independently in a remote environment and collaborate with cross\-functional teams
**Benefits**
* Competitive salary range of $99,200 – $165,300, depending on experience and location
* Equity opportunities in the company (restricted stock units) and eligibility for short\-term incentive compensation
* Fully remote work environment with flexibility
* Comprehensive health coverage including medical, dental, and vision insurance
* 401(k) retirement plan with employer match and Employee Stock Purchase Plan
* Paid time off, holiday pay, and paid volunteer time
* Maternity, parental, and adoption leave programs
* Educational assistance and continuous learning opportunities
* Robust wellness program with financial incentives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Why Apply Through Jobgether?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6">
      <c r="A6" t="inlineStr">
        <is>
          <t>li-4361223280</t>
        </is>
      </c>
      <c r="B6" t="inlineStr">
        <is>
          <t>Data Scientist</t>
        </is>
      </c>
      <c r="C6" t="inlineStr">
        <is>
          <t>Tiger Analytics</t>
        </is>
      </c>
      <c r="D6" t="inlineStr">
        <is>
          <t>linkedin</t>
        </is>
      </c>
      <c r="E6" t="inlineStr"/>
      <c r="F6" t="inlineStr"/>
      <c r="G6" t="inlineStr">
        <is>
          <t>Chicago, IL</t>
        </is>
      </c>
      <c r="H6" t="inlineStr"/>
      <c r="I6" t="inlineStr">
        <is>
          <t>Tiger Analytics is looking for experienced Data Scientists to join our fast\-growing advanced analytics consulting firm. Our consultants bring deep expertise in Data Science, Machine Learning and AI. We are the trusted analytics partner for multiple Fortune 500 companies, enabling them to generate business value from data. Our business value and leadership has been recognized by various market research firms, including Forrester and Gartner. We are looking for top\-notch talent as we continue to build the best global analytics consulting team in the world.
 As a Data Scientist you will be at the forefront of solving high\-impact business problems using advanced machine learning, data engineering, and analytics solutions. The role demands a balanced mix of technical expertise, stakeholder management. You will design and analyze A/B tests and apply advanced techniques such as causal inference, matching models, and AutoML to generate reliable, actionable insights. Partnering closely with business and cross\-functional teams, you will translate hypotheses into robust analytical models, validate outcomes with statistical rigor, and clearly communicate results to drive data\-backed decision\-making and measurable business value.
**Key Responsibilities**
* Apply statistical techniques and machine learning methods to solve complex business problems.
* Design, implement, and analyze A/B experiments to measure impact and drive data\-backed decisions.
* Build, validate, and deploy predictive and analytical models using Python.
* Perform data extraction, transformation, and analysis using SQL across large datasets.
* Work on causal inference techniques such as causal ML, matching models, or uplift modeling to evaluate business interventions.
* Collaborate with product, business, and engineering teams to translate requirements into scalable data solutions.
* Present insights, findings, and recommendations clearly to technical and non\-technical stakeholders.
* Ensure data quality, model performance, and continuous improvement of analytical workflows
**Requirements**
* 3\-5 years of experience in data science and ML models
* Hands\-on expertise in Python and SQL for data analysis and modelling.
* In\-depth experience with A/B testing or similar methodologies such as Causal ML, Matching Models, or Auto ML.
* Strong problem\-solving skills with the ability to work independently on end\-to\-end data science projects.
* Excellent communication skills and stakeholder management experience
* Solid understanding of regression, classification, and statistical methods
**Benefits**
 This position offers an excellent opportunity for significant career development in a fast\-growing and challenging entrepreneurial environment with a high degree of individual responsibility.
***Tiger Analytics provides equal employment opportunities to applicants and employees without regard to race, color, religion, age, sex, sexual orientation, gender identity/expression, pregnancy, national origin, ancestry, marital status, protected veteran status, disability status, or any other basis as protected by federal, state, or local law.***</t>
        </is>
      </c>
    </row>
    <row r="7">
      <c r="A7" t="inlineStr">
        <is>
          <t>li-4361203102</t>
        </is>
      </c>
      <c r="B7" t="inlineStr">
        <is>
          <t>Data Scientist</t>
        </is>
      </c>
      <c r="C7" t="inlineStr">
        <is>
          <t>Cerberus Capital Management</t>
        </is>
      </c>
      <c r="D7" t="inlineStr">
        <is>
          <t>linkedin</t>
        </is>
      </c>
      <c r="E7" t="inlineStr"/>
      <c r="F7" t="inlineStr"/>
      <c r="G7" t="inlineStr"/>
      <c r="H7" t="inlineStr"/>
      <c r="I7" t="inlineStr">
        <is>
          <t>**Data Scientist \[Analyst/Associate]** 
 About The Job
 As a Data Scientist on the AI team at Cerberus, you’ll work on high\-impact projects that combine the pace of a startup with the reach of a global investment platform. Our team partners directly with internal investment desks as well as portfolio companies across industries to deliver machine learning solutions that unlock value and accelerate decision\-making.
 Your work will range from developing and validating robust predictive models for pricing and valuation across diverse asset classes to dynamically optimizing prices under changing market conditions. You’ll be expected to translate complex data into actionable insights and ensure your solutions are not only technically sound but also adopted and delivering measurable business value, supporting deal team members and portfolio company executives.
 We’re looking for data scientists who are passionate about impact—those who bring deep statistical knowledge, thrive in fast\-paced environments, and want to see their models deployed, used, and making a difference.
 What you will do
* Build and deliver AI solutions: Design and implement advanced models and systems as both an individual contributor and as part of cross\-functional teams.
* Drive impact through execution: Apply a hypothesis\-driven approach to design solutions, collaborate with technical teams, and deliver results that create measurable business value.
* Work in an agile, fast\-paced environment: Rapidly iterate and adapt to changing priorities, using creativity and pragmatism to maximize outcomes.
* Leverage modern tools and methods: Develop innovative solutions using contemporary platforms, languages, and frameworks, and package IP into reusable components.
* Communicate insights effectively: Translate complex technical concepts into clear, compelling narratives that drive understanding and action across technical and non\-technical audiences.
* Build trust through delivery: Establish credibility by delivering high\-quality solutions, challenging assumptions constructively, and iterating quickly in response to feedback.
* Develop broad technical capability: Work across the full data science lifecycle, continuously learning and applying new technologies.
 Sample Project You Will Work On
* Real estate portfolio valuation: Work on developing advanced valuation models for real estate portfolios using internal and external data sources. This includes building predictive models with uncertainty estimates, improving model performance through rigorous evaluation, and creating data pipelines to support modelling and analytics. You’ll also prototype processes downstream of valuation models, such as optimization approaches, to enhance pricing strategies, collaborating with stakeholders to integrate these solutions into business processes.
* Price optimization \&amp; forecasting for goods: Develop machine learning models to forecast demand and optimize pricing strategies for goods sold by a portfolio company. You’ll build predictive models that incorporate seasonality and competitive pricing data, while quantifying uncertainty and maintaining model explainability to support robust, transparent decision\-making.
 Your Experience
 We’re a small, high\-impact team with a broad remit and diverse technical backgrounds. We don’t expect any single candidate to check every box below \- if your experience overlaps strongly with what we do and you’re excited to apply your skills in a fast\-moving, real\-world environment, we’d love to hear from you.
* Strong technical foundation: Degree in a STEM field (or equivalent experience) with hands\-on expertise in a least two of applied statistics, machine learning, forecasting, NLP, or optimization. Experience with uncertainty quantification, model evaluation, and statistical inference is highly valued.
* Python expertise: Skilled in building data pipelines and ML models using modern libraries across multiple domains:
* Data science stack: NumPy, pandas / polars, scikit\-learn, XGBoost, LightGBM
* Deep learning: PyTorch, JAX
* Statistical programming: NumPyro, PyMC
* Data skills: Proficient in SQL, with the ability to write efficient, maintainable queries and manage data pipelines for analytics and modelling workflows.
* Model development \&amp; deployment: Familiarity with deploying models into production environments, collaborating with engineering teams, and using tools like MLflow or Weights \&amp; Biases for experiment tracking and reproducibility. Proof of work in cloud environments, especially MS Azure, is a plus.
* Research mindset with business impact: Ability to translate complex problems into tractable modelling approaches. \-Strong problem\-solving skills, intellectual curiosity, and a pragmatic approach to delivering solutions that drive measurable business value.
* Collaboration and Communication: Demonstrated experience working in collaborative development environments using tools like Git and Azure DevOps. Comfortable contributing to shared codebases, participating in code reviews, and managing branches and CI/CD workflows. Proven ability to work cross\-functionally with data scientists, engineers, and non\-technical stakeholders to translate business needs into technical solutions and ensure successful delivery and adoption.
 Work Authorization
 We are unable to sponsor or transfer employment visas at this time.
 About Us
 We are a new, but growing team of AI specialists\- data scientists, software engineers, and technology strategists \- working to transform how an alternative investment firm with $65B in assets under management leverages technology and data. Our remit is broad, spanning investment operations, portfolio companies, and internal systems, giving the team the opportunity to shape the way the firm approaches analytics, automation, and decision\-making.
 We operate with the creativity and agility of a small team, tackling diverse, high\-impact challenges across the firm. While we are embedded within a global investment platform, we maintain a collaborative, innovative culture where our AI talent can experiment, learn, and have real influence on business outcomes.</t>
        </is>
      </c>
    </row>
    <row r="8">
      <c r="A8" t="inlineStr">
        <is>
          <t>li-4316522730</t>
        </is>
      </c>
      <c r="B8" t="inlineStr">
        <is>
          <t>Data Scientist</t>
        </is>
      </c>
      <c r="C8" t="inlineStr">
        <is>
          <t>Bunge</t>
        </is>
      </c>
      <c r="D8" t="inlineStr">
        <is>
          <t>linkedin</t>
        </is>
      </c>
      <c r="E8" t="inlineStr"/>
      <c r="F8" t="inlineStr"/>
      <c r="G8" t="inlineStr">
        <is>
          <t>Chesterfield, MO</t>
        </is>
      </c>
      <c r="H8" t="inlineStr"/>
      <c r="I8" t="inlineStr">
        <is>
          <t>**City :** 
 Chesterfield
 **State :** 
 Missouri (US\-MO)
 **Country :** 
 United States (US)
 **Requisition Number :** 
 42003
**A Day In The Life:**
 Leveraging our inherent market intelligence is a critical component to Bunge’s success, particularly in the dynamic agricultural markets. This the reason why Bunge has one of the large economic analysis teams in the industry. Our analysis team is comprised of over 50 analysts world‐wide who gather, analyze, supply and demand and other pertinent information. The global analysts work closely with global traders to help market develop market theses that drive the company’s trading and risk decisions. The team covers global grains, oilseeds, biofuels, ocean freight and livestock.
**What You'll Be Doing:**
 The Data Scientist will be an integral part of the Bunge Economic Analysis team, leveraging advanced statistical modeling, econometrics, and machine learning to analyze vast internal and external datasets. This role is crucial for developing sophisticated predictive models that inform our understanding and forecasting of global commodity market dynamics, including crop production, pricing trends, and customer behavior, thereby advancing our economic research functions worldwide.
* Collaborate effectively within cross\-functional teams, including economists, market analysts, data engineers, and business leaders, to translate complex business challenges into solvable data science problems.
* Translate complex business problems into data\-driven analytics and machine learning tasks, then design, develop, and swiftly deploy high\-performance, resilient predictive models using a range of machine learning, statistical, and econometric techniques.
* Design and implement advanced analytical strategies and algorithms to extract, analyze, and leverage diverse data sources. Critically assess the effectiveness, accuracy, and suitability of various data inputs for global economic models.
* Rigorously monitor, evaluate, and refine the performance of deployed machine learning solutions to ensure sustained accuracy and measurable business impact.
* Clearly and effectively communicate complex analytical findings, model insights, and strategic recommendations to diverse audiences, including senior leadership, traders, and business units, supporting informed decision\-making and global risk management.
**Skills/Experience Requirements:**
* Minimum MS degree in Economics, Agricultural Economics, Statistics, Computer Science, Quantitative Finance, Business Analytics, or a closely related quantitative field.
* Minimum 2\-year of professional experience in a Data Scientist or similar quantitative role, preferably within an economic analysis, commodity trading, financial services, or agribusiness environment.
* Expert proficiency in Python (e.g., pandas, NumPy, scikit\-learn, statsmodels, TensorFlow) for data manipulation, statistical analysis, machine learning, and data visualization.
* Strong SQL skills for data extraction, manipulation, and analysis from relational and non\-relational databases.
* Solid understanding of statistical inference, econometric modeling (e.g., time series analysis, causal inference), and machine learning algorithms (e.g., regression, classification, clustering, tree\-based models).
* Demonstrated ability to frame complex problems, design analytical solutions, and extract meaningful insights from large datasets.
* Excellent communication and presentation skills with the ability to explain complex concepts or methods in a precise and clear manner.
* Detail\-oriented, proactive, self\-motivated, build work relationships, and able to work both independently and collaboratively in a fast\-paced, dynamic global environment.
* 5\+ years of industry work experience in Data Science fields.
* Experience with geospatial data analysis, remote sensing, satellite imagery processing and deep learning for statistical modeling.
* Experience with big data technologies and cloud\-based data platforms and products (e.g., Google Cloud Platform, AWS).
* Familiarity with MLOps practices for deploying, monitoring, and maintaining machine learning models in production.
* Specific knowledge of agricultural commodity markets (e.g., grains, oilseeds, biofuels), agronomics, etc.
**Benefits:**
 Health Benefits – Offering choices so you can enroll in medical, dental and vision to meet your individual needs 401(k) – Investing in your future with an automatic 5% company contribution AND matching up to 4% of your contributions.
 Family Support – Supporting new and growing families by providing 6 weeks of 100% paid parental leave and fertility coverage.
 Tuition Reimbursement – Contributing to your education by reimbursing $5,000 of tuition expenses annually.
 Time Off – Providing generous PTO based on professional work experience
 0 – 9 years: 25 days
 10 – 19 years: 30 days
 20\+ years: 35 day
 At Bunge (NYSE: BG), our purpose is to connect farmers to consumers to deliver essential food, feed and fuel to the world. As a premier agribusiness solutions provider, our team of :37,000 dedicated employees partner with farmers across the globe to move agricultural commodities from where they’re grown to where they’re needed—in faster, smarter, and more efficient ways. We are a world leader in grain origination, storage, distribution, oilseed processing and refining, offering a broad portfolio of plant\-based oils, fats, and proteins. We work alongside our customers at both ends of the value chain to deliver quality products and develop tailored, innovative solutions that address evolving consumer needs. With 200\+ years of experience and presence in over 50 countries, we are committed to strengthening global food security, advancing sustainability, and helping communities prosper where we operate. Bunge has its registered office in Geneva, Switzerland and its corporate headquarters in St. Louis, Missouri. Learn more at Bunge.com.
 Every day our people exemplify these values, which represent Bunge at its core:
* We Are One Team – Collaborative, Respectful, Inclusive
* We Lead The Way – Agile, Empowered, Innovative
* We Do What’s Right – Safety, Sustainability, With Integrity
 If this sounds like you, join us! We value and invest in people who believe in our purpose and are excited to live it every day – people who are \#ProudtoBeBunge</t>
        </is>
      </c>
    </row>
    <row r="9">
      <c r="A9" t="inlineStr">
        <is>
          <t>li-4361111253</t>
        </is>
      </c>
      <c r="B9" t="inlineStr">
        <is>
          <t>Data Scientist</t>
        </is>
      </c>
      <c r="C9" t="inlineStr">
        <is>
          <t>Pinterest</t>
        </is>
      </c>
      <c r="D9" t="inlineStr">
        <is>
          <t>linkedin</t>
        </is>
      </c>
      <c r="E9" t="inlineStr"/>
      <c r="F9" t="inlineStr"/>
      <c r="G9" t="inlineStr"/>
      <c r="H9" t="inlineStr"/>
      <c r="I9" t="inlineStr">
        <is>
          <t>**About The Company** 
 Pinterest is a global platform that inspires millions of users worldwide to discover creative ideas, envision new possibilities, and plan memorable experiences. Our mission is to bring everyone the inspiration to create a life they love, which is driven by the innovative and passionate people behind our products. As a leader in visual discovery and social media, Pinterest continuously strives to foster a diverse, inclusive, and dynamic environment where creativity and technology intersect to shape the future of online inspiration.
**About The Role** 
 We are seeking a highly skilled and experienced Senior Data Scientist specializing in forecasting and time\-series modeling to join our team. In this pivotal role, you will serve as the technical lead for our forecasting team, responsible for developing, implementing, and maintaining advanced forecasting models that influence key business decisions. You will own the end\-to\-end modeling lifecycle, from problem framing and feature engineering to deployment and monitoring. Your expertise will help shape the strategic direction of our forecasting platform, ensuring scalability, accuracy, and interpretability of predictions across multiple metrics such as user engagement, growth, and revenue. This role offers a unique opportunity to collaborate closely with cross\-functional teams including Engineering, Business Operations, and Product Management, translating complex data insights into actionable business strategies. You will also mentor junior data scientists, fostering a culture of technical excellence and continuous improvement. The position requires a combination of technical mastery, strategic thinking, and excellent communication skills to present complex forecasts and insights to senior leadership, including VP\-level stakeholders.
**Qualifications** 
* 8\+ years of experience in building and deploying production\-grade time\-series and forecasting models with web\-scale data.
* Strong background in time\-series analysis, applied statistics, and econometrics.
* Advanced degree (MS or PhD) in Computer Science, Statistics, Applied Mathematics, Economics, or related fields.
* Proficiency in scripting languages such as Python, with experience in relevant libraries (e.g., pandas, scikit\-learn, statsmodels, Prophet).
* Expertise in SQL and experience with data pipeline tools such as Hive, Presto, Spark SQL, and workflow orchestration tools like Airflow.
* Proven ability to deliver well\-calibrated, explainable, and adjustable forecasting systems that inform decision\-making.
* Strong business acumen with the ability to connect model outputs to business levers and strategic priorities.
* Excellent communication skills, capable of distilling complex analyses into clear narratives for executive audiences.
* Demonstrated technical leadership, with experience guiding and mentoring data science teams on critical projects.
**Responsibilities** 
* Serve as the technical lead for the forecasting team, owning the strategy and implementation of models for key company metrics such as monthly active users and revenue.
* Lead the full lifecycle of modeling efforts, including problem framing, feature engineering, model development, experimentation, deployment, and monitoring.
* Define and set the technical vision for forecasting models and platforms, collaborating with engineering teams to ensure scalability and efficiency.
* Translate forecasting outputs into actionable insights, presenting scenario analyses, recommendations, and forecasts to senior leadership with clarity and impact.
* Implement broader time\-series applications such as anomaly detection, root\-cause analysis, attribution, and early warning systems for business health.
* Partner with Business Operations, Finance, and Product teams to integrate forecasting insights into operational and strategic decision\-making processes.
* Mentor and guide junior data scientists, fostering a culture of technical excellence, innovation, and continuous learning.
* Stay updated with the latest advancements in time\-series analysis, machine learning, and forecasting techniques, applying best practices to improve model performance.
**Benefits** 
* Competitive salary range of $163,064—$335,720 USD, commensurate with experience and location.
* Equity options and stock grants to share in the company's success.
* Flexible work arrangements, including partial remote work and in\-office collaboration as needed.
* Comprehensive health, dental, and vision insurance plans.
* Generous paid time off, holidays, and parental leave policies.
* Opportunities for professional development, training, and career growth.
* A collaborative, inclusive, and innovative work environment that values diversity and individual contributions.
 Equal Opportunity
 Pinterest is an equal opportunity employer committed to fostering an inclusive environment for all employees. We make employment decisions based on merit, qualifications, and business needs without regard to race, color, religion, sex, sexual orientation, gender identity, gender expression, age, marital status, veteran status, disability, or any other protected characteristic.</t>
        </is>
      </c>
    </row>
    <row r="10">
      <c r="A10" t="inlineStr">
        <is>
          <t>li-4361173143</t>
        </is>
      </c>
      <c r="B10" t="inlineStr">
        <is>
          <t>Senior Data Scientist - Semi Conductor</t>
        </is>
      </c>
      <c r="C10" t="inlineStr">
        <is>
          <t>Tiger Analytics</t>
        </is>
      </c>
      <c r="D10" t="inlineStr">
        <is>
          <t>linkedin</t>
        </is>
      </c>
      <c r="E10" t="inlineStr"/>
      <c r="F10" t="inlineStr"/>
      <c r="G10" t="inlineStr">
        <is>
          <t>San Francisco, CA</t>
        </is>
      </c>
      <c r="H10" t="inlineStr"/>
      <c r="I10" t="inlineStr">
        <is>
          <t>Tiger Analytics is looking for experienced Senior Data Scientists to join our fast\-growing advanced analytics consulting firm. Our consultants bring deep expertise in Data Science, Machine Learning and AI. We are the trusted analytics partner for multiple Fortune 500 companies, enabling them to generate business value from data. Our business value and leadership has been recognized by various market research firms, including Forrester and Gartner. We are looking for top\-notch talent as we continue to build the best global analytics consulting team in the world.
 As a Data Scientist, you will apply strong expertise through the use of machine learning, data mining, and information retrieval to design, prototype, and build next generation advanced analytics engines and services. You will collaborate with cross\-functional teams and business partners to define the technical problem statement and hypotheses to test. You will develop efficient and accurate analytical models which mimic business decisions and incorporate those models into analytical data products and tools. You will have the opportunity to drive current and future strategy by leveraging your analytical skills as you ensure business value and communicate the results.
**Key Responsibilities**
* Collaborate with business partners to develop innovative solutions to meet objectives utilizing cutting edge techniques and tools
* Develop, test, and deploy data science solutions using Python, SQL, and PySpark on enterprise platforms such as Databricks
* Collaborate with data scientists to translate models into production\-ready code
* Implement CI/CD pipelines and manage code repositories using GitHub Enterprise
* Design and optimize mathematical programming and machine learning models for real\-world applications
* Work independently to break down complex problems into actionable development tasks
* Ensure code quality, scalability, and maintainability in a production environment
* Contribute to sprint planning, documentation, and cross\-functional collaboration
* Collaborate, coach, and learn with a growing team of experienced Data Scientists.
* Stay connected with external sources of ideas through conferences and community engagements
**Requirements**
* 7 years of experience working as a Data Scientist
* Hands\-on experience with enterprise data science solutions, in Semi\-conducor industry
* Proficiency in Python, SQL, and PySpark.
* Experience with Databricks or similar enterprise cloud environments.
* Experience with production\-level coding and deployment practices.
* Familiarity with machine learning techniques and mathematical optimization methods
* Proficient in data science libraries and ML pipelines such as; NumPy, SciPy, scikit\-learn, MLlib, PyTorch, TensorFlow
* Self\-starter with an ownership mindset and the ability to work with minimal supervision
**Benefits**
 This position offers an excellent opportunity for significant career development in a fast\-growing and challenging entrepreneurial environment with a high degree of individual responsibility.
***Tiger Analytics provides equal employment opportunities to applicants and employees without regard to race, color, religion, age, sex, sexual orientation, gender identity/expression, pregnancy, national origin, ancestry, marital status, protected veteran status, disability status, or any other basis as protected by federal, state, or local law.***</t>
        </is>
      </c>
    </row>
    <row r="11">
      <c r="A11" t="inlineStr">
        <is>
          <t>li-4332568782</t>
        </is>
      </c>
      <c r="B11" t="inlineStr">
        <is>
          <t>Data Scientist</t>
        </is>
      </c>
      <c r="C11" t="inlineStr">
        <is>
          <t>RemoteHunter</t>
        </is>
      </c>
      <c r="D11" t="inlineStr">
        <is>
          <t>linkedin</t>
        </is>
      </c>
      <c r="E11" t="inlineStr"/>
      <c r="F11" t="inlineStr"/>
      <c r="G11" t="inlineStr"/>
      <c r="H11" t="inlineStr"/>
      <c r="I11" t="inlineStr">
        <is>
          <t>About the Opportunity:
 A growing team is seeking a Data Scientist to support data\-driven decisions across critical business initiatives such as carrier growth and new product development. The organization has achieved profitability and aims to scale from 5 million to 50 million customers with a goal to become a $10 billion business. The role involves leveraging advanced machine learning models to analyze data and inform growth strategies within a super app that simplifies car ownership—including insurance, loans, repairs, and more—in a $2 trillion U.S. market.
 Responsibilities:
 • Collaborate with marketing, product, and business development teams to apply customer insights to acquisition strategies
 • Lead design, execution, and analysis of A/B tests on new and existing features to extract actionable insights
 • Define and test levers to drive profitable and scalable user acquisition and partnership growth
 • Identify opportunities to automate processes and improve operational efficiency
 Requirements:
 • Bachelor’s degree in a quantitatively or intellectually rigorous discipline
 • Minimum 1 year experience at a top\-tier economic consulting firm (e.g., Analysis Group, Cornerstone Research, Charles River Associates), management consulting firm (e.g., McKinsey, Bain, Boston Consulting Group), or relevant data science/business analysis experience
 • Proficient in SQL or Python
 • Strong problem\-solving framework based on first principles
 • Effective communication skills across all organizational levels, from front\-line employees to C\-suite executives
 • High standards for personal and team performance, with a commitment to continual improvement
 Benefits \&amp; Perks:
 • Health, dental, and vision insurance
 • Paid time off and paid parental leave
 • 401(k) plan with employer matching
 • Wellness benefits
 • Equity opportunities as part of total rewards package
 Compensation:
 • Starting pay determined by job\-related factors including skills, experience, qualifications, work location, and market conditions
 • Compensation may include base salary and equity grants
 • Pay ranges are market\-dependent and subject to future modification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2">
      <c r="A12" t="inlineStr">
        <is>
          <t>li-4360783052</t>
        </is>
      </c>
      <c r="B12" t="inlineStr">
        <is>
          <t>Principal Data Scientist (GenAI)</t>
        </is>
      </c>
      <c r="C12" t="inlineStr">
        <is>
          <t>Tiger Analytics</t>
        </is>
      </c>
      <c r="D12" t="inlineStr">
        <is>
          <t>linkedin</t>
        </is>
      </c>
      <c r="E12" t="inlineStr"/>
      <c r="F12" t="inlineStr"/>
      <c r="G12" t="inlineStr">
        <is>
          <t>Dallas, TX</t>
        </is>
      </c>
      <c r="H12" t="inlineStr"/>
      <c r="I12" t="inlineStr">
        <is>
          <t>Tiger Analytics is looking for experienced Data Scientists to join our fast\-growing advanced analytics consulting firm. Our consultants bring deep expertise in Data Science, Machine Learning and AI. We are the trusted analytics partner for multiple Fortune 500 companies, enabling them to generate business value from data. Our business value and leadership has been recognized by various market research firms, including Forrester and Gartner. We are looking for top\-notch talent as we continue to build the best global analytics consulting team in the world.
 As a Data Scientist, you will apply strong expertise in AI through the use of machine learning, data mining, and information retrieval to design, prototype, and build next generation advanced analytics engines and services. You will collaborate with cross\-functional teams and business partners to define the technical problem statement and hypotheses to test. You will develop efficient and accurate analytical models which mimic business decisions and incorporate those models into analytical data products and tools. You will have the opportunity to drive current and future strategy by leveraging your analytical skills as you ensure business value and communicate the results.
**Key Responsibilities**
* Implement efficient Retrieval\-Augmented Generation (RAG) architectures and integrate with enterprise data infrastructure
* Collaborate with cross\-functional teams to integrate solutions into operational processes and systems supporting various functions
* Stay up to date with industry advancements in AI and apply modern technologies and methodologies to our systems
* Design, build and maintain scalable and robust real\-time data streaming pipelines using technologies such as gcp, vertex ai, s3, AWS bedrock, Spark streaming, or similar
* Develop data domains and data products for various consumption archetypes including Reporting, Data Science, AI/ML, Analytics etc
* Ensure the reliability, availability, and scalability of data pipelines and systems through effective monitoring, alerting, and incident management
* Implement best practices in reliability engineering, including redundancy, fault tolerance, and disaster recovery strategies
* Collaborate closely with DevOps and infrastructure teams to ensure seamless deployment, operation, and maintenance of data systems
* Mentor junior team members and engage in communities of practice to deliver high\-quality data and AI solutions while promoting best practices, standards, and adoption of reusable patterns
* Apply AI solutions to insurance\-specific data use cases and challenges
* Partner with architects and stakeholders to influence and implement the vision of the AI and data pipelines while safeguarding the integrity and scalability of the environment
**Requirements**
* 7 years of experience working as a GenAI Data Science
* Experience with Python from a functional programming paradigm, able to manage dependencies and virtual environments, along with version control in git
* Experience with sequential algorithms (e.g., LSTM, RNN, transformer, etc.)
* Experience with Bedrock, JumpStart, HuggingFace
* Experience evaluating ethical implications of AI and controlling for them (e.g., red\-teaming)
* Expertise in supervised learning and unsupervised learning along with experience in deep learning and transfer learning
* Experience in generative algorithms (e.g., GAN, VAE, etc.) as well as pre\-trained models (e.g., LLaMa, SAM, etc.)
* Experience developing models from inception to deployment
**Benefits**
 This position offers an excellent opportunity for significant career development in a fast\-growing and challenging entrepreneurial environment with a high degree of individual responsibility.
***Tiger Analytics provides equal employment opportunities to applicants and employees without regard to race, color, religion, age, sex, sexual orientation, gender identity/expression, pregnancy, national origin, ancestry, marital status, protected veteran status, disability status, or any other basis as protected by federal, state, or local law.***</t>
        </is>
      </c>
    </row>
    <row r="13">
      <c r="A13" t="inlineStr">
        <is>
          <t>li-4360781673</t>
        </is>
      </c>
      <c r="B13" t="inlineStr">
        <is>
          <t>Research Data Scientist III, Ads Insight and Measurement</t>
        </is>
      </c>
      <c r="C13" t="inlineStr">
        <is>
          <t>Google</t>
        </is>
      </c>
      <c r="D13" t="inlineStr">
        <is>
          <t>linkedin</t>
        </is>
      </c>
      <c r="E13" t="inlineStr"/>
      <c r="F13" t="inlineStr"/>
      <c r="G13" t="inlineStr">
        <is>
          <t>New York, NY</t>
        </is>
      </c>
      <c r="H13" t="inlineStr"/>
      <c r="I13" t="inlineStr">
        <is>
          <t>Note: By applying to this position you will have an opportunity to share your preferred working location from the following:
 **New York, NY, USA; Mountain View, CA, USA** 
 .
 **Minimum qualifications:**
* Master's degree in Statistics, Data Science, Mathematics, Physics, Economics, Operations Research, Engineering, or a related quantitative field.
* 3 years of work experience using analytics to solve product or business problems, coding (e.g., Python, R, SQL), querying databases or statistical analysis, or a PhD degree.
**Preferred qualifications:**
* 5 years of work experience using analytics to solve product or business problems, coding (e.g., Python, R, SQL), querying databases or statistical analysis, or a PhD degree.
* Experience with advanced optimization techniques.
* Experience with high dimensional statistics.
**About the job** 
 As a Data Scientist working on Ads Insights and Measurement, you will develop, evaluate and improve the entire range of Google's advertising products including Search, Display, Apps, TV and Video (YouTube). You will collaborate with a multi\-disciplinary team of engineers, analysts and product managers to develop new science and to translate it into deployed products at scale. You will also play a key role in developing new ideas and methods that drive ad measurement and business generation, including paradigm\-shifting ad\-measurement science and products for the privacy\-preserving future of digital advertising and will be a key part of building and driving impact on ad\-systems both at Google and in the ad\-tech and mar\-tech industry as a whole, globally.The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Design and evaluate custom data infrastructure or existing data models using specialized knowledge to mathematically express and solve defined problems with limited precedent.
* Shape and support new data\-driven and privacy\-preserving advertising and marketing products in collaboration with engineering, product and customer\-facing teams.
* Define relevant questions about advertising effectiveness, incrementality assessment, the impact of privacy, user behavior, brand building, aiming, bidding and develop and implement quantitative methods to answer those questions through team collaboration.
* Solve difficult, non\-routine analysis problems with data sets, applying advanced problem\-solving methods as needed and conducting analyses that include data gathering and requirements specification, Exploratory Data Analysis (EDA), model development, and written and verbal delivery of results to business partners and executives.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4">
      <c r="A14" t="inlineStr">
        <is>
          <t>li-4360762079</t>
        </is>
      </c>
      <c r="B14" t="inlineStr">
        <is>
          <t>Data Scientist, Marketing</t>
        </is>
      </c>
      <c r="C14" t="inlineStr">
        <is>
          <t>Thumbtack</t>
        </is>
      </c>
      <c r="D14" t="inlineStr">
        <is>
          <t>linkedin</t>
        </is>
      </c>
      <c r="E14" t="inlineStr"/>
      <c r="F14" t="inlineStr"/>
      <c r="G14" t="inlineStr"/>
      <c r="H14" t="inlineStr"/>
      <c r="I14" t="inlineStr">
        <is>
          <t>**About The Company** 
 Thumbtack is a leading platform dedicated to helping millions of homeowners confidently care for and improve their homes. The company offers a comprehensive app that provides personalized guidance, AI tools, and a seamless hiring experience for various home projects. Every day, in every county across the United States, homeowners rely on Thumbtack to address urgent repairs, seasonal maintenance, and larger renovations. By connecting homeowners with a growing community of over 300,000 local service businesses, Thumbtack empowers users to make informed decisions about their home improvement needs. The company's mission is to build a trusted, innovative platform that simplifies the process of home care, making it accessible and efficient for everyone. If you are passionate about making a meaningful impact and contributing to a dynamic environment, Thumbtack offers an exciting opportunity to be part of a forward\-thinking team that values craftsmanship, innovation, and community growth.
**About The Role** 
 As a Staff Marketing Data Scientist at Thumbtack, you will play a pivotal role in shaping the company's marketing analytics and measurement strategies. Trusted as one of the senior members of the Data Science team, you will leverage your technical expertise, strategic thinking, and business acumen to develop innovative methodologies that evaluate marketing effectiveness across various channels. Your primary focus will be on advancing channel measurement capabilities by designing scalable frameworks, tools, and models that enable the Marketing and Data Science teams to operate with increased speed, accuracy, and confidence. This role involves collaborating closely with cross\-functional teams to connect measurement insights with broader business strategies and growth initiatives. You will also serve as a technical leader, mentoring junior team members, elevating analytical standards, and guiding the long\-term vision for measurement practices within the organization. The role offers an exciting opportunity to work on complex analytical challenges that directly impact Thumbtack’s growth and customer engagement efforts, fostering a culture of innovation and continuous improvement.
**Qualifications** 
* 4\+ years of experience in data science, analytics, or economics.
* Bachelor’s, Master’s, or Doctoral degree in Statistics, Engineering, Analytics, Mathematics, Computer Science, Economics, or a related technical field.
* Minimum of 0\-5 years of professional experience in industry, consulting, government, or academic research; candidates with more extensive experience are encouraged to apply.
* Proficiency in analytical tools such as Python and SQL.
* Strong ability to work effectively in a fast\-paced, dynamic business environment.
* Excellent communication skills with the ability to build cross\-functional relationships and influence decision\-making with data\-driven insights.
* Experience in developing and implementing measurement methodologies, modeling approaches, and analytical frameworks.
* Knowledge of marketing analytics, channel attribution, and incrementality testing is a plus.
**Responsibilities** 
* Lead the development and enhancement of measurement methodologies that evaluate marketing effectiveness and push the boundaries of analytical innovation.
* Create and refine frameworks, tools, and processes to make measurement scalable and systematic across multiple marketing channels.
* Advance existing modeling approaches to deliver insights that are both robust and actionable for business growth.
* Iterate on measurement strategies for marketing challenges such as channel incrementality and return on ad spend optimization.
* Collaborate with cross\-functional teams, including marketing, product, and data science, to align measurement insights with strategic objectives.
* Mentor junior team members, promote best practices, and shape the long\-term measurement vision at Thumbtack.
* Identify new opportunities where advanced analytics or innovative methodologies can unlock additional business impact.
* Communicate complex analytical findings clearly to stakeholders and support data\-driven decision\-making processes.
**Benefits** 
* Competitive salary aligned with experience and market standards.
* Comprehensive health, dental, and vision insurance plans.
* Flexible work arrangements, including remote work options.
* Generous paid time off and holiday leave policies.
* Opportunities for professional development and career growth within a fast\-growing company.
* Collaborative and inclusive company culture that values diversity and innovation.
* Access to cutting\-edge tools and technologies to support your analytical work.
 Equal Opportunity
 Thumbtack is an equal opportunity employer. We celebrate diversity and are committed to creating an inclusive environment for all employees. We do not discriminate based on sex, race, color, age, pregnancy, sexual orientation, gender identity or expression, religion, national origin, ancestry, citizenship, marital status, military or veteran status, genetic information, disability, or any other characteristic protected by federal, provincial, state, or local law.</t>
        </is>
      </c>
    </row>
    <row r="15">
      <c r="A15" t="inlineStr">
        <is>
          <t>li-4351828797</t>
        </is>
      </c>
      <c r="B15" t="inlineStr">
        <is>
          <t>Data Scientist</t>
        </is>
      </c>
      <c r="C15" t="inlineStr">
        <is>
          <t>RemoteHunter</t>
        </is>
      </c>
      <c r="D15" t="inlineStr">
        <is>
          <t>linkedin</t>
        </is>
      </c>
      <c r="E15" t="inlineStr"/>
      <c r="F15" t="inlineStr"/>
      <c r="G15" t="inlineStr"/>
      <c r="H15" t="inlineStr"/>
      <c r="I15" t="inlineStr">
        <is>
          <t>About the Opportunity:
 The organization is seeking a Data Scientist to join a growing team that recently achieved profitability and aims to scale from 5 million to 50 million customers while targeting a $10 billion valuation. The role involves championing data\-driven decisions across critical business initiatives such as carrier growth and new product development. The team uses advanced machine learning models to conduct in\-depth analyses that shape growth strategies. The organization is developing a super app to simplify car ownership by integrating services including insurance, vehicle buying and selling, registration, loans, safety, repairs, and parking, addressing a $2 trillion market in the U.S. It has launched multiple features since 2019 and grown to over 5 million customers with $240 million in funding, 60X revenue growth, and a team of 225 across six countries.
 Responsibilities:
 • Collaborate with marketing, product, and business development teams to incorporate customer performance insights into acquisition strategies
 • Lead design, execution, and analysis of A/B tests on new and existing features to inform product and business decisions
 • Define and test factors driving profitable, scalable user acquisition and partnership growth
 • Identify opportunities to automate manual processes and improve operational efficiency
 Requirements:
 • Bachelor’s degree in a quantitatively or intellectually rigorous discipline
 • Minimum 1 year experience at a top\-tier economic consulting firm (e.g., Analysis Group, Cornerstone Research, Charles River Associates) or management consulting firm (e.g., McKinsey, Bain, Boston Consulting Group) or relevant data science/business analysis experience
 • Proficiency in SQL or Python
 • Strong problem\-solving framework with a first principles approach
 • Effective communication skills for audiences ranging from front\-line employees to C\-suite executives
 • High personal and team standards with a drive for excellence
 Benefits \&amp; Perks:
 • Health, dental, and vision insurance
 • Paid time off and paid parental leave
 • 401(k) plan with employer matching
 • Wellness benefits
 • Equity opportunities may be included in total rewards package
 • Note: Part\-time, contract, or freelance roles may not qualify for all benefits
 Compensation:
 • Starting pay within a market\-dependent range based on job\-related factors including skills, experience, qualifications, and work location
 • Potential equity grants as part of compensation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6">
      <c r="A16" t="inlineStr">
        <is>
          <t>li-4351818728</t>
        </is>
      </c>
      <c r="B16" t="inlineStr">
        <is>
          <t>Data Scientist</t>
        </is>
      </c>
      <c r="C16" t="inlineStr">
        <is>
          <t>RemoteHunter</t>
        </is>
      </c>
      <c r="D16" t="inlineStr">
        <is>
          <t>linkedin</t>
        </is>
      </c>
      <c r="E16" t="inlineStr"/>
      <c r="F16" t="inlineStr"/>
      <c r="G16" t="inlineStr"/>
      <c r="H16" t="inlineStr"/>
      <c r="I16" t="inlineStr">
        <is>
          <t>About the Organization:
 The organization is building the first super app to simplify car ownership by integrating services such as insurance, buy/sell, registration, loans, safety, repairs, and parking within a $2 trillion U.S. market. Founded in 2019, the company has expanded from insurance to loan refinancing, driving insights, repair marketplace, car diagnostics, and a GenAI\-powered chatbot and voicebot. It has grown to over 5 million customers, raised $240 million in funding, achieved 60X revenue growth, and scaled its team to 225 employees across six countries. The data scientist role supports critical business initiatives and growth strategies by leveraging advanced machine learning and data\-driven decision\-making.
 Responsibilities:
 • Partner with marketing, product, and business development teams to integrate customer performance insights into acquisition strategies
 • Lead the design, execution, and analysis of A/B experiments on new and existing features
 • Define, test, and optimize levers to drive profitable and scalable user acquisition and partnership growth
 • Identify opportunities to automate manual processes and improve operational efficiency
 Requirements:
 • Bachelor’s degree in a quantitatively or intellectually rigorous discipline
 • Minimum 1 year of experience from a top\-tier economic consulting firm (e.g., Analysis Group, Cornerstone Research, Charles River Associates) OR 1 year of management consulting experience from a top firm (e.g., McKinsey, Bain, Boston Consulting Group) OR relevant experience in data science or business analysis
 • Proficient in SQL or Python
 • Strong problem\-solving skills using first principles
 • Effective communication skills across all organizational levels
 • High standards for personal and team performance
 Benefits \&amp; Perks:
 • Health, dental, and vision coverage
 • Paid time off and paid parental leave
 • 401(k) plan with employer matching
 • Wellness benefits
 • Equity opportunities as part of total rewards package
 Compensation:
 • Starting pay will fall within the stated pay range for the role, based on skills, experience, qualifications, work location, and market conditions
 • Compensation may include base salary and opportunities for equity grants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7">
      <c r="A17" t="inlineStr">
        <is>
          <t>li-4354603487</t>
        </is>
      </c>
      <c r="B17" t="inlineStr">
        <is>
          <t>Data Scientist</t>
        </is>
      </c>
      <c r="C17" t="inlineStr">
        <is>
          <t>STAND 8 Technology Consulting</t>
        </is>
      </c>
      <c r="D17" t="inlineStr">
        <is>
          <t>linkedin</t>
        </is>
      </c>
      <c r="E17" t="inlineStr"/>
      <c r="F17" t="inlineStr"/>
      <c r="G17" t="inlineStr">
        <is>
          <t>Long Beach, CA</t>
        </is>
      </c>
      <c r="H17" t="inlineStr"/>
      <c r="I17" t="inlineStr">
        <is>
          <t>STAND 8 provides end to end IT solutions to enterprise partners across the United States and with offices in Los Angeles, New York, New Jersey, Atlanta, and more including internationally in Mexico and India
 We are seeking a highly analytical and technically skilled Data Scientist to transform complex, multi\-source data into unified, actionable insights used for executive reporting and decision\-making.
 This role requires expertise in business intelligence design, data modeling, metadata management, data integrity validation, and the development of dashboards, reports, and analytics used across operational and strategic environments.
 The ideal candidate thrives in a fast\-paced environment, demonstrates strong investigative skills, and can collaborate effectively with technical teams, business stakeholders, and leadership.
**Essential Duties \&amp; Responsibilities** 
* As a Data Scientist, participate across the full solution lifecycle: business case, planning, design, development, testing, migration, and production support.
* Analyze large and complex datasets with accuracy and attention to detail.
* Collaborate with users to develop effective metadata and data relationships.
* Identify reporting and dashboard requirements across business units.
* Determine strategic placement of business logic within ETL or metadata models.
* Build enterprise data warehouse metadata/semantic models.
* Design and develop unified dashboards, reports, and data extractions from multiple data sources.
* Develop and execute testing methodologies for reports and metadata models.
* Document BI architecture, data lineage, and project report requirements.
* Provide technical specifications and data definitions to support the enterprise data dictionary.
* Apply analytical skills and Data Science techniques to understand business processes, financial calculations, data flows, and application interactions.
* Identify and implement improvements, workarounds, or alternative solutions related to ETL processes, ensuring integrity and timeliness.
* Create UI components or portal elements (e.g., SharePoint) for dynamic or interactive stakeholder reporting.
* As a Data Scientist, download and process SQL database information to build Power BI or Tableau reports (including cybersecurity awareness campaigns).
* Utilize SQL, Python, R, or similar languages for data analysis and modeling.
* Support process optimization through advanced modeling, leveraging experience as a Data Scientist where needed.
**Required Knowledge \&amp; Attributes** 
* Highly self\-motivated with strong organizational skills and ability to manage multiple verbal and written assignments.
* Experience collaborating across organizational boundaries for data sourcing and usage.
* Analytical understanding of business processes, forecasting, capacity planning, and data governance.
* Proficient with BI tools (Power BI, Tableau, PBIRS, SSRS, SSAS).
* Strong Microsoft Office skills (Word, Excel, Visio, PowerPoint).
* High attention to detail and accuracy.
* Ability to work independently, demonstrate ownership, and ensure high\-quality outcomes.
* Strong communication, interpersonal, and stakeholder engagement skills.
* Deep understanding that data integrity and consistency are essential for adoption and trust.
* Ability to shift priorities and adapt within fast\-paced environments.
**Required Education \&amp; Experience** 
* Bachelor's degree in Computer Science, Mathematics, or Statistics (or equivalent experience).
* 3\+ years of BI development experience.
* 3\+ years with Power BI and supporting Microsoft stack tools (SharePoint 2019, PBIRS/SSRS, Excel 2019/2021\).
* 3\+ years of experience with SDLC/project lifecycle processes
* 3\+ years of experience with data warehousing methodologies (ETL, Data Modeling).
* 3\+ years of VBA experience in Excel and Access.
* Strong ability to write SQL queries and work with SQL Server 2017\-2022\.
* Experience with BI tools including PBIRS, SSRS, SSAS, Tableau.
* Strong analytical skills in business processes, financial modeling, forecasting, and data flow understanding.
* Critical thinking and problem\-solving capabilities.
* Experience producing high\-quality technical documentation and presentations.
* Excellent communication and presentation skills, with the ability to explain insights to leadership and business teams.
**Benefits** 
* Medical coverage and Health Savings Account (HSA) through Anthem
* Dental/Vision/Various Ancillary coverages through Unum
* 401(k) retirement savings plan
* Paid\-time\-off options
* Company\-paid Employee Assistance Program (EAP)
* Discount programs through ADP WorkforceNow
**Additional Details**
 The base range for this contract position is $73 \- $83 / per hour, depending on experience. Our pay ranges are determined by role, level, and location. The range displayed on each job posting reflects the minimum and maximum target for new hires of this position across all US locations. Within the range, individual pay is determined by work location and additional factors, including job\-related skills, experience, and relevant education or training. Qualified applicants with arrest or conviction records will be considered
**About Us**
 STAND 8 provides end\-to\-end IT solutions to enterprise partners across the United States and globally with offices in Los Angeles, Atlanta, New York, Mexico, Japan, India, and more. STAND 8 focuses on the "bleeding edge" of technology and leverages automation, process, marketing, and over fifteen years of success and growth to provide a world\-class experience for our customers, partners, and employees.
 Our mission is to impact the world positively by creating success through PEOPLE, PROCESS, and TECHNOLOGY.
 Check out more at www.stand8\.io; and reach out today to explore opportunities to grow together!
 By applying to this position, your data will be processed in accordance with the STAND 8 Privacy Policy.</t>
        </is>
      </c>
    </row>
    <row r="18">
      <c r="A18" t="inlineStr">
        <is>
          <t>li-4313806483</t>
        </is>
      </c>
      <c r="B18" t="inlineStr">
        <is>
          <t>Data Scientist, Infrastructure</t>
        </is>
      </c>
      <c r="C18" t="inlineStr">
        <is>
          <t>OpenAI</t>
        </is>
      </c>
      <c r="D18" t="inlineStr">
        <is>
          <t>linkedin</t>
        </is>
      </c>
      <c r="E18" t="inlineStr"/>
      <c r="F18" t="inlineStr"/>
      <c r="G18" t="inlineStr">
        <is>
          <t>San Francisco, CA</t>
        </is>
      </c>
      <c r="H18" t="inlineStr"/>
      <c r="I18" t="inlineStr">
        <is>
          <t>**About The Team**
 Our infrastructure team helps deliver OpenAI’s most capable models and products to the world by scaling infrastructure and turning demand into useful FLOPS. We collaborate across research, engineering, design, and business to turn cutting\-edge AI advancements into impactful, real\-world applications. Our team ensures the right compute is available—at the right time and place—to support some of the world’s most demanding workloads. We empower all of OpenAI’s products and research by scaling the infrastructure behind them. Our work makes it possible to launch new models and products reliably and at scale.
**About The Role**
 As a Data Scientist on the Infra team, you will play a key role in shaping how we scale the infrastructure that powers OpenAI’s products and research. This is critical as we operate one of the largest and most advanced compute fleets in the world, supporting millions of users and businesses globally. We focus on aligning infrastructure measurement, planning, scaling, allocation, and efficiency to drive measurable impact across the company.
 You should expect to guide the definition of foundational datasets for infrastructure resources, develop metrics that inform key decisions, build forecasting and optimization models, and establish source of truth dashboards and analyses that enable teams to understand and improve infra usage. Most importantly, you should expect to be a core partner to engineering, research, and product teams in shaping the infrastructure that powers everything OpenAI builds.
 This role is based in San Francisco, CA. We use a hybrid work model of 3 days in the office per week and offer relocation assistance to new employees.
**In This Role, You Will**
* Build and maintain foundational datasets and metrics that reflect infrastructure usage, efficiency, and scaling.
* Develop forecasting and optimization models to support infra planning and resource allocation.
* Partner with engineering, research, and product teams to shape infrastructure strategy through data.
* Drive clarity with source\-of\-truth dashboards and analyses that guide infra decisions across OpenAI.
**You Might Thrive In This Role If You Have**
* 5\+ years of experience in a quantitative role navigating ambiguous environments, ideally in infrastructure, systems, or platform domains at a high\-growth company or research org
* Experience defining and operationalizing metrics that reflect system performance, resource usage, or efficiency from the ground up
* A strong foundation in SQL and Python, and a track record of building models and analyses that drive technical and strategic decisions
* Excellent communication skills and the ability to partner effectively with engineers, researchers, and product stakeholders
* A strategic mindset that goes beyond statistical testing to surface actionable insights and long\-term tradeoffs
**You could be an especially great fit if you have:**
* Proven track record of operating as a data partner in large scale backend systems
* Comfortable navigating fast\-paced execution while also anchoring decisions in long\-term impact
* Strong programming background, with ability to run simulations and prototype variants
* Experience in NLP, large language models, or generative AI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Compensation Range: $255K \- $405K</t>
        </is>
      </c>
    </row>
    <row r="19">
      <c r="A19" t="inlineStr">
        <is>
          <t>li-4332548796</t>
        </is>
      </c>
      <c r="B19" t="inlineStr">
        <is>
          <t>Data Scientist</t>
        </is>
      </c>
      <c r="C19" t="inlineStr">
        <is>
          <t>Haystack</t>
        </is>
      </c>
      <c r="D19" t="inlineStr">
        <is>
          <t>linkedin</t>
        </is>
      </c>
      <c r="E19" t="inlineStr"/>
      <c r="F19" t="inlineStr"/>
      <c r="G19" t="inlineStr"/>
      <c r="H19" t="inlineStr"/>
      <c r="I19" t="inlineStr">
        <is>
          <t>**Senior Data Scientist \| Springfield, VA \| Hybrid \| $92,300 \- $166,850** 
 We're working with Leidos on this exciting opportunity.
 Join Leidos as a Senior Data Scientist and leverage your expertise in Python and Java to analyze complex geospatial data. You'll be instrumental in developing data\-driven solutions that directly impact critical missions, turning raw data into actionable insights and innovative cloud applications.
**The Role** 
 • Collect, process, and perform in\-depth data analysis to deliver impactful solutions.
 • Integrate, protect, and maintain data within DBMS, ensuring data integrity and accessibility.
 • Create and deploy cloud applications and tools to extract features and metadata from diverse data sources.
 • Write and maintain Python scripts within Arc GIS to optimize production efficiency.
 • Perform business analytics and support business process re\-engineering initiatives.
**What You'll Need** 
 • 8\-12 years of relevant experience, or 6\-10 years with a Master's degree.
 • 5\-7 years of demonstrated programming skills in Python and Java Script, including script writing and maintenance.
 • 3\-5 years of experience in data science, covering data collection, processing, exploitation, transformation, modeling, and analytics.
 • 3\-5 years of experience in geospatial data management, including data type conversions, coordinate systems (latitude and longitude, UTM), and projections.
 • 1\-3 years of experience with Tableau or equivalent Business Intelligence software and server functions.
 • Proficiency with version control tools such as Git.
**What's On Offer** 
 • Competitive compensation with a salary range of $92,300 \- $166,850\.
 • Comprehensive health and wellness programs.
 • Robust income protection and paid leave benefits.
 • Opportunities for career growth and professional development in a leading\-edge technology company.
**Apply via Haystack today!**</t>
        </is>
      </c>
    </row>
    <row r="20">
      <c r="A20" t="inlineStr">
        <is>
          <t>li-4341533484</t>
        </is>
      </c>
      <c r="B20" t="inlineStr">
        <is>
          <t>Senior Data Scientist</t>
        </is>
      </c>
      <c r="C20" t="inlineStr">
        <is>
          <t>Posh</t>
        </is>
      </c>
      <c r="D20" t="inlineStr">
        <is>
          <t>linkedin</t>
        </is>
      </c>
      <c r="E20" t="inlineStr"/>
      <c r="F20" t="inlineStr"/>
      <c r="G20" t="inlineStr"/>
      <c r="H20" t="inlineStr"/>
      <c r="I20" t="inlineStr">
        <is>
          <t>**About Posh**
 We are all social creatures, but the dominant “social” companies today have evolved into digital loneliness machines, driving isolation, anxiety, and mental health challenges around the world.
 Human connection is lost. Posh is a beacon guiding us back.
 Posh enables anyone to build an IRL community based on shared interests, while connecting consumers with the communities of people just like them. Founded by event organizers who were frustrated with the growing loneliness epidemic and the tools available to build their own event brand, we’ve built the ultimate platform for launching, monetizing, and finding IRL communities of people just like you. In just 5 years, Posh has grown to a team of 65, expanded to 7M\+ users, secured $70m in venture funding, and facilitated over $300M in transactions.
**About The Role**
 We are looking for an experienced Senior Data Scientist to build the foundation of our personalization and recommendation system. In this role, you’ll lead the development of our core personalization algorithm. As one of the early data hires at Posh, you’ll shape the technical direction of our modeling strategy and set the standards for how data is defined, collected, and transformed across the organization.
 You’ll work across the full ML lifecycle: identifying new data sources, building clean pipelines for model features, model selection/iteration, and evaluating model performance. Your work will directly drive key product experiences, influencing ranking, classification, and personalization at scale.
 You’ll partner closely with Product and Engineering to define feature requirements, ensure proper tracking, and architect model\-ready datasets that reflect real user behavior. You’ll establish best practices for data quality, governance, and documentation, ensuring our models remain trustworthy and performant as we grow.
 This role offers a high\-growth opportunity as we expand our data capabilities and team. If you're passionate about building from 0 to 1 and making a lasting impact, this is the role for you.
**This is an in\-person role based in our New York City office in the heart of SoHo** 
 . Building live experiences and building with soul are important for our customers, and we believe being and working together as a team is the best way for Posh to feel and achieve this. Events on Posh should be fun, alive, and driven with passion and we want to mirror this in our teams every day!
**At a high level, you’ll be in charge of:**
* Designing and Preparing High\-Quality Data for Personalization Models: Own the process of data cleaning, feature selection, and model selection to build a high\-performing personalization model. Ensure all inputs into personalization algorithms are reliable, well\-structured, and optimized for downstream ML performance.
* Building and Maintaining Scalable Pipelines for Modeling Data: Develop robust ETL/ELT pipelines that transform raw behavioral, transactional, and catalog data into features for recommendation systems. Continuously iterate to improve data freshness and coverage using SQL and Python.
* Optimizing Infrastructure to Support ML Personalization at Scale: Enhance data architecture and processing frameworks to support real\-time and batch modeling needs.
* Ensuring Strong Data Governance and Documentation: Implement best practices for data quality, documentation, observability, and lineage across all model\-bound datasets.
* Collaborating with Product and Engineering on Instrumentation \&amp; Feature Tracking: Work closely with Engineering to ensure accurate tracking and logging of user actions and product interactions needed for personalization systems. Partner with Product to translate business needs into feature definitions and modeling requirements.
* Optimizing Classification Models: Develop, refine, and optimize classification models that accurately categorize events. Improve signal quality through feature engineering, tuning, sampling, and continuous iteration to ensure accurate tagging that powers downstream personalization algorithms.
**Our Ideal Candidate**
* Possesses 5\+ Years of full time Data Experience: Has at least 5 years of hands\-on experience in data science or analytics engineering. Demonstrates a strong ability to design, build, and optimize scalable data systems.
* Expert in SQL and Python: Demonstrates strong proficiency in SQL and Python, with deep experience cleaning data, engineering features, and building efficient, production\-ready modeling pipelines.
* Strong Ability to Analyze and Evaluate Models: Skilled in designing experiments, interpreting model performance, and communicating insights clearly to both technical and non\-technical stakeholders.
* Experience Building Personalization and Recommendation Systems: Has built or contributed to ranking, classification, recommendation, or personalized user experience models in production environments.
* Proficient with Modern Data and ML Tooling: Experienced working with cloud data platforms and analytics tooling, and familiar with best practices in data modeling, pipeline reliability, and ML optimization.
* Has a Background in Early Stage Data Team (Required): Exhibits high interest in startups and has experience building the early foundation of a data team at a small tech company.
* Cloud ML Tools \&amp; Consumer Scale (Bonus): Experience with AWS Personalize, SageMaker, or similar cloud ML platforms, and/or working on consumer\-facing products operating at scale.
 Posh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Posh is committed to providing reasonable accommodations for qualified individuals with disabilities in our job application procedures. Please let us know if you need assistance or accommodation due to a disability</t>
        </is>
      </c>
    </row>
    <row r="21">
      <c r="A21" t="inlineStr">
        <is>
          <t>li-4328912225</t>
        </is>
      </c>
      <c r="B21" t="inlineStr">
        <is>
          <t>Data Scientist</t>
        </is>
      </c>
      <c r="C21" t="inlineStr">
        <is>
          <t>Recruiting from Scratch</t>
        </is>
      </c>
      <c r="D21" t="inlineStr">
        <is>
          <t>linkedin</t>
        </is>
      </c>
      <c r="E21" t="inlineStr"/>
      <c r="F21" t="inlineStr"/>
      <c r="G21" t="inlineStr"/>
      <c r="H21" t="inlineStr"/>
      <c r="I21" t="inlineStr">
        <is>
          <t>**Who is Recruiting from Scratch:** 
 Recruiting from Scratch is a premier talent firm that focuses on placing the best product managers, software, and hardware talent at innovative companies. Our team is 100% remote and we work with teams across the United States to help them hire. We work with companies funded by the best investors including Sequoia Capital, Lightspeed Ventures, Tiger Global Management, A16Z, Accel, DFJ, and more.
**About Our Client:** 
 A pioneer in K–12 education since 2000, we are leading the way in next\-generation curriculum and assessment. Our core and supplemental programs in ELA, math, and science engage all students in rigorous learning and inspire them to think deeply, creatively, and for themselves. Our formative assessment products help teachers identify the targeted instruction students need to build a strong foundation in early reading and math. All of our programs provide educators with powerful tools that help them understand and respond to the needs of every student. Today, we serve more than 10 million students in all 50 states. We are a leader in creating immersive, rigorous digital learning experiences that look great, play great, and help students expect great things of themselves. We have been described as the best tech company in education, and the best education company in tech.
**Role:** 
 As a
 **Data Scientist** 
 , you will join our
 **Supply Chain Analytics team** 
 , where data science directly impacts how educational materials reach classrooms across the country. You will develop machine learning models to forecast demand, optimize inventory, and reduce operational costs across tens of thousands of ISBNs and hundreds of millions of dollars in annual revenue.
 You will work on a
 **cross\-functional scrum team** 
 alongside Analytics Engineers and Data Analysts to build production\-grade data products. This role reports to the
 **Data Science Manager for Sales, Marketing, and Finance** 
 , giving you the opportunity to influence decisions across the entire data stack—from raw data ingestion to executive\-facing insights.
 Your work will have a tangible impact on ensuring students and educators receive the right materials, at the right time, at the right cost.
**What You’ll Do:** 
 Our Data Science team builds advanced analytics and machine learning solutions that power strategic decision\-making across the organization. In this role, you will:
* **Develop, train, and deploy machine learning models** 
 to forecast demand, optimize inventory levels, and improve supply chain efficiency
* Contribute across the
 **full machine learning lifecycle** 
 , including research, feature engineering, model evaluation, deployment, and monitoring
* Apply advanced statistical and time series methods to uncover patterns, explain drivers, and recommend actionable strategies
* Partner cross\-functionally with Supply Chain, Analytics Engineering, and business stakeholders to deliver high\-quality, production\-ready data products
* Participate in data ingestion, transformation, modeling, and analysis to ensure end\-to\-end ownership of solutions
* Translate complex analyses into
 **clear, compelling narratives** 
 for non\-technical partners
* Help elevate the broader Data Science practice by leading learning sessions, sharing best practices, and proposing new tools or architectures
**Example Projects You Might Work On:** 
* Building and deploying
 **time series forecasting models** 
 to predict demand across thousands of SKUs with seasonal and regional variability
* Optimizing inventory placement and replenishment strategies to reduce stockouts and excess inventory
* Developing model monitoring frameworks to detect drift and ensure long\-term forecasting accuracy
* Partnering with Finance to quantify cost savings and revenue impact from improved forecasting accuracy
* Collaborating with Analytics Engineers to productionize models using cloud\-based ML platforms
**Basic Requirements:** 
* **2\+ years of experience** 
 in a Data Scientist role focused on
 **supply chain forecasting, demand planning, or logistics optimization**
* Strong foundation in
 **statistical methods and time series forecasting** 
 (e.g., SARIMA, Prophet, XGBoost)
* Expert\-level
 **Python** 
 skills for data cleaning, analysis, and modeling
* Expert\-level
 **SQL** 
 skills for data analysis and exploration
* Experience training and evaluating machine learning models using libraries such as
 **scikit\-learn, PyTorch, XGBoost, or tidymodels**
* Experience deploying machine learning models into production environments (e.g.,
 **AWS SageMaker, Databricks, Snowpark ML** 
 )
* Familiarity with software development best practices, including
 **git\-based version control and testing**
* Excellent written and verbal communication skills, especially when working with non\-technical stakeholders
* Demonstrated ability to lead self\-directed projects and collaborate cross\-functionally
**Preferred Requirements:** 
* Experience working with
 **Snowflake**
* Familiarity with
 **container technologies** 
 such as Docker and Kubernetes
* Background in
 **education, edtech, or mission\-driven organizations**
**What We Offer:** 
 Salary is only one component of the Total Rewards package, which includes a 401(k) plan, competitive health insurance and mental health options, basic life insurance, paid time off, parental leave, and access to best\-in\-class development programs.
 The
 **gross annual salary range for this role is $100,000 – $132,000** 
 , and the position is eligible for an
 **annual discretionary bonus** 
 based on individual and company performance.</t>
        </is>
      </c>
    </row>
    <row r="22">
      <c r="A22" t="inlineStr">
        <is>
          <t>li-4335022082</t>
        </is>
      </c>
      <c r="B22" t="inlineStr">
        <is>
          <t>Data Scientist 2</t>
        </is>
      </c>
      <c r="C22" t="inlineStr">
        <is>
          <t>Garmin</t>
        </is>
      </c>
      <c r="D22" t="inlineStr">
        <is>
          <t>linkedin</t>
        </is>
      </c>
      <c r="E22" t="inlineStr"/>
      <c r="F22" t="inlineStr"/>
      <c r="G22" t="inlineStr">
        <is>
          <t>Olathe, KS</t>
        </is>
      </c>
      <c r="H22" t="inlineStr"/>
      <c r="I22" t="inlineStr">
        <is>
          <t>**Overview**
 We are seeking a full\-time
 **Data Scientist 2** 
 in our Olathe, KS location. In this role, you will be responsible for analyzing complex data sets, developing machine learning models, and collaborating with cross\-functional teams to provide actionable insights and AI solutions. In addition, under guidance or with minimal supervision, this role will apply machine learning, statistical analysis, and data engineering techniques to address challenging business problems.
**Essential Functions**
* Under guidance or with minimal supervision, lead the collection, cleaning, and preprocessing of large datasets from diverse sources
* Conduct advanced exploratory data analysis (EDA) to identify trends, patterns, and anomalies that inform modeling efforts
* Design, implement, and refine predictive models using machine learning and statistical methodologies
* Collaborate with cross\-functional teams to translate data\-driven insights into product and strategy recommendations
* Design and deploy data pipelines for annotation, training and evaluation, and automate workflows to enhance efficiency
* Explore, evaluate, and experiment with emerging data science techniques, algorithms, and tools to improve model performance
* Support integration of models into production systems by coordinating with functional and technical teams and monitoring performance post\-deployment
* Assist in developing and maintaining processes and tools to ensure model performance, reliability, and data quality
* Create and present compelling data visualizations and reports using advanced graphics and visualization tools
* Identify and leverage both internal and external datasets to drive innovation and support business solutions
* Contribute to the development of custom machine learning models and algorithms across diverse datasets
* Apply predictive modeling to improve user experiences, support revenue growth, and enable data\-driven insights
* Support the definition of project scope and business expectations based on data\-driven insights
* Provide mentorship and share best practices with junior team members under the guidance of senior staff
* Participate in peer reviews and contribute to the continuous improvement of team processes
* Demonstrate a commitment to ongoing learning of new technologies, frameworks, and methodologies
* Ensure data quality, adherence to governance standards, and compliance with data privacy and AI\-related regulations
**Basic Qualifications**
* Bachelor's Degree in Computer Science, Electrical Engineering, Computer Engineering, Software Engineering, Aerospace Engineering, Math or Physics or a technical field (such as CIS or IT) relevant to the essential functions of this job description AND a minimum of 1 year of relevant experience OR an equivalent combination of education and relevant experience
* Excellent academics (cumulative GPA greater than or equal to 3\.0 as a general rule)
* Experience using systems such as SQL, Python, or R
* Strong knowledge of machine learning frameworks (e.g., Scikit\-Learn, TensorFlow, PyTorch)
* Demonstrated understanding of advanced descriptive and inferential statistics
* Demonstrates expert knowledge in data analysis methods and tools
* Demonstrated strong and effective verbal, written, and interpersonal communication skills
* Must be team\-oriented, possess a positive attitude, and work well with others
* Driven problem solver with proven success in solving difficult problems
* Consistently demonstrates quality and effectiveness in work documentation and organization
**Desired Qualifications**
* Experience with structured database management systems
* Experience with applying statistical methods (e.g. time series analysis, NLP, deep learning, or reinforcement learning)
* Hands\-on experience with MLOps, model deployment, and CI/CD for data science workflows
* Exposure to distributed computing (e.g., Spark, Dask) and NoSQL databases
* Understanding of A/B testing and causal inference
* Experience working with unstructured data (text, images, audio, etc.)
* Familiarity with data visualization tools (i.e. Matplotlib, Seaborn)
*Garmin International is an equal opportunity employer. Qualified applicants will receive consideration for employment without regard to race, religion, color, national origin, citizenship, sex, sexual orientation, gender identity, veteran's status, age or disability.*
*This position is eligible for Garmin's benefit program. Details can be found here: Garmin Employment Benefits*</t>
        </is>
      </c>
    </row>
    <row r="23">
      <c r="A23" t="inlineStr">
        <is>
          <t>li-4361231799</t>
        </is>
      </c>
      <c r="B23" t="inlineStr">
        <is>
          <t>Research Data Scientist III, Ads Insight and Measurement</t>
        </is>
      </c>
      <c r="C23" t="inlineStr">
        <is>
          <t>Google</t>
        </is>
      </c>
      <c r="D23" t="inlineStr">
        <is>
          <t>linkedin</t>
        </is>
      </c>
      <c r="E23" t="inlineStr"/>
      <c r="F23" t="inlineStr"/>
      <c r="G23" t="inlineStr">
        <is>
          <t>Mountain View, CA</t>
        </is>
      </c>
      <c r="H23" t="inlineStr"/>
      <c r="I23" t="inlineStr">
        <is>
          <t>Note: By applying to this position you will have an opportunity to share your preferred working location from the following:
 **New York, NY, USA; Mountain View, CA, USA** 
 .
 **Minimum qualifications:**
* Master's degree in Statistics, Data Science, Mathematics, Physics, Economics, Operations Research, Engineering, or a related quantitative field.
* 3 years of work experience using analytics to solve product or business problems, coding (e.g., Python, R, SQL), querying databases or statistical analysis, or a PhD degree.
**Preferred qualifications:**
* 5 years of work experience using analytics to solve product or business problems, coding (e.g., Python, R, SQL), querying databases or statistical analysis, or a PhD degree.
* Experience with advanced optimization techniques.
* Experience with high dimensional statistics.
**About the job** 
 As a Data Scientist working on Ads Insights and Measurement, you will develop, evaluate and improve the entire range of Google's advertising products including Search, Display, Apps, TV and Video (YouTube). You will collaborate with a multi\-disciplinary team of engineers, analysts and product managers to develop new science and to translate it into deployed products at scale. You will also play a key role in developing new ideas and methods that drive ad measurement and business generation, including paradigm\-shifting ad\-measurement science and products for the privacy\-preserving future of digital advertising and will be a key part of building and driving impact on ad\-systems both at Google and in the ad\-tech and mar\-tech industry as a whole, globally.The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Design and evaluate custom data infrastructure or existing data models using specialized knowledge to mathematically express and solve defined problems with limited precedent.
* Shape and support new data\-driven and privacy\-preserving advertising and marketing products in collaboration with engineering, product and customer\-facing teams.
* Define relevant questions about advertising effectiveness, incrementality assessment, the impact of privacy, user behavior, brand building, aiming, bidding and develop and implement quantitative methods to answer those questions through team collaboration.
* Solve difficult, non\-routine analysis problems with data sets, applying advanced problem\-solving methods as needed and conducting analyses that include data gathering and requirements specification, Exploratory Data Analysis (EDA), model development, and written and verbal delivery of results to business partners and executives.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4">
      <c r="A24" t="inlineStr">
        <is>
          <t>li-4321581133</t>
        </is>
      </c>
      <c r="B24" t="inlineStr">
        <is>
          <t>Sr/Staff Data Scientist (Remote - US)</t>
        </is>
      </c>
      <c r="C24" t="inlineStr">
        <is>
          <t>BNSF Railway</t>
        </is>
      </c>
      <c r="D24" t="inlineStr">
        <is>
          <t>linkedin</t>
        </is>
      </c>
      <c r="E24" t="inlineStr"/>
      <c r="F24" t="inlineStr"/>
      <c r="G24" t="inlineStr"/>
      <c r="H24" t="inlineStr"/>
      <c r="I24" t="inlineStr">
        <is>
          <t>**be part of a team that values safety, inclusion, and excellence**
 we are one of the largest U.S. railroads transporting the nation’s freight across 28 western states and 3 Canadian provinces. as a member of our team, you will play a role in supporting the movement of essential products and materials that help feed, clothe, supply, and power communities throughout America and the world.
**bnsf \| tech:** 
 innovating and transforming the future of freight rail
**bnsf \| tech** 
 is the technology division making BNSF the preeminent freight and mobility company in north america.
**are you ready to drive change?**
 if you are passionate about making a difference and eager to advance your career in a dynamic and supportive environment, we want you on our team! join us in reshaping the future of freight rail and discover a fulfilling career where your contributions matter.
 we are committed to a culture where all employees are included, belong, and have equal opportunity to achieve their full potential. Come make a difference with us!
**Learn More About BNSF And Our Benefits**
**Job Location:** 
 Remote US
**Anticipated Start Date:** 
 01/01/2026
 The US base salary range for this full\-time position is provided below:
**Salary Range:** 
 $165,000\-$300,000
 The range represents the amount bnsf \| tech reasonably expects to pay for the position based on the level, scope, and responsibilities of the role.  Individual compensation and level of position offered is determined by the hiring location and additional factors including but not limited to job\-related skills, experience, and relevant education or training. In addition to base pay and bonus eligibility, BNSF offers a comprehensive benefits package.
**This is a full\-time remote** 
 position. Employees may work from anywhere within the contiguous 48 states of the United States
**Travel is up to 20%.** 
 Employees will be required to occasionally travel to our corporate headquarters in Fort Worth, TX for in person meetings. Travel expenses for business needs will be covered by BNSF
 This position is open to candidates who are currently authorized to work in the United States. We are also open to sponsoring H\-1B transfers, TN nonimmigrant status, and STEM OPT candidates with at least 2 years of remaining eligibility.
 Apply early as this job may be removed or filled prior to the closing date, which is approximately seven (7\) days after the posting date.
**data \&amp; ai:** 
 lead our charge into the future as an ai company by transforming our data assets into a real time enterprise.
**Key Responsibilities May Include**
**Lead cross\-functional collaboration** 
 to identify and define analytic initiatives, formulate strategies, and develop solutions to achieve business goals through effective use of data machine learning models.
**Apply** 
 data science skills to analyze large, complex datasets and identify meaningful patterns that lead to actionable insights and data\-driven solutions to business problems.
**Lead the development and deployment** 
 of advanced machine learning models to forecast outcomes and optimize workflows.
**Engage** 
 closely with stakeholders to grasp their requirements and deliver actionable insights that drive strategic decision\-making.
**Design and present** 
 compelling visualizations and reports to effectively communicate analytical findings.
**Oversee** 
 the maintenance and enhancement of data pipelines to uphold data quality and precision.
**Keep abreast** 
 of emerging trends and breakthroughs in data science and machine learning fields.
**Proficiently extract, aggregate, and transform** 
 data from SQL and NoSQL databases, leveraging languages like R, Python, or other relevant tools for analysis and modeling.
 **Build, test, and validate** 
 statistical, and machine learning models and analyses using Python, R, or other appropriate language as part of overall solution development.
**Lead implementation** 
 of analytic solutions into reporting platforms or production systems by leading the solution design, development, testing, and monitoring.
*The duties and responsibilities in this posting are representative categories to be used in deciding whether to apply for this position. This is not an exhaustive list of the position’s duties.*
 At BNSF Railway, we encourage individuals from all backgrounds to apply, showcasing their skills, experiences and development. We provide resources and tools to help you reach your full potential, fostering a supportive and inclusive environment.
**Basic Qualifications**
* Minimum 6 years of experience with building optimization algorithms or relevant experience.
* Advanced proficiency in programming languages such as Python, R, SQL, and Java.
* Demonstrated expertise in utilizing data visualization tools to communicate insights clearly and effectively.
* In\-depth experience with data science cloud platforms and their integration into business solutions.
* Exceptional intellectual curiosity and a proven ability to thrive in a fast\-paced, collaborative team environment.
* Track record of rapidly acquiring new technical skills and adapting to cutting\-edge technologies.
* Strong communication skills to articulate technical concepts to diverse audiences with clarity and professionalism.
* Deep understanding and application of statistical analysis and advanced machine learning techniques.
* Must understand and have proficiency in the core architecture of LLMs (e.g., transformers and attention mechanisms)
* Experience with prompt engineering techniques, including chain\-of\-thought prompting, Retrieval\-Augmented Generation (RAG), fine\-tuning of language models, and evaluation methodologies.
* Experience with Vector Databases and embeddings.
* Experience with Model Fine\-tuning.
* Experience with GPU optimization.
**Preferred Qualifications**
* Bachelor's degree or higher in Operations Research, Computer Science, Industrial Engineering or a related field. Ph.D is a plus.
* Knowledge of geospatial analytics, route optimization, and GIS concepts.
* Previous hands\-on experience with AI/Machine Learning frameworks and tools, showcasing innovative solutions.
* Extensive background in Rail, Shipping, Airline, Logistics, Warehousing, Supply Chain, or Transportation industries, or in the High\-Tech sector.
* Proficiency in leveraging open\-source libraries and frameworks to drive data science initiatives.
* Seasoned in Agile methodologies like Scrum, Kanban, or SAFe for efficient project management and delivery at a senior level.
**At BNSF, you will have access to a comprehensive and competitive benefits package including:**
* An industry\-leading 401(k) and renowned Railroad Retirement program.
* A range of robust health care options for you and your dependents (including domestic partners), including medical, dental, vision, telemedicine, mental health, cancer support, and high\-quality care network options.
* Health care spending accounts (HSA) with employer contributions, as well as life and disability insurance, provided at no cost.
* Family benefits including parental, pediatric and family building support, adoption and surrogacy reimbursement, and dependent care spending account (with employer match).
* Access to discounts on travel, gym memberships, counseling services and wellness support.
* Annual bonus (Incentive Compensation Program)
* Generous leave / time off policies.
* For more information, visit Benefits.
 Please be aware of potential fraud that can occur when searching for new career opportunities. Please review our FAQ for more information and awareness.
 All positions require pre\-employment background verification.
 BNSF Railway is an Equal Opportunity Employer, all qualified applicants receive consideration for employment without regard to race, color, religion, sex, sexual orientation, gender identity, national origin, disability or protected veteran status.</t>
        </is>
      </c>
    </row>
    <row r="25">
      <c r="A25" t="inlineStr">
        <is>
          <t>li-4315313676</t>
        </is>
      </c>
      <c r="B25" t="inlineStr">
        <is>
          <t>Senior Data Scientist</t>
        </is>
      </c>
      <c r="C25" t="inlineStr">
        <is>
          <t>Best Buy</t>
        </is>
      </c>
      <c r="D25" t="inlineStr">
        <is>
          <t>linkedin</t>
        </is>
      </c>
      <c r="E25" t="inlineStr"/>
      <c r="F25" t="inlineStr"/>
      <c r="G25" t="inlineStr">
        <is>
          <t>Minneapolis, MN</t>
        </is>
      </c>
      <c r="H25" t="inlineStr"/>
      <c r="I25" t="inlineStr">
        <is>
          <t>As a
 **Senior Data Scientist,** 
 you will lead high\-impact analytics initiatives within our Ads Analytics team. In this manager\-level role, you’ll guide technical execution, mentor data scientists, and collaborate across teams to deliver insights that shape our advertising ecosystem.
 You’ll dive deep into experimental design, predictive modeling, and Bayesian statistics—while also helping build scalable analytics infrastructure and AI\-powered tools. If you love solving complex problems and translating data into clear, actionable strategies, this is the role for you.
**What You’ll Do**
* Lead analytics projects focused on ad performance, client measurement, and experimentation.
* Design and oversee experiments to evaluate product impact and optimize advertising outcomes.
* Build forecasting models and apply Bayesian frameworks to support strategic decisions.
* Develop scalable data pipelines and reporting tools across cloud platforms.
* Communicate insights through clear, compelling visualizations for technical and non\-technical audiences.
* Mentor junior data scientists and foster technical excellence across the team.
**Basic qualifications**
* 4\+ years of experience in data science roles focused on advertising, marketing analytics, or client measurement, with a strong ability to connect data insights to business strategy.
* 2\+ years of experience in experimental design, statistical modeling, and causal inference, with a conceptual understanding of how these methods support decision\-making and business impact.
* Proficient in Python or R and SQL, with 1\+ years of experience writing code that supports both analytical rigor and scalable data workflows.
* 1\+ year of experience working within cloud\-based data environments (e.g., GCP, AWS, Azure), with a conceptual understanding of cloud infrastructure and its role in scalable analytics.
* 2\+ years of experience leading data\-driven projects, influencing cross\-functional teams, and translating complex concepts into actionable strategies
* Bachelor's Degree on Statistics, Computer Science or a related field
**Preferred Qualifications**
* Advanced degree in Statistics, Computer Science, or a related field.
* Experience in ad tech or client\-facing analytics.
* Familiarity with AI/ML tools and their business applications.
**What’s In It For You**
 We’re committed to helping our people thrive at work and at home. We offer generous benefits that address your total well\-being and provide support as you need it, especially during key moments in your life.
**Our Benefits Include**
* Competitive pay
* Generous employee discount
* Physical and mental well\-being support
**About Us**
 As part of the Best Buy team, you’ll help us fulfill our purpose to enrich lives through technology. We bring that to life every day by humanizing and personalizing tech solutions for every stage of life—in our stores, online, and in customers’ homes.
 Our culture is built on deeply supporting and valuing our amazing employees who make it all possible. We’re committed to being a great place to work, where you can unlock unique career possibilities. Above all, we aim to provide a place where you can bring your full, authentic self to work now and into the future. Tomorrow works here.™
 Best Buy is an equal opportunity employer.
 Position Type: Full timePandoLogic. Keywords: Data Scientist, Location: Minneapolis, MN \- 55423</t>
        </is>
      </c>
    </row>
    <row r="26">
      <c r="A26" t="inlineStr">
        <is>
          <t>li-4334792564</t>
        </is>
      </c>
      <c r="B26" t="inlineStr">
        <is>
          <t>Senior Applied Scientist - AI &amp; Robotics</t>
        </is>
      </c>
      <c r="C26" t="inlineStr">
        <is>
          <t>General Motors</t>
        </is>
      </c>
      <c r="D26" t="inlineStr">
        <is>
          <t>linkedin</t>
        </is>
      </c>
      <c r="E26" t="inlineStr"/>
      <c r="F26" t="inlineStr"/>
      <c r="G26" t="inlineStr">
        <is>
          <t>Mountain View, CA</t>
        </is>
      </c>
      <c r="H26" t="inlineStr"/>
      <c r="I26" t="inlineStr">
        <is>
          <t>**Job Description**
 The AI Research team is advancing how intelligent robotic systems perceive, act, and adapt in the physical world. We are pioneering the next generation of embodied AI—integrating multimodal foundation models, robot learning architectures, and real\-world deployment to solve manipulation, planning, and simulation challenges at an industrial scale.
 As a Senior Applied Scientist, you will lead the development of end\-to\-end AI systems that enable dexterous manipulation, autonomous behaviors, and multimodal understanding on physical robotic platforms. You will design, prototype, and implement cutting\-edge models spanning perception, policy learning, 3D reasoning, and control—working closely with robotics engineers, AI infrastructure teams, and production partners to bring research into deployment.
**What You’ll Do**
* Design and implement advanced robot learning architectures (e.g., diffusion policies, ACT, VLM/VLA agents, imitation learning) to support manipulation, path planning, and autonomous execution.
* Build end\-to\-end model training pipelines for robotics applications, integrating multi\-modal sensor data such as RGB, depth, force/torque, LiDAR, and proprioceptive signals.
* Develop scalable policy inference and control loops, pairing high\-level perception with motion planning and on\-robot execution.
* Apply or extend large\-scale architectures—LLMs, VLMs, VLAs, diffusion models—to embodied tasks, sim\-to\-real adaptation, and grounding.
* Collaborate with cross\-functional teams to translate research prototypes into deployable robotics software, ensuring robustness, efficiency, and safety.
* Design data collection, demonstration strategies, and simulation frameworks to support offline training, imitation learning, and hardware validation.
* Stay current with state\-of\-the\-art advancements in embodied AI, robot learning, and manipulation, and share findings through internal research discussions and presentations.
**Required Qualifications**
* PhD in a relevant STEM field (e.g., Computer Science, Electrical/Mechanical Engineering, Robotics, or related discipline), or a Master’s degree with equivalent industry experience in applied robotics or robot learning.
* Proven experience in building and deploying ML models on robotic systems—including training, evaluation, and integration with real or simulated platforms.
* Deep understanding of modern AI architectures (e.g., Transformers, VLMs/VLAs, diffusion models, CNNs) and hands\-on experience training models at scale.
* Strong implementation ability in PyTorch, including writing custom modules, batching, debugging, and performance/efficiency considerations.
* Practical experience with ROS/ROS2 or robotics middleware and integrating learning components into manipulation or motion\-control workflows.
* Demonstrated research impacts through robotics/ML publications or contributions to production\-grade robotics systems.
* Ability to translate ambiguous embodied AI problems into well\-scoped experiments, and maintain rigorous evaluation, ablation, and statistical validation practices.
**Preferred Qualifications**
* Experience developing robot learning systems for manipulation, motion planning, or autonomous behaviors (e.g., diffusion policies, ACT, behavioral cloning, offline RL).
* Hands\-on expertise with robotics perception, including 3D understanding, depth/RGB fusion, multimodal grounding, or force/torque sensing.
* Familiarity with simulation environments such as Isaac Sim, Mujoco, Gazebo, or PyBullet, and demonstrated experience with sim\-to\-real transfer strategies.
* Working knowledge of robotics middleware (ROS/ROS2\) and integration of ML components into real\-time robotic stacks.
* Experience building or adapting foundation models for embodied tasks (VLMs/VLAs, multimodal diffusion, instruction\-following agents).
* Track record of production\-ready robotics systems, open\-source contributions, or publications in top\-tier robotics/AI venues.
**Why Join Us**
 You’ll be part of a mission\-driven team transforming how AI interacts with the physical world. This role offers the opportunity to design foundational robotic learning models, collaborate with world\-class experts, and see your innovations deployed on real robotic systems across GM’s global ecosystem.
**Location:** 
 This role is categorized as hybrid. This means the successful candidate is expected to report to the MTV office three times per week or any other frequency dictated by the business.
**Compensation:** 
 The compensation information is a good faith estimate only. It is based on what a successful applicant might be paid in accordance with applicable state laws. The actual base salary a successful candidate will be offered within this range will vary based on factors relevant to the position, as well as geography of the selected candidate.
* The salary range for this role is $150,000 – $195,000\. The actual base salary a successful candidate will be offered within this range will vary based on factors relevant to the position.
* Bonus Potential: An incentive pay program offers payouts based on company performance, job level, and individual performance.
**What you’ll get from us (Benefits):**
*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 This job may be eligible for relocation benefits.
 \#GMAI\-B
 This role is categorized as hybrid. This means the selected candidate is expected to report to a specific location at least 3 times a week {or other frequency dictated by their manager}. This job may be eligible for relocation benefits.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27">
      <c r="A27" t="inlineStr">
        <is>
          <t>li-4360791832</t>
        </is>
      </c>
      <c r="B27" t="inlineStr">
        <is>
          <t>Senior Data Scientist, Product, Google Play, Ads</t>
        </is>
      </c>
      <c r="C27" t="inlineStr">
        <is>
          <t>Google</t>
        </is>
      </c>
      <c r="D27" t="inlineStr">
        <is>
          <t>linkedin</t>
        </is>
      </c>
      <c r="E27" t="inlineStr"/>
      <c r="F27" t="inlineStr"/>
      <c r="G27" t="inlineStr">
        <is>
          <t>Mountain View, CA</t>
        </is>
      </c>
      <c r="H27" t="inlineStr"/>
      <c r="I27" t="inlineStr">
        <is>
          <t>**Minimum qualifications:**
* Bachelor's degree in Statistics, Mathematics, Data Science, Engineering, Physics, Economics, or a related quantitative field.
* 8 years of experience using analytics to solve product or business problems, performing statistical analysis, and coding (e.g., Python, R, SQL) or 5 years of experience with a Master's degree.
**Preferred qualifications:**
* Master's degree in Statistics, Mathematics, Data Science, Engineering, Physics, Economics, or a related quantitative field.
* Experience in advertising, and ads ranking.
**About the job** 
 Help serve Google's worldwide user base of more than a billion people. Data Scientists provide quantitative support, market understanding and a strategic perspective to our partners throughout the organization. As a data\-loving member of the team, you serve as an analytics expert for your partners, using numbers to help them make better decisions. You will weave stories with meaningful insight from data. You'll make critical recommendations for your fellow Googlers in Engineering and Product Management. You relish tallying up the numbers one minute and communicating your findings to a team leader the next. Google is an engineering company at heart. We hire people with a broad set of technical skills who are ready to take on some of technology's greatest challenges and make an impact on users around the world. At Google, engineers not only revolutionize search, they routinely work on scalability and storage solutions, large\-scale applications and entirely new platforms for developers around the world. From Google Ads to Chrome, Android to YouTube, social to local, Google engineers are changing the world one technological achievement after another.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Perform analysis utilizing relevant tools (e.g., SQL, R, Python). Help solve problems, narrow down multiple options into the best approach, and take ownership of open\-ended ambiguous business problems to reach an optimal solution.
* Build new processes, procedures, methods, tests, and components with foresight to anticipate and address future issues.
* Report on Key Performance Indicators (KPIs) to support business reviews with the cross\-functional/organizational leadership team. Translate analysis results in business insights or product improvement opportunities.
* Build and prototype analysis and business cases iteratively to provide insights at scale. Develop comprehensive knowledge of Google data structures and metrics, advocating for changes where needed for product development.
* Influence across teams to align resources and direction.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8">
      <c r="A28" t="inlineStr">
        <is>
          <t>li-4321741363</t>
        </is>
      </c>
      <c r="B28" t="inlineStr">
        <is>
          <t>Staff Data Scientist, Life Sciences AI (RWE &amp; Meta-Analysis)</t>
        </is>
      </c>
      <c r="C28" t="inlineStr">
        <is>
          <t>IMO Health</t>
        </is>
      </c>
      <c r="D28" t="inlineStr">
        <is>
          <t>linkedin</t>
        </is>
      </c>
      <c r="E28" t="inlineStr"/>
      <c r="F28" t="inlineStr"/>
      <c r="G28" t="inlineStr">
        <is>
          <t>Rosemont, IL</t>
        </is>
      </c>
      <c r="H28" t="inlineStr"/>
      <c r="I28" t="inlineStr">
        <is>
          <t>At IMO Health, a core team of software developers, data scientists, and domain experts combine computer science, healthcare, and life sciences expertise to help professionals access high\-quality health information quickly and easily. We are seeking a
 **Staff Data Scientist** 
 with deep expertise in statistical modeling, meta\-analysis methodologies, AI/LLM technologies, and real\-world evidence (RWE) generation to help design and develop innovative tools that empower clients to conduct advanced evidence synthesis and analysis.
 This role sits at the intersection of science, technology, and client delivery \- translating complex analytical workflows into intelligent, scalable software solutions. You will collaborate with cross\-functional teams to design, build, and optimize AI\-enabled tools for meta\-analysis. The ideal candidate will bring strong scientific understanding, product\-thinking mindset, and experience implementing cloud\-based AI infrastructure, scalable ML pipelines, and MLOps best practices to deliver robust, client\-facing solutions in the life sciences domain.
 Join our growing Data Science \&amp; Analytics department as a
 **Staff Data Scientist** 
 to drive AI\-powered innovation in healthcare and life sciences!
**What You'll Do**
* Design and develop AI\-driven software tools that enable clients to perform meta\-analysis, systematic reviews, and real\-world evidence (RWE) generation efficiently and accurately.
* Translate complex statistical and meta\-analytic workflows into scalable, automated product features and user\-facing applications.
* Collaborate with cross\-functional teams to ensure scientific rigor, methodological validity, and usability of developed solutions.
* Leverage LLMs, prompt engineering, and information extraction techniques to automate literature review, data curation, and evidence synthesis from clinical and real\-world data sources.
* Build and maintain scalable data and AI pipelines, integrating diverse data sources including structured, unstructured, and real\-world datasets.
* Ensure compliance with data privacy, security, and regulatory standards across all data handling and model deployment activities.
* Implement modern software engineering and MLOps best practices, including CI/CD, testing, monitoring, and version control, to support scalable and reliable deployments.
* Evaluate emerging AI/ML and statistical technologies, drive proof\-of\-concept initiatives, and shape the technical roadmap for evidence\-generation tools.
* Interpret and communicate insights effectively to both technical and non\-technical stakeholders through visualizations, reports, and presentations.
* Mentor and support team members, fostering skill development in NLP, LLMs, and statistical modeling for healthcare applications.
* Champion a culture of scientific and technical excellence, continuous learning, and innovation in applying AI to healthcare and life sciences challenges.
**What You'll Need**
* PhD preferred (or Master’s with 8\+ years of experience) in Biostatistics, Bioinformatics, Computer Science, Health Informatics, or a related field.
* Deep understanding of statistical modeling, meta\-analysis methodology, and evidence synthesis techniques relevant to post\-market and real\-world evidence (RWE) applications.
* Strong background in NLP, and AI principles, with a focus on LLMs, prompt engineering, and information extraction from scientific text.
* Proficiency in Python and major ML/NLP frameworks such as PyTorch, TensorFlow, Hugging Face Transformers, LangChain, and scikit\-learn.
* Demonstrated experience designing and deploying AI\-driven analytical tools or platforms, including LLM\-based workflows for literature mining, evidence synthesis, or clinical data interpretation.
* Familiarity with vector databases (e.g., Pinecone, PostgreSQL) and knowledge graph or semantic data modeling for organizing biomedical and clinical information.
* Strong grasp of experimental design, statistical inference, and validation methods to ensure scientific rigor in software outputs.
* Experience in biomedical or healthcare data analysis, including integration of real\-world data sources such as literatures, EHR, claims, or registry data.
* Understanding of data privacy, ethics, and regulatory requirements in healthcare (e.g., HIPAA).
* Proven ability to collaborate cross\-functionally with engineers, scientists, domain experts and clients.
* Excellent communication, documentation, and presentation skills; demonstrated experience mentoring colleagues and contributing to scientific publications or conference presentations in the life sciences domain.
* Curious, innovative, and solution\-oriented mindset with a passion for building tools that advance evidence generation and decision\-making in life sciences.
 $170,000 \- $250,000 a year
 Compensation at IMO Health is determined by job level, role requirements, and each candidate’s experience, skills, and location. The listed base pay represents the target for new hires with individual compensation varying accordingly. These figures exclude potential bonuses or sales incentives, which may also be part of the total compensation package. Our recruiter will provide additional details during the hiring process.
 IMO Health also offers a comprehensive benefits package. To learn more, please visit IMO Health’s Careers Page .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9">
      <c r="A29" t="inlineStr">
        <is>
          <t>li-4361241794</t>
        </is>
      </c>
      <c r="B29" t="inlineStr">
        <is>
          <t>Senior Product Data Scientist, Developer and Experiences</t>
        </is>
      </c>
      <c r="C29" t="inlineStr">
        <is>
          <t>Google</t>
        </is>
      </c>
      <c r="D29" t="inlineStr">
        <is>
          <t>linkedin</t>
        </is>
      </c>
      <c r="E29" t="inlineStr"/>
      <c r="F29" t="inlineStr"/>
      <c r="G29" t="inlineStr">
        <is>
          <t>Kirkland, WA</t>
        </is>
      </c>
      <c r="H29" t="inlineStr"/>
      <c r="I29" t="inlineStr">
        <is>
          <t>Note: By applying to this position you will have an opportunity to share your preferred working location from the following:
 **Kirkland, WA, USA; Sunnyvale, CA, USA** 
 .
 **Minimum qualifications:**
* Bachelor's degree in Statistics, Mathematics, Data Science, Engineering, Physics, Economics, or a related quantitative field.
* 8 years of work experience using analytics to solve product or business problems, performing statistical analysis, and coding (e.g., Python, R, SQL) or 5 years of work experience with a Master's degree.
**Preferred qualifications:**
* Master's degree in Statistics, Mathematics, Data Science, Engineering, Physics, Economics, or a related quantitative field.
* 8 years of work experience using analytics to solve product or business problems, performing statistical analysis, and coding (e.g., Python, R, SQL).
**About The Job**
 The Developer and Experiences Data Science team's mission is to empower our organization to make informed, data\-driven product and strategy decisions. We support three main pillars: AI Developer Tools (including AI developer platform, AI hosted tools and AI developer agents), Frameworks and Languages (including Go, Dart, Flutter, and Genkit), and the Cloud SDLC experience.
 In this role, you will closely partner with Developer and Experiences Product, Engineering and StratOps teams to deliver actionable insights. Your work will directly influence product strategy and direction, ensuring we continually optimize and elevate the developer experience.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Translate ambiguous or open\-ended problems into well\-scoped, quantifiable analytical projects.
* Define and own key product and business metrics, and build a dashboard to track them. Ensure organization Objectives and Key Results (OKRs) are supported by well\-defined, measurable metrics.
* Lead the in\-depth search analysis to uncover insights to improve product performances and developer experience.
* Apply technical expertise with observational data analysis, modeling, and causal inference to answer the most important product questions.
* Partner closely with Product, Engineering, StratOps and cross\-functional teams to influence, prioritize and support product strategy. Deliver effective presentations of data\-driven insights and recommendations to multiple levels of stakeholders.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30">
      <c r="A30" t="inlineStr">
        <is>
          <t>li-4360751802</t>
        </is>
      </c>
      <c r="B30" t="inlineStr">
        <is>
          <t>Senior Data Scientist Manager, Product</t>
        </is>
      </c>
      <c r="C30" t="inlineStr">
        <is>
          <t>Google</t>
        </is>
      </c>
      <c r="D30" t="inlineStr">
        <is>
          <t>linkedin</t>
        </is>
      </c>
      <c r="E30" t="inlineStr"/>
      <c r="F30" t="inlineStr"/>
      <c r="G30" t="inlineStr">
        <is>
          <t>Mountain View, CA</t>
        </is>
      </c>
      <c r="H30" t="inlineStr"/>
      <c r="I30" t="inlineStr">
        <is>
          <t>The US base salary range for this full\-time position is $227,000\-$320,000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**Minimum qualifications:**
* Bachelor's degree in Statistics, Mathematics, Data Science, Engineering, Physics, Economics, or a related quantitative field.
* 13 years of work experience using analytics to solve product or business problems, performing statistical analysis, and coding (e.g., Python, R, SQL) (or 10 years work experience with a Master's degree).
* 5 years of experience as a people manager within a technical leadership role.
**Preferred qualifications:**
* Master's degree in Statistics, Mathematics, Data Science, Engineering, Physics, Economics, or a related quantitative field.
* 15 years of work experience using analytics to solve product or business problems, performing statistical analysis, and coding (e.g., Python, R, SQL).
* 6 years of experience as a people manager within a technical leadership role.
**About The Job**
 Measurement is a cornerstone of performance advertising, driving the majority of Google Ads business growth. Accurate and unbiased measurement empowers bidding engines to maximize advertiser ROI, fostering growth for both advertisers and Google. The Product Analyst team applies advanced analytics to guide Google Ads strategy in this crucial area, ensuring that the advertising solutions effectively connect businesses with customers and deliver measurable results across the various Ad platforms.
 The AIM Data Science Team provides quantitative support, market understanding and a strategic perspective to the partners throughout the organization, in close collaboration with the Ads and Commerce Finance team.
 In this role, you will help drive the goal of how large advertisers buy Google and third\-party advertising inventory efficiently. You will be responsible for setting the team's strategic direction, and managing stakeholder relationships.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**Responsibilities**
* Perform analysis utilizing relevant tools (e.g., SQL, R, Python). Direct projects that combine analytical and organizational complexity towards clear, sound, and actionable decisions.
* Own projects end\-to\-end, covering problem definition, metrics development, data extraction, manipulation, visualization, creation, and implementation of analytical/statistical models, and presentation to stakeholders.
* Oversee the integration of cross\-functional and cross\-organizational project/process timelines, drive improvements and recommendations, and define operational goals and objectives.
* Provide direction and accomplish results through leading/impacting the contributions of others.
* Build an understanding of the data sets used by Enterprise Platforms and partner teams, collaborate with Engineering teams to identify and address instrumentation gaps, ensure accurate data collection for key functionalities, with a focus on the most impactful features.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31">
      <c r="A31" t="inlineStr">
        <is>
          <t>li-4332598795</t>
        </is>
      </c>
      <c r="B31" t="inlineStr">
        <is>
          <t>Senior Data Scientist</t>
        </is>
      </c>
      <c r="C31" t="inlineStr">
        <is>
          <t>RemoteHunter</t>
        </is>
      </c>
      <c r="D31" t="inlineStr">
        <is>
          <t>linkedin</t>
        </is>
      </c>
      <c r="E31" t="inlineStr"/>
      <c r="F31" t="inlineStr"/>
      <c r="G31" t="inlineStr"/>
      <c r="H31" t="inlineStr"/>
      <c r="I31" t="inlineStr">
        <is>
          <t>About the Opportunity:
 This team within the Data and Analytics division focuses on understanding the features that drive vehicle pricing and predicting future vehicle values along with other critical sector insights. The role involves creating innovative machine learning processes, deploying them into production, and contributing to accurate, transparent, industry\-leading analytics in the automotive industry.
 Responsibilities:
 • Work daily with automotive industry data
 • Lead end\-to\-end data science projects
 • Design and implement complex feature engineering strategies
 • Build and deploy advanced AI/ML and classical regression models
 • Conduct advanced model evaluation and optimization
 • Document machine learning processes
 • Collaborate with technology and engineering teams to improve and build processes
 • Partner with product teams to develop analytics for new products
 • Create visual reports summarizing findings for internal and external clients
 • Perform ad\-hoc data analysis and reporting
 • Participate in a team environment encouraging idea sharing to build predictive algorithms
 Requirements:
 • Expertise in data analytics and/or statistical concepts such as regression, logistic regression, time\-series modeling, Bayesian statistics, machine learning, data mining, simulation, optimization, or forecasting
 • Ability to communicate technical processes to non\-technical audiences
 • Presentation experience
 • Curiosity and passion for problem\-solving with data
 • 4\+ years’ experience working with large datasets
 • 4\+ years’ fluency in statistical programming software, especially Python and Spark
 • 4\+ years’ experience with database software (RedShift, Hive, SQL, MySQL) with strong SQL skills
 • Master’s Degree in Statistics, Data Science, Economics, or related technical field
 Benefits \&amp; Perks:
 No direct benefits or perks mentioned
 Compensation:
 No compensation details provided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32">
      <c r="A32" t="inlineStr">
        <is>
          <t>li-4321671413</t>
        </is>
      </c>
      <c r="B32" t="inlineStr">
        <is>
          <t>Staff Data Scientist, Life Sciences AI (RWE &amp; Meta-Analysis)</t>
        </is>
      </c>
      <c r="C32" t="inlineStr">
        <is>
          <t>IMO Health</t>
        </is>
      </c>
      <c r="D32" t="inlineStr">
        <is>
          <t>linkedin</t>
        </is>
      </c>
      <c r="E32" t="inlineStr"/>
      <c r="F32" t="inlineStr"/>
      <c r="G32" t="inlineStr">
        <is>
          <t>Chicago, IL</t>
        </is>
      </c>
      <c r="H32" t="inlineStr"/>
      <c r="I32" t="inlineStr">
        <is>
          <t>At IMO Health, a core team of software developers, data scientists, and domain experts combine computer science, healthcare, and life sciences expertise to help professionals access high\-quality health information quickly and easily. We are seeking a
 **Staff Data Scientist** 
 with deep expertise in statistical modeling, meta\-analysis methodologies, AI/LLM technologies, and real\-world evidence (RWE) generation to help design and develop innovative tools that empower clients to conduct advanced evidence synthesis and analysis.
 This role sits at the intersection of science, technology, and client delivery \- translating complex analytical workflows into intelligent, scalable software solutions. You will collaborate with cross\-functional teams to design, build, and optimize AI\-enabled tools for meta\-analysis. The ideal candidate will bring strong scientific understanding, product\-thinking mindset, and experience implementing cloud\-based AI infrastructure, scalable ML pipelines, and MLOps best practices to deliver robust, client\-facing solutions in the life sciences domain.
 Join our growing Data Science \&amp; Analytics department as a
 **Staff Data Scientist** 
 to drive AI\-powered innovation in healthcare and life sciences!
**What You'll Do**
* Design and develop AI\-driven software tools that enable clients to perform meta\-analysis, systematic reviews, and real\-world evidence (RWE) generation efficiently and accurately.
* Translate complex statistical and meta\-analytic workflows into scalable, automated product features and user\-facing applications.
* Collaborate with cross\-functional teams to ensure scientific rigor, methodological validity, and usability of developed solutions.
* Leverage LLMs, prompt engineering, and information extraction techniques to automate literature review, data curation, and evidence synthesis from clinical and real\-world data sources.
* Build and maintain scalable data and AI pipelines, integrating diverse data sources including structured, unstructured, and real\-world datasets.
* Ensure compliance with data privacy, security, and regulatory standards across all data handling and model deployment activities.
* Implement modern software engineering and MLOps best practices, including CI/CD, testing, monitoring, and version control, to support scalable and reliable deployments.
* Evaluate emerging AI/ML and statistical technologies, drive proof\-of\-concept initiatives, and shape the technical roadmap for evidence\-generation tools.
* Interpret and communicate insights effectively to both technical and non\-technical stakeholders through visualizations, reports, and presentations.
* Mentor and support team members, fostering skill development in NLP, LLMs, and statistical modeling for healthcare applications.
* Champion a culture of scientific and technical excellence, continuous learning, and innovation in applying AI to healthcare and life sciences challenges.
**What You'll Need**
* PhD preferred (or Master’s with 8\+ years of experience) in Biostatistics, Bioinformatics, Computer Science, Health Informatics, or a related field.
* Deep understanding of statistical modeling, meta\-analysis methodology, and evidence synthesis techniques relevant to post\-market and real\-world evidence (RWE) applications.
* Strong background in NLP, and AI principles, with a focus on LLMs, prompt engineering, and information extraction from scientific text.
* Proficiency in Python and major ML/NLP frameworks such as PyTorch, TensorFlow, Hugging Face Transformers, LangChain, and scikit\-learn.
* Demonstrated experience designing and deploying AI\-driven analytical tools or platforms, including LLM\-based workflows for literature mining, evidence synthesis, or clinical data interpretation.
* Familiarity with vector databases (e.g., Pinecone, PostgreSQL) and knowledge graph or semantic data modeling for organizing biomedical and clinical information.
* Strong grasp of experimental design, statistical inference, and validation methods to ensure scientific rigor in software outputs.
* Experience in biomedical or healthcare data analysis, including integration of real\-world data sources such as literatures, EHR, claims, or registry data.
* Understanding of data privacy, ethics, and regulatory requirements in healthcare (e.g., HIPAA).
* Proven ability to collaborate cross\-functionally with engineers, scientists, domain experts and clients.
* Excellent communication, documentation, and presentation skills; demonstrated experience mentoring colleagues and contributing to scientific publications or conference presentations in the life sciences domain.
* Curious, innovative, and solution\-oriented mindset with a passion for building tools that advance evidence generation and decision\-making in life sciences.
 $170,000 \- $250,000 a year
 Compensation at IMO Health is determined by job level, role requirements, and each candidate’s experience, skills, and location. The listed base pay represents the target for new hires with individual compensation varying accordingly. These figures exclude potential bonuses or sales incentives, which may also be part of the total compensation package. Our recruiter will provide additional details during the hiring process.
 IMO Health also offers a comprehensive benefits package. To learn more, please visit IMO Health’s Careers Page .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33">
      <c r="A33" t="inlineStr">
        <is>
          <t>li-4284526990</t>
        </is>
      </c>
      <c r="B33" t="inlineStr">
        <is>
          <t>Applied Scientist, Prime Video - Personalization and Discovery Science</t>
        </is>
      </c>
      <c r="C33" t="inlineStr">
        <is>
          <t>Prime Video &amp; Amazon MGM Studios</t>
        </is>
      </c>
      <c r="D33" t="inlineStr">
        <is>
          <t>linkedin</t>
        </is>
      </c>
      <c r="E33" t="inlineStr"/>
      <c r="F33" t="inlineStr"/>
      <c r="G33" t="inlineStr">
        <is>
          <t>Seattle, WA</t>
        </is>
      </c>
      <c r="H33" t="inlineStr"/>
      <c r="I33" t="inlineStr">
        <is>
          <t>**Description**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
**Basic Qualifications**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A3033050</t>
        </is>
      </c>
    </row>
    <row r="34">
      <c r="A34" t="inlineStr">
        <is>
          <t>li-4296482460</t>
        </is>
      </c>
      <c r="B34" t="inlineStr">
        <is>
          <t>Senior Data Scientist</t>
        </is>
      </c>
      <c r="C34" t="inlineStr">
        <is>
          <t>ENGIE - International Supply &amp; Energy Management</t>
        </is>
      </c>
      <c r="D34" t="inlineStr">
        <is>
          <t>linkedin</t>
        </is>
      </c>
      <c r="E34" t="inlineStr"/>
      <c r="F34" t="inlineStr"/>
      <c r="G34" t="inlineStr">
        <is>
          <t>Houston, TX</t>
        </is>
      </c>
      <c r="H34" t="inlineStr"/>
      <c r="I34" t="inlineStr">
        <is>
          <t>**What You Can Expect**
 As a Data Science, Sr Advisor – Global Market Analysis (GMA) at ENGIE Energy Marketing North America (EEMNA), you will play a key role in advancing our electricity market forecasting capabilities across timescales and regional markets. GMA supports ENGIE’s trading, risk, and strategy functions by modeling hundreds of millions of data points daily through hybrid AI and physical system modeling. Your work will directly influence trading decisions and operational strategies in dynamic power markets such as PJM, SPP, and CAISO.
 This is a high\-impact, fast\-paced role requiring both technical depth and creative problem\-solving. You’ll collaborate closely with the Head of Market Analysis, traders, and fellow data scientists to enhance the performance, robustness, and scalability of our forecasting platform. The ideal candidate brings strong analytical skills, a deep understanding of physical systems and machine learning, and a team\-oriented mindset.
 Reporting to the Head of Market Analysis, your roles and responsibilities include:
* Analyze, experiment, develop models, and evaluate models to help the company gather business intelligence and predict electricity prices
* Work directly with the trading teams and Head of Market Analysis to create evaluation methodologies and assess quality of forecasts in terms of delivering clear signal for trading activities
* Collaborate with the team to expand forecasting capabilities across various timescales and U.S. markets including PJM, SPP, and CAISO
* Leverage data analysis to help identify areas for improvement of probabilistic price forecasts and develop experiments to help resolve and improve modeling efforts
* Work with the development team to develop production level code to backtest and run models at scale in the cloud
* Combine physical models with statistics and AI in creative ways to create models which are compute efficient while robust to extreme events and changes in the underlying system being modeled
* Work with and contribute to internal custom machine learning pipeline and physical model development using Python packages and in\-house libraries
**What You’ll Bring**
* Minimum of a Bachelor’s degree in a Science, Engineering, or Mathematics field
* A minimum of ten (10\) years working as a Data Scientist or a similar position
* Proficiency with linear algebra and machine learning
* Proficiency with correlated uncertainty quantification and statistical analysis
* Proficiency with probabilistic thinking and evaluation
* Proficiency in a programming language such as Python (or similar) and SQL (or similar)
* Ability to combine theory and data to develop experiment driven methodologies
* Ability to articulate experimentation methods, results, and conclusions clearly
**Additional Details**
* This role is eligible for our hybrid work policy in our Houston, TX; Chicago, IL; and Broomfield, CO offices. For highly qualified candidates based in Pittsburgh, PA, a fully remote arrangement may be considered, provided the individual can travel to the Houston office for at least one week each month
* Must be available to travel domestically up to 15% of the time and with the need for some overnight trips
* Must be willing and able to comply with all ENGIE ethics and safety policies
**Compensation**
**Salary Range:** 
 $131,000 – $200,790 USD annually
 This represents the average expected pay range for a qualified candidate.
 ENGIE complies with all federal, state, and local minimum wage laws. Actual salary offered may vary depending on geography, experience, education, internal pay alignment, or other bona fide factors.
 In addition to base pay, this position is eligible for a competitive bonus / incentive plan.
 Your Talent Acquisition Partner can share more specific information regarding the benefits or the salary for the position based on the work location.
 At ENGIE, we take your well\-being seriously. Our comprehensive benefits package includes options for medical, dental, vision, life insurance, employer\-paid short\-term and long\-term disability insurance, ESPP, generous paid time off including wellness days, holidays and leave programs. We also help you plan for retirement by offering a 401(k) Retirement Savings Plan with a company match. But that's not all – we're dedicated to the health and happiness of your entire family, offering supplemental benefits for full time employees that enhance emotional and physical well\-being through all stages of life from family forming to caregiver benefits. Explore our benefits package to see how we can support you. Learn more .
**Why ENGIE?**
 ENGIE North America isn’t just participating in the Zero\-Carbon Transition, we’re leading it! Join us as we develop energy that is renewable, efficient, and accessible to everyone.
 At ENGIE, every talent has a role to play in the adventure of the century. Make a difference and enjoy a fulfilling professional experience. Take on exciting challenges and build a career path that reflects who you are.
**Join us and be part of the adventure!**
 ENGIE is proud to be an equal opportunity workplace, and we are firmly committed to creating an inclusive workplace for all employees. We are committed to providing employees with a work environment free of discrimination and harassment. All qualified applicants will receive consideration for employment without regard to race, color, sex, sexual orientation, gender identity, religion, national origin, disability, veteran status, or other legally protected status.
 If you need assistance with this application or a reasonable accommodation due to a disability, you may contact us at ENGIENA\-ENGIEHR@engie.com. This email address is reserved for individuals with disabilities in need of assistance and is not a means of inquiry regarding positions or application status.
 This role is eligible for sponsorship.
 The safety of our employees is our number one priority. All employees at ENGIE have both a duty and the authority to STOP WORK if unsafe acts are observed.
 Business Unit: GEMS
 Division: GEMS \- BP AMERICAS
 Legal Entity: ENGIE ENERGY MARKETING NA, INC.
 Professional Experience: Skilled ( \&gt;3 experience \&lt;15 years)
 Education Level: Bachelor's Degree
 Company Name: ENGIE North America</t>
        </is>
      </c>
    </row>
    <row r="35">
      <c r="A35" t="inlineStr">
        <is>
          <t>li-4285600931</t>
        </is>
      </c>
      <c r="B35" t="inlineStr">
        <is>
          <t>Applied Scientist II, Prime Video - Personalization and Discovery Science</t>
        </is>
      </c>
      <c r="C35" t="inlineStr">
        <is>
          <t>Prime Video &amp; Amazon MGM Studios</t>
        </is>
      </c>
      <c r="D35" t="inlineStr">
        <is>
          <t>linkedin</t>
        </is>
      </c>
      <c r="E35" t="inlineStr"/>
      <c r="F35" t="inlineStr"/>
      <c r="G35" t="inlineStr">
        <is>
          <t>Seattle, WA</t>
        </is>
      </c>
      <c r="H35" t="inlineStr"/>
      <c r="I35" t="inlineStr">
        <is>
          <t>**Description**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A3059253</t>
        </is>
      </c>
    </row>
    <row r="36">
      <c r="A36" t="inlineStr">
        <is>
          <t>li-4282854537</t>
        </is>
      </c>
      <c r="B36" t="inlineStr">
        <is>
          <t>[Remote] Principal Applied Scientist- Oracle Health</t>
        </is>
      </c>
      <c r="C36" t="inlineStr">
        <is>
          <t>Oracle</t>
        </is>
      </c>
      <c r="D36" t="inlineStr">
        <is>
          <t>linkedin</t>
        </is>
      </c>
      <c r="E36" t="inlineStr"/>
      <c r="F36" t="inlineStr"/>
      <c r="G36" t="inlineStr"/>
      <c r="H36" t="inlineStr"/>
      <c r="I36" t="inlineStr">
        <is>
          <t>****JOB DESCRIPTION****
 Building off our Cloud momentum, Oracle has formed a new organization \- Oracle Health \&amp; AI. This team will focus on product development and product strategy for Oracle Health, while building out a complete platform supporting modernized, automated healthcare. This is a net new line of business, constructed with an entrepreneurial spirit that promotes an energetic and creative environment. We are unencumbered and will need your contribution to make it a world class engineering center with the focus on excellence.
 As our Principal Applied Scientist, you will play a key role in shaping the future of AI at Oracle, with an emphasis on Large Language Models (LLMs) and Generative AI. Your contributions will be pivotal in delivering our new Generative AI\-powered solutions for healthcare and enterprise customers.
****Responsibilities****
* Collaborate with product managers to translate business and product requirements into AI projects.
* Collaborate with fellow technical leaders to ensure the successful and timely delivery of models and integration of services.
* Coordinate with multinational teams to drive projects from research POC to production.
* Develop new healthcare and enterprise services and features leveraging recent advances in generative AI, machine learning and deep learning.
* Design and review the architecture of AI solutions, including data, model, training, and evaluation, employing best practices.
* Lead and mentor both junior and senior applied scientists.
* Develop production code and advocate for the best coding and engineering practices.
* Participate in project planning, review, and retrospective sessions.
* Identify and mitigate risks in our plans and executions, especially at the intersection of business and engineering.
****Qualifications And Experience****
* Demonstrated experience in designing and implementing scalable AI models for production.
* Deep technical understanding of Machine Learning, Deep Learning architectures like Transformers, training methods, and optimizers.
* Practical experience with the latest technologies in LLM and generative AI, such as parameter\-efficient fine\-tuning, instruction fine\-tuning, and advanced prompt engineering techniques like Tree\-of\-Thoughts.
* Hands\-on experience with emerging LLM frameworks and plugins, such as LangChain, LlamaIndex, VectorStores and Retrievers, LLM Cache, LLMOps (MLFlow), LMQL, Guidance, etc.
* Proven experience in designing data collection/annotation solutions and systematic evaluation necessary for developing and maintaining production systems.
* Commitment to staying up\-to\-date with the field and applying academic advances to solve complex business problems, and bringing them into production.
* Strong publication record, including as a lead author or reviewer, in top\-tier journals or conferences.
* Experienced leading senior scientists and early\-career scientists.
****Preferred Qualifications****
* Knowledge of healthcare and experience delivering healthcare AI models are a significant plus.
* Familiarity and experience with the latest advancements in computer vision and multimodal modeling is a plus.
**Education**
* PhD Computer Science, Mathematics, Statistics, Physics, Linguistics or a related field with a dissertation, thesis or final project centered in Machine Learning and Deep Learning) with 3\+ years relevant experience is preferred but not a must; OR
* Masters or Bachelor’s in related field with 5\+ years relevant experience
 Oracle is committed to incorporating generative AI into our applications and workflows for business users. This role presents a unique opportunity to work on pioneering AI technologies and contribute to Oracle's Generative AI strategy. At Oracle, we value diversity and encourage continuous learning for career growth. Come join our team to make a significant difference!
 Career Level \- IC4
****Responsibilities****
**RESPONSIBILITIES**
* Collaborate with product managers to translate business and product requirements into AI projects.
* Collaborate with fellow technical leaders to ensure the successful and timely delivery of models and integration of services.
* Coordinate with multinational teams to drive projects from research POC to production.
* Develop new healthcare and enterprise services and features leveraging recent advances in generative AI, machine learning and deep learning.
* Design and review the architecture of AI solutions, including data, model, training, and evaluation, employing best practices.
* Lead and mentor both junior and senior applied scientists.
* Develop production code and advocate for the best coding and engineering practices.
* Participate in project planning, review, and retrospective sessions.
* Identify and mitigate risks in our plans and executions, especially at the intersection of business and engineering.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$120,100 \- $251,600 per year. May be eligible for bonus, equity, and compensation deferral.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37">
      <c r="A37" t="inlineStr">
        <is>
          <t>li-4296436118</t>
        </is>
      </c>
      <c r="B37" t="inlineStr">
        <is>
          <t>Data Scientist (TS/SCI Clearance Required)</t>
        </is>
      </c>
      <c r="C37" t="inlineStr">
        <is>
          <t>Deloitte</t>
        </is>
      </c>
      <c r="D37" t="inlineStr">
        <is>
          <t>linkedin</t>
        </is>
      </c>
      <c r="E37" t="inlineStr"/>
      <c r="F37" t="inlineStr"/>
      <c r="G37" t="inlineStr">
        <is>
          <t>Tampa, FL</t>
        </is>
      </c>
      <c r="H37" t="inlineStr"/>
      <c r="I37" t="inlineStr">
        <is>
          <t>Our Deloitte AI \&amp; Engineering team to transform technology platforms, drive innovation, and help make a significant impact on our clients' success. You'll work alongside talented professionals reimagining and reengineering operations and processes that are critical to businesses. Your contributions can help clients improve financial performance, accelerate new digital ventures, and fuel growth through innovation.
**Work You'll Do**
 As a Data Scientist, you will drive R\&amp;D initiatives to advance the frontiers of artificial intelligence in support of a defense intelligence mission customer. Your work will center on developing Proofs of Concept (POC) and Minimum Viable Products (MVPs) that leverage NLP, generative AI, and agentic AI.
* Design, develop, and apply cutting\-edge GenAI and AgenticAI methods to solve complex, real\-world problems
* Act as an AI thought leader, including creating whitepapers, presentations, executive briefings, reports, and other materials to support AI solutions and services
* Guide federal clients with high autonomy in AI strategy and development, including understanding agency needs, performing exploratory data analysis, building and validating models, and deploying models into both on\-prem and cloud environments
* Act as a subject matter expert to GPS clients and global AI partner ecosystem
* Iterate on and/or create repeatable, reusable processes and scalable data systems that meet technical and deployment challenges
* Maintain and uphold data science best practices on new methodologies, technologies, industry trends, and open source packages
* Work cross\-functionally with other scientists \&amp; data engineers, federal account manager and leadership to help ensure project delivery and success
* Maintain and uphold data science best practices by staying current with new GenAI/AgenticAI methodologies, technologies, industry trends, and open source packages.
**The Team**
 Deloitte's Government and Public Services (GPS) practice \- our people, ideas, technology and outcomes\-is designed for impact. Serving federal, state, \&amp; local government clients as well as public higher education institutions, our team of professionals brings fresh perspective to help clients anticipate disruption, reimagine the possible, and fulfill their mission promise.
 Our AI \&amp; Data offering provides a full spectrum of solutions for designing, developing, and operating cutting\-edge Data and AI platforms, products, insights, and services. Our offerings help clients innovate, enhance and operate their data, AI, and analytics capabilities, ensuring they can mature and scale effectively.
**Qualifications**
 Required:
* Bachelor's degree required
* Must be legally authorized to work in the United States without the need for employer sponsorship, now or at any time in the future
* Active TS/SCI security clearance required
* 3\+ years of experience in Python
* 3\+ years of experience in executing data science methodologies using common programming/scripting languages
* Ability to work on\-site in Tampa, FL 5 days per week
 Preferred:
* Prior professional services or consulting experience
* Masters degree in Computer Science or related field
* Displays both breadth and depth of knowledge regarding functional and technical issues in AI and Data Science
* Experience presenting to clients or other decision makers to present and sell ideas to various audiences (technical and non\-technical)
 Information for applicants with a need for accommodation: https://www2\.deloitte.com/us/en/pages/careers/articles/join\-deloitte\-assistance\-for\-disabled\-applicants.html</t>
        </is>
      </c>
    </row>
    <row r="38">
      <c r="A38" t="inlineStr">
        <is>
          <t>li-4335001759</t>
        </is>
      </c>
      <c r="B38" t="inlineStr">
        <is>
          <t>Principal Applied Scientist, Amazon Connect</t>
        </is>
      </c>
      <c r="C38" t="inlineStr">
        <is>
          <t>Amazon Web Services (AWS)</t>
        </is>
      </c>
      <c r="D38" t="inlineStr">
        <is>
          <t>linkedin</t>
        </is>
      </c>
      <c r="E38" t="inlineStr"/>
      <c r="F38" t="inlineStr"/>
      <c r="G38" t="inlineStr">
        <is>
          <t>Seattle, WA</t>
        </is>
      </c>
      <c r="H38" t="inlineStr"/>
      <c r="I38" t="inlineStr">
        <is>
          <t>**Description**
 As part of the AWS Applied AI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Principal Applied Scientist will drive the scientific vision for AI systems. The role requires tackling intrinsically hard, previously unsolved problems while balancing rapid innovation with reliability and compliance. You should be comfortable making decisions with incomplete information and driving solutions in ambiguous problem spaces. You'll work closely with senior technical leaders within the team and across AWS. We're looking for scientists who can maintain high standards while moving quickly, prioritizing both rapid experimentation and responsible AI development to deliver measurable customer impact.
 Key job responsibilities
* Drive the scientific vision of teams in the organization and advise technical leadership on scientific challenges
* Initiate and lead the design and delivery of science solutions that address significantly large or endemic customer and business problems
* Propose innovative solutions to intrinsically hard, previously unsolved problems
* Influence the organization towards adopting new approaches, concepts, and paradigms
* Mentor and develop other scientists, fostering a culture of scientific excellence
**About The Team**
 Amazon Connect is a highly disruptive cloud\-based contact center that enables businesses to deliver engaging, dynamic, and personal customer service experiences. Amazon Connect is the result of the ten years of development that went into building the tools Amazon uses to provide its award winning customer service at massive scale and launching it as a publicly available AWS service. With Amazon Connect, you can create your own cloud\-based contact center and be taking calls in minutes. Amazon Connect leverages the power of Artificial Intelligence and the large ecosystem of AWS services such as Amazon Lex, Amazon Polly, AWS Lambda, Amazon S3 and Amazon Kinesis to provide a truly frustration free, easy\-to\-use, extensible, and natural customer experience. With this technology, we are transforming an industry and the way customers interact with businesses and how agents service them.
**Basic Qualifications**
* PhD in Computer Science, Machine Learning, or related field
* 10\+ years of relevant, broad research experience after PhD
* Track record of delivering production AI/ML systems with significant customer impact
* Deep expertise in one or more areas of AI/ML (e.g., NLP, computer vision, deep learning)
* Strong publication record in top\-tier conferences or journals
* Experience leading and mentoring teams of scientists and engineers
* Exceptional problem\-solving and analytical skills
* Strong communication skills and ability to influence across organizations
**Preferred Qualifications**
* Experience with large\-scale machine learning systems and cloud computing
* Track record of driving scientific innovation in industry settings
* Experience partnering with product and engineering teams to deliver AI solutions
* Demonstrated ability to translate complex scientific concepts to non\-technical stakeholders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Development Center U.S., Inc.
 Job ID: A3052445</t>
        </is>
      </c>
    </row>
    <row r="39">
      <c r="A39" t="inlineStr">
        <is>
          <t>li-4361138553</t>
        </is>
      </c>
      <c r="B39" t="inlineStr">
        <is>
          <t>Data Scientist, Safety</t>
        </is>
      </c>
      <c r="C39" t="inlineStr">
        <is>
          <t>Uber</t>
        </is>
      </c>
      <c r="D39" t="inlineStr">
        <is>
          <t>linkedin</t>
        </is>
      </c>
      <c r="E39">
        <f>HYPERLINK("https://www.linkedin.com/jobs/view/4361138553", "https://www.linkedin.com/jobs/view/4361138553")</f>
        <v/>
      </c>
      <c r="F39">
        <f>HYPERLINK("https://tnl2.jometer.com/v2/job?jz=5wqzs90933e52e86b85ce01f8ad58281c1792KIAGUCAAAABQ&amp;iis=Job%20Board%20-%20Recruitment%20Marketing&amp;iisn=LinkedIn&amp;urlHash=W-Di", "https://tnl2.jometer.com/v2/job?jz=5wqzs90933e52e86b85ce01f8ad58281c1792KIAGUCAAAABQ&amp;iis=Job%20Board%20-%20Recruitment%20Marketing&amp;iisn=LinkedIn&amp;urlHash=W-Di")</f>
        <v/>
      </c>
      <c r="G39" t="inlineStr">
        <is>
          <t>San Francisco, CA</t>
        </is>
      </c>
      <c r="H39" t="inlineStr"/>
      <c r="I39" t="inlineStr">
        <is>
          <t>**About The Role**
 You will work with star engineers and product designers in a fast\-paced, rapidly growing, hybrid technology \+ operations environment to build tools, contextual experiences and implement policies to engender trust among our users and promote safety globally. You should be comfortable in uncharted territory as we build unique technologies for eaters, riders, drivers and every user who touches the Uber community. We need your skills and enthusiasm to make it happen.
**What The Candidate Will Do**
* Assist with new product experimentation including design, roll\-out, and monitoring
* Work with cross\-functional teams such as product management, safety operations, and engineering teams to design, deploy, and measure the impact of new products and policies.
* Create metrics and reporting functions to measure and monitor safety products on our platform
* Effectively and proactively communicate insights and drive projects to improve safety
* Proactively seek out opportunities to build new solutions to tackle safety challenges
* Basic Qualifications \-\-\-\-
* Minimum 4 years of experience in a similar role
* Bachelors degree in Mathematics, Statistics, Computer Science, Economics or Engineering
* 4\+ years of SQL experience (Hive, Spark, and other big data tools a plus)
* 4\+ years of Python expnerience (experience in R a plus)
* 3\+ years of experience working with experimentation and measurement
* 3\+ years of experience working with at least 1 visualization tool (Tableau, Power BI, etc)
* \-\-\- Preferred Qualifications \-\-\-\-
* Advanced degree in Mathematics, Statistics, Computer Science, Economics or Engineering
* Hands\-on experience working on LLM projects including shipping to production
* Experience working within a highly XFN organization, including stakeholders across Product, Eng, Ops, and more.
 For San Francisco, CA\-based roles: The base salary range for this role is USD$140,000 per year \- USD$156,000 per year. You will be eligible to participate in Uber's bonus program, and may be offered an equity award \&amp; other types of comp. You will also be eligible for various benefits. More details can be found at the following link https://www.uber.com/careers/benefits., For San Francisco, CA\-based roles: The base salary range for this role is USD$140,000 per year \- USD$156,000 per year. You will be eligible to participate in Uber's bonus program, and may be offered an equity award \&amp; other types of comp. You will also be eligible for various benefits. More details can be found at the following link https://www.uber.com/careers/benefits.</t>
        </is>
      </c>
    </row>
    <row r="40">
      <c r="A40" t="inlineStr">
        <is>
          <t>li-4354802506</t>
        </is>
      </c>
      <c r="B40" t="inlineStr">
        <is>
          <t>Data Scientist</t>
        </is>
      </c>
      <c r="C40" t="inlineStr">
        <is>
          <t>Radix</t>
        </is>
      </c>
      <c r="D40" t="inlineStr">
        <is>
          <t>linkedin</t>
        </is>
      </c>
      <c r="E40">
        <f>HYPERLINK("https://www.linkedin.com/jobs/view/4354802506", "https://www.linkedin.com/jobs/view/4354802506")</f>
        <v/>
      </c>
      <c r="F40" t="inlineStr"/>
      <c r="G40" t="inlineStr">
        <is>
          <t>Scottsdale, AZ</t>
        </is>
      </c>
      <c r="H40" t="inlineStr"/>
      <c r="I40" t="inlineStr">
        <is>
          <t>**About Radix**
 Radix is revolutionizing how the multifamily world makes decisions. From investment to divestment, and everything in between, Radix brings data transparency, market intelligence, and acquisition modeling into a seamless ecosystem that turns the industry's best insights into confident decisions.
**What You Will Be Part Of**
 You’ll be part of a high\-impact analytics team at Radix, building data\-driven products that directly influence how multifamily real estate decisions are made. This role sits at the intersection of advanced analytics, machine learning, and real\-world business outcomes—transforming complex, real\-time property and market data into actionable insights. You’ll contribute to industry\-defining platforms used by operators, investors, and renters, while helping Radix push the boundaries of transparency and intelligence in property technology. Your work will have tangible impact across pricing, forecasting, asset performance, and market strategy.
**What You Will Achieve**
* Analyze large\-scale, real\-time multifamily datasets to uncover trends, anomalies, and opportunities that drive client value
* Build, deploy, and iterate on machine learning models for rent pricing, market forecasting, and asset performance optimization
* Apply statistical methods and hypothesis testing to support data\-driven product and business decisions
* Leverage generative AI tools to improve data ingestion, enrichment, analysis, visualization, and reporting workflows
* Partner closely with product, engineering, and operations teams to translate analytical insights into scalable platform features
* Design and maintain data pipelines and models deployed on cloud infrastructure such as AWS or Azure
* Monitor model performance in production and continuously improve accuracy, reliability, and business relevance
* Create clear, compelling visualizations and narratives that communicate insights to non\-technical stakeholders
* Contribute to the evolution of Radix’s analytics capabilities across RealRents, Radix Analytics, and Radix Underwriting
**What Makes You a Strong Fit**
* Strong curiosity and passion for turning complex data into meaningful, real\-world insights
* Resilience and adaptability in a fast\-moving environment where priorities evolve and ambiguity is common
* Proven ability to thrive in a startup or high\-growth company with significant scale potential
* Solid foundation in data science fundamentals, including statistics, probability, and machine learning concepts
* Hands\-on experience with Python and SQL for analysis, modeling, and automation
* Comfort working with cloud platforms (AWS or Azure) and deploying analytical solutions into production
* Interest or experience using generative AI tools to enhance analytics and decision\-making workflows
* Excellent communication skills, with the ability to explain technical concepts to non\-technical audiences
* Strong collaboration skills and a team\-first mindset when working across product, engineering, and operations
* Detail\-oriented problem solver who takes ownership of outcomes, not just analyses
**Why You Will Love Working Here**
* Comprehensive Benefits
+ Medical, dental and vision coverage designed to support your wellbeing.
* Unlimited PTO
+ We trust you to take the time you need to recharge and do your best work.
* Pre\-IPO Equity
+ Meaningful ownership with the potential to grow right alongside Radix.
* Performance Bonus
+ Rewarded for the impact you drive, not just tasks completed.
* Learn From the Best
+ Work shoulder\-to\-shoulder with industry experts, innovative operators, and leaders shaping the future of multifamily.
* Build Category\-Defining Products
+ Join us during a high\-velocity, post–Series A growth stage where your ideas influence the market, not just the roadmap.</t>
        </is>
      </c>
    </row>
    <row r="41">
      <c r="A41" t="inlineStr">
        <is>
          <t>li-4361138005</t>
        </is>
      </c>
      <c r="B41" t="inlineStr">
        <is>
          <t>Data Scientist (Machine Learning)</t>
        </is>
      </c>
      <c r="C41" t="inlineStr">
        <is>
          <t>Nelo</t>
        </is>
      </c>
      <c r="D41" t="inlineStr">
        <is>
          <t>linkedin</t>
        </is>
      </c>
      <c r="E41">
        <f>HYPERLINK("https://www.linkedin.com/jobs/view/4361138005", "https://www.linkedin.com/jobs/view/4361138005")</f>
        <v/>
      </c>
      <c r="F41" t="inlineStr"/>
      <c r="G41" t="inlineStr">
        <is>
          <t>New York, NY</t>
        </is>
      </c>
      <c r="H41" t="inlineStr"/>
      <c r="I41" t="inlineStr">
        <is>
          <t>**About Nelo**
 Nelo is a leading consumer fintech and e\-commerce platform in Mexico, with \&gt;$500MM in annualized GMV and \&gt;$70MM in annualized revenue. Our mission is to increase the buying power of consumers in Latin America, and we are doing so by building a modern alternative to credit cards.
 Nelo has raised over $40M of venture capital from investors including Homebrew, Two Sigma Ventures and Susa Ventures. Nelo has additionally raised a $100M asset credit facility from Victory Park Capital.
 Our lean team includes experienced leaders from top technology companies including Uber, Amazon, Rappi, and DiDi. We pride ourselves on our velocity, intellectual rigor, and efficiency. Nelo has offices in Mexico City and New York City.
**Why this Role is Different**
 Most Data Science roles currently on the market are focused on optimizing ad clicks or slightly improving recommendation engines.
 This isn't that.
 At Nelo, your models are the product. You are building the decision engine that determines who gets access to credit in an emerging market. This involves high\-stakes constrained optimization problems where "good enough" mathematics will result in direct financial loss.
 We are looking for the type of person who is frustrated by the "black box" approach of modern libraries and actually understands the statistical theory and causality behind the code. If you want to apply academic\-level rigor to a P\&amp;L that is scaling rapidly, this is your seat.
**What You'll Do:**
* Solve the "Why," not just the "What": You will design and deploy causal inference models to drive our underwriting and portfolio management strategies. Correlation isn't enough when you're managing risk.
* Build the Core Engine: You will create and refine the algorithms for credit pricing, personalization, and ranking. Your code will directly impact the wallet of the consumer and the margin of the company.
* Own the Infrastructure: You won't just hand off a Jupyter notebook to an engineer. You will lead ML infrastructure projects, ensuring observability and operational excellence for the models you build.
**Who You Are:**
* You have deep theoretical roots. We are explicitly looking for candidates with a strong academic background (PhD preferred) who understand the first principles of classification, forecasting, and optimization.
* You are a builder, not just a researcher. While you love the theory, you have at least 5 years of experience applying it in a production environment. You write production\-grade Python and SQL.
* You value velocity. You understand that a perfect model shipped next year is worth less than a great model shipped next week. You can balance intellectual rigor with the need to execute.
* You are happy in NYC. This is an in\-office role. We believe the hardest problems are solved when smart people are in the same room with a whiteboard.
**What's On The Table**
* Significant Equity (You’re building the company, you should own it).
* 100% medical, dental \&amp; vision insurance coverage for you (50% for dependents).
* Unlimited PTO (that we actually expect you to take).
* 401(k).
* Extended maternity and paternity leave.
* Relocation support and Sabbatical program.
**About The Process**
 We know you're busy, so we don't do 8\-stage interviews.
* Quick chat with the Hiring Manager to align on expectations.
* A business case/technical assessment (relevant to the actual job).
* Onsite interview in NYC to meet the team.
* Offer.
**This isn’t a job for someone who wants to hide in the back office; it’s for someone who wants their math to move the market.**</t>
        </is>
      </c>
    </row>
    <row r="42">
      <c r="A42" t="inlineStr">
        <is>
          <t>li-4361183492</t>
        </is>
      </c>
      <c r="B42" t="inlineStr">
        <is>
          <t>Data Scientist</t>
        </is>
      </c>
      <c r="C42" t="inlineStr">
        <is>
          <t>Target</t>
        </is>
      </c>
      <c r="D42" t="inlineStr">
        <is>
          <t>linkedin</t>
        </is>
      </c>
      <c r="E42">
        <f>HYPERLINK("https://www.linkedin.com/jobs/view/4361183492", "https://www.linkedin.com/jobs/view/4361183492")</f>
        <v/>
      </c>
      <c r="F42">
        <f>HYPERLINK("https://www.wiraa.com/job-description/us67B08EEB85435DF748F7A4CE90C50495?source=Linkedin&amp;urlHash=8aMz", "https://www.wiraa.com/job-description/us67B08EEB85435DF748F7A4CE90C50495?source=Linkedin&amp;urlHash=8aMz")</f>
        <v/>
      </c>
      <c r="G42" t="inlineStr"/>
      <c r="H42" t="inlineStr"/>
      <c r="I42" t="inlineStr">
        <is>
          <t>**About The Company** 
 Join Target as a Lead Data Scientist in Last Mile Operations Design and be part of a company dedicated to helping families discover the joy of everyday life. Target is a renowned retail corporation that emphasizes innovation, customer\-centricity, and operational excellence. With a commitment to delivering quality products and exceptional shopping experiences, Target continuously invests in cutting\-edge technology and data\-driven strategies to stay ahead in the retail industry. Working at Target means contributing to a culture that values diversity, inclusion, and continuous improvement, making it an exciting place for professionals passionate about leveraging data to drive meaningful impact.
**About The Role** 
 As a Lead Data Scientist within Target's Last Mile and Operations Design team, you will play a pivotal role in accelerating omni\-channel experimentation and fostering a culture of continuous innovation. Your primary focus will be on developing and managing advanced predictive and prescriptive algorithms that optimize supply chain operations, enhance guest experiences, and improve carrier and courier interactions. This role involves working closely with cross\-functional teams—including product managers, engineers, and business stakeholders—to identify opportunities, formulate analytical solutions, and implement scalable models that influence strategic decision\-making. You will serve as a champion of data\-driven insights, translating complex data analyses into compelling narratives that inform business strategies and operational improvements. Your expertise will directly impact Target's ability to deliver on its brand promise of "Expect More Pay Less" by ensuring efficient, innovative, and customer\-centric supply chain solutions.
**Qualifications** 
* PhD or MS in Operations Research, Industrial Engineering, Computer Science, Mathematics, Statistics, Physics, or a related quantitative field
* 5\+ years of experience leading large\-scale implementations of supply chain optimization, simulation, and machine learning modeling from end to end
* Proficiency in programming languages such as Python, R, Kotlin, or Java
* Experience deploying high\-performance algorithms in production environments
* Strong knowledge of predictive and prescriptive analytics, ML Ops, and statistical techniques
* Experience working with large, event\-driven distributed systems and multi\-threaded applications
* Proficiency in SQL, Hive, or similar data querying tools, and building internal data tools for research and experimentation
* Ability to communicate complex data insights through narratives, visualizations, and reports
* Self\-driven, results\-oriented, and capable of working under tight deadlines
* Excellent collaboration skills, with the ability to partner effectively across different teams and time zones
**Responsibilities** 
* Advocate for a data\-driven culture across Product, Business Operations, and Engineering teams to maximize insights utilization
* Develop and implement solutions for complex business problems using data analysis, mining, forecasting, optimization, and machine learning techniques
* Formulate clear problem statements, synthesize analysis results, and communicate findings effectively to stakeholders
* Design and analyze in\-product experiments, interpret results, and provide strategic recommendations for product and process improvements
* Collaborate with product managers and business partners to identify gaps and enhance predictive and prescriptive analytics maturity
* Define data collection requirements, KPIs, and work with engineering teams to ensure accurate tracking and instrumentation
* Optimize queries on large datasets to support operational research and decision\-making processes
* Design and build self\-service dashboards and visualization tools to deliver actionable insights to partners
* Democratize data and insights by creating accessible tools that enable quicker, better decision\-making across teams
**Benefits** 
* Competitive salary and performance\-based incentives
* Comprehensive health insurance plans including medical, dental, and vision coverage
* Retirement savings plans with company matching contributions
* Paid time off and holiday leave to support work\-life balance
* Opportunities for professional development, training, and career advancement
* Flexible work arrangements including hybrid and remote work options
* Access to a collaborative and inclusive work environment that values innovation and diversity
 Equal Opportunity
 Target is an equal opportunity employer. We celebrate diversity and are committed to creating an inclusive environment for all employees. All employment decisions are made without regard to race, color, religion, gender, gender identity or expression, sexual orientation, national origin, genetics, disability, age, or veteran status. We believe that a diverse workforce enhances our ability to serve our guests and fosters a culture of innovation and respect.</t>
        </is>
      </c>
    </row>
    <row r="43">
      <c r="A43" t="inlineStr">
        <is>
          <t>li-4352770022</t>
        </is>
      </c>
      <c r="B43" t="inlineStr">
        <is>
          <t>Jr. Data Scientist</t>
        </is>
      </c>
      <c r="C43" t="inlineStr">
        <is>
          <t>Spring Venture Group</t>
        </is>
      </c>
      <c r="D43" t="inlineStr">
        <is>
          <t>linkedin</t>
        </is>
      </c>
      <c r="E43">
        <f>HYPERLINK("https://www.linkedin.com/jobs/view/4352770022", "https://www.linkedin.com/jobs/view/4352770022")</f>
        <v/>
      </c>
      <c r="F43" t="inlineStr"/>
      <c r="G43" t="inlineStr">
        <is>
          <t>Kansas City, MO</t>
        </is>
      </c>
      <c r="H43" t="inlineStr"/>
      <c r="I43" t="inlineStr">
        <is>
          <t>**Company Description**
 Who We Are:
 Spring Venture Group is a leading digital direct\-to\-consumer sales and marketing company with product offerings focused on the senior market. We specialize in distributing Medicare Supplement, Medicare Advantage, and related products via our family of brands and dedicated team of licensed insurance agents. Powered by our unique technologies that combine sophisticated marketing, comparison shopping, sales execution, and customer engagement – we help thousands of seniors across the country navigate the complex world of Medicare every day.
**Overview**
**Job Description**
 At SVG, we are a leader in driving business solutions using analytics and data. The Data Science
 team operates at the very heart of this culture, constantly investigating how machine learning can
 optimize business, automate processes, improve KPIs, and forecast trends. The Applied Data
 Science team is ideal for those who like to be where business and science intersect. They
 collaborate with stakeholders across SVG to identify business problems, and then apply data
 science skills to optimize objectives and directly impact key performance indicators.
**About The Role**
 As a Junior Data Scientist on the Applied DS team you will receive exposure to all facets of data
 science at SVG and be given self\-development and skills training opportunities. You will work as part
 of a team to solve business\-related problems using data\-driven techniques. You will help transform
 our data into tangible business value by performing statistical analysis, contributing to production
 services, and communicating the outcomes across business verticals.
* This is a hybrid role 2\-3 days inoffice in our dowtown office, so must currently be in Kansas City. We are unable to sponsor for this role, so can not consider candidates with their EAD/OPT. Also, no third parties.
**Responsibilities**
* Learn about and improve existing AI and machine learning systems, or build new ones altogether.
* Train and Deploy great models, then create tangible value with them.
+ Develop lead engagement strategies that utilize model outputs.
+ Train a close rate model and apply it to customer outreach.
+ Derive actionable insights from transcripts using LLMs.
+ Test a hypothesis and utilize the data to drive the way forward.
* Run thorough A/B tests that show and validate measurable improvements.
* Conduct analyses of business topics and present actionable insights to team leadership.
* Build Tableau dashboards to investigate business questions and analyze ML systems.
* Begin writing production\-level machine learning and engineering code.
* Create automated solutions that solve operational pain\-points and reduce manual work.
* Develop understanding of and utilize our tech stack \- including MySQL, Python, AWS (esp. SageMaker), Git, FastAPI, and LangChain.
* Share ownership of production workflows, in collaboration with senior team members.
* Demonstrate consistent initiative and follow\-through.
* Work through every step of the Machine Learning Lifecycle; take a problem definition all the way through to a deployed and tracked production model.
* Build trust throughout the organization.
* Perform other duties and responsibilities as assigned.
**Qualifications**
**Qualifications**
* Bachelor’s degree in analytical or technical field, or 2\+ years of relevant work experience.
* Experience analyzing data and using it to drive decisions.
* Demonstrated problem\-solving skills.
* Passionate about mathematical and statistical applications in business.
* Strong sense of accountability and integrity with exceptional written and verbal communication skills.
* Adaptable, acting with appropriate urgency when needed.
* General understanding of SQL and relational databases.
* Fluency in at least one programming language, preferably Python.
* Familiarity with basic machine learning concepts.
* Interest in AI and LLMs for engineering and analysis tasks.
* A strong work ethic combined with self\-awareness and a commitment to continuous improvement. Demonstrated ability to receive and incorporate feedback effectively.
**Preferred**
* Graduate coursework in Data Science, Statistics, or similar.
* Experience using version control systems and performing code reviews.
* Familiarity with owning 24/7 operational systems.
* Experience in a highly\-productive work environment where ambiguity is the norm.
**Benefits**
**Additional Information**
*The Company offers the following benefits for this position, subject to applicable eligibility requirements:*
* Competitive Compensation
* Medical, Dental and vision benefits after a short waiting period
* 401(k) matching program
* Life Insurance, and Short\-term and Long\-term Disability Insurance
* Optional enrollment includes HSA/FSA, AD\&amp;D, Spousal/Dependent Life Insurance, Travel Assist and Legal Plan
* Generous paid time off (PTO) program starting off at 15 days your first year
* 15 paid Holidays (includes holiday break between Christmas and New Years)
* 10 days of Paid Parental Leave and 5 days of Paid Birth Recovery Leave
* Annual Volunteer Time Off (VTO) and a donation matching program
* Employee Assistance Program (EAP) \- health and well\-being on and off the job
* Rewards and Recognition
* Diverse, inclusive and welcoming culture
* Training program and ongoing support throughout your Venture Spring Venture Group career
**Security Responsibilities**
* Operating in alignment with policies and standards
* Reporting Security Incidents Completing assigned training
* Protecting assigned organizational assets
 Spring Venture Group is an Equal Opportunity Employer</t>
        </is>
      </c>
    </row>
    <row r="44">
      <c r="A44" t="inlineStr">
        <is>
          <t>li-4360798752</t>
        </is>
      </c>
      <c r="B44" t="inlineStr">
        <is>
          <t>Data Scientist, Safety</t>
        </is>
      </c>
      <c r="C44" t="inlineStr">
        <is>
          <t>Uber</t>
        </is>
      </c>
      <c r="D44" t="inlineStr">
        <is>
          <t>linkedin</t>
        </is>
      </c>
      <c r="E44">
        <f>HYPERLINK("https://www.linkedin.com/jobs/view/4360798752", "https://www.linkedin.com/jobs/view/4360798752")</f>
        <v/>
      </c>
      <c r="F44">
        <f>HYPERLINK("https://tnl2.jometer.com/v2/job?jz=5wqzs312aa0ca664731c6590e9cc11dddf2edKIAGUCAAAABQ&amp;iis=Job%20Board%20-%20Recruitment%20Marketing&amp;iisn=LinkedIn&amp;urlHash=xXEr", "https://tnl2.jometer.com/v2/job?jz=5wqzs312aa0ca664731c6590e9cc11dddf2edKIAGUCAAAABQ&amp;iis=Job%20Board%20-%20Recruitment%20Marketing&amp;iisn=LinkedIn&amp;urlHash=xXEr")</f>
        <v/>
      </c>
      <c r="G44" t="inlineStr">
        <is>
          <t>San Francisco, CA</t>
        </is>
      </c>
      <c r="H44" t="inlineStr"/>
      <c r="I44" t="inlineStr">
        <is>
          <t>**About The Role**
 You will work with star engineers and product designers in a fast\-paced, rapidly growing, hybrid technology \+ operations environment to build tools, contextual experiences and implement policies to engender trust among our users and promote safety globally. You should be comfortable in uncharted territory as we build unique technologies for eaters, riders, drivers and every user who touches the Uber community. We need your skills and enthusiasm to make it happen.
**What The Candidate Will Do**
* Assist with new product experimentation including design, roll\-out, and monitoring
* Work with cross\-functional teams such as product management, safety operations, and engineering teams to design, deploy, and measure the impact of new products and policies.
* Create metrics and reporting functions to measure and monitor safety products on our platform
* Effectively and proactively communicate insights and drive projects to improve safety
* Proactively seek out opportunities to build new solutions to tackle safety challenges
* Basic Qualifications \-\-\-\-
* Minimum 4 years of experience in a similar role
* Bachelors degree in Mathematics, Statistics, Computer Science, Economics or Engineering
* 4\+ years of SQL experience (Hive, Spark, and other big data tools a plus)
* 4\+ years of Python expnerience (experience in R a plus)
* 3\+ years of experience working with experimentation and measurement
* 3\+ years of experience working with at least 1 visualization tool (Tableau, Power BI, etc)
* \-\-\- Preferred Qualifications \-\-\-\-
* Advanced degree in Mathematics, Statistics, Computer Science, Economics or Engineering
* Hands\-on experience working on LLM projects including shipping to production
* Experience working within a highly XFN organization, including stakeholders across Product, Eng, Ops, and more.
 For San Francisco, CA\-based roles: The base salary range for this role is USD$140,000 per year \- USD$156,000 per year. You will be eligible to participate in Uber's bonus program, and may be offered an equity award \&amp; other types of comp. You will also be eligible for various benefits. More details can be found at the following link https://www.uber.com/careers/benefits., For San Francisco, CA\-based roles: The base salary range for this role is USD$140,000 per year \- USD$156,000 per year. You will be eligible to participate in Uber's bonus program, and may be offered an equity award \&amp; other types of comp. You will also be eligible for various benefits. More details can be found at the following link https://www.uber.com/careers/benefits.</t>
        </is>
      </c>
    </row>
    <row r="45">
      <c r="A45" t="inlineStr">
        <is>
          <t>li-4361136496</t>
        </is>
      </c>
      <c r="B45" t="inlineStr">
        <is>
          <t>Data Scientist/Machine Learning Engineer (req-214 )</t>
        </is>
      </c>
      <c r="C45" t="inlineStr">
        <is>
          <t>CATHEXIS</t>
        </is>
      </c>
      <c r="D45" t="inlineStr">
        <is>
          <t>linkedin</t>
        </is>
      </c>
      <c r="E45">
        <f>HYPERLINK("https://www.linkedin.com/jobs/view/4361136496", "https://www.linkedin.com/jobs/view/4361136496")</f>
        <v/>
      </c>
      <c r="F45" t="inlineStr"/>
      <c r="G45" t="inlineStr">
        <is>
          <t>Redwood City, CA</t>
        </is>
      </c>
      <c r="H45" t="inlineStr"/>
      <c r="I45" t="inlineStr">
        <is>
          <t>Team CATHEXIS elevates the government contracting experience through rapid response, deep skill, and thoughtful problem\-solving and communication. Our core capabilities are our top\-tier program and project management, data analytics, and audit services, the backbone of which is our integrated approach to operational excellence.
 You worked hard to get to where you are. You strive to make every day better than the day before. So do we. Team CATHEXIS operates with an all\-in mindset. We are working together to create a company that supports our shared values and individual goals. Our values are centered around Respect, Engagement, Customer Service, Integrity, Teamwork, and Excellence in everything we do for our employees, clients, partners, and communities. We believe success is best when we listen and lead with empathy; model high standards of ethics to provide a rewarding candidate experience; work hard, have fun, and appreciate the strengths we all bring to the team; and empower our employees to create innovative and trusted results.
 We are looking for a dynamic
 **Data Scientist/ML Engineer** 
 to join our team. The Data Scientist/ML Engineer will work directly with data scientists, software engineers, and subject matter experts in the definition of new analytics capabilities able to provide our federal customers with the information they need to make proper decisions and enable their digital transformation.
**Responsibilities**
**The responsibilities include, but are not limited to:**
* Research, design, implement, and deploy Machine Learning algorithms for enterprise applications
* Assist and enable federal customers to build their own applications
* Contribute to the design and implementation of new features
**Requirements**
* Bachelor's degree in Computer Science, Electrical Engineering, Statistics, or equivalent fields required
* MS or PhD in Computer Science, Electrical Engineering, Statistics, or equivalent fields preferred
* Minimum 2 years relevant work experience preferred
* Excellent programming skills in Python
* Applied Machine Learning experience (regression and classification, supervised, and unsupervised learning)
* Strong mathematical background (linear algebra, calculus, probability, and statistics)
* Experience with scalable ML (MapReduce, streaming)
* Ability to drive a project and work both independently and in a team
* Smart, motivated, can\-do attitude, and seeks to make a difference
* Excellent verbal and written communication
* Real passion for developing team\-oriented solutions to complex engineering problems
* Thrive in an autonomous, empowering and exciting environment
* Great verbal and written communication skills to collaborate multi\-functionally and improve scalability
* Interest in committing to a fun, friendly, expansive, and intellectually stimulating environment
* Convey highly technical concepts and information in written form to technical and non\-technical audiences
* The ability to work on multiple concurrent projects is essential
* Strong self \-motivation and the ability to work with minimal supervision
* Must be a team\-oriented individual, energetic, result \&amp; delivery oriented, with a keen interest on quality and the ability to meet deadlines
* Ability to work in an agile environment
**Desired Skills**
* Hands\-on experience deploying and operating applications using IaaS and PaaS on major cloud providers, such as Amazon AWS, Microsoft Azure, or Google Cloud Services
* Experience with deep learning, natural language processing, computer vision, or reinforcement learning
**Benefits**
 CATHEXIS offers competitive compensation packages to all eligible employees. Our goal is to provide a compensation package that reflects the value you bring to our team, is competitive with national average market rates, and promotes your financial security and personal well\-being. The annual salary range for this role is $125,000 \- $150,000\. Please note that the salary information provided is a general guideline. CATHEXIS considers various factors in its final offer, including location, qualifications, experience, and skills.
* Performance Bonuses
* Medical Insurance
* Dental Insurance
* Vision Insurance
* 401(k) Plan (Traditional and ROTH)
* Life Insurance (Basic, Voluntary \&amp; AD\&amp;D)
* Paid Time Off
* 11 Federal Holidays
* Parental Leave
* Commute Benefits
* Short Term \&amp; Long Term Disability
* Training \&amp; Development
* Wellness Program
* Community Outreach Initiatives
*CATHEXIS is an Equal Employment Opportunity Employer. All qualified applicants will receive consideration for employment without regard to race, color, religion, sex, sexual orientation, gender identity, national origin, or protected veteran status and will not be discriminated against on the basis of disability EEO IS THE LAW. If you are an individual with a disability and would like to request a reasonable accommodation as part of the employment selection process, please contact the Recruiting Department RecruitingTeam@cathexiscorp.com*</t>
        </is>
      </c>
    </row>
    <row r="46">
      <c r="A46" t="inlineStr">
        <is>
          <t>li-4352577295</t>
        </is>
      </c>
      <c r="B46" t="inlineStr">
        <is>
          <t>Data Scientist - eBay Live</t>
        </is>
      </c>
      <c r="C46" t="inlineStr">
        <is>
          <t>eBay</t>
        </is>
      </c>
      <c r="D46" t="inlineStr">
        <is>
          <t>linkedin</t>
        </is>
      </c>
      <c r="E46">
        <f>HYPERLINK("https://www.linkedin.com/jobs/view/4352577295", "https://www.linkedin.com/jobs/view/4352577295")</f>
        <v/>
      </c>
      <c r="F46">
        <f>HYPERLINK("https://jobs.ebayinc.com/us/en/job/EBAEBAUSR0071626EXTERNALENUS/Data-Scientist-eBay-Live?utm_source=linkedin&amp;utm_medium=phenom-feeds&amp;urlHash=AKsV", "https://jobs.ebayinc.com/us/en/job/EBAEBAUSR0071626EXTERNALENUS/Data-Scientist-eBay-Live?utm_source=linkedin&amp;utm_medium=phenom-feeds&amp;urlHash=AKsV")</f>
        <v/>
      </c>
      <c r="G46" t="inlineStr">
        <is>
          <t>San Jose, CA</t>
        </is>
      </c>
      <c r="H46" t="inlineStr"/>
      <c r="I46" t="inlineStr">
        <is>
          <t>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 enthusiasts.
 Our customers are our compass, authenticity thrives, bold ideas are welcome, and everyone can bring their unique selves to work — every day. We're in this together, sustaining the future of our customers, our company, and our planet.
 Join a team of passionate thinkers, innovators, and dreamers — and help us connect people and build communities to create economic opportunity for all.
**About EBay Live**
**eBay Live** 
 is eBay’s interactive live shopping experience where sellers and creators stream in real time and buyers engage through chat, bidding, and instant purchases. It blends entertainment, community, and commerce into a dynamic, trust‑backed way to discover and shop. Join us to build the analytics and AI backbone that powers discovery, engagement, and quality moderation across Live. It’s a high‑visibility, priority growth initiative with significant runway \- an opportunity to deliver measurable impact at marketplace scale.
 Opportunity
 As a
 **Senior Data Scientist** 
 , you will independently operate as a trusted Analytics Thought Partner for a specific eBay Live pillar \- leading moderate‑to‑complex analyses end‑to‑end, actively engaging stakeholders, resolving ambiguous problems, and prioritizing the most impactful work.
 Specifically you will be part of the journey to build the Data Science engine powering eBay Live hyper‑growth across pillars such as Seller Product and Success, Buyer Product, Categories/Markets expansion, Trust \&amp; Safety, Data Foundation, and Business Performance; and to deliver measurable impact in product strategy, growth, and marketplace efficiency through causal measurement, experimentation, marketplace and risk modeling, and production‑grade insights/dashboards.
 What You’ll Do
**You Will Focus On One Of The Following Pillars**
* Buyer Product Analytics: Lead end‑to‑end analyses for live commerce features; define product metrics; build dashboards; run experiments that inform the roadmap and growth. Choose appropriate methods and operate with minimal guidance.
* Seller Product \&amp; Seller Success: Design growth experiments; analyze onboarding, listing quality, conversion, and retention; propose interventions; track impact with rigorous measurement and reporting.
* Categories \&amp; Markets Expansion: Model category–market dynamics; size opportunities; build selection/expansion frameworks; recommend sequencing and launch decisions; contribute lightweight data engineering (e.g., derived tables) to unblock analyses.
* Trust \&amp; Safety: Analyze marketplace risk signals; partner on guardrail design and monitoring; apply practical ML/AI; refine test designs and metrics to reduce false positives while preserving good‑actor experience.
* Data Foundation \&amp; Instrumentation: Clarify metric taxonomies; ensure instrumentation quality; build curated datasets and dashboards; troubleshoot data issues; automate recurring tasks with a product‑first mindset.
* Business Performance: Own KPIs within scope; synthesize daily/weekly/monthly/quarterly performance narratives; surface opportunities/risks; influence decisions with evidence‑based recommendations and audience‑appropriate storytelling.
 What You Bring
* Advanced analytics and causal inference (uplift, diff‑in‑diff, CUPED), robust A/B test design, and strong judgment in method selection for ambiguous problems.
* Technical toolkit: SQL/Python, dashboarding (e.g., Tableau/Looker), familiarity with applied ML/AI, and the ability to optimize queries and contribute lightweight data engineering when necessary.
* Quality and rigor: Proactive assumption checks, validation, and troubleshooting; ability to scale insights via self‑serve dashboards and reporting that stakeholders actually use.
* Communication and storytelling: Clear narratives that explain the “so what”; adjust depth for technical vs. non‑technical audiences; confident presentation and on‑the‑fly Q\&amp;A in cross‑functional forums.
* Stakeholder engagement: Proactive partner management; serve as the primary analytics contact for your area; propose data‑driven opportunities beyond explicit requests; consult managers for guidance in high‑stakes discussions as needed.
* Emerging leadership: Lead analyses coordinating with others; mentor junior analysts on technical skills and domain; demonstrate ownership and reliability in delivery and outcomes.
**Qualifications**
* BS/MS in a quantitative field (e.g., Statistics, Economics, CS) or equivalent experience; 4\-7 years in analytics/data science with demonstrated end‑to‑end delivery on moderate‑to‑complex projects.
* Strong SQL/Python; experimentation design; statistical modeling; dashboarding; familiarity with marketplace dynamics and product analytics.
* Executive‑ready communication with the ability to distill complex analysis to actionable recommendations and influence product decisions.
 The base pay range for this position is expected in the range below:
 $149,200 \- $199,200
 Base pay offered may vary depending on multiple individualized factors, including location, skills, and experience. The total compensation package for this position may also include other elements, including a target bonus and restricted stock units (as applicable) in addition to a full range of medical, financial, and/or other benefits (including 401(k) eligibility and various paid time off benefits, such as PTO and parental leave). Details of participation in these benefit plans will be provided if an employee receives an offer of employment.
 If hired, employees will be in an “at\-will position” and the Company reserves the right to modify base salary (as well as any other discretionary payment or compensation program) at any time, including for reasons related to individual performance, Company or individual department/team performance, and market factors.
 Please see the Talent Privacy Notice for information regarding how eBay handles your personal data collected when you use the eBay Careers website or apply for a job with eBay.
 eBay is an equal opportunity employer. All qualified applicants will receive consideration for employment without regard to race, color, religion, national origin, sex, sexual orientation, gender identity, veteran status, and disability, or other legally protected status. If you have a need that requires accommodation, please contact us at talent@ebay.com. We will make every effort to respond to your request for accommodation as soon as possible. View our accessibility statement to learn more about eBay's commitment to ensuring digital accessibility for people with disabilities. It is unlawful in Massachusetts to require or administer a lie detector test as a condition of employment or continued employment. An employer who violates this law shall be subject to criminal penalties and civil liability.
 The eBay Jobs website uses cookies to enhance your experience. By continuing to browse the site, you agree to our use of cookies. Visit our Privacy Center for more information.</t>
        </is>
      </c>
    </row>
    <row r="47">
      <c r="A47" t="inlineStr">
        <is>
          <t>li-4360743561</t>
        </is>
      </c>
      <c r="B47" t="inlineStr">
        <is>
          <t>Data Scientist I/II</t>
        </is>
      </c>
      <c r="C47" t="inlineStr">
        <is>
          <t>BNSF Railway</t>
        </is>
      </c>
      <c r="D47" t="inlineStr">
        <is>
          <t>linkedin</t>
        </is>
      </c>
      <c r="E47">
        <f>HYPERLINK("https://www.linkedin.com/jobs/view/4360743561", "https://www.linkedin.com/jobs/view/4360743561")</f>
        <v/>
      </c>
      <c r="F47" t="inlineStr"/>
      <c r="G47" t="inlineStr"/>
      <c r="H47" t="inlineStr"/>
      <c r="I47" t="inlineStr">
        <is>
          <t>**About The Company**
 BNSF Railway, one of the largest freight railroads in the United States, is committed to safety, inclusion, and excellence. Operating across 28 western states and three Canadian provinces, BNSF plays a vital role in transporting the nation’s freight, supporting the movement of essential products and materials that sustain communities across North America and beyond. The company is dedicated to fostering a culture where all employees are valued, included, and empowered to reach their full potential. BNSF \| Tech, the company’s innovative technology division, is at the forefront of transforming freight rail through cutting\-edge advancements in data science, artificial intelligence, and digital solutions. This division aims to make BNSF the preeminent freight and mobility company in North America by leveraging technology to improve efficiency, safety, and service delivery.
**About The Role**
 We are seeking a highly skilled Data \&amp; AI Lead to join our dynamic team at BNSF \| Tech. This remote position offers an exciting opportunity to drive innovation in freight rail by transforming data assets into real\-time enterprise solutions. As a key member of our team, you will collaborate with cross\-functional stakeholders to identify business challenges and develop data\-driven strategies. Your expertise will be instrumental in applying advanced data science techniques, developing machine learning models, and creating insightful visualizations that inform decision\-making. The role involves maintaining data pipelines to ensure data integrity, staying current with industry trends, and leading complex projects involving artificial intelligence, machine learning, and optimization. If you are passionate about leveraging data to make impactful changes and thrive in a collaborative, inclusive environment, this position provides a fulfilling career path where your contributions will shape the future of freight transportation.
**Qualifications**
* Minimum of 2 years of experience building data science solutions or relevant experience
* Demonstrated understanding of statistical analysis and machine learning techniques
* Proficiency with data visualization tools
* Strong programming skills in Python, R, SQL, and familiarity with Java or Scala
* Experience working with data science cloud platforms
* Bachelor's degree or higher in Operations Research, Computer Science, Industrial Engineering, or a related field (preferred)
* Hands\-on experience with AI/ML frameworks such as TensorFlow, PyTorch, or scikit\-learn (preferred)
* Experience in transportation\-related industries like rail, shipping, airline, logistics, or supply chain (preferred)
* Knowledge of geospatial Python libraries and open\-source frameworks
* Experience working in Agile environments such as Scrum, Kanban, or SAFe (preferred)
* Authorized to work in the United States; willingness to sponsor H\-1B, TN, or STEM OPT candidates with at least 2 years remaining
**Responsibilities**
* Collaborate with cross\-functional teams to identify business problems and develop data\-driven solutions
* Analyze large, complex datasets to uncover meaningful patterns and insights
* Develop, test, and deploy machine learning models to predict outcomes and optimize processes
* Engage with stakeholders to understand their needs and provide actionable insights
* Create visualizations and reports to communicate findings effectively to diverse audiences
* Maintain and enhance data pipelines to ensure data accuracy, consistency, and integrity
* Stay updated with industry trends, emerging technologies, and advancements in data science and AI
* Extract, aggregate, and synthesize data using SQL, NoSQL, and other programming languages to support analysis and solution deployment
* Lead moderate to complex projects involving AI, machine learning, and optimization, ensuring alignment with business objectives
**Benefits**
* Industry\-leading 401(k) plan and a renowned Railroad Retirement program
* Comprehensive health care options including medical, dental, vision, telemedicine, and mental health support
* Health care spending accounts (HSA) with employer contributions, life, and disability insurance at no cost
* Family benefits such as parental leave, pediatric and family building support, adoption and surrogacy reimbursement, and dependent care spending accounts with employer matching
* Discounts on travel, gym memberships, counseling, and wellness services
* Annual incentive bonus and performance\-based rewards
* Resources and tools to support professional growth and development
 Equal Opportunity
 BNSF Railway is an Equal Opportunity Employer. We celebrate diversity and are committed to creating an inclusive environment for all employees. All qualified applicants will receive consideration for employment without regard to race, color, religion, sex, sexual orientation, gender identity, national origin, disability, or protected veteran status. We believe in fostering a workplace where everyone can belong, grow, and succeed.</t>
        </is>
      </c>
    </row>
    <row r="48">
      <c r="A48" t="inlineStr">
        <is>
          <t>li-4361273387</t>
        </is>
      </c>
      <c r="B48" t="inlineStr">
        <is>
          <t>Data Scientist</t>
        </is>
      </c>
      <c r="C48" t="inlineStr">
        <is>
          <t>Partner Engineering &amp; Science, Inc.</t>
        </is>
      </c>
      <c r="D48" t="inlineStr">
        <is>
          <t>linkedin</t>
        </is>
      </c>
      <c r="E48">
        <f>HYPERLINK("https://www.linkedin.com/jobs/view/4361273387", "https://www.linkedin.com/jobs/view/4361273387")</f>
        <v/>
      </c>
      <c r="F48">
        <f>HYPERLINK("https://recruiting.ultipro.com/PAR1017/JobBoard/fad04b97-00fa-bfd5-7029-ea0d0540ccf3/OpportunityDetail?opportunityId=647da234-be82-42fa-a5f3-e56cf2835b32&amp;source=LinkedIn&amp;urlHash=tQRM", "https://recruiting.ultipro.com/PAR1017/JobBoard/fad04b97-00fa-bfd5-7029-ea0d0540ccf3/OpportunityDetail?opportunityId=647da234-be82-42fa-a5f3-e56cf2835b32&amp;source=LinkedIn&amp;urlHash=tQRM")</f>
        <v/>
      </c>
      <c r="G48" t="inlineStr">
        <is>
          <t>Torrance, CA</t>
        </is>
      </c>
      <c r="H48" t="inlineStr"/>
      <c r="I48" t="inlineStr">
        <is>
          <t>**About Us**
 At PARTNER, success starts with the right mindset: connection, compassion, and curiosity. Whether consulting with clients or collaborating with colleagues, these principles guide how we work. We deliver engineering, environmental, and energy consulting, plus design services across the Americas, Europe, and beyond. As a leader in Commercial Real Estate (CRE), we’re 1,400\+ professionals strong in 40\+ offices. Our mission is simple: create the best home for talented professionals. If you value delivering exceptional experiences through problem\-solving, coordination, and a mindset of care for clients and colleagues, you’ll feel right at home. That approach has earned us recognition on ENR’s Top 500 Design Firms, Inc. 5000’s Fastest\-Growing Companies, and Zweig’s Best Firms to Work For. Here, your ideas matter, your impact is real, and your work helps shape the future. Check out this role and join our team of talented professionals!
 Learn more about Partner at www.partneresi.com.
**Job Overview:**
 Partner Engineering \&amp; Science, Inc. is seeking a highly analytical and business\-savvy Data Scientist. You will be instrumental in transforming financial and operational data into actionable insights that drive strategic decision\-making, improve efficiency, and support client delivery excellence. The ideal candidate will have a strong foundation in data science, statistics, and business intelligence, with a deep understanding of financial and operational metrics relevant to professional services firms. It’s an exciting time to join, with extensive opportunities to learn and grow!
**Responsibilities And Duties**
* Collaborate with IT team and business stakeholders on the full lifecycle of multiple high\-profile projects.
* Develop predictive and prescriptive models to support financial forecasting, resource planning, and operational efficiency.
* Analyze large datasets from ERP, CRM, and time tracking systems to identify trends, anomalies, and opportunities.
* Build and maintain financial models to support budgeting, scenario planning, and profitability analysis.
* Design and automate dashboards and reports using tools like Power BI, Tableau, or Looker.
* Deliver insights to stakeholders through clear visualizations and storytelling.
* Ensure data accuracy and consistency across reporting platforms.
* Collaborate with IT and data engineering teams to ensure data pipelines are robust, scalable, and secure.
* Maintain documentation and data dictionaries for all models and reports.
**Qualifications**
* Bachelor’s or Master’s degree in Data Science, Statistics, Finance, Economics, Computer Science, or related field.
* 5\+ years of experience in a data science or analytics role, preferably within a professional services or consulting firm.
* Proficiency in Python, R, or SQL for data analysis and modeling.
* Experience with BI tools (Power BI, Tableau, etc.).
* Familiarity with financial systems (e.g., NetSuite, SAP, Oracle) and operational platforms.
* Knowledge of cloud platforms (Azure, AWS, GCP) is a plus.
* Knowledge of data warehouse technology such as Snowflake, Data Bricks, or Google Big Query
* Ability to read and modify SQL queries
* Experience with machine learning techniques applied to financial forecasting or operational optimization.
* Understanding of professional services metrics such as utilization, billability, margin, and revenue recognition.
* Exposure to Agile methodologies and data governance practices.
* Excellent communication skills (internal and external).
* Experience working in a secure environment and familiar with security concepts.
* Ability to work independently and manage multiple priorities in a fast\-paced environment.
* Proven ability to successfully deliver a quality product on time
* Thrives in dynamic, fast\-paced, and ambiguous environments, demonstrating adaptability and resilience.
* Self\-starter with the ability to work independently, prioritize effectively, and manage multiple projects without direction.
* Exceptional communication skills coupled with strong critical thinking and problem\-solving abilities and the ability to interface confidently with executives.
* Flexible and adaptable work style, with a willingness to adjust to changing priorities and business needs.
**Physical Requirements**
* Must be able to read, write, speak \&amp; comprehend English
* Must be able to communicate clearly in person and over the telephone
* Visual acuity adequate to perform job duties, including reading information from printed sources and computer screen
**Compensation:**
 Salary range: $110,000 \- 140,000\. This is what we reasonably expect to pay for the role
 The pay scale for this role considers a wide range of factors when making compensation decisions including, but not limited to, skill sets, experience and training, licensure and certifications, and other business and organizational needs. Please note, the disclosed pay scale estimate has not been adjusted for the applicable geographic location where the position may be filled. You may also be eligible to participate in a discretionary incentive bonus program which is dependent on various factors, including, but not limited to individual and organizational performance.
**Equal Employment Opportunity**
 It is Partner Engineering and Science, Inc’s (The Company) policy is to provide equal employment opportunity for all applicants and employees. The company maintains a work environment that is free of harassment, discrimination, or retaliation based on an individual’s race (including, but not limited to, hair texture and protective hairstyles such as braids, locks, and twists), color, religion, religious creed (including religious dress and grooming practices), national origin, ancestry, citizenship, physical or mental disability, medical condition (including cancer and genetic characteristics), genetic information, marital status, sex (including pregnancy, childbirth, breastfeeding, or related medical conditions), gender (including gender identity and gender expression), age (40 years and over), sexual orientation, veteran and/or military status, protected medical leaves (requesting or approved for leave under the Family and Medical Leave Act or the California Family Rights Act), reproductive health decision making, domestic violence victim status, political affiliation, or any other status protected by federal, state, or local laws.
 We will consider qualified applicants who have criminal histories in a manner consistent with the law.
**California Consumer Privacy Act**
 We collect personal information from you in connection with your application for employment with Partner Engineering and Science, Inc. For details on what personal information we collect and the purposes for which we collect it, please visit:
 https://www.partneresi.com/careers/california\-consumer\-privacy\-act/</t>
        </is>
      </c>
    </row>
    <row r="49">
      <c r="A49" t="inlineStr">
        <is>
          <t>li-4360726320</t>
        </is>
      </c>
      <c r="B49" t="inlineStr">
        <is>
          <t>Data Scientist</t>
        </is>
      </c>
      <c r="C49" t="inlineStr">
        <is>
          <t>Commence</t>
        </is>
      </c>
      <c r="D49" t="inlineStr">
        <is>
          <t>linkedin</t>
        </is>
      </c>
      <c r="E49">
        <f>HYPERLINK("https://www.linkedin.com/jobs/view/4360726320", "https://www.linkedin.com/jobs/view/4360726320")</f>
        <v/>
      </c>
      <c r="F49" t="inlineStr"/>
      <c r="G49" t="inlineStr"/>
      <c r="H49" t="inlineStr"/>
      <c r="I49" t="inlineStr">
        <is>
          <t>Job Type
 Full\-time
**Description**
 At Commence, we’re the start of a new age of data\-centric transformation, elevating health outcomes and powering better, more efficient process to program and patient health. We combine quality data\-driven solutions that fuel answers, technology that advances performance, and clinical expertise that builds trust to create a more efficient path to quality care.
 With human\-centered, healthcare\-relevant, and value\-based solutions, we create new possibilities with data. We provide proof beyond the concept and performance beyond the scope with a focus on efficiencies that transform the lives of those we serve. With a culture driven by purpose, straightforward communication and clinical domain expertise, Commence cuts straight to better care.
**Requirements**
 The Data Scientist combines advanced analytics and machine learning with deep domain knowledge to generate clinical and operational insights, build predictive models, and support decision\-making across the healthcare ecosystem. The ideal candidate will be adept at working with complex datasets (e.g., EHRs, claims, FHIR), collaborating cross\-functionally, and ensuring data use aligns with regulatory and ethical standards.
* Prepare and analyze large and complex datasets to identify trends, patterns, and insights that drive business decisions.
* Develop, implement, and optimize machine learning models, including Generative AI, for predictive analytics, classification, and other applications.
* Apply statistical techniques to analyze data and build models that forecast future trends and behaviors (e.g., risk stratification, disease progression, readmission likelihood).
* Create compelling data visualizations and dashboards to effectively communicate findings and insights to stakeholders.
* Connect and match within and across data sources both internal/ external to augment and enhance analyses.
* Work closely with cross\-functional teams, including data engineers, software developers, and business analysts, to gather requirements and deliver data solutions.
* Stay current with industry trends and advancements in data science and integrate new techniques and tools into existing workflows. Identify, review, and execute impactful analytical approaches from industry whitepapers.
* Translate complex data into actionable insights to support clinical decision\-making, care optimization, and operational efficiency, often through dashboards or reports.
* Collaborate with clinicians, informaticists, and SMEs to derive relevant features from health data, such as comorbidity indices, lab value trajectories, or time\-to\-treatment measures.
* Ensure data use complies with HIPAA, 42 CFR Part 2, and other applicable regulations. Apply de\-identification, data masking, or differential privacy techniques when needed.
* Help define and sometimes implement workflows for data acquisition, preprocessing, and model inference pipelines, often in cloud\-based environments (e.g., AWS, Azure).
* Identify and mitigate potential biases in data or models, and ensure outputs are interpretable by clinical or policy stakeholders.
* Monitor model performance over time and retrain or recalibrate as necessary to maintain accuracy and relevance in evolving clinical environments.
**Basic Qualifications**
* Bachelor’s degree in Data Science, Computer Science, Statistics, Mathematics, or a related field; Master’s or PhD preferred.
* Minimum of 4 years of experience in data science or a related field.
* Proficiency in programming languages such as Python, R, or SQL.
* Demonstrated experience practically leveraging and deploying AI/ML models to production.
* Working knowledge of Generative AI tuning and implementation techniques and toolsets i.e. AWS Bedrock, LangChain, Anthropic MCP, and LlamaIndex.
* Experience with big data frameworks/ toolsets such as Apache Spark, Databricks, and AWS EMR Studio.
* Experience with AI/ machine learning libraries and frameworks (e.g., TensorFlow, Scikit\-Learn, PyTorch, and Spark ML Flow).
* Experience working with healthcare datasets such as EHRs, medical claims, FHIR, HL7, or patient\-reported outcomes
* Familiarity with healthcare regulations and standards (e.g., HIPAA, 42 CFR Part 2, HEDIS, CMS measures)
* Demonstrated experience working with Notebook tools such as Databricks/ Jupyter.
* Strong understanding of statistical analysis and modeling techniques.
* Experience with data visualization tools (e.g., Amazon Quicksight, Power BI, Matplotlib).
* Excellent problem\-solving skills and attention to detail.
* Strong communication and interpersonal skills, with the ability to work effectively with diverse teams and stakeholders.
**Preferred Qualifications**
* AI/ ML certifications.
* Familiarity with Databricks, Snowflake, or other modern data platforms
* Understanding of data governance and security frameworks relevant to healthcare (e.g., NIST, HITRUST)
* Prior experience working with government agencies (e.g., CMS, VA, DoD) or payer/provider organizations
* Knowledge of healthcare delivery systems and policy frameworks
 Commence is an equal employment opportunity employer. All personnel processes are merit\-based and applied without discrimination on the basis of race, color, religion, sex, sexual orientation, gender identity, marital status, age, disability, national or ethnic origin, military and veteran status or any other characteristic protected by applicable law.
 If you need assistance or an accommodation due to a disability, you may contact us at 757\-306\-4920 or hr@commence.ai
 Salary Description
 $115K\-$150K</t>
        </is>
      </c>
    </row>
    <row r="50">
      <c r="A50" t="inlineStr">
        <is>
          <t>li-4361247893</t>
        </is>
      </c>
      <c r="B50" t="inlineStr">
        <is>
          <t>Data Scientist, AI Engineering</t>
        </is>
      </c>
      <c r="C50" t="inlineStr">
        <is>
          <t>Candidly</t>
        </is>
      </c>
      <c r="D50" t="inlineStr">
        <is>
          <t>linkedin</t>
        </is>
      </c>
      <c r="E50">
        <f>HYPERLINK("https://www.linkedin.com/jobs/view/4361247893", "https://www.linkedin.com/jobs/view/4361247893")</f>
        <v/>
      </c>
      <c r="F50" t="inlineStr"/>
      <c r="G50" t="inlineStr"/>
      <c r="H50" t="inlineStr"/>
      <c r="I50" t="inlineStr">
        <is>
          <t>**Company Description**
 Candidly was founded in 2016 to flip the script on what it means to plan, borrow, repay, and save for college. Today, we’re the category leader with the market’s most comprehensive AI\-driven student debt and savings optimization platform. We partner with hundreds of top employers, financial institutions, and retirement record keepers, positioning Candidly to serve more than 35 million Americans.
 We’re already achieving incredible results — to date, we’ve helped our users get on track to eliminate more than $1\.8B in student debt and pay off their loans 175,000 years quicker — and we’re seeking movers, shakers, innovators, and problem solvers to help take our mission even further.
 Candidly is a high\-growth, Series B startup, funded by leading investors including Altos Ventures, Aflac, Salesforce Ventures, UBS, Equal Opportunity Ventures, Impact Engine, Rethink Impact, Unum, and Cercano Management. Our fully remote, international team of 70 (and counting) includes alumni from Google, UBS, Twitter, Plaid, Prudential, LendingTree, Morgan Stanley, Deutsche Bank, and more.
**Job Description**
 As a Data Scientist focusing on AI Engineering at Candidly, you will primarily work on designing, developing, and deploying AI agents that enhance our financial wellness platform and serve our clients. You will partner closely with the product and engineering teams to create products and features that leverage Generative AI to enhance the user experience and improve engagement. You will contribute to projects ranging from designing and developing new AI agents, enhancing our existing agents in production, including evaluations, and contributing to Candidly’s AI platform as a backend engineer.
**What You'll Do**
* Agent Development: Design, build, and deploy AI Agents including custom tools, prompt engineering, orchestration workflows, and agent design patterns.
* Agent Evaluation and Tuning: Design evaluation strategies and metrics for assessing the efficacy of AI agents as well as identifying common failure modes. Ensure AI agents and systems are reliable and provide a good user experience.
* AI Platform Development: Contribute to the backend infrastructure powering Candidly's AI capabilities, including API development, data integrations, and data pipelines.
* Research \&amp; Innovation: Stay on the cutting edge of advancements in Generative AI space and evaluate new techniques for application within the Candidly AI platform.
* Stakeholder Collaboration: Work closely with stakeholders across product, design, engineering, and leadership to translate complex AI concepts into actionable strategies and features.
* Data Storytelling: Present findings and insights in a compelling way to both technical and non\-technical audiences, contributing to strategic decision\-making.
**What We're Looking For** 
* Experience: 2\-5 years of experience in a data science, data engineer, machine learning engineer, or backend engineer role.
* Technical Skills:
+ Strong programming skills in Python and proficiency with libraries such as LangGraph, PyTorch, FastAPI, SQLAlchemy, Pandas \+ Numpy.
+ Strong understanding of agentic systems, AI agent design patterns, and best practices for evaluating AI agents. Including, but not limited to, multi\-agent systems and parallelized agentic workflows.
+ Hands on experience with foundational model APIs (OpenAI / Anthropic / Gemini) and at least one AI Agent framework (LangGraph / CrewAI / Pydantic AI).
+ Hands on experience with database systems especially in regard to vector databases and Retrieval Augmented Generation (RAG) approaches.
+ Previous experience working in a production environment and deploying code to production for example machine learning models, data pipelines, or AI agents.
+ Intermediate level data and analytical skills, with at least some familiarity of SQL and data visualization.
+ Familiarity with software development practices and tools, such as code reviews, GitHub / GitLab, and Jira.
+ Familiarity with backend systems with a focus on serving Generative AI applications.
+ Basic knowledge of web systems with a focus on understanding how AI agents operate within both a web backend and frontend.
+ Basic knowledge of cloud platforms (AWS).
* Soft Skills:
+ Strong communication skills and ability to explain complex concepts to non\-technical stakeholders.
+ High adaptability and comfort working in a dynamic, fast\-paced startup environment.
+ Proactive, with a passion for building impactful solutions that address real\-world challenges.
+ A love of experimenting and working with new tools and technologies
**Preferred Qualifications**
* Experience in FinTech, financial services, or consumer lending domains.
* Strong enough technical ability to own and deploy projects end to end.
* Previous experience deploying and evaluating AI agents in a production setting.
**Background and EEOC**
 Candidly offers for employment are conditioned upon satisfactory completion of our employment screening process (including, but not limited to, a review of past employment and education records, background investigation, and/or credit check \&amp; fingerprints).
 Candidly strives to foster an environment where every employee can succeed. As an Equal Opportunity Employer we do not discriminate on the basis of race, religion, color, sex, sexual orientation, gender identity, gender expression, national origin, age, non\-disqualifying physical or mental disability, veteran status, or any other basis covered by applicable law. All employment is decided on the basis of qualifications, merit, and business need.</t>
        </is>
      </c>
    </row>
    <row r="51">
      <c r="A51" t="inlineStr">
        <is>
          <t>li-4352677468</t>
        </is>
      </c>
      <c r="B51" t="inlineStr">
        <is>
          <t>Data Scientist</t>
        </is>
      </c>
      <c r="C51" t="inlineStr">
        <is>
          <t>Barclays</t>
        </is>
      </c>
      <c r="D51" t="inlineStr">
        <is>
          <t>linkedin</t>
        </is>
      </c>
      <c r="E51">
        <f>HYPERLINK("https://www.linkedin.com/jobs/view/4352677468", "https://www.linkedin.com/jobs/view/4352677468")</f>
        <v/>
      </c>
      <c r="F51" t="inlineStr"/>
      <c r="G51" t="inlineStr">
        <is>
          <t>Henderson, NV</t>
        </is>
      </c>
      <c r="H51" t="inlineStr"/>
      <c r="I51" t="inlineStr">
        <is>
          <t>Embark on a transformative journey as a Data Scientist. At Barclays, our vision is clear – to redefine the future of banking and help craft innovative solutions. As a Data Scientist within USCB Operations, you will enhance our modeling and analytics capabilities by designing, developing, and deploying Machine Learning, Generative, and Agentic AI models. Your work will focus on improving operational efficiency, elevating customer and colleague experiences, and supporting strategic decision\-making. This role involves building large\-scale data pipelines, utilizing cloud infrastructure (primarily AWS), and applying generative AI techniques to drive innovation. You’ll collaborate across teams to turn complex data into actionable insights and scalable solutions.
 To be successful as a Data Scientist, you should have:
* Relevant knowledge in areas such as data science, computer science, statistics, or other related technical fields
* Experience building and deploying machine learning models using Python or similar languages in cloud environments
* A solid understanding of data exploration techniques and working with streaming data pipelines
* Familiarity with AWS services such as S3, SageMaker, Lambda, and Bedrock to support data science workflows
**Some Other Highly Valued Skills May Include**
* Exposure to generative and agentic AI frameworks, including techniques for fine\-tuning and orchestration
* Familiarity with MLOps practices and tools for model lifecycle management
* Prior experience in financial services, risk modeling, or operational analytics
 You may be assessed on the key critical skills relevant for success in this role, such as risk and controls, change and transformation, business acumen, strategic thinking, digital and technology, as well as job\-specific technical skills.
 This role is located in Henderson, NV and Whippany, NJ.
**Salary For Henderson, NV**
 Minimum Salary: $110,000
 Maximum Salary: $155,000
 The minimum and maximum salary/rate information above include only base salary or base hourly rate. It does not include any other type of compensation or benefits that may be available.
**Salary For Whippany, NJ**
 Minimum Salary: $110,000
 Maximum Salary: $155,000
 The minimum and maximum salary/rate information above include only base salary or base hourly rate. It does not include any other type of compensation or benefits that may be available.
 Barclays employees are eligible for a suite of competitive and generous employee benefits, including medical, dental and vision coverage, 401(k), life insurance, and other paid leave for qualifying circumstances.
 This position is eligible for an incentive award.
**Purpose of the role**
 To use innovative data analytics and machine learning techniques to extract valuable insights from the bank's data reserves, leveraging these insights to inform strategic decision\-making, improve operational efficiency, and drive innovation across the organisation.
**Accountabilities**
* Identification, collection, extraction of data from various sources, including internal and external sources.
* Performing data cleaning, wrangling, and transformation to ensure its quality and suitability for analysis.
* Development and maintenance of efficient data pipelines for automated data acquisition and processing.
* Design and conduct of statistical and machine learning models to analyse patterns, trends, and relationships in the data.
* Development and implementation of predictive models to forecast future outcomes and identify potential risks and opportunities.
* Collaborate with business stakeholders to seek out opportunities to add value from data through Data Science.
**Assistant Vice President Expectations**
* To advise and influence decision making, contribute to policy development and take responsibility for operational effectiveness. Collaborate closely with other functions/ business divisions.
* Lead a team performing complex tasks, using well developed professional knowledge and skills to deliver on work that impacts the whole business function. Set objectives and coach employees in pursuit of those objectives, appraisal of performance relative to objectives and determination of reward outcomes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lead collaborative assignments and guide team members through structured assignments, identify the need for the inclusion of other areas of specialisation to complete assignments. They will identify new directions for assignments and/ or projects, identifying a combination of cross functional methodologies or practices to meet required outcomes.
* Consult on complex issues; providing advice to People Leaders to support the resolution of escalated issues.
* Identify ways to mitigate risk and developing new policies/procedures in support of the control and governance agenda.
* Take ownership for managing risk and strengthening controls in relation to the work done.
* Perform work that is closely related to that of other areas, which requires understanding of how areas coordinate and contribute to the achievement of the objectives of the organisation sub\-function.
* Collaborate with other areas of work, for business aligned support areas to keep up to speed with business activity and the business strategy.
* Engage in complex analysis of data from multiple sources of information, internal and external sources such as procedures and practises (in other areas, teams, companies, etc).to solve problems creatively and effectively.
* Communicate complex information. 'Complex' information could include sensitive information or information that is difficult to communicate because of its content or its audience.
* Influence or convince stakeholders to achieve outcomes.
 All colleagues will be expected to demonstrate the Barclays Values of Respect, Integrity, Service, Excellence and Stewardship – our moral compass, helping us do what we believe is right. They will also be expected to demonstrate the Barclays Mindset – to Empower, Challenge and Drive – the operating manual for how we behave.</t>
        </is>
      </c>
    </row>
    <row r="52">
      <c r="A52" t="inlineStr">
        <is>
          <t>li-4352770228</t>
        </is>
      </c>
      <c r="B52" t="inlineStr">
        <is>
          <t>Jr. Data Scientist</t>
        </is>
      </c>
      <c r="C52" t="inlineStr">
        <is>
          <t>OSC Global</t>
        </is>
      </c>
      <c r="D52" t="inlineStr">
        <is>
          <t>linkedin</t>
        </is>
      </c>
      <c r="E52">
        <f>HYPERLINK("https://www.linkedin.com/jobs/view/4352770228", "https://www.linkedin.com/jobs/view/4352770228")</f>
        <v/>
      </c>
      <c r="F52" t="inlineStr"/>
      <c r="G52" t="inlineStr"/>
      <c r="H52" t="inlineStr"/>
      <c r="I52" t="inlineStr">
        <is>
          <t>\*\* To be considered for this opportunity, an application must be submitted through the OSC Global career site\*\*
**Company Background/Overview** 
 In 2024, OSC Global, LLC was formed as a wholly owned subsidiary of Cook Inlet Region, Inc. (CIRI), an Alaska Native Corporation. CIRI’s mission is to promote the economic and social well\-being and Alaska Native heritage of its Shareholders, now and into the future, through prudent stewardship of the company’s resources, while furthering self\-sufficiency among CIRI Shareholders and their families.
 OSC Global, LLC is a parent company to a family of companies that provides IT/cyber enterprise management and professional services to support federal, state, and commercial customers. OSC Global and its subsidiaries employ approximately 500 professionals in the United States and seven other countries.
**Position Overview** 
 The Jr. Data Scientist will work within the Chief Cyber Security Products Officer's (CCPO) office to support leadership through data\-driven insights. This role will analyze operational and financial data, build predictive models and present findings that inform decision\-making across OSC Global’s operating companies.
**Key Responsibilities** 
* Collect, clean and transform large datasets from various operational and financial systems.
* Develop data visualizations, dashboards and reports that support operational efficiency and financial insights.
* Build and test statistical and machine learning models to identify trends, forecast performance and support resource planning.
* Collaborate with the executive and departmental leaders to understand data needs and deliver actionable insights.
* Document methodologies and present results to technical and non\-technical audiences.
* Support ongoing process improvement initiatives and help identify opportunities for automation or operational efficiency.
* Maintain data integrity and confidentiality, adhering to relevant compliance and security standards.
* Perform other duties as appropriate and as assigned.
**Knowledge/Skills/Abilities** 
* Ability to understand and fulfill OSC Global’s mission, vision and strategic focus by incorporating knowledge into daily activities.
* General knowledge of data analysis tools such as Python, R, SQL and visualization tools
* Strong analytical and problem\-solving skills with a keen attention to detail.
* Ability and willingness to learn and quickly adapt to new information and processes.
* Ability to work independently and collaboratively in a fast\-paced environment.
* Knowledge of statistical analysis, predictive modeling, or operations research methods.
* Excellent communication skills and ability to explain technical concepts to non\-technical stakeholders.
* Excellent written and verbal communications skills, including thorough knowledge of proper grammar, advanced vocabulary, spelling, editing and proofreading skills.
* Broad understanding of the business objectives of OSC Global, its subsidiaries and how these objectives relate to and meet CIRI’s enterprise objectives.
* Superior organizational, follow\-up and detail\-oriented skills.
* Proficient using Microsoft Office products.
**Physical Abilities** 
* Sufficient fine motor skills for use of computers, calculators with an ability to withstand repetitive keyboarding for extended periods of time.
* Visual and communication ability adequate to perform the essential functions of the job.
* Ability to kneel, bend and twist at the waist on an occasional basis.
* Ability to reach below shoulder height with regular frequency (desk position) and at or above shoulder height on occasion.
* Ability to push, pull, carry and lift objects weighing up to 10 pounds on a regular basis, and greater weights on an occasional basis.
* Ability to safely operate a motor vehicle and travel by motor vehicle and aircraft.
**Minimum Qualifications** 
* High school diploma or GED equivalent
* Currently pursuing or recently completed degree in Data Science, Statistics, Computer Science, Finance or a related field.
* Proficient in data analysis tools such as Python, R, SQL and visualization tools (e.g., Power BI, Tableau).
* Must be a U.S. citizen
* Ability to pass pre\-employment background check
* Ability to obtain security clearance
**Preferred Qualifications** 
* Familiarity with government contracting or regulated industries.
* Coursework or experience in finance, economics, or accounting.
* Experience with cloud\-based data platforms or big data technologies.
 OSC Global, LLC does not discriminate, and the company provides equal employment opportunity for all employees and applicants without regard to race, religion, color, sex, gender, sexual orientation, national origin, citizenship status, age, marital status, pregnancy or parenthood, handicap or disability, genetics, veteran status or any other legally protected characteristic. OSC Global, LLC adheres to all federal, state and local laws regarding equal employment opportunity and will not discriminate against you in violation of these laws. OSC Global, LLC reserves the right to apply CIRI Shareholder preference to qualified Shareholders in employment and advancement opportunities.
 OSC Global participates in E\-Verify. We will provide the Social Security Administration (SSA) and, if necessary, the Department of Homeland Security (DHS), with information from each new employee's Form I\-9 to confirm work authorization.
 Reasonable Accommodation:
 OSC Global, LLC will provide reasonable accommodations, according to applicable state and federal laws, to all qualified individuals with physical or mental disabilities. In compliance with the ADA Amendments Act (ADAAA), if you have a disability and would like to request an accommodation in order to apply for a position with OSC Global, LLC or any of its subsidiaries, please email recruiting@ciri.com.</t>
        </is>
      </c>
    </row>
    <row r="53">
      <c r="A53" t="inlineStr">
        <is>
          <t>li-4326787294</t>
        </is>
      </c>
      <c r="B53" t="inlineStr">
        <is>
          <t>Data Scientist</t>
        </is>
      </c>
      <c r="C53" t="inlineStr">
        <is>
          <t>Sysco</t>
        </is>
      </c>
      <c r="D53" t="inlineStr">
        <is>
          <t>linkedin</t>
        </is>
      </c>
      <c r="E53">
        <f>HYPERLINK("https://www.linkedin.com/jobs/view/4326787294", "https://www.linkedin.com/jobs/view/4326787294")</f>
        <v/>
      </c>
      <c r="F53" t="inlineStr"/>
      <c r="G53" t="inlineStr">
        <is>
          <t>Houston, TX</t>
        </is>
      </c>
      <c r="H53" t="inlineStr"/>
      <c r="I53" t="inlineStr">
        <is>
          <t>**JOB SUMMARY**
 This role will apply advanced analytics to support the evaluation and development of new demand generation, assortment, costing, pricing and supply chain models. This will require expert ability in data acquisition (internal and external to Sysco), cleansing and manipulation; mathematical modeling; analytical and heuristic solution methods; and the ability to synthesize, visualize and communicate the result. This role will require close collaboration with other functions within the Enterprise Analytics and insights Team in addition to other functions within Sysco.
**RESPONSIBILITIES**
* Identify necessary data elements and their sources, leverage appropriate tools to acquire and consolidate large volumes of data from different internal and external sources, and identify and resolve any irrelevant, corrupt, missing, or incongruent data
* Identify and use appropriate advanced analytic tools, technologies and platforms to execute analysis against business requirements, including the ability to scale, deploy and distribute models across the enterprise as needed.
* Develop performance scorecards and dashboards to monitor the adoption, implementation, and impact of models and strategies.
* Work cross\-functionally with other roles within the Enterprise Analytics Team and the Sysco broadly to tune models and ensure value created from models.
* Work with Business Technology resources on API, front end, and down stream integration.
* Collaborate with business process owners to validate model outputs and construct an appropriate training
**QUALIFICATIONS**
 Education and / or Experience:
* Master’s degree or PhD or Bachelor’s degree \+ 3 years of industry experience in management consulting, strategy, analytics, at a specialized analytics company or in an analytics organization in a corporate setting.
* Degree should be in mathematics, statistics or computer science or related field; preferred from a top tier University.
* 1\-4 years of overall analytics experience, can be inclusive of post\-graduate work
* 2\+ years of experience accessing and manipulating data in SQL or NoSQL database environments
* 1\+ years of experience with scientific scripting languages (e.g., Python) and/or object\-oriented programming (e.g., C\+\+, Java)
* 2\+ years of experience with Bayesian statistics, regression analysis (beyond linear regression), supervised learning, unsupervised learning or time\-series analysis required
**Professional Skills** 
* Experience accessing and manipulating data in SQL or NoSQL database environments
* Experience with scientific scripting languages (e.g., Python) and/or object\-oriented programming (e.g., C\+\+, Java)
* Experience with regression analysis (beyond linear regression), supervised learning, unsupervised learning or time\-series analysis required</t>
        </is>
      </c>
    </row>
    <row r="54">
      <c r="A54" t="inlineStr">
        <is>
          <t>li-4361272521</t>
        </is>
      </c>
      <c r="B54" t="inlineStr">
        <is>
          <t>Senior Data Scientist, Algorithms - Central Market Management &amp; AI</t>
        </is>
      </c>
      <c r="C54" t="inlineStr">
        <is>
          <t>Lyft</t>
        </is>
      </c>
      <c r="D54" t="inlineStr">
        <is>
          <t>linkedin</t>
        </is>
      </c>
      <c r="E54">
        <f>HYPERLINK("https://www.linkedin.com/jobs/view/4361272521", "https://www.linkedin.com/jobs/view/4361272521")</f>
        <v/>
      </c>
      <c r="F54">
        <f>HYPERLINK("http://boards.greenhouse.io/lyft/jobs/8367635002?gh_src=dd08aaff2us&amp;urlHash=l5LT", "http://boards.greenhouse.io/lyft/jobs/8367635002?gh_src=dd08aaff2us&amp;urlHash=l5LT")</f>
        <v/>
      </c>
      <c r="G54" t="inlineStr">
        <is>
          <t>New York, NY</t>
        </is>
      </c>
      <c r="H54" t="inlineStr"/>
      <c r="I54" t="inlineStr">
        <is>
          <t>At Lyft, our purpose is to serve and connect. We aim to achieve this by cultivating a work environment where all team members belong and have the opportunity to thrive.
 The Central Market Management \&amp; AI (CMM\&amp;AI) team, a key part of the broader Rideshare Experience \&amp; Marketplace organization, is essential for maintaining a balanced and efficient marketplace. We do so by developing foundational models, business datasets, and decision\-making applications that support a wide range of teams across Lyft. These critical platforms and tools power our pricing logic, operational alignment, and regional strategies, enabling us to compete effectively in the Rideshare landscape.
 Data Scientists in CMM\&amp;AI solve the foundational problems that drive Lyft’s marketplace. From forecasting supply and demand to optimizing investments and measuring the ROI of growth levers, our work shapes both automated work processes and high\-level strategic decisions. Because our challenges are unique to a real\-time marketplace, we avoid off\-the\-shelf solutions in favor of creativity and first\-principles mathematical reasoning. We leverage a deep stack of technologies across forecasting, machine learning, inference, and optimization to deliver measurable impact.
 As a Data Scientist, you’ll be hands\-on with building ML models, productionizing pipelines, and integrating their outputs within decision\-making frameworks. You’ll help develop the vision and roadmaps, lead execution of projects, work closely with partner teams to build and scale our products and systems, and deliver on business goals. You are adept at balancing complexity and efficiency, moving fast with an entrepreneurial mindset, and being proactive to make things happen.
**Responsibilities:**
* Partner with Data Scientists, Engineers, Product Managers, and Business Partners to frame problems mathematically and within the business context
* Design, build, and deploy production\-grade ML models; collaborate with Software Engineering to integrate algorithms into live systems and establish robust monitoring for model performance and data health.
* Drive large\-scale technical projects from initial concept to high\-impact execution, ensuring alignment with business priorities.
* Serve as a thought leader and subject matter expert, providing coaching and technical guidance to elevate the team's capabilities.
* Champion high standards for code quality through well\-tested, maintainable code and the development of shared team components/libraries.
* Foster a data\-driven culture by presenting actionable insights and recommendations to senior leadership and cross\-functional stakeholders.
**Experience:**
**Basic Qualifications:**
* M.S. in Operations Research, Mathematics, Computer Science, Statistics, or other quantitative fields.
* 4\+ years of hands\-on experience developing and deploying machine learning models in a production environment.
* Strong interest in applying ML, optimization, and forecasting to financial, marketplace, and resource allocation challenges.
* Passion for the full model lifecycle, including performance monitoring, maintenance, and iterative improvement—refusing a "build and forget" mentality.
* Advanced proficiency in Python and SQL, with a focus on writing clean, maintainable, and well\-tested code.
* Passion for solving unstructured and non\-standard mathematical problems using first\-principles reasoning.
* End\-to\-end experience with data, including querying, aggregation, analysis, and visualization.
* Excellent communication skills and a track record of working closely with Software Engineers, Analysts, and Business Stakeholders to drive decision\-making.
**Preferred Qualifications:**
* PhD in Operations Research, Mathematics, Computer Science, Statistics, or other quantitative fields.
* Proven track record of delivering measurable business value through the full lifecycle of model development, including experimental design and causal inference.
* A demonstrated ability to choose the simplest effective solution—building complex models only when the incremental value justifies the technical debt and maintenance cost.
* Deep understanding of how various levers (e.g., pricing, incentives, supply positioning) influence marketplace equilibrium, and system\-wide dynamics.
* Experience influencing technical roadmaps and advising cross\-functional partners on the long\-term trade\-offs of different algorithmic approaches.
**Benefits:**
* Great medical, dental, and vision insurance options with additional programs available when enrolled
* Mental health benefits
* Family building benefits
* Child care and pet benefits
* 401(k) plan to help save for your future
* In addition to 12 observed holidays, salaried team members have discretionary paid time off, hourly team members have 15 days paid time off
* 18 weeks of paid parental leave. Biological, adoptive, and foster parents are all eligible
* Subsidized commuter benefits
* Lyft Pink \- Lyft team members get an exclusive opportunity to test new benefits of our Ridership Program
*Lyft is an equal opportunity employer committed to an inclusive workplace that fosters belonging. All qualified applicants will receive consideration for employment without regards to race, color, religion, sex, sexual orientation, gender identity, national origin, disability status, protected veteran status, age, genetic information, or any other basis prohibited by law. We also consider qualified applicants with criminal histories consistent with applicable federal, state and local law.*
*Lyft highly values having employees working in\-office to foster a collaborative work environment and company culture. This role will be in\-office on a hybrid schedule — Team Members will be expected to work in the office 3 days per week on Mondays, Wednesdays, and Thursdays. Lyft considers working in the office at least 3 days per week to be an essential function of this hybrid role. Your recruiter can share more information about the various in\-office perks Lyft offers. Additionally, hybrid roles have the flexibility to work from anywhere for up to 4 weeks per year. \#Hybrid*
*The expected base pay range for this position in the New York City area is $148,000\-$185,000, not inclusive of potential equity offering, bonus or benefits. Salary ranges are dependent on a variety of factors, including qualifications, experience and geographic location. Your recruiter can share more information about the salary range specific to your working location and other factors during the hiring process.*</t>
        </is>
      </c>
    </row>
    <row r="55">
      <c r="A55" t="inlineStr">
        <is>
          <t>li-4352536154</t>
        </is>
      </c>
      <c r="B55" t="inlineStr">
        <is>
          <t>Product Policy - Data Scientist</t>
        </is>
      </c>
      <c r="C55" t="inlineStr">
        <is>
          <t>OpenAI</t>
        </is>
      </c>
      <c r="D55" t="inlineStr">
        <is>
          <t>linkedin</t>
        </is>
      </c>
      <c r="E55">
        <f>HYPERLINK("https://www.linkedin.com/jobs/view/4352536154", "https://www.linkedin.com/jobs/view/4352536154")</f>
        <v/>
      </c>
      <c r="F55" t="inlineStr"/>
      <c r="G55" t="inlineStr">
        <is>
          <t>San Francisco, CA</t>
        </is>
      </c>
      <c r="H55" t="inlineStr"/>
      <c r="I55" t="inlineStr">
        <is>
          <t>**About The Team**
 The Product Research team partners closely with Product Management, Design, Engineering, and Policy to ensure OpenAI builds products that are useful, usable, and responsible. We help teams understand user needs, evaluate product concepts, and validate experiences across the full product lifecycle—from early exploration through launch and iteration.
 Our work directly informs how OpenAI’s products evolve, ensuring that we deliver experiences that meet real\-world needs while upholding OpenAI’s mission to ensure AI benefits all of humanity.
**About The Role**
 As a
 **Product Policy \- Data Scientist** 
 , you will design and lead high\-impact research that shapes OpenAI’s product strategy and user experience. You’ll work across multiple product teams to generate insights that influence product decisions, inform design direction, and improve how people interact with AI.
 You will own research from start to finish—partnering with stakeholders to define the right questions, choosing the best methods, executing studies, and turning findings into clear, actionable recommendations. This role requires someone who can balance rigor with speed, bring clarity to ambiguity, and confidently influence cross\-functional partners at all levels.
 This role is based in the
 **San Francisco Bay Area** 
 and requires being in the office
 **three days per week** 
 to collaborate closely with cross\-functional partners.
**We're Looking For People Who**
* Partner with product managers, designers, and engineers to identify and prioritize research opportunities that improve product decisions and user experience
* Design and execute high\-quality qualitative and quantitative research across all stages of product development, including foundational research, concept testing, prototyping, and usability testing
* Lead end\-to\-end research projects, from scoping and study design through recruitment, fieldwork, analysis, and reporting
* Translate complex research findings into clear, compelling insights that inform product strategy and design direction
* Present findings and recommendations to senior leadership and key stakeholders
* Balance rigor and speed by adapting methods to timelines while maintaining high standards for data quality and validity
**In This Role, You Will**
* 7\+ years of experience in user experience research, market research, or a related field
* Deep expertise in mixed\-methods research, with strong qualitative skills and the ability to conduct and analyze quantitative studies at scale
* Proven experience leading research that has shaped product or design decisions
* Exceptional written and verbal communication skills, with the ability to influence across disciplines and levels
* Experience working with senior stakeholders and cross\-functional teams
**You Might Thrive In This Role If. You**
* Experience with advanced quantitative methods (e.g., MaxDiff, conjoint, segmentation)
* Experience working with executive audiences or large enterprise clients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t>
        </is>
      </c>
    </row>
    <row r="56">
      <c r="A56" t="inlineStr">
        <is>
          <t>li-4360777061</t>
        </is>
      </c>
      <c r="B56" t="inlineStr">
        <is>
          <t>Senior Data Scientist, Algorithms - Central Market Management &amp; AI</t>
        </is>
      </c>
      <c r="C56" t="inlineStr">
        <is>
          <t>Lyft</t>
        </is>
      </c>
      <c r="D56" t="inlineStr">
        <is>
          <t>linkedin</t>
        </is>
      </c>
      <c r="E56">
        <f>HYPERLINK("https://www.linkedin.com/jobs/view/4360777061", "https://www.linkedin.com/jobs/view/4360777061")</f>
        <v/>
      </c>
      <c r="F56" t="inlineStr"/>
      <c r="G56" t="inlineStr">
        <is>
          <t>San Francisco County, CA</t>
        </is>
      </c>
      <c r="H56" t="inlineStr"/>
      <c r="I56" t="inlineStr">
        <is>
          <t>At Lyft, our purpose is to serve and connect. We aim to achieve this by cultivating a work environment where all team members belong and have the opportunity to thrive.
 The Central Market Management \&amp; AI (CMM\&amp;AI) team, a key part of the broader Rideshare Experience \&amp; Marketplace organization, is essential for maintaining a balanced and efficient marketplace. We do so by developing foundational models, business datasets, and decision\-making applications that support a wide range of teams across Lyft. These critical platforms and tools power our pricing logic, operational alignment, and regional strategies, enabling us to compete effectively in the Rideshare landscape.
 Data Scientists in CMM\&amp;AI solve the foundational problems that drive Lyft’s marketplace. From forecasting supply and demand to optimizing investments and measuring the ROI of growth levers, our work shapes both automated work processes and high\-level strategic decisions. Because our challenges are unique to a real\-time marketplace, we avoid off\-the\-shelf solutions in favor of creativity and first\-principles mathematical reasoning. We leverage a deep stack of technologies across forecasting, machine learning, inference, and optimization to deliver measurable impact.
 As a Data Scientist, you’ll be hands\-on with building ML models, productionizing pipelines, and integrating their outputs within decision\-making frameworks. You’ll help develop the vision and roadmaps, lead execution of projects, work closely with partner teams to build and scale our products and systems, and deliver on business goals. You are adept at balancing complexity and efficiency, moving fast with an entrepreneurial mindset, and being proactive to make things happen.
**Responsibilities:**
* Partner with Data Scientists, Engineers, Product Managers, and Business Partners to frame problems mathematically and within the business context
* Design, build, and deploy production\-grade ML models; collaborate with Software Engineering to integrate algorithms into live systems and establish robust monitoring for model performance and data health.
* Drive large\-scale technical projects from initial concept to high\-impact execution, ensuring alignment with business priorities.
* Serve as a thought leader and subject matter expert, providing coaching and technical guidance to elevate the team's capabilities.
* Champion high standards for code quality through well\-tested, maintainable code and the development of shared team components/libraries.
* Foster a data\-driven culture by presenting actionable insights and recommendations to senior leadership and cross\-functional stakeholders.
**Experience:**
**Basic Qualifications:**
* M.S. in Operations Research, Mathematics, Computer Science, Statistics, or other quantitative fields.
* 4\+ years of hands\-on experience developing and deploying machine learning models in a production environment.
* Strong interest in applying ML, optimization, and forecasting to financial, marketplace, and resource allocation challenges.
* Passion for the full model lifecycle, including performance monitoring, maintenance, and iterative improvement—refusing a "build and forget" mentality.
* Advanced proficiency in Python and SQL, with a focus on writing clean, maintainable, and well\-tested code.
* Passion for solving unstructured and non\-standard mathematical problems using first\-principles reasoning.
* End\-to\-end experience with data, including querying, aggregation, analysis, and visualization.
* Excellent communication skills and a track record of working closely with Software Engineers, Analysts, and Business Stakeholders to drive decision\-making.
**Preferred Qualifications:**
* PhD in Operations Research, Mathematics, Computer Science, Statistics, or other quantitative fields.
* Proven track record of delivering measurable business value through the full lifecycle of model development, including experimental design and causal inference.
* A demonstrated ability to choose the simplest effective solution—building complex models only when the incremental value justifies the technical debt and maintenance cost.
* Deep understanding of how various levers (e.g., pricing, incentives, supply positioning) influence marketplace equilibrium, and system\-wide dynamics.
* Experience influencing technical roadmaps and advising cross\-functional partners on the long\-term trade\-offs of different algorithmic approaches.
**Benefits:**
* Great medical, dental, and vision insurance options with additional programs available when enrolled
* Mental health benefits
* Family building benefits
* Child care and pet benefits
* 401(k) plan to help save for your future
* In addition to 12 observed holidays, salaried team members have discretionary paid time off, hourly team members have 15 days paid time off
* 18 weeks of paid parental leave. Biological, adoptive, and foster parents are all eligible
* Subsidized commuter benefits
* Lyft Pink \- Lyft team members get an exclusive opportunity to test new benefits of our Ridership Program
*Lyft is an equal opportunity employer committed to an inclusive workplace that fosters belonging. All qualified applicants will receive consideration for employment without regards to race, color, religion, sex, sexual orientation, gender identity, national origin, disability status, protected veteran status, age, genetic information, or any other basis prohibited by law. We also consider qualified applicants with criminal histories consistent with applicable federal, state and local law.*
*Lyft highly values having employees working in\-office to foster a collaborative work environment and company culture. This role will be in\-office on a hybrid schedule — Team Members will be expected to work in the office 3 days per week on Mondays, Wednesdays, and Thursdays. Lyft considers working in the office at least 3 days per week to be an essential function of this hybrid role. Your recruiter can share more information about the various in\-office perks Lyft offers. Additionally, hybrid roles have the flexibility to work from anywhere for up to 4 weeks per year. \#Hybrid*
*The expected base pay range for this position in the San Francisco area is $148,000\-$185,000, not inclusive of potential equity offering, bonus or benefits. Salary ranges are dependent on a variety of factors, including qualifications, experience and geographic location. Your recruiter can share more information about the salary range specific to your working location and other factors during the hiring process.*</t>
        </is>
      </c>
    </row>
    <row r="57">
      <c r="A57" t="inlineStr">
        <is>
          <t>li-4354752674</t>
        </is>
      </c>
      <c r="B57" t="inlineStr">
        <is>
          <t>Senior Data Scientist, Ecosystems</t>
        </is>
      </c>
      <c r="C57" t="inlineStr">
        <is>
          <t>Patreon</t>
        </is>
      </c>
      <c r="D57" t="inlineStr">
        <is>
          <t>linkedin</t>
        </is>
      </c>
      <c r="E57">
        <f>HYPERLINK("https://www.linkedin.com/jobs/view/4354752674", "https://www.linkedin.com/jobs/view/4354752674")</f>
        <v/>
      </c>
      <c r="F57">
        <f>HYPERLINK("https://jobs.ashbyhq.com/patreon/82134a50-1b1b-4159-9247-8357741ddca6?utm_source=zom5wB2RdZ&amp;urlHash=oYaE", "https://jobs.ashbyhq.com/patreon/82134a50-1b1b-4159-9247-8357741ddca6?utm_source=zom5wB2RdZ&amp;urlHash=oYaE")</f>
        <v/>
      </c>
      <c r="G57" t="inlineStr">
        <is>
          <t>San Francisco, CA</t>
        </is>
      </c>
      <c r="H57" t="inlineStr"/>
      <c r="I57" t="inlineStr">
        <is>
          <t>Patreon is a media and community platform where over 300,000 creators give their biggest fans access to exclusive work and experiences. We offer creators a variety of ways to engage with their fans and build a lasting business including: paid memberships, free memberships, community chats, live video, and selling to fans directly with one\-time purchases.
 Ultimately our goal is simple: fund the creative class. And we're leaders in that space, with:
* $10 billion\+ generated by creators since Patreon's inception
* 100 million\+ free memberships for fans who may not be ready to pay just yet, and
* 25 million\+ paid memberships on Patreon today.
 We're continuing to invest heavily in building the best creator platform with the best team in the creator economy and are looking for a
 **Senior Data Scientist** 
 to support our mission.
*This role is based in
 **New York or San Francisco** 
 and open to those who are able to be in\-office 2 days per week on a hybrid work model.*
**About The Role**
* You’ll work in lock step with your cross\-functional team to build product features that help creators improve their membership monetization.
* You’ll conduct quantitative research to inform product strategy and opportunities, design metrics to help track goals and make decisions, devise learning methods (including experiments) to test hypotheses, and work closely with our machine learning and data engineering teams on building MVP user\-facing data products.
* You'll translate data into actionable insights and communicate your technical work to the data team, your cross\-functional partners, executive leadership, and the rest of the company.
* You’ll be a cultural and technical leader on the data science team.
**About You**
* Bachelor's degree in Statistics, Economics, Engineering, Mathematics, a related quantitative field, or equivalent practical experience.
* You have a wealth of experience helping product teams make great decisions with data.
* You are an experimentation expert and possess a very strong statistical inference skillset.
* You have solid analytical thinking. You ask the right questions and strive to see beyond the numbers to understand what an analysis represents in terms of real\-world applications.
* You have experience making tradeoffs between speed and accuracy.
* You are a SQL expert and have experience in Python or R to perform statistical analyses.
* You have a track record of building strong relationships with product, engineering, research, and design teammates.
* You have a growth mindset and aspire to continuously improve your soft and technical skills.
* You are an expert communicator with a love for clarity and simplicity.
**About Patreon**
 Patreon powers creators to do what they love and get paid by the people who love what they do. Our team is passionate about making this mission and our core values come to life every day in our work. Through this work, our Patronauts:
* Put Creators First \| They’re the reason we’re here. When creators win, we win.
* Build with Craft \| We sign our name to every deliverable, just like the creators we serve.
* Make it Happen \| We don’t quit. We learn and deliver.
* Win Together \| We grow as individuals. We win as a team.
 We hire talented and passionate people from different backgrounds because workplace diversity and inclusion is critical to our ability to serve creators worldwide. If you’re excited about a role but your past experience doesn’t match with every bullet point outlined above, we strongly encourage you to apply anyway. If you’re a creator at heart, are energized by our mission, and share our company values, we’d love to hear from you.
*Patreon is proud to be an equal opportunity employer. We provide employment opportunities without regard to age, race, color, ancestry, national origin, religion, disability, sex, gender identity or expression, sexual orientation, veteran status, or any other protected class. If you need a reasonable accommodation during the interview process, please let us know via email at accomodations@patreon.*
*Patreon offers a competitive benefits package including and not limited to salary, equity plans, healthcare, flexible time off, company holidays and recharge days, commuter benefits, lifestyle stipends, learning and development stipends, patronage, parental leave, and 401k plan with matching.*
*Patreon operates under a hybrid work model, where employees based in office locations are expected to come into the office two days per week, excluding sick time and paid leave. The goal of this policy is to be intentional about the in\-person time we spend together to strengthen the feeling of community at Patreon. Candidates hired into remote\-eligible roles are not expected to meet the same requirements.*
*At Patreon, we believe in fair and transparent pay. In compliance with New York and California pay transparency laws, we are sharing the expected salary range for this role.*
*The posted salary range is dependent on the location and the level. This range may encompass multiple levels within the role’s job family. The final offer will be based on candidate’s experience, skills, competencies, and geographic location, aligning with the appropriate job level within Patreon’s leveling framework. For remote employees located outside CA and NY, salary may vary based on location and local market conditions.*
*Patreon reserves the right to modify or update compensation and benefits at any time.*</t>
        </is>
      </c>
    </row>
    <row r="58">
      <c r="A58" t="inlineStr">
        <is>
          <t>li-4360767850</t>
        </is>
      </c>
      <c r="B58" t="inlineStr">
        <is>
          <t>Data Scientist - Remote</t>
        </is>
      </c>
      <c r="C58" t="inlineStr">
        <is>
          <t>UnitedHealthcare</t>
        </is>
      </c>
      <c r="D58" t="inlineStr">
        <is>
          <t>linkedin</t>
        </is>
      </c>
      <c r="E58">
        <f>HYPERLINK("https://www.linkedin.com/jobs/view/4360767850", "https://www.linkedin.com/jobs/view/4360767850")</f>
        <v/>
      </c>
      <c r="F58">
        <f>HYPERLINK("https://careers.unitedhealthgroup.com/job/22855988/data-scientist-remote-plymouth-mn/?src=JB-22455&amp;utm_source=linkedin.com&amp;utm_medium=job_posting&amp;urlHash=Rw2A", "https://careers.unitedhealthgroup.com/job/22855988/data-scientist-remote-plymouth-mn/?src=JB-22455&amp;utm_source=linkedin.com&amp;utm_medium=job_posting&amp;urlHash=Rw2A")</f>
        <v/>
      </c>
      <c r="G58" t="inlineStr">
        <is>
          <t>Plymouth, MN</t>
        </is>
      </c>
      <c r="H58" t="inlineStr"/>
      <c r="I58" t="inlineStr">
        <is>
          <t>At UnitedHealthcare, we're simplifying the health care experience, creating healthier communities and removing barriers to quality care. The work you do here impacts the lives of millions of people for the better. Come build the health care system of tomorrow, making it more responsive, affordable and optimized. Ready to make a difference? Join us to start
 **Caring. Connecting. Growing together.**
 The Application, Development \&amp; Reporting team within UHC SIU Investigations is expanding. We are looking for experienced Data Scientists to join our team. This individual will be responsible for the development and delivery of large and complex predictive modeling projects for healthcare fraud processes. Senior Data Scientist develops innovative and effective approaches to solve client's analytics problems and communicates results and methodologies. Sr. Data Scientist also provides directions and guidelines to Data Scientists to discover business insights, identifies opportunities, and provides solutions and recommendations to solve business problems through the use of statistical, algorithmic, data mining, and visualization techniques. In addition to advanced analytic skills, Sr. Data Scientist is also proficient at integrating, preparing, cleansing, and transforming large, varied datasets from multiple sources to ensure data quality and readiness for analysis, as well as communicating results.
 You'll enjoy the flexibility to work remotely \* from anywhere within the U.S. as you take on some tough challenges. For all hires in the Minneapolis or Washington, D.C. area, you will be required to work in the office a minimum of four days per week.
**Primary Responsibilities**
* Apply advanced statistical and predictive modeling techniques to build, maintain, and improve on multiple predictive detection engines in UHC SIU Investigations
* Lead discovery processes with Data Scientists and partner with UHC SIU Operation management to identify the business requirements and the expected outcome
* Create and provide sound statistical analyses and frame business scenarios that are meaningful and which impact on critical business processes and/or decisions
* Collaborates with the data steward to gather information to be used for analytics and predictive model building purpose and to ensure the data meets the qualification and assurance requirements of the analysis
* Design sampling methodology, prepare data, including data cleaning, univariate analysis, missing value imputation, etc., identify appropriate analytic and statistical methodology, develop predictive models and document process and results
* Communicate analytics results and predictive models to business partners and clients
* Provide on\-going tracking and monitoring of model performance and recommend ongoing improvements to methods and algorithms that lead to findings, including new information
 You'll be rewarded and recognized for your performance in an environment that will challenge you and give you clear direction on what it takes to succeed in your role as well as provide development for other roles you may be interested in.
**Required Qualifications**
* 5\+ years of experience in data science
* 5\+ years of experience manipulating large datasets
* 2\+ years of experience in delivering production\-grade AI/ML pipelines
* 2\+ years of experience programming in Python and SQL
* Experience with distributed computing technologies such as PySpark
* Experience with Git / Github for version control
**Preferred Qualifications**
* Experience with healthcare claims data
* Experience with MLOps
* Experience with Azure, Databricks, Snowflake, and/or similar tools
* Experience in dashboard development for end\-user\-interactive visualizations (e.g. Tableau, Power BI)
* Demonstrated leadership, problem\-solving, and analytical thinking skills
* Demonstrated organizational skills with ability to be flexible and work with ambiguity
* All employees working remotely will be required to adhere to UnitedHealth Group's Telecommuter Policy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$91,700 to $163,700 annually based on full\-time employment. We comply with all minimum wage laws as applicable.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*UnitedHealth Group is a drug\-free workplace. Candidates are required to pass a drug test before beginning employment.*</t>
        </is>
      </c>
    </row>
    <row r="59">
      <c r="A59" t="inlineStr">
        <is>
          <t>li-4352717419</t>
        </is>
      </c>
      <c r="B59" t="inlineStr">
        <is>
          <t>Data Scientist II</t>
        </is>
      </c>
      <c r="C59" t="inlineStr">
        <is>
          <t>Cencora</t>
        </is>
      </c>
      <c r="D59" t="inlineStr">
        <is>
          <t>linkedin</t>
        </is>
      </c>
      <c r="E59">
        <f>HYPERLINK("https://www.linkedin.com/jobs/view/4352717419", "https://www.linkedin.com/jobs/view/4352717419")</f>
        <v/>
      </c>
      <c r="F59">
        <f>HYPERLINK("https://careers.cencora.com/us/en/job/CHKCENUSR26122EXTERNALENUS/Data-Scientist-II?utm_source=linkedin&amp;utm_medium=phenom-feeds&amp;urlHash=Sz2l", "https://careers.cencora.com/us/en/job/CHKCENUSR26122EXTERNALENUS/Data-Scientist-II?utm_source=linkedin&amp;utm_medium=phenom-feeds&amp;urlHash=Sz2l")</f>
        <v/>
      </c>
      <c r="G59" t="inlineStr">
        <is>
          <t>Conshohocken, PA</t>
        </is>
      </c>
      <c r="H59" t="inlineStr"/>
      <c r="I59" t="inlineStr">
        <is>
          <t>Our team members are at the heart of everything we do. At Cencora, we are united in our responsibility to create healthier futures, and every person here is essential to us being able to deliver on that purpose. If you want to make a difference at the center of health, come join our innovative company and help us improve the lives of people and animals everywhere. Apply today!
**Job Details**
**Summary**
 The Enterprise Data and Analytics group at Cencora is looking for a
 **Data Scientist\-II** 
 interested in working with data to answer questions about sourcing, pricing, and distributing pharmaceuticals across the United States. Individuals within the Data Scientist role work closely with business stakeholders, Analysts, Data Engineers, Data Visualization Specialists and other team members to turn data into critical information and knowledge that can be used to make sound organizational decisions. They need to be creative thinkers and propose innovative ways to look at problems by using data mining (the process of discovering new patterns from large datasets) approaches across a wide range and variety of data assets. They will need to validate their findings using an experimental and iterative approach. Also, Data Scientists will need to be able to present back their findings to the business by exposing their assumptions and validation work in a way that can be easily understood by their business counterparts.
**Work Complexity**
**Core responsibilities focus on:**
* Designs experiments, tests hypotheses and builds analytic models.
* Conducts data analysis and designs and develops moderately complex analytic algorithms.
**Business Requirements**
* Works with business stakeholders and others to identify the business requirements and the expected outcome.
* Helps model and frame business scenarios that are meaningful and which impact on critical business processes and/or decisions.
* Gains knowledge of internal and external data sources and business data domain expertise.
**Data Requirements**
* Collaborates with subject matter experts to select relevant sources of information.
* Translates business requirements into semantic access, conceptual, logical and/or physical data models.
**Analytics**
* Works with others to solve client analytics problems and documents results and methodologies.
* Performs experimental design approaches to validate findings or test hypotheses.
* Validates analysis by comparing appropriate samples.
* Employs the appropriate algorithm to discover patterns.
**Educational, Skillset Qualifications**
* Bachelor’s degree in mathematics, statistics or computer science or related field.
* Typically requires at least three (3\) or more years experience manipulating large datasets and using databases, and one (3\) years’ experience with a general\-purpose programming language (such as Hadoop MapReduce, Spark or other big data frameworks, Java, Python).
* Experience using SQL to access and analyze data.
* Experience in the use of statistical packages.
* Experience with Azure and Databricks \- desired but not required
* Familiarity with basic principles of distributed computing and/or distributed databases.
* Demonstrable ability to quickly understand new concepts\-all the way down to the theorems\- and to come out with original solutions to mathematical issues.
* Good communication and interpersonal skills.
* Knowledge of one or more business/functional areas.
* Ability to work well both independently as well as within a team oriented environment
* Ability to work hybrid on\-site in Conshohocken, PA
******What Cencora offers******
 We provide compensation, benefits, and resources that enable a highly inclusive culture and support our team members’ ability to live with purpose every day. In addition to traditional offerings like medical, dental, and vision care, we also provide a comprehensive suite of benefits that focus on the physical, emotional, financial, and social aspects of wellness. This encompasses support for working families, which may include backup dependent care, adoption assistance, infertility coverage, family building support, behavioral health solutions, paid parental leave, and paid caregiver leave. To encourage your personal growth, we also offer a variety of training programs, professional development resources, and opportunities to participate in mentorship programs, employee resource groups, volunteer activities, and much more. For details, visit https://www.virtualfairhub.com/cencora
 Full time
********Equal Employment Opportunity********
 Cencora is committed to providing equal employment opportunity without regard to race, color, religion, sex, sexual orientation, gender identity, genetic information, national origin, age, disability, veteran status or membership in any other class protected by federal, state or local law.
 The company’s continued success depends on the full and effective utilization of qualified individuals. Therefore, harassment is prohibited and all matters related to recruiting, training, compensation, benefits, promotions and transfers comply with equal opportunity principles and are non\-discriminatory.
 Cencora is committed to providing reasonable accommodations to individuals with disabilities during the employment process which are consistent with legal requirements. If you wish to request an accommodation while seeking employment, please call 888\.692\.2272 or email hrsc@cencora.com. We will make accommodation determinations on a request\-by\-request basis. Messages and emails regarding anything other than accommodations requests will not be returned
******Affiliated Companies******
 Affiliated Companies: AmerisourceBergen Drug Corporation</t>
        </is>
      </c>
    </row>
    <row r="60">
      <c r="A60" t="inlineStr">
        <is>
          <t>li-4352762441</t>
        </is>
      </c>
      <c r="B60" t="inlineStr">
        <is>
          <t>Senior Data Scientist - R01559352</t>
        </is>
      </c>
      <c r="C60" t="inlineStr">
        <is>
          <t>Brillio</t>
        </is>
      </c>
      <c r="D60" t="inlineStr">
        <is>
          <t>linkedin</t>
        </is>
      </c>
      <c r="E60">
        <f>HYPERLINK("https://www.linkedin.com/jobs/view/4352762441", "https://www.linkedin.com/jobs/view/4352762441")</f>
        <v/>
      </c>
      <c r="F60">
        <f>HYPERLINK("https://jobs.lever.co/brillio-2/a25eeb86-48df-4be5-8acc-68801095baf1/apply?lever-source=Job%20postings%20feed&amp;urlHash=ur6U", "https://jobs.lever.co/brillio-2/a25eeb86-48df-4be5-8acc-68801095baf1/apply?lever-source=Job%20postings%20feed&amp;urlHash=ur6U")</f>
        <v/>
      </c>
      <c r="G60" t="inlineStr"/>
      <c r="H60" t="inlineStr"/>
      <c r="I60" t="inlineStr">
        <is>
          <t>**About Brillio:**
 Brillio is one of the fastest growing digital technology service providers and a partner of choice for many Fortune 1000 companies seeking to turn disruption into a competitive advantage through innovative digital adoption. Brillio, renowned for its world\-class professionals, referred to as "Brillians", distinguishes itself through their capacity to seamlessly integrate cutting\-edge digital and design thinking skills with an unwavering dedication to client satisfaction.
 Brillio takes pride in its status as an employer of choice, consistently attracting the most exceptional and talented individuals due to its unwavering emphasis on contemporary, groundbreaking technologies, and exclusive digital projects. Brillio's relentless commitment to providing an exceptional experience to its Brillians and nurturing their full potential consistently garners them the Great Place to Work® certification year after year.
**Senior Data Scientist**
**Primary Skills**
* Problem Formulation (Business problem to Data Science Problem), OKR Validation against statistical measures, Data Wrangling, Data Storytelling \&amp; Insight Generation, Problem Solving, Excel VBA, Data Curiosity, Technical Decision Making (How many iterations to go for vs when to stop iterating), Communication \&amp; Articulation: Vocal \&amp; Written, Business Acumen (Consume new domains quickly to learn through data), Design Thinking, Data Literacy
 Specialization
* Data Science Foundation: Data Scientist
 Job requirements
**Senior Data Scientist**
**Key Skills**
* Strong proficiency in Python and SQL, ML, and GenAI pipelines
* Hands\-on experience with GenAI / LLM\-based systems (RAG, Fine Tuning, agents)
* Solid understanding of retrieval\-augmented generation (RAG) architectures and vector databases
* Experience applying ML algorithms (classification, regression, ensembles) on structured BFSI data
* BFSI domain knowledge (banking, risk, fraud, compliance etc)
* Experience with LLM platforms and APIs (OpenAI, Azure OpenAI, AWS Bedrock, etc.)
* Ability to design prompt strategies, guardrails, and evaluation metrics for GenAI systems
* Understanding of data lineage, metadata, and traceability concepts in enterprise systems
* Experience working on cloud\-based data and AI platforms (AWS/Azure)
* Strong problem\-solving, communication, and stakeholder\-facing skills in client environments
**Scope Of Work / Responsibilities**
* Design and build end\-to\-end GenAI solutions for BFSI use cases (RAG, agents)
* Develop and optimize data ingestion, chunking, embedding, and retrieval pipelines
* Integrate domain and regulatory requirements into AI/ML solution design
* Contribute to or implement data lineage\-aware pipelines for traceability and audit readiness
* Develop production\-quality Python code and reusable AI/ML components
* Perform model, prompt, and retrieval evaluation, monitoring, and performance tuning
* Support client interactions, solution walkthroughs, and technical documentation
* Mentor junior data scientists and act as a technical owner for assigned AI/GenAI modules
 Know what it’s like to work and grow at Brillio: Click here</t>
        </is>
      </c>
    </row>
    <row r="61">
      <c r="A61" t="inlineStr">
        <is>
          <t>li-4360786263</t>
        </is>
      </c>
      <c r="B61" t="inlineStr">
        <is>
          <t>Data Scientist, AI Studio</t>
        </is>
      </c>
      <c r="C61" t="inlineStr">
        <is>
          <t>Burtch Works</t>
        </is>
      </c>
      <c r="D61" t="inlineStr">
        <is>
          <t>linkedin</t>
        </is>
      </c>
      <c r="E61">
        <f>HYPERLINK("https://www.linkedin.com/jobs/view/4360786263", "https://www.linkedin.com/jobs/view/4360786263")</f>
        <v/>
      </c>
      <c r="F61" t="inlineStr"/>
      <c r="G61" t="inlineStr">
        <is>
          <t>New York, NY</t>
        </is>
      </c>
      <c r="H61" t="inlineStr"/>
      <c r="I61" t="inlineStr">
        <is>
          <t>**Job Title: Data Scientist, AI Studio**
**Location:** 
 New York, NY; Boston, MA; Holmdel, NJ; or Bethlehem, PA
**About The Company**
 We are on a transformation journey to evolve into a modern, forward\-thinking insurance company committed to enhancing the wellbeing of our customers and their families. Our AI team spearheads a culture of intelligence and automation across the enterprise, creating business value from advanced data and AI solutions. Our team includes data scientists, engineers, analysts, and product leaders working together to deliver AI\-driven products that power growth, improve risk management, and elevate customer experience.
**Job Summary**
 We are looking for a Data Scientist, AI Studio to join our AI team in New York, Boston, Holmdel, or Bethlehem. The ideal candidate will be an experienced individual contributor with a strong background in data science \&amp; machine learning and a track record of turning advanced research into practical, impactful enterprise solutions. This role will involve building, deploying, and scaling ML models and intelligent automation solutions that reshape how we operate, serve customers, and drive growth. You'll collaborate directly with senior executives and cross\-functional teams on high\-visibility projects to bring next\-generation ML to life across our products and services.
**Key Responsibilities**
* Design and implement machine learning solutions: Automate business workflows, improve decision\-making, and enhance customer and employee experiences through ML\-driven solutions.
* Apply ML techniques to business data: Use regression, classification, clustering, ensemble methods (Random Forest, XGBoost) on structured and semi\-structured data such as claims, underwriting notes, and customer records.
* Develop production\-ready ML models: Build robust, scalable models that integrate with our platforms to deliver measurable business outcomes.
* Collaborate with technical teams: Partner with data engineers and MLOps teams to ensure models are scalable, robust, and production\-ready.
* Translate research into practical applications: Apply machine learning and statistical modeling to underwriting, claims automation, customer servicing, and risk assessment.
* Work with cross\-functional stakeholders: Partner with product owners, engineers, and business stakeholders to define use cases, design solutions, and measure impact.
* Build reusable ML frameworks: Contribute to developing components and frameworks for ML solution development and deployment.
* Maintain model governance: Adhere to documentation, testing, and best practices in partnership with key stakeholders.
**Requirements**
* Education: PhD with 0–1 years of experience, Master's degree with 2\+ years, or Bachelor's degree with 4\+ years in Statistics, Computer Science, Engineering, Applied Mathematics, or related field
* Experience: 2\+ years of hands\-on experience in ML modeling and development
* Skills:
+ Solid understanding of probability, statistics, and machine learning fundamentals
+ Strong programming skills in Python and familiarity with frameworks like scikit\-learn, pandas, and numpy
+ Experience with machine learning techniques (regression, classification, clustering, ensemble methods) and their real\-world advantages/drawbacks
+ Excellent problem\-solving and analytical skills with attention to detail
+ Strong communication skills and ability to collaborate effectively with product and engineering teams
+ Working knowledge of core software engineering concepts (version control with Git/GitHub, testing, logging)
* Other: Passionate about applying machine learning to solve real\-world business challenges; curious about new ML techniques; hands\-on builder who enjoys moving solutions from prototype to deployment; comfortable collaborating in cross\-functional teams and aligning technical solutions with business goals
**Preferred Qualifications**
 Experience in insurance, financial services, or related industries is a plus
**Benefits**
* Competitive Salary: $130,000 \- $160,000
* Health and Wellness: \[Details about health insurance, wellness programs, etc.]
* Work\-Life Balance: \[Details about PTO, remote work options, flexible hours]
* Professional Development: \[Details about training programs, tuition reimbursement]
* Additional Perks: \[Any other perks such as company events, volunteer opportunities]</t>
        </is>
      </c>
    </row>
    <row r="62">
      <c r="A62" t="inlineStr">
        <is>
          <t>li-4354811100</t>
        </is>
      </c>
      <c r="B62" t="inlineStr">
        <is>
          <t>Senior Data Scientist Machine Learning Operations Gen AI - Remote</t>
        </is>
      </c>
      <c r="C62" t="inlineStr">
        <is>
          <t>Sentara Health</t>
        </is>
      </c>
      <c r="D62" t="inlineStr">
        <is>
          <t>linkedin</t>
        </is>
      </c>
      <c r="E62">
        <f>HYPERLINK("https://www.linkedin.com/jobs/view/4354811100", "https://www.linkedin.com/jobs/view/4354811100")</f>
        <v/>
      </c>
      <c r="F62" t="inlineStr"/>
      <c r="G62" t="inlineStr">
        <is>
          <t>Centre County, PA</t>
        </is>
      </c>
      <c r="H62" t="inlineStr"/>
      <c r="I62" t="inlineStr">
        <is>
          <t>**City/State**
 Virginia Beach, VA
**Work Shift**
 First (Days)
**Overview:**
 Sentara is hiring for a Senior Data Scientist!
 This position is fully remote.
**Overview**
 We are seeking a highly skilled and experienced Data Science ML Operations and Gen AI Engineer (or Senior) to join us and help advance our current and future work applying machine learning, deep learning, and NLP to deliver better healthcare.
 The Senior Data Scientist will leverage data to improve healthcare outcomes and drive data\-driven decision\-making. Leveraging expertise in statistical analysis and machine learning, this role will collaborate with cross\-functional teams to solve complex healthcare challenges and enhance patient care. This role will directly contribute to advancing medical research, optimizing healthcare processes, and delivering innovative solutions in the healthcare industry.
 As a Senior ML Engineer on our team, you will play a crucial role in identifying gaps in our existing ML platform and architecting and building solutions to address those gaps. You will also collaborate with the AI team’s ML Scientists and our partner data engineering and software development teams to bring ML AND Gen AI models to production and maintain their health and integrity while in production. Your expertise in machine learning and Gen AI, coupled with a strong background in software development, will be instrumental in driving the success of Sentara’s AI/ML initiatives.
**Qualifications:**
* 5\+ years building production software/ML systems, including 1\+ years of experience with LLMs/GenAI.
* Proficient in Python and one major DL/LLM stack (e.g., PyTorch/Transformers); experience with LangChain/LlamaIndex, vector DBs, and cloud (AWS/Azure/GCP).
* Demonstrated delivery of RAG, prompt engineering, evaluation frameworks, and guardrails in production.
* Strength in APIs, distributed systems, and ML Ops (K8s, CI/CD, monitoring).
* Experience with EPIC health platform is highly preferred
* Experience with ML platforms and ML Ops: Demonstrated experience in assessing and improving ML platforms, identifying gaps, and architecting solutions to address them. Strong familiarity with ML platform components such as data ingestion, preprocessing, feature stores, model training, deployment, and monitoring.
* Experience with SQL and big data platforms such as Postgres, Redshift and Snowflake
* Experience with Agile/Scrum methodology and best practices
 Preferred:
* Previous work experience with Generative AI and ML Ops in healthcare EPIC environment
* Understanding of use and implementation of Vector Databases
* Kubernetes container orchestration experience
**Responsibilities**
* Responsible for design and development of production\-grade Machine Learning ops and Gen AI solutions
* Lead hands\-on delivery of scalable GenAI solutions from problem framing → prototyping → evaluation → production → monitoring.
* Build internal copilots/assistants (knowledge search, code/content generation) and client\-facing products (conversational analytics, summarization, recommendations, workflow automation).
* Design RAG pipelines, embedding strategies, vector search, and model orchestration; evaluate fine\-tuning vs. prompt engineering.
* Implement guardrails, safety filters, prompt/version management, latency/throughput optimizations, and cost controls.
* ML platform and ML Ops: Identify areas that require improvements or additional functionalities and use your expertise in machine learning and software engineering to architect and develop solutions that fill gaps in our ML platform and development ecosystem. Analyze system performance, scalability, and reliability to pinpoint opportunities for enhancement. Develop tools and solutions that help the team build, deploy, and monitor AI/ML solutions efficiently.
* System scalability and reliability: Optimize the scalability, performance, and reliability and AI Team solutions by implementing best practices and leveraging industry\-standard technologies. Collaborate with infrastructure teams to ensure smooth integration and deployment of ML solutions. Design scalable and efficient systems that leverage the power of machine learning for enhanced performance and capabilities.
* Data processing and workflow pipelines: Streamline data ingestion, preprocessing, feature engineering, and model training workflows to improve efficiency and reduce latency. Work with data engineering and data platform teams to design and implement robust data pipelines that support the AI team’s needs.
* Model deployment and monitoring: Evaluate and optimize model prototypes for real\-world performance. Work with infrastructure and development teams to integrate ML models into production systems. Work closely with partner teams to communicate and understand technical requirements and challenges.
* As part of Sentara’s Data Science team you will be responsible for implementation and operationalization of AI/ML models. You will work with other machine learning engineers, data scientists, software engineers and platform engineers to ensure success of the AI/ML implementations. Specific responsibilities will include:
* Apply software engineering rigor and best practices to machine learning, including AI/MLOPs, CI/CD, automation, etc.
* Take offline models data scientists build and turn them into a real machine learning production system.
**Education**
* Bachelor's Degree (Required)
**Certification/Licensure**
* No specific certification or licensure requirements
**Experience**
* Required to have 5\+ years of experience as a Data Scientist with a strong focus on Azure and Microsoft Data Science, AI, and machine learning toolsets.
* Required to have strong problem\-solving skills and the ability to tackle complex healthcare challenges using data\-driven approaches. Can help the Data Science infrastructure building up, working with ML Ops team for model implementation, mentoring and developing junior staff.
* Required to have strong proficiency in data analysis, data manipulation, and data visualization using Python.
* Required to have familiarity with healthcare\-related datasets, medical terminologies, and electronic health records (EHR) data.
* Required to have knowledge of statistical techniques, hypothesis testing, and experimental design for healthcare research.
* Required to have strong machine learning expertise: Proficient in machine learning algorithms, statistical modeling, and data analysis. Hands\-on experience with standard ML frameworks (e.g., TensorFlow, PyTorch) and libraries (e.g., scikit\-learn, XGBoost, TensorFlow, or Keras).
* Required to have solid understanding of data engineering principles, data structures, and algorithms. Proficient in Python and/or other programming languages commonly used in ML development.
* Required to have experience in technologies, frameworks and architecture like Java or Python, Angular, React, JSON, Application Servers, CI/CD is preferred.
* Required to have experience with one or more AI automations platforms like Kubeflow pipeline, MLFlow, Azure Pipeline, AWS Sage Maker Pipeline, Airflow, Jenkins, Spark, Hadoop, Kafka, Jira and GIT.
 We provide market\-competitive compensation packages, inclusive of base pay, incentives, and benefits. The base pay rate for full\-time employment is: $91,416\.00 \- $152,380\.80\. Additional compensation may be available for this role such as shift differentials, standby/on\-call, overtime, premiums, extra shift incentives, or bonus opportunities.
 Keywords: \#Indeed, Talroo\-IT, , \#Talroo \- Healthplan, \#Talroo
**Benefits: Caring For Your Family and Your Career**
* Medical, Dental, Vision plans
* Adoption, Fertility and Surrogacy Reimbursement up to $10,000
* Paid Time Off and Sick Leave
* Paid Parental \&amp; Family Caregiver Leave
* Emergency Backup Care
* Long\-Term, Short\-Term Disability, and Critical Illness plans
* Life Insurance
* 401k/403B with Employer Match
* Tuition Assistance – $5,250/year and discounted educational opportunities through Guild Education
* Student Debt Pay Down – $10,000
* Reimbursement for certifications and free access to complete CEUs and professional development
* Pet Insurance
* Legal Resources Plan
* Colleagues have the opportunity to earn an annual discretionary bonus if established system and employee eligibility criteria is met.
**Sentara Health is an equal opportunity employer** 
 and prides itself on the diversity and inclusiveness of its close to an almost 30,000\-member workforce. Diversity, inclusion, and belonging is a guiding principle of the organization to ensure its workforce reflects the communities it serves.
 In support of our mission “to improve health every day,” this is a tobacco\-free environment.
**For positions that are available as remote work,** 
**Sentara Health employs associates in the following states:**
 Alabama, Delaware, Florida, Georgia, Idaho, Indiana, Kansas, Louisiana, Maine, Maryland, Minnesota, Nebraska, Nevada, New Hampshire, North Carolina, North Dakota, Ohio, Oklahoma, Pennsylvania, South Carolina, South Dakota, Tennessee, Texas, Utah, Virginia, Washington, West Virginia, Wisconsin, and Wyoming.</t>
        </is>
      </c>
    </row>
    <row r="63">
      <c r="A63" t="inlineStr">
        <is>
          <t>li-4359751843</t>
        </is>
      </c>
      <c r="B63" t="inlineStr">
        <is>
          <t>Senior Data Scientist</t>
        </is>
      </c>
      <c r="C63" t="inlineStr">
        <is>
          <t>University of Pennsylvania</t>
        </is>
      </c>
      <c r="D63" t="inlineStr">
        <is>
          <t>linkedin</t>
        </is>
      </c>
      <c r="E63">
        <f>HYPERLINK("https://www.linkedin.com/jobs/view/4359751843", "https://www.linkedin.com/jobs/view/4359751843")</f>
        <v/>
      </c>
      <c r="F63" t="inlineStr"/>
      <c r="G63" t="inlineStr">
        <is>
          <t>Philadelphia, PA</t>
        </is>
      </c>
      <c r="H63" t="inlineStr"/>
      <c r="I63" t="inlineStr">
        <is>
          <t>**University Overview**
 The University of Pennsylvania, the largest private employer in Philadelphia, is a world\-renowned leader in education, research, and innovation. This historic, Ivy League school consistently ranks among the top 10 universities in the annual U.S. News \&amp; World Report survey. Penn has 12 highly\-regarded schools that provide opportunities for undergraduate, graduate and continuing education, all influenced by Penn’s distinctive interdisciplinary approach to scholarship and learning. As an employer Penn has been ranked nationally on many occasions with the most recent award from Forbes who named Penn one of America’s Best Large Employers in 2023\.
 Penn offers a unique working environment within the city of Philadelphia. The University is situated on a beautiful urban campus, with easy access to a range of educational, cultural, and recreational activities. With its historical significance and landmarks, lively cultural offerings, and wide variety of atmospheres, Philadelphia is the perfect place to call home for work and play.
 The University offers a competitive benefits package that includes excellent healthcare and tuition benefits for employees and their families, generous retirement benefits, a wide variety of professional development opportunities, supportive work and family benefits, a wealth of health and wellness programs and resources, and much more.
**Posted Job Title**
 Senior Data Scientist
**Job Profile Title**
**Job Description Summary**
 The Senior Data Scientist advances research and clinical innovation in limb optimization, osseointegration, and bone health. This role applies expertise in data science, biomechanics, and medical imaging to analyze complex datasets that support improved implant integration, limb alignment strategies, and long\-term skeletal health. The individual collaborates closely with surgeons, biomechanical engineers, rehabilitation specialists, and clinical research teams to develop data\-driven insights that enhance functional outcomes for patients undergoing advanced limb reconstruction.
**Job Description**
**Essential Duties \&amp; Responsibilities:**
 Develop and implement statistical, predictive, and machine learning models to support osseointegration outcomes, limb optimization procedures, and bone\-quality assessments. Analyze multimodal datasets including radiographs, CT imaging, gait analysis, prosthetic sensor data, and bone\-density measurements. Build robust data pipelines for longitudinal monitoring of bone remodeling, implant stability, soft‑tissue adaptation, and functional recovery over time conduct quantitative assessments of bone health indicators, osseointegration progression, and biomechanical stress patterns around implanted components. Create interactive dashboards, visualizations, and reports to support clinical decision‑making and research planning. Partner with surgeons and clinical teams to translate analytical findings into surgical planning tools, patient‑specific models, and optimized post‑operative rehabilitation protocols. Contribute to scientific manuscripts, research presentations, grant submissions, and regulatory documentation. Maintain high standards of data integrity, security, and compliance with institutional and federal research requirements. Provide mentorship and technical expertise to junior analysts, research staff, and trainees.
**Qualifications**
 Master of Science and 1 to 2 years of experience, or an equivalent combination of education and experience required. Ph.D. preferred.
 This position is contingent upon grant funding.
**Job Location \- City, State**
 Philadelphia, Pennsylvania
**Department / School**
 Perelman School of Medicine
**Pay Range**
 $100,000\.00 \- $138,000\.00 Annual Rate
 Salary offers are made based on the candidate’s qualifications, experience, skills, and education as they directly relate to the requirements of the position, and in alignment with salary ranges based on external market data for the job’s level. Internal organization and peer data at Penn are also considered.
**Equal Opportunity Statement**
 The University of Pennsylvania is an equal opportunity employer. Candidates are considered for employment without regard to race, color, sex, sexual orientation, religion, creed, national origin (including shared ancestry or ethnic characteristics), citizenship status, age, disability, veteran status or any class protected under applicable federal, state or local law.
**Special Requirements**
 Background checks may be required after a conditional job offer is made. Consideration of the background check will be tailored to the requirements of the job.
**University Benefits**
* Health, Life, and Flexible Spending Accounts: Penn offers comprehensive medical, prescription, behavioral health, dental, vision, and life insurance benefits to protect you and your family’s health and welfare. You can also use flexible spending accounts to pay for eligible health care and dependent care expenses with pre\-tax dollars.
* Tuition: Take advantage of Penn's exceptional tuition benefits. You, your spouse, and your dependent children can get tuition assistance here at Penn. Your dependent children are also eligible for tuition assistance at other institutions.
* Retirement: Penn offers generous retirement plans to help you save for your future. Penn’s Basic, Matching, and Supplemental retirement plans allow you to save for retirement on a pre\-tax or Roth basis. Choose from a wide variety of investment options through TIAA and Vanguard.
* Time Away from Work: Penn provides you with a substantial amount of time away from work during the course of the year. This allows you to relax, take vacations, attend to personal affairs, recover from illness or injury, spend time with family—whatever your personal needs may be.
* Long\-Term Care Insurance: In partnership with Genworth Financial, Penn offers faculty and staff (and your eligible family members) long\-term care insurance to help you cover some of the costs of long\-term care services received at home, in the community or in a nursing facility. If you apply when you’re newly hired, you won’t have to provide proof of good health or be subject to underwriting requirements. Eligible family members must always provide proof of good health and are subject to underwriting.
* Wellness and Work\-life Resources: Penn is committed to supporting our faculty and staff as they balance the competing demands of work and personal life. That’s why we offer a wide variety of programs and resources to help you care for your health, your family, and your work\-life balance.
* Professional and Personal Development: Penn provides an array of resources to help you advance yourself personally and professionally.
* University Resources: As a member of the Penn community, you have access to a wide range of University resources as well as cultural and recreational activities. Take advantage of the University’s libraries and athletic facilities, or visit our arboretum and art galleries. There’s always something going on at Penn, whether it’s a new exhibit at the Penn Museum, the latest music or theater presentation at the Annenberg Center, or the Penn Relays at Franklin Field to name just a few examples. As a member of the Penn community, you’re right in the middle of the excitement—and you and your family can enjoy many of these activities for free.
* Discounts and Special Services: From arts and entertainment to transportation and mortgages, you'll find great deals for University faculty and staff. Not only do Penn arts and cultural centers and museums offer free and discounted admission and memberships to faculty and staff. You can also enjoy substantial savings on other goods and services such as new cars from Ford and General Motors, cellular phone service plans, movie tickets, and admission to theme parks.
* Flexible Work Hours: Flexible work options offer creative approaches for completing work while promoting balance between work and personal commitments. These approaches involve use of non\-traditional work hours, locations, and/or job structures.
* Penn Home Ownership Services: Penn offers a forgivable loan for eligible employees interested in buying a home or currently residing in West Philadelphia, which can be used for closing costs or home improvements.
* Adoption Assistance: Penn will reimburse eligible employees on qualified expenses in connection with the legal adoption of an eligible child, such as travel or court fees, for up to two adoptions in your household.
*To learn more, please visit: https://www.hr.upenn.edu/PennHR/benefits\-pay*</t>
        </is>
      </c>
    </row>
    <row r="64">
      <c r="A64" t="inlineStr">
        <is>
          <t>li-4352606024</t>
        </is>
      </c>
      <c r="B64" t="inlineStr">
        <is>
          <t>Data Scientist - Level 4</t>
        </is>
      </c>
      <c r="C64" t="inlineStr">
        <is>
          <t>Applied Network Solutions, Inc.</t>
        </is>
      </c>
      <c r="D64" t="inlineStr">
        <is>
          <t>linkedin</t>
        </is>
      </c>
      <c r="E64">
        <f>HYPERLINK("https://www.linkedin.com/jobs/view/4352606024", "https://www.linkedin.com/jobs/view/4352606024")</f>
        <v/>
      </c>
      <c r="F64" t="inlineStr"/>
      <c r="G64" t="inlineStr">
        <is>
          <t>Annapolis Junction, MD</t>
        </is>
      </c>
      <c r="H64" t="inlineStr"/>
      <c r="I64" t="inlineStr">
        <is>
          <t>**Description**
**Who we are:**
 At Applied Network Solutions (ANS), we bring together some of the most
 **curious** 
 minds in networking and cybersecurity. ANS was founded to
 **disrupt** 
 the
 **status quo** 
 . For over 25 years, our team provides expertise in network, system engineering and both offensive and defensive cybersecurity operations.
**What We Do**
 Our vision is for a future in which talent and customers alike come to ANS because of our reputation for delivering technical excellence, solving our nation’s toughest challenges and our ability to exceed expectations.
**Why ANS**
 At ANS we value the
 **integrity** 
 of your work. We are looking for the right person to plan, analyze, design, develop, test, secure, integrate, implement, operate, and maintain the custom solutions that ANS delivers. Together, let’s
 **ensure today is safe and tomorrow is smarter.**
**Requirements**
* Active TS/SCI clearance with Polygraph
* A Bachelor's degree and 15 years of relevant experience. An associate's degree plus 17 years of relevant experience may be considered for individuals with in\-debt experience that is clearly related to the position.
* Degree must be in Mathematics, Applied Mathematics, Statistics, Applied Statistics, Machine Learning, Data Science, Operations Research, or Computer Science
* A broader range of degrees will be considered if accompanied by a Certificate in Data Science from an accredited college/university
* Experience in designing/implementing machine learning, data science, advanced analytical algorithms, programming (skill in at least one high\-level language (e.g., Python) and skill in at least one mid\-level language (e.g., C)), data mining, advanced statistical analysis (e.g., statistical foundations of machine learning, statistical approaches to missing data, time series), advanced mathematical foundations, artificial intelligence, workflow and reproducibility, data management and curation, data modeling and assessment (e.g., model selection, evaluation, and sensitivity analysis), experience as a data scientist working to support a single or multiple domain area, and/or software engineering.
**Desired Qualifications**
* Looking for an established AI expert with demonstratable experience designing and implementing sophistiacted AI/ML and data science solutions across various domains within the MPO customer environment.
* Candidate must be familiar with design and implemenation of Agentic AI Systems and customized Retrieval Augmented Generation (RAG) capabilitles.
* Candidate must possess in dept knowledge and experience in AI Solutions and an ability to assess, evaluate, and implement the correct ML models for specific purposes and optimized performance.
* Candidate must have experience generating, evaluating, training and optimizing Machine Learning models (i.e. LLMs) for use in low\-memory, low\-resourced edge device environments.
**Benefits:** 
 ANS offers excellent compensation along with a generous benefits package to include:
* Family Medical, Dental (w/ adult orthodontia) and Vision coverage
* Pet Discount Program
* PTO (Paid Time Off)
* Maternity/ Paternity Leave
* Supplemental Military Leave Pay
* 11 Paid Holidays
* 401(k) plan with 6% Company Contribution
* Generous Professional Development Program
* 100% Employer paid Short\- and Long\-Term Disability
* 100% Employer paid Life Insurance
* Supplemental Whole Life Insurance
* Lucrative Referral Bonus Program
* Annual Allowance for ANS Swag
* Potential for Paid Overtime
* Flexible Work Schedules
 Applied Network Solutions, Inc. is an Equal Opportunity Employer. All qualified applicants will receive consideration for employment without regard to race, color, religion, sex, pregnancy, sexual orientation, gender identity, national origin, age or protected veteran status and will not be discriminated against on the basis of disability.
 As required by local law, Applied Network Solutions, Inc. provides reasonable salary ranges of compensation for work performed in applicable states. Ranges are not a guarantee of compensation and depend on a variety of factors, including but not limited to contractual requirements, work location, years of experience, skill set, and education. Overtime is not guaranteed for this position.
 The anticipated pay range for this position is $150,000\.00 \- $220,000\.00 USD.</t>
        </is>
      </c>
    </row>
    <row r="65">
      <c r="A65" t="inlineStr">
        <is>
          <t>li-4361108674</t>
        </is>
      </c>
      <c r="B65" t="inlineStr">
        <is>
          <t>Data Scientist</t>
        </is>
      </c>
      <c r="C65" t="inlineStr">
        <is>
          <t>CVS Health</t>
        </is>
      </c>
      <c r="D65" t="inlineStr">
        <is>
          <t>linkedin</t>
        </is>
      </c>
      <c r="E65">
        <f>HYPERLINK("https://www.linkedin.com/jobs/view/4361108674", "https://www.linkedin.com/jobs/view/4361108674")</f>
        <v/>
      </c>
      <c r="F65">
        <f>HYPERLINK("https://jobs.cvshealth.com/us/en/job/CVSCHLUSR0770376EXTERNALENUS/Data-Scientist?utm_source=Linkedin&amp;utm_medium=phenom-feeds&amp;urlHash=jmMj", "https://jobs.cvshealth.com/us/en/job/CVSCHLUSR0770376EXTERNALENUS/Data-Scientist?utm_source=Linkedin&amp;utm_medium=phenom-feeds&amp;urlHash=jmMj")</f>
        <v/>
      </c>
      <c r="G65" t="inlineStr">
        <is>
          <t>Austin, TX</t>
        </is>
      </c>
      <c r="H65" t="inlineStr"/>
      <c r="I65" t="inlineStr">
        <is>
          <t>At CVS Health, we’re building a world of health around every consumer and surrounding ourselves with dedicated colleagues who are passionate about transforming health care.
 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
**Position Summary**
 As a Data Scientist within CVS Health's Digital Workplace area, you will be crucial in driving technical innovation and advancing our applications within the organization.
 You will assist in designing, architecting, and implementing our solutions for our colleagues, ensuring optimal performance, productivity, and collaboration for our employees.
 For the right technologist with diverse expertise, this could be the opportunity to redefine the meaning of a digital workplace for a respected global healthcare leader.
 As a data scientist on CVS’s Colleague Experience AI developer team, you will implement high\-priority AI enterprise\-level initiatives and work with the latest tools in the space.
**Required Qualifications**
* 2\+ years of experience programming with Python.
* 1\+ years of experience with a public cloud (Azure preferred).
* 1\+ years of experience in Git and version control.
* 1 year of experience with AWS (S3, Sagemaker, EC2, Lambda), Docker, Kubernetes, Jenkins, Git, Jira, MongoDB, MySQL, Dremio
* 1\+ years using Scikit\-learn
* 1\+ years of PySpark, PyTorch, Pandas, Hadoop, Tableau, Flink, Kafka
* Familiarity with concepts such as Agents, adding memory to LLMs, routing, moderating content, parsing output
* 1\+ years experience with databases
**Education**
* Bachelor's degree in Data Science, Computer Science, Machine Learning, Engineering, or related field from an accredited university.
**Anticipated Weekly Hours**
 40
**Time Type**
 Full time
**Pay Range**
**The Typical Pay Range For This Role Is**
 $72,100\.00 \- $144,200\.00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01/14/2026
 Qualified applicants with arrest or conviction records will be considered for employment in accordance with all federal, state and local laws.</t>
        </is>
      </c>
    </row>
    <row r="66">
      <c r="A66" t="inlineStr">
        <is>
          <t>li-4354830923</t>
        </is>
      </c>
      <c r="B66" t="inlineStr">
        <is>
          <t>Junior Data Scientist</t>
        </is>
      </c>
      <c r="C66" t="inlineStr">
        <is>
          <t>Jobs via Dice</t>
        </is>
      </c>
      <c r="D66" t="inlineStr">
        <is>
          <t>linkedin</t>
        </is>
      </c>
      <c r="E66">
        <f>HYPERLINK("https://www.linkedin.com/jobs/view/4354830923", "https://www.linkedin.com/jobs/view/4354830923")</f>
        <v/>
      </c>
      <c r="F66" t="inlineStr"/>
      <c r="G66" t="inlineStr">
        <is>
          <t>Arlington, VA</t>
        </is>
      </c>
      <c r="H66" t="inlineStr"/>
      <c r="I66" t="inlineStr">
        <is>
          <t>**Job Family:**
 Data Science Consulting
**Travel Required:**
 Up to 10%
**Clearance Required:**
 Ability to Obtain Public Trust
**What You Will Do:**
 Guidehouse is seeking a Junior Data Scientist to join our AI and Data Defense and Security team. The individual will develop advanced data analytics models, create data collection and process automation solutions, collect and analyze data to identify trends, develop visualizations in support of organizational and mission goals, and support decision\-making for large\-scale programs within the Department of Homeland Security (DHS). Responsibilities include, but are not limited to:
* Design and development of process improvement and automation applications using tools such as UiPath, Python, and R
* Design and development of models and dashboard solutions to provide analytic insights using tools such as Qlik and Tableau
* Leading and reviewing, data cleaning scripts using tools such as Python
* Identifying and creating additional data visualization capabilities, as needed
* Ensuring data governance and quality assurance standards are met
* Analyzing current process and identifying potential improvements
* Working with team members to summarize and report on business process improvements to include gaps in current processes and initiatives to improve processes for an organization, including solutions such as large language models and advanced statistics
* Summarizing and presenting information and reports to the team and make recommendations (both oral and written).
**What You Will Need:**
* ship is required
* Bachelor's Degree is required
**What Would Be Nice To Have:**
* Quality control experience including debugging and conducting Quality Assurance of new features and enhancements
* Experience with data architecture and warehousing
* Experience with Generative AI development
* Excellent organizational, prioritization, and time management abilities, with a keen eye for detail
* Experience developing new and re\-designing existing processes to meet new and/or evolving business requirements
* Ability to provide guidance and direction for specific projects or sub\-tasks
* Capability to manage multi\-task projects
**What We Offer:**
 Guidehouse offers a comprehensive, total rewards package that includes competitive compensation and a flexible benefits package that reflects our commitment to creating a diverse and supportive workplace.
 Benefits include:
* Medical, Rx, Dental \&amp; Vision Insurance
* Personal and Family Sick Time \&amp; Company Paid Holidays
* Position may be eligible for a discretionary variable incentive bonus
* Parental Leave and Adoption Assistance
* 401(k) Retirement Plan
* Basic Life \&amp; Supplemental Life
* Health Savings Account, Dental/Vision \&amp; Dependent Care Flexible Spending Accounts
* Short\-Term \&amp; Long\-Term Disability
* Student Loan PayDown
* Tuition Reimbursement, Personal Development \&amp; Learning Opportunities
* Skills Development \&amp; Certifications
* Employee Referral Program
* Corporate Sponsored Events \&amp; Community Outreach
* Emergency Back\-Up Childcare Program
* Mobility Stipend
**About Guidehouse**
 Guidehouse is an Equal Opportunity Employer\-Protected Veterans, Individuals with Disabilities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
 If you have visited our website for information about employment opportunities, or to apply for a position, and you require an accommodation, please contact Guidehouse Recruiting at 1\- or via email at All information you provide will be kept confidential and will be used only to the extent required to provide needed reasonable accommodation.
 All communication regarding recruitment for a Guidehouse position will be sent from Guidehouse email domains including @guidehouse.com or Correspondence received by an applicant from any other domain should be considered unauthorized and will not be honored by Guidehouse. Note that Guidehouse will never charge a fee or require a money transfer at any stage of the recruitment process and does not collect fees from educational institutions for participation in a recruitment event. Never provide your banking information to a third party purporting to need that information to proceed in the hiring process.
 If any person or organization demands money related to a job opportunity with Guidehouse, please report the matter to Guidehouse's Ethics Hotline. If you want to check the validity of correspondence you have received, please contact Guidehouse is not responsible for losses incurred (monetary or otherwise) from an applicant's dealings with unauthorized third parties.
 Guidehouse does not accept unsolicited resumes through or from search firms or staffing agencies. All unsolicited resumes will be considered the property of Guidehouse and Guidehouse will not be obligated to pay a placement fee.</t>
        </is>
      </c>
    </row>
    <row r="67">
      <c r="A67" t="inlineStr">
        <is>
          <t>li-4361178596</t>
        </is>
      </c>
      <c r="B67" t="inlineStr">
        <is>
          <t>Applied Scientist III.</t>
        </is>
      </c>
      <c r="C67" t="inlineStr">
        <is>
          <t>InMobi Advertising</t>
        </is>
      </c>
      <c r="D67" t="inlineStr">
        <is>
          <t>linkedin</t>
        </is>
      </c>
      <c r="E67">
        <f>HYPERLINK("https://www.linkedin.com/jobs/view/4361178596", "https://www.linkedin.com/jobs/view/4361178596")</f>
        <v/>
      </c>
      <c r="F67" t="inlineStr"/>
      <c r="G67" t="inlineStr">
        <is>
          <t>San Mateo, CA</t>
        </is>
      </c>
      <c r="H67" t="inlineStr"/>
      <c r="I67" t="inlineStr">
        <is>
          <t>**InMobi Advertising** 
 is a global technology leader helping marketers win the moments that matter. Our advertising platform reaches over 2 billion people across 150\+ countries and turns real\-time context into business outcomes, delivering results grounded in privacy\-first principles. Trusted by 30,000\+ brands and leading publishers, InMobi is where intelligence, creativity, and accountability converge. By combining lock screens, apps, TVs, and the open web with AI and machine learning, we deliver receptive attention, precise personalization, and measurable impact.
 Through
 **Glance AI,** 
 we are shaping AI Commerce, reimagining the future of e\-commerce with inspiration\-led discovery and shopping. Designed to seamlessly integrate into everyday consumer technology, Glance AI transforms every screen into a gateway for instant, personal, and joyful discovery. Spanning diverse categories such as fashion, beauty, travel, accessories, home décor, pets, and beyond, Glance AI delivers deeply personalized shopping experiences. With rich first\-party data and unparalleled consumer access, it harnesses InMobi’s global scale, insights, and targeting capabilities to create high impact, performance driven shopping journeys for brands worldwide.
 Recognized as a Great Place to Work, and by MIT Technology Review, Fast Company’s Top 10 Innovators, and more, InMobi is a workplace where bold ideas create global impact. Backed by investors including SoftBank, Kleiner Perkins, and Sherpalo Ventures, InMobi has offices across San Mateo, New York, London, Singapore, Tokyo, Seoul, Jakarta, Bengaluru and beyond.
 At
 **InMobi Advertising** 
 , you’ll have the opportunity to shape how billions of users connect with content, commerce, and brands worldwide. To learn more, visit www.inmobi.com
**Overview Of The Role**
 We are looking for an Applied Scientist III to join our algorithmic and research science team. You’ll work on mathematically rigorous, research\-driven problems at production scale. This role sits at the intersection of theory and application, designing algorithms that combine elegant modeling with measurable business impact. Specifically, our scientists tackle challenges across traffic shaping, fraud detection, ad quality, pricing strategies, and auction theory, along with their practical applications. We leverage the latest deep learning models alongside classical machine learning techniques to build innovative solutions.
 As the heart of the InMobi Exchange, our team optimizes the company’s core business functions and creates the strategic moat that sets us apart in the market. You will not just “use models”—you will formulate them, evaluate their assumptions, tailor them to our problem domain, and bring them to life in production. Many of our challenges have no off\-the\-shelf solutions; we require scientific creativity to bridge research and reality.
 If you thrive on solving complex, high\-impact problems and want to see your ideas shape the future of a global exchange, this is the place where your work will truly make a difference.
**The Impact You'll Make**
 In this role, you’ll operate at the intersection of cutting\-edge research and massive\-scale production, shaping algorithms that power a global advertising marketplace, making tens of trillions of real\-time decisions every day. You’ll work in an environment where models are continuously tested, evaluated, and refined — with rapid learning loops measured in hours, not weeks. Collaborating with a team that values algorithmic depth and scientific rigor, you’ll have the opportunity to prototype, publish, and deploy work that drives measurable business impact.
* Formulate, analyze, and implement algorithms that power real\-time auctions, dynamic pricing, bid shaping, pacing, and traffic allocation across a massive\-scale ad marketplace.
* Design and experiment with methods in online learning, reinforcement learning, multi\-armed bandits, forecasting, game theory, and Bayesian modeling—in non\-stationary, adversarial environments.
* Collaborate with product and engineering teams to deploy your models in production and run real\-world experiments with rapid feedback loops (measured in hours, not weeks).
* Contribute to the scientific community by publishing high\-quality research, conducting internal seminars, and staying abreast of advances in machine learning, algorithms, and applied statistics.
* Evaluate the long\-term dynamics of deployed algorithms, incorporating feedback, exploitation\-exploration trade\-offs, and incentives within multi\-agent systems.
* Identify new areas for innovation by translating business challenges into research questions and proposing novel, high\-impact methodologies.
* Translate mathematical ideas into practical, high\-performance algorithms that operate at scale in production environments.
* Explore and close the loop between model predictions and real\-world outcomes, refining algorithms based on system behavior.
**The Experience We Need** 
* Ph.D. (preferred) or Master’s degree in Computer Science, Statistics, Mathematics, Operations Research, Physics, or a related quantitative discipline.
* 5\.5–7 years of experience working on algorithmic or applied research problems, ideally with some production deployment experience.
* Deep grounding in one or more of:
+ Statistical learning theory, optimization, probability theory, and information theory
+ Causal inference, decision theory, game theory
+ Online learning, bandits, RL, Bayesian methods
* Strong publication record (e.g., NeurIPS, ICML, AISTATS, KDD, UAI, WSDM, EC, SODA, COLT) is a strong plus—even if not recent.
* Proficient in scientific computing with Python, including packages such as NumPy, SciPy, PyTorch, or TensorFlow.
* Comfortable working with big data platforms like Apache Spark, distributed computing, and large\-scale datasets.
* A researcher’s mindset: questions first, implementation later. You are thoughtful about assumptions and rigorous about validation.
* End\-to\-end ownership: you can go from idea to production and thrive in applied settings.
* Prior experience in ad tech, marketplaces, or dynamic pricing is helpful but not required.
**What We Build…**
 At InMobi, we’re building products that are redefining industries. Our ecosystem spans:
* InMobi Advertising – Powering data\-driven mobile marketing for the world’s leading brands
* Glance – A revolutionary Gen AI\-powered lockscreen \&amp; TV content platform transforming how millions discover and engage with content.
* 1Weather – One of the world’s leading weather platforms, delivering precise, reliable, and real\-time weather forecasts
 With deep expertise in AI, mobile, consumer technology, and digital innovation, we are home to some of the brightest minds in the industry.
 What sets us apart?
 Not just what we build. How we build it. At InMobi, we balance our hunger for cutting\-edge tech with a deep focus on our people \- their growth, well\-being, and potential.
**At InMobi, You’ll Be Surrounded By People Who…**
* Think big and act fast: We’re entrepreneurial, thrive in ambiguity, and love solving high\-impact problems
* Are passionate, fanatically driven, and take immense pride in their work: We care deeply about the impact we create and continuously push our potential
* Own their outcomes: We take responsibility, make bold decisions, and execute with confidence
* Embrace freedom with accountability: We value autonomy and understand that trust comes with responsibility
* Believe in lifelong learning: We welcome feedback, challenge ourselves to grow, and aren’t afraid to take smart risks
**Award\-winning Culture, Best\-in\-class Benefits**
 Our compensation philosophy enables us to provide a competitive salary that drives high performance while balancing business needs and pay parity. We determine compensation based on a wide variety of factors, including role, nature of experience, skills, and location.
 The base salary (fixed) pay range for this role would range from $148,200 USD to $216,600 USD (min to max of base salary pay range). This salary range is applicable for our offices located in California and New York
 **\*** 
 .
* Our ranges may vary based on the final location or region of the roles in accordance with the geographical differentiation in pay scales in the country.
 In addition to cash compensation, based on the position, an InMobian can receive equity in the form of Restricted Stock Units. We believe that our employees/personnel should have the ability to own a part of the entity they are a part of. Therefore, the entity employing you may elect to provide such stocks to you. Ownership of stock enables us to treat our employer company as our own and base our decisions on the company’s best interest at heart. To encourage a spirit of shared ownership, we grant InMobians relevant company stock(s). As you contribute to the growth of your company, certain stocks may be issued to you in recognition of your contribution.
**A Quick Snapshot Of Our U.S. Benefits**
* Competitive salary and RSU grant (where applicable)
* High\-quality medical, dental, and vision insurance (including company\-matched HSA)
* 401(k) company match
* Generous combination of vacation time, sick days, special occasion time, and company\-wide holidays
* Substantial maternity and paternity leave benefits and compassionate work environment
* Flexible working hours to suit everyone
* Wellness stipend for a healthier you!
* Free lunch is provided in our offices daily
* Pet\-friendly work environment and robust pet insurance policy \- because we love our animals!
* Employee Assistance Program (EAP)
 If this sounds like the kind of team, role, values, benefits, and challenges that excite you, we’d love to hear from you. Go for it!
**InMobi is an equal opportunity employer**
 InMobi is a place where everyone can grow. Howsoever you identify, and whatever background you bring with you, we invite you to apply if this sounds like a role that would make you excited to work.
*InMobi provides equal employment opportunities to all employees and applicants for employment and prohibits discrimination and harassment of any type. All qualified applicants will receive consideration for employment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**The InMobi Culture**
 At InMobi, culture isn’t a buzzword; it's an ethos woven by every InMobian, reflecting our diverse backgrounds and experiences.
 We thrive on challenges and seize every opportunity for growth. Our core values — thinking big, being passionate, showing accountability, and taking ownership with freedom — guide us in every decision we make.
 We believe in nurturing and investing in your development through continuous learning and career progression with our InMobi Live Your Potential program.
 InMobi is proud to be an Equal Employment Opportunity employer and is committed to providing reasonable accommodations to qualified individuals with disabilities throughout the hiring process and in the workplace.
 Visit https://www.inmobi.com/company/careers to better understand our benefits, values, and more!</t>
        </is>
      </c>
    </row>
    <row r="68">
      <c r="A68" t="inlineStr">
        <is>
          <t>li-4360758244</t>
        </is>
      </c>
      <c r="B68" t="inlineStr">
        <is>
          <t>Principal Data Scientist (Credit Risk Insights &amp; Analysis)</t>
        </is>
      </c>
      <c r="C68" t="inlineStr">
        <is>
          <t>Navy Federal Credit Union</t>
        </is>
      </c>
      <c r="D68" t="inlineStr">
        <is>
          <t>linkedin</t>
        </is>
      </c>
      <c r="E68">
        <f>HYPERLINK("https://www.linkedin.com/jobs/view/4360758244", "https://www.linkedin.com/jobs/view/4360758244")</f>
        <v/>
      </c>
      <c r="F68">
        <f>HYPERLINK("https://jobs.talemetry.com/navyfederal/jobs/apply?job_list_id=1045&amp;returnUrl=https%3A%2F%2Ffa-etbx-saasfaprod1.fa.ocs.oraclecloud.com%2FhcmUI%2FCandidateExperience%2Fen%2Fsites%2FCX_1%2Fjob%2F28062&amp;tm_job=28062-OTHLOC-300000025810540&amp;tm_event=view&amp;tm_company=903&amp;bid=56&amp;utm_source=linkedin&amp;utm_medium=jobboard&amp;urlHash=rgJK", "https://jobs.talemetry.com/navyfederal/jobs/apply?job_list_id=1045&amp;returnUrl=https%3A%2F%2Ffa-etbx-saasfaprod1.fa.ocs.oraclecloud.com%2FhcmUI%2FCandidateExperience%2Fen%2Fsites%2FCX_1%2Fjob%2F28062&amp;tm_job=28062-OTHLOC-300000025810540&amp;tm_event=view&amp;tm_company=903&amp;bid=56&amp;utm_source=linkedin&amp;utm_medium=jobboard&amp;urlHash=rgJK")</f>
        <v/>
      </c>
      <c r="G68" t="inlineStr">
        <is>
          <t>Pensacola, FL</t>
        </is>
      </c>
      <c r="H68" t="inlineStr"/>
      <c r="I68" t="inlineStr">
        <is>
          <t>**Overview**
 Provide independent data science, machine learning, and analytical insights using member, financial, and organizational data to support credit risk decision\-making. Understand business needs and identify opportunities for process optimization to meet business objectives using cutting\-edge data science. Regarded as an advanced professional in the data science field who can conduct complex work under minimal supervision and with wide latitude for independent judgment. The role requires strong analytical skills, proficiency in data visualization tools, and the ability to communicate complex insights effectively.
**Responsibilities**
* Develop, maintain, and manage advanced reporting, dashboards, data models and analytical results
* Retrieve, analyze and validate data and interpret results
* Lead projects to understand requirements and propose key analytical solutions to drive effective decision\-making and influence business objectives
* Develop and code complex software programs, algorithms, and automated processes
* Use evaluation, judgment, and interpretation to select right course of action
* Work on problems of diverse scope where analysis of information requires evaluation of identifiable factors
* Produce innovative solutions driven by exploratory data analysis from complex and high\-dimensional datasets
* Transform data into charts, tables, or format that aids effective decision making
* Utilize effective written and verbal communication to document analyses and present findings analyses to a diverse audience of stakeholders
* Develop and maintain strong working relationships with team members, subject matter experts, and leaders
* Lead moderate to large projects and initiatives
* Model best practices and ethical AI
* Works with senior management on complex issues
* Assist with the development and enhancement practices, procedures, and instructions
* Serve as technical resource for other team members
* Mentor lower levels
**Qualifications**
* 6\+ years of working experience with requisite competencies
* Complete knowledge and full understanding of specialization
* Statistics, machine learning , data mining, data auditing, aggregation, reconciliation, and visualization
* Programming, data modeling, simulation, and advanced mathematics
* SQL, R, Python, Hadoop, SAS, SPSS, Databricks, Scala, AWS
* Tableau, Power BI, or related data visualization tools
* Model lifecycle execution
* Technical writing
* Data storytelling and technical presentation skills
* Research Skills
* Interpersonal Skills
* Advanced knowledge of procedures, instructions and validation techniques
* Model Development
* Communication
* Critical Thinking
* Collaborate and Build Relationships
* Initiative with sound judgement
* Technical (Big Data Analysis, Coding, Project Management, Technical Writing, etc.)
* Independent Judgment
* Problem Solving (Identifies the constraints and risks)
* Bachelor's Degree in Data Science, Statistics, Mathematics, Computers Science, Engineering, or degrees in similar quantitative fields
**Desired Qualification(s)**
* Master's/PhD Degree in Data Science, Statistics, Mathematics, Computers Science, or Engineering
**Hours:** 
 Monday \- Friday, 8:00AM \- 4:30PM
**Locations:** 
 820 Follin Lane, Vienna, VA 22180 \| 5510 Heritage Oaks Drive, Pensacola, FL 32526
**About Us**
 Navy Federal provides much more than a job. We provide a meaningful career experience, including a culture that is energized, engaged and committed; and fierce appreciation for our teams, who are rewarded with highly competitive pay and generous benefits and perks.
 Our approach to careers is simple yet powerful: Make our mission your passion.
* Fortune 100 Best Companies to Work For 2025
* Yello and WayUp Top 100 Internship Programs
* Computerworld® Best Places to Work in IT
* Newsweek Most Loved Workplaces
* 2025 PEOPLE® Companies That Care
* Newsweek Most Trustworthy Companies in America
* Military Times 2025 Best for Vets Employers
* Best Companies for Latinos to Work for 2024
* Forbes® 2025 America's Best Large Employers
* Forbes® 2025 America's Best Employers for New Grads
* Forbes® 2025 America's Best Employers for Tech Workers
* 2025 RippleMatch Campus Forward Award Winner for Overall Excellence
* Military.com Top Military Spouse Employers 2025
* 2025 Handshake Early Talent Award
 From
 *Fortune* 
 . ©2025
 *Fortune* 
 Media IP Limited. All rights reserved. Used under license.
 *Fortune* 
 and
 *Fortune* 
 Media IP Limited are not affiliated with, and do not endorse products or services of, Navy Federal Credit Union.
**Equal Employment Opportunity:** 
 All qualified applicants will receive consideration for employment without regard to age, race, sex, color, religion, national origin, disability, veteran status, pregnancy, sexual orientation, genetic information, gender identity or any other basis protected by applicable law.
**Disclaimers:** 
 Navy Federal reserves the right to fill this role at a higher/lower grade level based on business need. An assessment may be required to compete for this position. Job postings are subject to close early or extend out longer than the anticipated closing date at the hiring team’s discretion based on qualified applicant volume. Navy Federal Credit Union assesses market data to establish salary ranges that enable us to remain competitive. You are paid within the salary range, based on your experience, location and market position. For additional details regarding compensation and benefits, review the Benefits page of the Navy Federal Career Site.
**Protect Yourself from Job Scams:** 
 Navy Federal Credit Union jobs are posted on our career site, jobs.navyfederal.org and reputable job boards (e.g., LinkedIn, Indeed). We do not post jobs on social media marketplaces, messaging apps or unverified websites. We will never ask candidates for payment, bank details or personal financial information during the hiring process.
**Bank Secrecy Act:** 
 Remains cognizant of and adheres to Navy Federal policies and procedures, and regulations pertaining to the Bank Secrecy Act.</t>
        </is>
      </c>
    </row>
    <row r="69">
      <c r="A69" t="inlineStr">
        <is>
          <t>li-4360758210</t>
        </is>
      </c>
      <c r="B69" t="inlineStr">
        <is>
          <t>Applied Scientist, Denied Party Screening, AWS Compliance &amp; Security Assurance</t>
        </is>
      </c>
      <c r="C69" t="inlineStr">
        <is>
          <t>Amazon Web Services (AWS)</t>
        </is>
      </c>
      <c r="D69" t="inlineStr">
        <is>
          <t>linkedin</t>
        </is>
      </c>
      <c r="E69">
        <f>HYPERLINK("https://www.linkedin.com/jobs/view/4360758210", "https://www.linkedin.com/jobs/view/4360758210")</f>
        <v/>
      </c>
      <c r="F69" t="inlineStr"/>
      <c r="G69" t="inlineStr">
        <is>
          <t>Seattle, WA</t>
        </is>
      </c>
      <c r="H69" t="inlineStr"/>
      <c r="I69" t="inlineStr">
        <is>
          <t>**Description**
 At Amazon, security is central to maintaining customer trust and delivering delightful customer experiences. Our mission is to prevent denied entities from transacting with Amazon businesses. We build automatic mechanisms to detect and prevent prohibited transactions with denied entities using a diverse set of algorithms and machine learning techniques. We screen over a billion events every day and develop algorithms which are able to scale and detect suspicious entities . We are still Day 1 and have an exciting road map to build Machine Learning (ML) and Generative AI (LLM) powered detection and resolution systems to help scale Amazon for years to come.
 We are seeking an Applied Scientist to join our team and help tackle challenging problems at the forefront of machine learning and artificial intelligence. Working closely with a multidisciplinary team of engineers, data scientists, and domain experts, you will play a crucial role in defining cutting\-edge ML/AI\-powered customer experiences and solutions. If you have an entrepreneurial mindset, the technical depth to deliver impactful results, and a passion for innovation, we want to hear from you.
 Key job responsibilities
**In This Role, You Will**
* Drive the research, design, and development of novel ML/AI models and systems to power critical products and services
* Collaborate cross\-functionally to deeply understand business requirements, customer needs, and technical constraints
* Rapidly prototype, test, and iterate on ML/AI solutions, iterating quickly based on data and feedback
* Communicate complex technical concepts to technical and non\-technical stakeholders
* Mentor and grow a team of talented ML scientists and engineers
* Stay up\-to\-date on the latest advancements in AI/ML and identify opportunities to apply emerging techniques
 A day in the life
* Starting the day by reviewing the latest model performance metrics and identifying areas for improvement
* Brainstorming new architectures and approaches with your cross\-functional team during a whiteboard session
* Diving deep into a complex dataset, leveraging advanced statistical and AI techniques to uncover hidden insights
* Prototyping a new model and running a series of experiments to optimize its performance
* Preparing a presentation to pitch your latest research findings and recommendations to product and engineering leaders
* Mentoring a junior data scientist, providing guidance on coding best practices and problem\-solving strategies
**About The Team**
 Why Amazon Security
 At Amazon, security is central to maintaining customer trust and delivering delightful customer experiences. Our organization is responsible for creating and maintaining a high bar for security across all of Amazon’s products and services.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and Career growth
 We’re continuously raising our performance bar as we strive to become Earth’s Best Employer. That’s why you’ll find endless knowledge\-sharing, training, and other career\-advancing resources here to help you develop into a better\-rounded professional.
**Basic Qualifications**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Dallas \- 142,800\.00 \- 193,200\.00 USD annually
 USA, WA, Seattle \- 142,800\.00 \- 193,200\.00 USD annually
**Company** 
 \- Amazon.com Services LLC
 Job ID: A3157154</t>
        </is>
      </c>
    </row>
    <row r="70">
      <c r="A70" t="inlineStr">
        <is>
          <t>li-4354443173</t>
        </is>
      </c>
      <c r="B70" t="inlineStr">
        <is>
          <t>Transportation Data Scientist</t>
        </is>
      </c>
      <c r="C70" t="inlineStr">
        <is>
          <t>Jobs via Dice</t>
        </is>
      </c>
      <c r="D70" t="inlineStr">
        <is>
          <t>linkedin</t>
        </is>
      </c>
      <c r="E70">
        <f>HYPERLINK("https://www.linkedin.com/jobs/view/4354443173", "https://www.linkedin.com/jobs/view/4354443173")</f>
        <v/>
      </c>
      <c r="F70" t="inlineStr"/>
      <c r="G70" t="inlineStr">
        <is>
          <t>McLean, VA</t>
        </is>
      </c>
      <c r="H70" t="inlineStr"/>
      <c r="I70" t="inlineStr">
        <is>
          <t>Dice is the leading career destination for tech experts at every stage of their careers. Our client, Gurus Infotech, Inc., is seeking the following. Apply via Dice today!
 Transportation Data Scientist
**Location:** 
 McLean, VA (On\-site )
**Travel:** 
 Up to 10 20%
**Clearance:** 
 Public Trust eligibility required
 We are seeking a
 **Transportation Data Scientist** 
 to work at the intersection of
 **AI, data science, and intelligent systems** 
 . This role focuses on developing and deploying machine learning models to support real\-world analytics, safety, and operational decision\-making in complex, data\-rich environments.
 \&lt;\&gt;Role Overview\&lt;/\&gt;
 You will lead data\-driven research and applied AI initiatives, working with diverse datasets and stakeholders to design, evaluate, and deploy scalable AI/ML solutions. This position blends hands\-on model development with stakeholder engagement and strategic planning for applied AI initiatives.
 \&lt;\&gt;What You ll Do\&lt;/\&gt;
* Conduct data exploration and literature reviews to identify relevant AI methods, datasets, and technologies
* Prepare, clean, integrate, and fuse multi\-source datasets (e.g., sensor data, imagery, time\-series, external data feeds)
* Design, develop, and deploy AI/ML models for classification, prediction, and anomaly detection use cases
* Evaluate model performance across varying data quality and operational conditions
* Develop synthetic data to support model training and validation when real\-world data is limited
* Communicate technical results through reports, briefings, and presentations for technical and non\-technical audiences
* Collaborate with cross\-functional teams to ensure quality, risk management, and alignment with project goals
* Engage with external stakeholders to gather requirements, share insights, and identify new AI application opportunities
* Contribute to planning efforts, proposals, and technical roadmaps for future AI initiatives
 \&lt;\&gt;Required Qualifications\&lt;/\&gt;
* Bachelor s degree in Data Science, Computer Science, AI, Engineering, or a related field (Master s or PhD preferred)
* 5\+ years of professional experience in data science and AI/ML
* Strong hands\-on experience with ML frameworks (e.g., PyTorch, TensorFlow, Scikit\-learn)
* Proficiency with data processing tools such as Pandas and NumPy
* Experience working with multimodal data (e.g., imagery, sensor, time\-series data) and ETL pipelines
* Strong understanding of model evaluation metrics and validation strategies
* Experience collaborating with external partners or public\-sector stakeholders
* Excellent written and verbal communication skills
* Ability to work in a fast\-paced, research\-oriented environment
* Eligibility for a Public Trust clearance and authorization to work in the U.S.
 \&lt;\&gt;Preferred Qualifications\&lt;/\&gt;
* Experience applying AI/ML in transportation, mobility, infrastructure, or safety domains
* Experience designing and deploying AI systems for real\-world operational use
* Familiarity with simulation, synthetic data generation, or generative AI techniques
* Knowledge of AI governance, risk management, or responsible AI principles
* Experience leading or coordinating technical workstreams
* Publications or conference presentations in applied AI or engineering domains</t>
        </is>
      </c>
    </row>
    <row r="71">
      <c r="A71" t="inlineStr">
        <is>
          <t>li-4360767796</t>
        </is>
      </c>
      <c r="B71" t="inlineStr">
        <is>
          <t>Principal Associate, Data Scientist - AI Software Engineering</t>
        </is>
      </c>
      <c r="C71" t="inlineStr">
        <is>
          <t>Capital One</t>
        </is>
      </c>
      <c r="D71" t="inlineStr">
        <is>
          <t>linkedin</t>
        </is>
      </c>
      <c r="E71">
        <f>HYPERLINK("https://www.linkedin.com/jobs/view/4360767796", "https://www.linkedin.com/jobs/view/4360767796")</f>
        <v/>
      </c>
      <c r="F71">
        <f>HYPERLINK("https://dsp.prng.co/Pn95M6b&amp;urlHash=v8jb", "https://dsp.prng.co/Pn95M6b&amp;urlHash=v8jb")</f>
        <v/>
      </c>
      <c r="G71" t="inlineStr">
        <is>
          <t>New York, NY</t>
        </is>
      </c>
      <c r="H71" t="inlineStr"/>
      <c r="I71" t="inlineStr">
        <is>
          <t>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Scientist at Capital One, you’ll be part of a team that’s leading the next wave of disruption at a whole new scale, using the latest in computing and machine learning technologies and operating across billions of customer records to unlock the big opportunities that help everyday people save money, time and agony in their financial lives.
****Team Description****
 The AI Foundations – AI Software Engineering Data Science team designs, builds, and delivers state\-of\-the\-art, scalable AI architectures that transform how software is developed at Capital One. We partner closely with product and engineering teams to create multi\-agent solutions across the software development lifecycle—including code generation, migration, troubleshooting, root\-cause analysis, and documentation—leveraging technologies such as LangGraph, MCP, agent\-to\-agent protocols, and advanced model customization techniques.
****Role Description****
****In this role, you will:****
* Partner with a cross\-functional team of data scientists, software engineers, and product managers to deliver a product customers love
* Leverage a broad stack of technologies — Python, Conda, AWS, H2O, Spark, and more — to reveal the insights hidden within huge volumes of numeric and textual data
* Build machine learning models through all phases of development, from design through training, evaluation, validation, and implementation
* Flex your interpersonal skills to translate the complexity of your work into tangible business goals
****The Ideal Candidate is:****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Technical. You’re comfortable with open\-source languages and are passionate about developing further. You have hands\-on experience developing data science solutions using open\-source tools and cloud computing platforms.
* Statistically\-minded. You’ve built models, validated them, and backtested them. You know how to interpret a confusion matrix or a ROC curve. You have experience with clustering, classification, sentiment analysis, time series, and deep learning.
* A data guru. “Big data” doesn’t faze you. You have the skills to retrieve, combine, and analyze data from a variety of sources and structures. You know understanding the data is often the key to great data science.
****Basic Qualifications:****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or a related quantitative field) plus 5 years of experience performing data analytics
+ A Master's Degree in a quantitative field (Statistics, Economics, Operations Research, Analytics, Mathematics, Computer Science, or a related quantitative field) or an MBA with a quantitative concentration plus 3 years of experience performing data analytics
+ A PhD in a quantitative field (Statistics, Economics, Operations Research, Analytics, Mathematics, Computer Science, or a related quantitative field)
****Preferred Qualifications:****
* Master’s Degree in “STEM” field (Science, Technology, Engineering, or Mathematics) plus 3 years of experience in data analytics, or PhD in “STEM” field (Science, Technology, Engineering, or Mathematics)
* Experience working with AWS
* Experience building production\-grade agentic platforms, including RAG and graph\-augmented systems, MCP or tool\-calling integrations
* Demonstrated expertise in advanced model customization techniques—such as fine\-tuning, parameter\-efficient tuning (LoRA/QLoRA), reinforcement learning, or preference optimization
* Prior research and publications in AI/ML conferences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Princ Associate, Data Science
 New York, NY: $176,500 \- $201,400 for Princ Associate, Data Science
 San Jose, CA: $176,500 \- $201,400 for Princ Associate, Data Science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72">
      <c r="A72" t="inlineStr">
        <is>
          <t>li-4361264367</t>
        </is>
      </c>
      <c r="B72" t="inlineStr">
        <is>
          <t>Senior Associate, Data Scientist - AI Software Engineering</t>
        </is>
      </c>
      <c r="C72" t="inlineStr">
        <is>
          <t>Capital One</t>
        </is>
      </c>
      <c r="D72" t="inlineStr">
        <is>
          <t>linkedin</t>
        </is>
      </c>
      <c r="E72">
        <f>HYPERLINK("https://www.linkedin.com/jobs/view/4361264367", "https://www.linkedin.com/jobs/view/4361264367")</f>
        <v/>
      </c>
      <c r="F72">
        <f>HYPERLINK("https://dsp.prng.co/QXxqwfb&amp;urlHash=EW23", "https://dsp.prng.co/QXxqwfb&amp;urlHash=EW23")</f>
        <v/>
      </c>
      <c r="G72" t="inlineStr">
        <is>
          <t>New York, NY</t>
        </is>
      </c>
      <c r="H72" t="inlineStr"/>
      <c r="I72" t="inlineStr">
        <is>
          <t>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Scientist at Capital One, you’ll be part of a team that’s leading the next wave of disruption at a whole new scale, using the latest in computing and machine learning technologies and operating across billions of customer records to unlock the big opportunities that help everyday people save money, time and agony in their financial lives.
****Team Description****
 The AI Foundations – AI Software Engineering Data Science team designs, builds, and delivers state\-of\-the\-art, scalable AI architectures that transform how software is developed at Capital One. We partner closely with product and engineering teams to create multi\-agent solutions across the software development lifecycle—including code generation, migration, troubleshooting, root\-cause analysis, and documentation—leveraging technologies such as LangGraph, MCP, agent\-to\-agent protocols, and advanced model customization techniques.
****Role Description****
****In this role, you will:****
* Partner with a cross\-functional team of data scientists, software engineers, and product managers to deliver a product customers love
* Leverage a broad stack of technologies — Python, Conda, AWS, H2O, Spark, and more — to reveal the insights hidden within huge volumes of numeric and textual data
* Build machine learning models through all phases of development, from design through training, evaluation, validation, and implementation
* Flex your interpersonal skills to translate the complexity of your work into tangible business goals
****The Ideal Candidate is:****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Technical. You’re comfortable with open\-source languages and are passionate about developing further. You have hands\-on experience developing data science solutions using open\-source tools and cloud computing platforms.
* Statistically\-minded. You’ve built models, validated them, and backtested them. You know how to interpret a confusion matrix or a ROC curve. You have experience with clustering, classification, sentiment analysis, time series, and deep learning.
* A data guru. “Big data” doesn’t faze you. You have the skills to retrieve, combine, and analyze data from a variety of sources and structures. You know understanding the data is often the key to great data science.
****Basic Qualifications:****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or a related quantitative field) plus 2 years of experience performing data analytics
+ A Master's Degree in a quantitative field (Statistics, Economics, Operations Research, Analytics, Mathematics, Computer Science, or a related quantitative field) or an MBA with a quantitative concentration
****Preferred Qualifications:****
* Master’s Degree in “STEM” field (Science, Technology, Engineering, or Mathematics), or PhD in “STEM” field (Science, Technology, Engineering, or Mathematics)
* Experience working with AWS
* Experience building production\-grade agentic platforms, including RAG and graph\-augmented systems, MCP or tool\-calling integrations
* Demonstrated expertise in advanced model customization techniques—such as fine\-tuning, parameter\-efficient tuning (LoRA/QLoRA), reinforcement learning, or preference optimization
* Prior research and publications in AI/ML conferences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$135,600 \- $154,800 for Sr Assoc, Data Science
 New York, NY: $148,000 \- $168,900 for Sr Assoc, Data Science
 San Jose, CA: $148,000 \- $168,900 for Sr Assoc, Data Science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73">
      <c r="A73" t="inlineStr">
        <is>
          <t>li-4361196157</t>
        </is>
      </c>
      <c r="B73" t="inlineStr">
        <is>
          <t>Behavioral Health Data Scientist</t>
        </is>
      </c>
      <c r="C73" t="inlineStr">
        <is>
          <t>Confidential</t>
        </is>
      </c>
      <c r="D73" t="inlineStr">
        <is>
          <t>linkedin</t>
        </is>
      </c>
      <c r="E73">
        <f>HYPERLINK("https://www.linkedin.com/jobs/view/4361196157", "https://www.linkedin.com/jobs/view/4361196157")</f>
        <v/>
      </c>
      <c r="F73" t="inlineStr"/>
      <c r="G73" t="inlineStr">
        <is>
          <t>Clearwater, FL</t>
        </is>
      </c>
      <c r="H73" t="inlineStr"/>
      <c r="I73" t="inlineStr">
        <is>
          <t>A large, established organization in the Tampa Bay region is seeking a
 **Behavioral Health Data Scientist** 
 to help
 **transform behavioral and public health services** 
 through advanced analytics and actionable insight.
 This position is not simply about producing data — it is about
 **shaping how leaders, providers, and community partners understand the behavioral health landscape** 
 and make decisions that improve
 **care access, quality, and population\-level outcomes.** 
 This role sits at the intersection of
 **data science, strategy, and public health impact.** 
**Key Focus Areas** 
 • Surface trends in
 **behavioral and population health** 
 • Build
 **dashboards** 
 , KPIs, and analytic tools that guide action and accountability
 • Support
 **utilization, quality, and care coordination** 
 initiatives with analytic rigor
 • Integrate and govern
 **large, complex, and sensitive datasets** 
 across multiple sources
 • Communicate insights to
 **technical and non\-technical stakeholders** 
 to influence strategy and system performance
**Ideal Profile** 
 • Background in
 **behavioral health, public health, epidemiology, or health analytics** 
 • Advanced technical capabilities across
 **SQL, BI tools, forecasting, and statistical platforms** 
 • Skilled at
 **turning data into insight** 
 and
 **insight into strategic action** 
 Hybrid work flexibility and competitive total compensation included.
 If interested, please reach out
 **confidentially** 
 for consideration.
 This is a confidential search. Employer details will be shared following an initial conversation to confirm mutual interest and alignment.
 **Discretion is expected and appreciated.**</t>
        </is>
      </c>
    </row>
    <row r="74">
      <c r="A74" t="inlineStr">
        <is>
          <t>li-4361177080</t>
        </is>
      </c>
      <c r="B74" t="inlineStr">
        <is>
          <t>Manager, Data Scientist - Credit Review</t>
        </is>
      </c>
      <c r="C74" t="inlineStr">
        <is>
          <t>Capital One</t>
        </is>
      </c>
      <c r="D74" t="inlineStr">
        <is>
          <t>linkedin</t>
        </is>
      </c>
      <c r="E74">
        <f>HYPERLINK("https://www.linkedin.com/jobs/view/4361177080", "https://www.linkedin.com/jobs/view/4361177080")</f>
        <v/>
      </c>
      <c r="F74">
        <f>HYPERLINK("https://dsp.prng.co/Wfkvdbb&amp;urlHash=w__9", "https://dsp.prng.co/Wfkvdbb&amp;urlHash=w__9")</f>
        <v/>
      </c>
      <c r="G74" t="inlineStr">
        <is>
          <t>McLean, VA</t>
        </is>
      </c>
      <c r="H74" t="inlineStr"/>
      <c r="I74" t="inlineStr">
        <is>
          <t>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Scientist at Capital One, you’ll be part of a team that’s leading the next wave of disruption at a whole new scale, using the latest in computing and machine learning technologies and operating across billions of customer records to unlock the big opportunities that help everyday people save money, time and agony in their financial lives.
****Team Description****
 In Capital One’s Credit Review Models, Data and Innovative solutions team, we defend the company against model failures and find new ways of making better decisions with models. We use our statistics, software engineering, and business expertise to drive the best outcomes in both Risk Management and the Enterprise. We understand that we can’t prepare for tomorrow by focusing on today, so we invest in the future: investing in new skills, building better tools, and maintaining a network of trusted partners.
 We partner with best\-in\-class data scientists, analysts, credit risk management experts, and engineers to innovate solutions that directly impact the company’s bottom line in a meaningful way. We do it all in a collaborative environment that values individual insight, encourages each associate to take on new responsibilities, promotes continuous learning, and rewards innovation.
****Role Description****
****In this role, you will:****
* Leverage a broad stack of technologies, such as, Python, Conda, AWS, H2O, Spark, and more, to reveal the insights hidden within huge volumes of numeric and textual data
* Build statistical and machine learning models to challenge the models in production
* Flex your interpersonal skills to translate the complexity of your work into tangible business goals
* Partner with a cross\-functional team of data scientists, credit risk experts, and product managers to deliver a product customers love
****The Ideal Candidate is:****
* Technical. You’re comfortable with open\-source languages and are passionate about developing further. You have hands\-on experience developing data science solutions using open\-source tools and cloud computing platforms.
* Statistically\-minded. You’ve built models, validated them, and backtested them. You know how to interpret a confusion matrix or a ROC curve. You have experience with clustering, classification, sentiment analysis, time series, and deep learning.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****Basic Qualifications:****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or a related quantitative field) plus 6 years of experience performing data analytics
+ A Master's Degree in a quantitative field (Statistics, Economics, Operations Research, Analytics, Mathematics, Computer Science, or a related quantitative field) or an MBA with a quantitative concentration plus 4 years of experience performing data analytics
+ A PhD in a quantitative field (Statistics, Economics, Operations Research, Analytics, Mathematics, Computer Science, or a related quantitative field) plus 1 year of experience performing data analytics
* At least 1 year of experience leveraging open source programming languages for large scale data analysis
* At least 1 year of experience working with machine learning
* At least 1 year of experience utilizing relational databases
****Preferred Qualifications:****
* PhD in “STEM” field (Science, Technology, Engineering, or Mathematics) plus 3 years of experience in data analytics
* At least 4 years’ experience in Python, Scala, or R for large scale data analysis
* At least 4 years’ experience with machine learning
* At least 4 years’ experience with predictive modeling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Plano, TX: $179,400 \- $204,700 for Mgr, Data Science
 McLean, VA: $197,300 \- $225,100 for Mgr, Data Science
 Richmond, VA: $179,400 \- $204,700 for Mgr, Data Science
 Riverwoods, IL: $179,400 \- $204,700 for Mgr, Data Science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75">
      <c r="A75" t="inlineStr">
        <is>
          <t>li-4361107089</t>
        </is>
      </c>
      <c r="B75" t="inlineStr">
        <is>
          <t>Senior Associate, Data Scientist - AI Software Engineering</t>
        </is>
      </c>
      <c r="C75" t="inlineStr">
        <is>
          <t>Capital One</t>
        </is>
      </c>
      <c r="D75" t="inlineStr">
        <is>
          <t>linkedin</t>
        </is>
      </c>
      <c r="E75">
        <f>HYPERLINK("https://www.linkedin.com/jobs/view/4361107089", "https://www.linkedin.com/jobs/view/4361107089")</f>
        <v/>
      </c>
      <c r="F75">
        <f>HYPERLINK("https://dsp.prng.co/Q0JCzbb&amp;urlHash=I52j", "https://dsp.prng.co/Q0JCzbb&amp;urlHash=I52j")</f>
        <v/>
      </c>
      <c r="G75" t="inlineStr">
        <is>
          <t>San Jose, CA</t>
        </is>
      </c>
      <c r="H75" t="inlineStr"/>
      <c r="I75" t="inlineStr">
        <is>
          <t>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Scientist at Capital One, you’ll be part of a team that’s leading the next wave of disruption at a whole new scale, using the latest in computing and machine learning technologies and operating across billions of customer records to unlock the big opportunities that help everyday people save money, time and agony in their financial lives.
****Team Description****
 The AI Foundations – AI Software Engineering Data Science team designs, builds, and delivers state\-of\-the\-art, scalable AI architectures that transform how software is developed at Capital One. We partner closely with product and engineering teams to create multi\-agent solutions across the software development lifecycle—including code generation, migration, troubleshooting, root\-cause analysis, and documentation—leveraging technologies such as LangGraph, MCP, agent\-to\-agent protocols, and advanced model customization techniques.
****Role Description****
****In this role, you will:****
* Partner with a cross\-functional team of data scientists, software engineers, and product managers to deliver a product customers love
* Leverage a broad stack of technologies — Python, Conda, AWS, H2O, Spark, and more — to reveal the insights hidden within huge volumes of numeric and textual data
* Build machine learning models through all phases of development, from design through training, evaluation, validation, and implementation
* Flex your interpersonal skills to translate the complexity of your work into tangible business goals
****The Ideal Candidate is:****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Technical. You’re comfortable with open\-source languages and are passionate about developing further. You have hands\-on experience developing data science solutions using open\-source tools and cloud computing platforms.
* Statistically\-minded. You’ve built models, validated them, and backtested them. You know how to interpret a confusion matrix or a ROC curve. You have experience with clustering, classification, sentiment analysis, time series, and deep learning.
* A data guru. “Big data” doesn’t faze you. You have the skills to retrieve, combine, and analyze data from a variety of sources and structures. You know understanding the data is often the key to great data science.
****Basic Qualifications:****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or a related quantitative field) plus 2 years of experience performing data analytics
+ A Master's Degree in a quantitative field (Statistics, Economics, Operations Research, Analytics, Mathematics, Computer Science, or a related quantitative field) or an MBA with a quantitative concentration
****Preferred Qualifications:****
* Master’s Degree in “STEM” field (Science, Technology, Engineering, or Mathematics), or PhD in “STEM” field (Science, Technology, Engineering, or Mathematics)
* Experience working with AWS
* Experience building production\-grade agentic platforms, including RAG and graph\-augmented systems, MCP or tool\-calling integrations
* Demonstrated expertise in advanced model customization techniques—such as fine\-tuning, parameter\-efficient tuning (LoRA/QLoRA), reinforcement learning, or preference optimization
* Prior research and publications in AI/ML conferences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$135,600 \- $154,800 for Sr Assoc, Data Science
 New York, NY: $148,000 \- $168,900 for Sr Assoc, Data Science
 San Jose, CA: $148,000 \- $168,900 for Sr Assoc, Data Science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76">
      <c r="A76" t="inlineStr">
        <is>
          <t>li-4361216962</t>
        </is>
      </c>
      <c r="B76" t="inlineStr">
        <is>
          <t>Principal Associate, Data Scientist - AI Software Engineering</t>
        </is>
      </c>
      <c r="C76" t="inlineStr">
        <is>
          <t>Capital One</t>
        </is>
      </c>
      <c r="D76" t="inlineStr">
        <is>
          <t>linkedin</t>
        </is>
      </c>
      <c r="E76">
        <f>HYPERLINK("https://www.linkedin.com/jobs/view/4361216962", "https://www.linkedin.com/jobs/view/4361216962")</f>
        <v/>
      </c>
      <c r="F76">
        <f>HYPERLINK("https://dsp.prng.co/uiBo0lb&amp;urlHash=4CAc", "https://dsp.prng.co/uiBo0lb&amp;urlHash=4CAc")</f>
        <v/>
      </c>
      <c r="G76" t="inlineStr">
        <is>
          <t>San Jose, CA</t>
        </is>
      </c>
      <c r="H76" t="inlineStr"/>
      <c r="I76" t="inlineStr">
        <is>
          <t>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Scientist at Capital One, you’ll be part of a team that’s leading the next wave of disruption at a whole new scale, using the latest in computing and machine learning technologies and operating across billions of customer records to unlock the big opportunities that help everyday people save money, time and agony in their financial lives.
****Team Description****
 The AI Foundations – AI Software Engineering Data Science team designs, builds, and delivers state\-of\-the\-art, scalable AI architectures that transform how software is developed at Capital One. We partner closely with product and engineering teams to create multi\-agent solutions across the software development lifecycle—including code generation, migration, troubleshooting, root\-cause analysis, and documentation—leveraging technologies such as LangGraph, MCP, agent\-to\-agent protocols, and advanced model customization techniques.
****Role Description****
****In this role, you will:****
* Partner with a cross\-functional team of data scientists, software engineers, and product managers to deliver a product customers love
* Leverage a broad stack of technologies — Python, Conda, AWS, H2O, Spark, and more — to reveal the insights hidden within huge volumes of numeric and textual data
* Build machine learning models through all phases of development, from design through training, evaluation, validation, and implementation
* Flex your interpersonal skills to translate the complexity of your work into tangible business goals
****The Ideal Candidate is:****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Technical. You’re comfortable with open\-source languages and are passionate about developing further. You have hands\-on experience developing data science solutions using open\-source tools and cloud computing platforms.
* Statistically\-minded. You’ve built models, validated them, and backtested them. You know how to interpret a confusion matrix or a ROC curve. You have experience with clustering, classification, sentiment analysis, time series, and deep learning.
* A data guru. “Big data” doesn’t faze you. You have the skills to retrieve, combine, and analyze data from a variety of sources and structures. You know understanding the data is often the key to great data science.
****Basic Qualifications:****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or a related quantitative field) plus 5 years of experience performing data analytics
+ A Master's Degree in a quantitative field (Statistics, Economics, Operations Research, Analytics, Mathematics, Computer Science, or a related quantitative field) or an MBA with a quantitative concentration plus 3 years of experience performing data analytics
+ A PhD in a quantitative field (Statistics, Economics, Operations Research, Analytics, Mathematics, Computer Science, or a related quantitative field)
****Preferred Qualifications:****
* Master’s Degree in “STEM” field (Science, Technology, Engineering, or Mathematics) plus 3 years of experience in data analytics, or PhD in “STEM” field (Science, Technology, Engineering, or Mathematics)
* Experience working with AWS
* Experience building production\-grade agentic platforms, including RAG and graph\-augmented systems, MCP or tool\-calling integrations
* Demonstrated expertise in advanced model customization techniques—such as fine\-tuning, parameter\-efficient tuning (LoRA/QLoRA), reinforcement learning, or preference optimization
* Prior research and publications in AI/ML conferences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Princ Associate, Data Science
 New York, NY: $176,500 \- $201,400 for Princ Associate, Data Science
 San Jose, CA: $176,500 \- $201,400 for Princ Associate, Data Science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77">
      <c r="A77" t="inlineStr">
        <is>
          <t>li-4361246957</t>
        </is>
      </c>
      <c r="B77" t="inlineStr">
        <is>
          <t>Senior Associate, Data Scientist - NLP</t>
        </is>
      </c>
      <c r="C77" t="inlineStr">
        <is>
          <t>Capital One</t>
        </is>
      </c>
      <c r="D77" t="inlineStr">
        <is>
          <t>linkedin</t>
        </is>
      </c>
      <c r="E77">
        <f>HYPERLINK("https://www.linkedin.com/jobs/view/4361246957", "https://www.linkedin.com/jobs/view/4361246957")</f>
        <v/>
      </c>
      <c r="F77" t="inlineStr"/>
      <c r="G77" t="inlineStr">
        <is>
          <t>New York, NY</t>
        </is>
      </c>
      <c r="H77" t="inlineStr"/>
      <c r="I77" t="inlineStr">
        <is>
          <t>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Scientist at Capital One, you’ll be part of a team that’s leading the next wave of disruption at a whole new scale, using the latest in computing and machine learning technologies and operating across billions of customer records to unlock the big opportunities that help everyday people save money, time and agony in their financial lives.
**Team Description**
 AI Foundations Specialist Models Data Science team builds and ships state of the art scalable architecture, AI/ML solutions for Capital One’s award\-winning mobile app. We partner with product, tech and design teams to deliver app features that delight customers with dynamic and personalized experiences, enable them to chat with Capital One’s digital assistant Eno, or search for useful contents. You will be the driving force to experiment, innovate and create next generation experiences powered by the latest emerging generative AI technologies.
**In this role, you will:**
* Partner with a cross\-functional team of data scientists, software engineers, machine learning engineers and product managers to deliver AI powered products that change how customers interact with their money.
* Leverage a broad stack of technologies — Pytorch, AWS Ultraclusters, Hugging Face, LangChain, Lightning, VectorDBs, and more — to reveal the insights hidden within huge volumes of numeric and textual data.
* Be the expert in Natural Language Processing (NLP) to harness the power of Large Language Models (LLMs), adapt and finetune them for customer facing applications and features.
* Build machine learning and NLP models through all phases of development, from design through training, evaluation, and validation; partnering with engineering teams to operationalize them in scalable and resilient production systems that serve 80\+ million customers.
* Flex your interpersonal skills to translate the complexity of your work into tangible business goals.
**The Ideal Candidate is:**
* Customer first. You love the process of analyzing and creating, but also share our passion to do the right thing. You know at the end of the day it’s about making the right decision for our customers.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A leader. You challenge conventional thinking and work with stakeholders to identify and improve the status quo. You're passionate about talent development for your own team and beyond.
* Technical. You’re comfortable with advanced ML and DL technologies including language models and are passionate about developing further. You have hands\-on experience working with LLMs and solutions using open\-source tools and cloud computing platforms.
* Influential. You are passionate about AI/ML and can bring along a cross functional team in breakthrough innovations. You communicate clearly and effectively to share your findings with non\-technical audiences.
* You are experienced in training language models or large computer vision models as well as have expertise in one or more key subdomains such as: training optimization, self\-supervised learning, explainability, RLHF.
* You have an engineering mindset as shown by a track record of delivering models at scale both in training data and inference volumes. You have experience in delivering libraries, platforms, or solution level code to existing products.
**Basic Qualifications:**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or a related quantitative field) plus 2 years of experience performing data analytics
* A Master's Degree in a quantitative field (Statistics, Economics, Operations Research, Analytics, Mathematics, Computer Science, or a related quantitative field) or an MBA with a quantitative concentration
**Preferred Qualifications:**
* Master’s Degree in “STEM” field (Science, Technology, Engineering, or Mathematics), or PhD in “STEM” field (Science, Technology, Engineering, or Mathematics)
* Experience working with AWS
* At least 2 years’ experience in Python, Scala, or R
* At least 2 years’ experience with machine learning
* At least 2 years’ experience with SQL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Sales Territory: $123,300 \- $140,700 for Sr Assoc, Data Science
 McLean, VA: $135,600 \- $154,800 for Sr Assoc, Data Science
 New York, NY: $148,000 \- $168,900 for Sr Assoc, Data Science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78">
      <c r="A78" t="inlineStr">
        <is>
          <t>li-4360727016</t>
        </is>
      </c>
      <c r="B78" t="inlineStr">
        <is>
          <t>Principal Associate, Data Scientist - Privacy-preserving Machine Learning and Analytics</t>
        </is>
      </c>
      <c r="C78" t="inlineStr">
        <is>
          <t>Capital One</t>
        </is>
      </c>
      <c r="D78" t="inlineStr">
        <is>
          <t>linkedin</t>
        </is>
      </c>
      <c r="E78">
        <f>HYPERLINK("https://www.linkedin.com/jobs/view/4360727016", "https://www.linkedin.com/jobs/view/4360727016")</f>
        <v/>
      </c>
      <c r="F78">
        <f>HYPERLINK("https://dsp.prng.co/uKGPggb&amp;urlHash=YFts", "https://dsp.prng.co/uKGPggb&amp;urlHash=YFts")</f>
        <v/>
      </c>
      <c r="G78" t="inlineStr">
        <is>
          <t>New York, NY</t>
        </is>
      </c>
      <c r="H78" t="inlineStr"/>
      <c r="I78" t="inlineStr">
        <is>
          <t>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Scientist at Capital One, you’ll be part of a team that’s leading the next wave of disruption at a whole new scale, using the latest in computing and machine learning technologies and operating across billions of customer records to unlock the big opportunities that help everyday people save money, time and agony in their financial lives.
****Team Description****
 The privacy\-preserving machine learning and analytics team is an innovation\-focused team dedicated to the research, development, and production deployment of Privacy\-Enhancing Technologies (PETs). We specialize in cutting\-edge techniques like Differential Privacy (DP) and Synthetic Data Generation to transform how sensitive data is used across Capital One. Our work provides foundational capabilities that ensure rigorous privacy protection while empowering data scientists and engineers to drive responsible innovation, solve complex business challenges, and unlock new data utility at scale.
****Role Description****
 In this role, you will:
* Partner with a cross\-functional team of data scientists, software engineers, and product managers to deliver a product customers love
* Leverage a broad stack of technologies — Python, Conda, AWS, H2O, Spark, and more — to reveal the insights hidden within huge volumes of numeric and textual data
* Build machine learning models through all phases of development, from design through training, evaluation, validation, and implementation
* Flex your interpersonal skills to translate the complexity of your work into tangible business goals
****The Ideal Candidate is:****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A leader. You challenge conventional thinking and work with stakeholders to identify and improve the status quo. You're passionate about talent development for your own team and beyond.
****Basic Qualifications:****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or a related quantitative field) plus 5 years of experience performing data analytics
+ A Master's Degree in a quantitative field (Statistics, Economics, Operations Research, Analytics, Mathematics, Computer Science, or a related quantitative field) or an MBA with a quantitative concentration plus 3 years of experience performing data analytics
+ A PhD in a quantitative field (Statistics, Economics, Operations Research, Analytics, Mathematics, Computer Science, or a related quantitative field)
****Preferred Qualifications:****
* Master’s Degree in “STEM” field (Science, Technology, Engineering, or Mathematics) plus 3 years of experience in data analytics, or PhD in “STEM” field (Science, Technology, Engineering, or Mathematics)
* At least 1 year of experience working with AWS
* At least 3 years’ experience in Python, Scala, or R
* At least 3 years’ experience with machine learning
* At least 3 years’ experience with SQL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Princ Associate, Data Science
 New York, NY: $176,500 \- $201,400 for Princ Associate, Data Science
 San Jose, CA: $176,500 \- $201,400 for Princ Associate, Data Science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79">
      <c r="A79" t="inlineStr">
        <is>
          <t>li-4361177075</t>
        </is>
      </c>
      <c r="B79" t="inlineStr">
        <is>
          <t>Principal Associate, Data Scientist - Privacy-preserving Machine Learning and Analytics</t>
        </is>
      </c>
      <c r="C79" t="inlineStr">
        <is>
          <t>Capital One</t>
        </is>
      </c>
      <c r="D79" t="inlineStr">
        <is>
          <t>linkedin</t>
        </is>
      </c>
      <c r="E79">
        <f>HYPERLINK("https://www.linkedin.com/jobs/view/4361177075", "https://www.linkedin.com/jobs/view/4361177075")</f>
        <v/>
      </c>
      <c r="F79" t="inlineStr"/>
      <c r="G79" t="inlineStr">
        <is>
          <t>San Jose, CA</t>
        </is>
      </c>
      <c r="H79" t="inlineStr"/>
      <c r="I79" t="inlineStr">
        <is>
          <t>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Scientist at Capital One, you’ll be part of a team that’s leading the next wave of disruption at a whole new scale, using the latest in computing and machine learning technologies and operating across billions of customer records to unlock the big opportunities that help everyday people save money, time and agony in their financial lives.
****Team Description****
 The privacy\-preserving machine learning and analytics team is an innovation\-focused team dedicated to the research, development, and production deployment of Privacy\-Enhancing Technologies (PETs). We specialize in cutting\-edge techniques like Differential Privacy (DP) and Synthetic Data Generation to transform how sensitive data is used across Capital One. Our work provides foundational capabilities that ensure rigorous privacy protection while empowering data scientists and engineers to drive responsible innovation, solve complex business challenges, and unlock new data utility at scale.
****Role Description****
 In this role, you will:
* Partner with a cross\-functional team of data scientists, software engineers, and product managers to deliver a product customers love
* Leverage a broad stack of technologies — Python, Conda, AWS, H2O, Spark, and more — to reveal the insights hidden within huge volumes of numeric and textual data
* Build machine learning models through all phases of development, from design through training, evaluation, validation, and implementation
* Flex your interpersonal skills to translate the complexity of your work into tangible business goals
****The Ideal Candidate is:****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A leader. You challenge conventional thinking and work with stakeholders to identify and improve the status quo. You're passionate about talent development for your own team and beyond.
****Basic Qualifications:****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or a related quantitative field) plus 5 years of experience performing data analytics
+ A Master's Degree in a quantitative field (Statistics, Economics, Operations Research, Analytics, Mathematics, Computer Science, or a related quantitative field) or an MBA with a quantitative concentration plus 3 years of experience performing data analytics
+ A PhD in a quantitative field (Statistics, Economics, Operations Research, Analytics, Mathematics, Computer Science, or a related quantitative field)
****Preferred Qualifications:****
* Master’s Degree in “STEM” field (Science, Technology, Engineering, or Mathematics) plus 3 years of experience in data analytics, or PhD in “STEM” field (Science, Technology, Engineering, or Mathematics)
* At least 1 year of experience working with AWS
* At least 3 years’ experience in Python, Scala, or R
* At least 3 years’ experience with machine learning
* At least 3 years’ experience with SQL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Princ Associate, Data Science
 New York, NY: $176,500 \- $201,400 for Princ Associate, Data Science
 San Jose, CA: $176,500 \- $201,400 for Princ Associate, Data Science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80">
      <c r="A80" t="inlineStr">
        <is>
          <t>li-4361177077</t>
        </is>
      </c>
      <c r="B80" t="inlineStr">
        <is>
          <t>Principal Associate, Data Scientist - LLM Customization Team</t>
        </is>
      </c>
      <c r="C80" t="inlineStr">
        <is>
          <t>Capital One</t>
        </is>
      </c>
      <c r="D80" t="inlineStr">
        <is>
          <t>linkedin</t>
        </is>
      </c>
      <c r="E80">
        <f>HYPERLINK("https://www.linkedin.com/jobs/view/4361177077", "https://www.linkedin.com/jobs/view/4361177077")</f>
        <v/>
      </c>
      <c r="F80" t="inlineStr"/>
      <c r="G80" t="inlineStr">
        <is>
          <t>McLean, VA</t>
        </is>
      </c>
      <c r="H80" t="inlineStr"/>
      <c r="I80" t="inlineStr">
        <is>
          <t>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Scientist at Capital One, you’ll be part of a team that’s leading the next wave of disruption at a whole new scale, using the latest in computing and machine learning technologies and operating across billions of customer records to unlock the big opportunities that help everyday people save money, time and agony in their financial lives.
****Team Description****
 The LLM Customization team is on the cutting edge of GenAI and at the center of bringing our vision for AI at Capital One to life. The work of the AI Training Team touches every aspect of the model development life cycle and our deployed models in production drive business impact with visibility from our C\-Suite.
* Our team creates unprecedented amounts of high quality data for training and testing GenAI models; we care about how it’s created, what’s in those datasets, and the impact they have
* We are invested in building capabilities for evaluating and monitoring generative models; these methods must be state of the art, easy to use, and trusted by our users and contributors
* Horizontal capabilities enable vertical use case work; the team builds search, summarization, RAG, and agentic workflows for integration in production applications across the company
* We learn from our colleagues, attend conferences, publish papers, and maintain strong connections to the research community.
****In this role, you will:****
* Partner with a cross\-functional team of data scientists, software engineers, machine learning engineers and product managers to deliver AI powered products that change how customers interact with their money.
* Leverage a broad stack of technologies — Pytorch, AWS Ultraclusters, Hugging Face, LangChain, Lightning, VectorDBs, and more — to reveal the insights hidden within huge volumes of numeric and textual data.
* Be the expert in Natural Language Processing (NLP) to harness the power of Large Language Models (LLMs), adapt and finetune them for customer facing applications and features.
* Build machine learning and NLP models through all phases of development, from design through training, evaluation, and validation; partnering with engineering teams to operationalize them in scalable and resilient production systems that serve 80\+ million customers.
* Flex your interpersonal skills to translate the complexity of your work into tangible business goals.
****The Ideal Candidate is:****
* Customer first. You love the process of analyzing and creating, but also share our passion to do the right thing. You know at the end of the day it’s about making the right decision for our customers.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A leader. You challenge conventional thinking and work with stakeholders to identify and improve the status quo. You're passionate about talent development for your own team and beyond.
* Technical. You’re comfortable with advanced ML and DL technologies including language models and are passionate about developing further. You have hands\-on experience working with LLMs and solutions using open\-source tools and cloud computing platforms.
* Influential. You are passionate about AI/ML and can bring along a cross functional team in breakthrough innovations. You communicate clearly and effectively to share your findings with non\-technical audiences.
* You are experienced in training language models or large computer vision models as well as have expertise in one or more key subdomains such as: training optimization, self\-supervised learning, explainability, RLHF.
* You have an engineering mindset as shown by a track record of delivering models at scale both in training data and inference volumes. You have experience in delivering libraries, platforms, or solution level code to existing products.
****Basic Qualifications:****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or a related quantitative field) plus 5 years of experience performing data analytics
+ A Master's Degree in a quantitative field (Statistics, Economics, Operations Research, Analytics, Mathematics, Computer Science, or a related quantitative field) or an MBA with a quantitative concentration plus 3 years of experience performing data analytics
+ A PhD in a quantitative field (Statistics, Economics, Operations Research, Analytics, Mathematics, Computer Science, or a related quantitative field)
****Preferred Qualifications:****
* Master’s Degree in “STEM” field (Science, Technology, Engineering, or Mathematics) plus 3 years of experience in data analytics, or PhD in “STEM” field (Science, Technology, Engineering, or Mathematics)
* At least 1 year of experience working with AWS
* At least 3 years’ experience in Python, Scala, or R
* At least 3 years’ experience with machine learning
* At least 3 years’ experience with SQL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Princ Associate, Data Science
 New York, NY: $176,500 \- $201,400 for Princ Associate, Data Science
 San Jose, CA: $176,500 \- $201,400 for Princ Associate, Data Science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81">
      <c r="A81" t="inlineStr">
        <is>
          <t>li-4361166898</t>
        </is>
      </c>
      <c r="B81" t="inlineStr">
        <is>
          <t>Principal Associate, Data Scientist - People Tech Innovation Hub</t>
        </is>
      </c>
      <c r="C81" t="inlineStr">
        <is>
          <t>Capital One</t>
        </is>
      </c>
      <c r="D81" t="inlineStr">
        <is>
          <t>linkedin</t>
        </is>
      </c>
      <c r="E81">
        <f>HYPERLINK("https://www.linkedin.com/jobs/view/4361166898", "https://www.linkedin.com/jobs/view/4361166898")</f>
        <v/>
      </c>
      <c r="F81" t="inlineStr"/>
      <c r="G81" t="inlineStr">
        <is>
          <t>Deerfield, IL</t>
        </is>
      </c>
      <c r="H81" t="inlineStr"/>
      <c r="I81" t="inlineStr">
        <is>
          <t>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Scientist at Capital One, you’ll be part of a team that’s leading the next wave of disruption at a whole new scale, using the latest in computing and machine learning technologies and operating across billions of customer records to unlock the big opportunities that help everyday people save money, time and agony in their financial lives.
****Team Description****
 A Call to Innovators!
 Are you ready to be the architect of the future workplace? Capital One's People Technology Innovation Lab is hiring a Data Scientist to translate raw data into game\-changing insights and products. We don't just use data; we make it a strategic asset. You’ll be tackling complex, high\-impact problems using cutting\-edge technologies like Generative AI and Knowledge Graphs to transform the employee experience. This is your chance to move beyond incremental improvements and lead the charge in delivering disruptive, innovative use cases that directly shape how Capital One works and evolves. If you thrive on technical challenges, product ownership, and leveraging a diverse tech stack to reveal the insights hidden within massive datasets, then join us and become a core driver of innovation culture.
****Role Description****
****In this role, you will:****
* Partner with a cross\-functional team of data scientists, software engineers, and product managers to deliver a product customers love
* Leverage a broad stack of technologies — Python, Conda, AWS, H2O, Spark, and more — to reveal the insights hidden within huge volumes of numeric and textual data
* Build machine learning models through all phases of development, from design through training, evaluation, validation, and implementation
* Flex your interpersonal skills to translate the complexity of your work into tangible business goals
****The Ideal Candidate is:****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Statistically\-minded. You’ve built models, validated them, and backtested them. You know how to interpret a confusion matrix or a ROC curve. You have experience with clustering, classification, sentiment analysis, time series, and deep learning.
* A data guru. “Big data” doesn’t faze you. You have the skills to retrieve, combine, and analyze data from a variety of sources and structures. You know understanding the data is often the key to great data science.
****Basic Qualifications:****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or a related quantitative field) plus 5 years of experience performing data analytics
+ A Master's Degree in a quantitative field (Statistics, Economics, Operations Research, Analytics, Mathematics, Computer Science, or a related quantitative field) or an MBA with a quantitative concentration plus 3 years of experience performing data analytics
+ A PhD in a quantitative field (Statistics, Economics, Operations Research, Analytics, Mathematics, Computer Science, or a related quantitative field)
****Preferred Qualifications:****
* Master’s Degree in “STEM” field (Science, Technology, Engineering, or Mathematics) plus 3 years of experience in data analytics, or PhD in “STEM” field (Science, Technology, Engineering, or Mathematics)
* At least 1 year of experience working with AWS
* At least 3 years’ experience in Python, Scala
* At least 3 years’ experience with machine learning
* At least 3 years’ experience with SQL
* At least 1 year of experience working on RAG (retrieval augmented generation) based AI workflows, evaluating the output of GenAI models
* Experience in working with Vector Databases to indexing of text using chunking and embedding models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Plano, TX: $147,100 \- $167,900 for Princ Associate, Data Science
 McLean, VA: $161,800 \- $184,600 for Princ Associate, Data Science
 Richmond, VA: $147,100 \- $167,900 for Princ Associate, Data Science
 Riverwoods, IL: $147,100 \- $167,900 for Princ Associate, Data Science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82">
      <c r="A82" t="inlineStr">
        <is>
          <t>li-4361156958</t>
        </is>
      </c>
      <c r="B82" t="inlineStr">
        <is>
          <t>Principal Associate, Data Scientist - People Tech Innovation Hub</t>
        </is>
      </c>
      <c r="C82" t="inlineStr">
        <is>
          <t>Capital One</t>
        </is>
      </c>
      <c r="D82" t="inlineStr">
        <is>
          <t>linkedin</t>
        </is>
      </c>
      <c r="E82">
        <f>HYPERLINK("https://www.linkedin.com/jobs/view/4361156958", "https://www.linkedin.com/jobs/view/4361156958")</f>
        <v/>
      </c>
      <c r="F82">
        <f>HYPERLINK("https://dsp.prng.co/GEnbWqb&amp;urlHash=EVU8", "https://dsp.prng.co/GEnbWqb&amp;urlHash=EVU8")</f>
        <v/>
      </c>
      <c r="G82" t="inlineStr">
        <is>
          <t>Richmond, VA</t>
        </is>
      </c>
      <c r="H82" t="inlineStr"/>
      <c r="I82" t="inlineStr">
        <is>
          <t>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Scientist at Capital One, you’ll be part of a team that’s leading the next wave of disruption at a whole new scale, using the latest in computing and machine learning technologies and operating across billions of customer records to unlock the big opportunities that help everyday people save money, time and agony in their financial lives.
****Team Description****
 A Call to Innovators!
 Are you ready to be the architect of the future workplace? Capital One's People Technology Innovation Lab is hiring a Data Scientist to translate raw data into game\-changing insights and products. We don't just use data; we make it a strategic asset. You’ll be tackling complex, high\-impact problems using cutting\-edge technologies like Generative AI and Knowledge Graphs to transform the employee experience. This is your chance to move beyond incremental improvements and lead the charge in delivering disruptive, innovative use cases that directly shape how Capital One works and evolves. If you thrive on technical challenges, product ownership, and leveraging a diverse tech stack to reveal the insights hidden within massive datasets, then join us and become a core driver of innovation culture.
****Role Description****
****In this role, you will:****
* Partner with a cross\-functional team of data scientists, software engineers, and product managers to deliver a product customers love
* Leverage a broad stack of technologies — Python, Conda, AWS, H2O, Spark, and more — to reveal the insights hidden within huge volumes of numeric and textual data
* Build machine learning models through all phases of development, from design through training, evaluation, validation, and implementation
* Flex your interpersonal skills to translate the complexity of your work into tangible business goals
****The Ideal Candidate is:****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Statistically\-minded. You’ve built models, validated them, and backtested them. You know how to interpret a confusion matrix or a ROC curve. You have experience with clustering, classification, sentiment analysis, time series, and deep learning.
* A data guru. “Big data” doesn’t faze you. You have the skills to retrieve, combine, and analyze data from a variety of sources and structures. You know understanding the data is often the key to great data science.
****Basic Qualifications:****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or a related quantitative field) plus 5 years of experience performing data analytics
+ A Master's Degree in a quantitative field (Statistics, Economics, Operations Research, Analytics, Mathematics, Computer Science, or a related quantitative field) or an MBA with a quantitative concentration plus 3 years of experience performing data analytics
+ A PhD in a quantitative field (Statistics, Economics, Operations Research, Analytics, Mathematics, Computer Science, or a related quantitative field)
****Preferred Qualifications:****
* Master’s Degree in “STEM” field (Science, Technology, Engineering, or Mathematics) plus 3 years of experience in data analytics, or PhD in “STEM” field (Science, Technology, Engineering, or Mathematics)
* At least 1 year of experience working with AWS
* At least 3 years’ experience in Python, Scala
* At least 3 years’ experience with machine learning
* At least 3 years’ experience with SQL
* At least 1 year of experience working on RAG (retrieval augmented generation) based AI workflows, evaluating the output of GenAI models
* Experience in working with Vector Databases to indexing of text using chunking and embedding models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Plano, TX: $147,100 \- $167,900 for Princ Associate, Data Science
 McLean, VA: $161,800 \- $184,600 for Princ Associate, Data Science
 Richmond, VA: $147,100 \- $167,900 for Princ Associate, Data Science
 Riverwoods, IL: $147,100 \- $167,900 for Princ Associate, Data Science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83">
      <c r="A83" t="inlineStr">
        <is>
          <t>li-4361255988</t>
        </is>
      </c>
      <c r="B83" t="inlineStr">
        <is>
          <t>Principal Associate, Data Scientist - LLM Customization Team</t>
        </is>
      </c>
      <c r="C83" t="inlineStr">
        <is>
          <t>Capital One</t>
        </is>
      </c>
      <c r="D83" t="inlineStr">
        <is>
          <t>linkedin</t>
        </is>
      </c>
      <c r="E83">
        <f>HYPERLINK("https://www.linkedin.com/jobs/view/4361255988", "https://www.linkedin.com/jobs/view/4361255988")</f>
        <v/>
      </c>
      <c r="F83" t="inlineStr"/>
      <c r="G83" t="inlineStr">
        <is>
          <t>McLean, VA</t>
        </is>
      </c>
      <c r="H83" t="inlineStr"/>
      <c r="I83" t="inlineStr">
        <is>
          <t>At Capital One, we think big and do big things. We are not just a nationally recognized credit card issuer, a top 10 bank by deposit, but a high\-tech company with products that reach tens of millions of consumers and have been recognized by numerous prestigious awards for their customer\-friendliness. Capital One was the first major bank to move to cloud computing and to publish APIs for the Open Banking future. AI is transforming every industry. At Capital One, you will help shape how it transforms financial services.
**Team Description**
 AI Foundations LLM Customization team is at the center of bringing our vision for LLMs and GenAI at Capital One to life. Our work touches every aspect of the research life cycle, from research to building production systems. We work with product, technology and business leaders to apply the state of the art in AI to our business. You will be the driving force to experiment, innovate and create next generation experiences powered by the latest emerging generative AI technologies.
**In this role, you will:**
* Partner with a cross\-functional team of data scientists, applied researchers, software engineers, machine learning engineers and product managers to deliver AI powered products that change how customers interact with their money.
* Leverage a broad stack of technologies — Pytorch, Hugging Face, AWS Ultraclusters, LangChain, VectorDBs, and more — to reveal the insights hidden within huge volumes of numeric and textual data.
* Be the expert in Natural Language Processing (NLP) to harness the power of Large Language Models (LLMs), adapt and finetune them for business specific applications and features.
* Build NLP models through all phases of development, from design through training, evaluation, and validation; partnering with engineering teams to operationalize them in scalable and resilient production systems.
* Flex your interpersonal skills to translate the complexity of your work into tangible business goals.
**The Ideal Candidate is:**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Technical. You’re comfortable with advanced ML and DL technologies including language models and are passionate about developing further. You have hands\-on experience working with LLMs and solutions using open\-source tools and cloud computing platforms.
* Influential. You are passionate about AI/ML and can bring along a cross functional team in breakthrough innovations. You communicate clearly and effectively to share your findings with non\-technical audiences.
* You are experienced in training language models or large computer vision models as well as have expertise in one or more key subdomains such as: training optimization, self\-supervised learning, explainability, RLHF.
* You have an engineering mindset as shown by a track record of delivering models at scale both in training data and inference volumes. You have experience in delivering libraries, platforms, or solution level code to existing products.
**Basic Qualifications:**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or a related quantitative field) plus 5 years of experience performing data analytics
* A Master's Degree in a quantitative field (Statistics, Economics, Operations Research, Analytics, Mathematics, Computer Science, or a related quantitative field) or an MBA with a quantitative concentration plus 3 years of experience performing data analytics
* A PhD in a quantitative field (Statistics, Economics, Operations Research, Analytics, Mathematics, Computer Science, or a related quantitative field)
**Preferred Qualifications:**
* Master’s Degree in “STEM” field (Science, Technology, Engineering, or Mathematics) plus 3 years of experience in data analytics, or PhD in “STEM” field (Science, Technology, Engineering, or Mathematics)
* At least 1 year of experience working with AWS
* At least 3 years’ experience in Python, Scala, or R
* At least 3 years’ experience with machine learning
* Experience with Large Language Models (LLM), Finetuning, and Deep Learning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Princ Associate, Data Science
 New York, NY: $176,500 \- $201,400 for Princ Associate, Data Science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84">
      <c r="A84" t="inlineStr">
        <is>
          <t>li-4361127096</t>
        </is>
      </c>
      <c r="B84" t="inlineStr">
        <is>
          <t>Principal Associate, Data Scientist - Privacy-preserving Machine Learning and Analytics</t>
        </is>
      </c>
      <c r="C84" t="inlineStr">
        <is>
          <t>Capital One</t>
        </is>
      </c>
      <c r="D84" t="inlineStr">
        <is>
          <t>linkedin</t>
        </is>
      </c>
      <c r="E84">
        <f>HYPERLINK("https://www.linkedin.com/jobs/view/4361127096", "https://www.linkedin.com/jobs/view/4361127096")</f>
        <v/>
      </c>
      <c r="F84" t="inlineStr"/>
      <c r="G84" t="inlineStr">
        <is>
          <t>McLean, VA</t>
        </is>
      </c>
      <c r="H84" t="inlineStr"/>
      <c r="I84" t="inlineStr">
        <is>
          <t>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Scientist at Capital One, you’ll be part of a team that’s leading the next wave of disruption at a whole new scale, using the latest in computing and machine learning technologies and operating across billions of customer records to unlock the big opportunities that help everyday people save money, time and agony in their financial lives.
****Team Description****
 The privacy\-preserving machine learning and analytics team is an innovation\-focused team dedicated to the research, development, and production deployment of Privacy\-Enhancing Technologies (PETs). We specialize in cutting\-edge techniques like Differential Privacy (DP) and Synthetic Data Generation to transform how sensitive data is used across Capital One. Our work provides foundational capabilities that ensure rigorous privacy protection while empowering data scientists and engineers to drive responsible innovation, solve complex business challenges, and unlock new data utility at scale.
****Role Description****
 In this role, you will:
* Partner with a cross\-functional team of data scientists, software engineers, and product managers to deliver a product customers love
* Leverage a broad stack of technologies — Python, Conda, AWS, H2O, Spark, and more — to reveal the insights hidden within huge volumes of numeric and textual data
* Build machine learning models through all phases of development, from design through training, evaluation, validation, and implementation
* Flex your interpersonal skills to translate the complexity of your work into tangible business goals
****The Ideal Candidate is:****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A leader. You challenge conventional thinking and work with stakeholders to identify and improve the status quo. You're passionate about talent development for your own team and beyond.
****Basic Qualifications:****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or a related quantitative field) plus 5 years of experience performing data analytics
+ A Master's Degree in a quantitative field (Statistics, Economics, Operations Research, Analytics, Mathematics, Computer Science, or a related quantitative field) or an MBA with a quantitative concentration plus 3 years of experience performing data analytics
+ A PhD in a quantitative field (Statistics, Economics, Operations Research, Analytics, Mathematics, Computer Science, or a related quantitative field)
****Preferred Qualifications:****
* Master’s Degree in “STEM” field (Science, Technology, Engineering, or Mathematics) plus 3 years of experience in data analytics, or PhD in “STEM” field (Science, Technology, Engineering, or Mathematics)
* At least 1 year of experience working with AWS
* At least 3 years’ experience in Python, Scala, or R
* At least 3 years’ experience with machine learning
* At least 3 years’ experience with SQL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Princ Associate, Data Science
 New York, NY: $176,500 \- $201,400 for Princ Associate, Data Science
 San Jose, CA: $176,500 \- $201,400 for Princ Associate, Data Science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85">
      <c r="A85" t="inlineStr">
        <is>
          <t>li-4354830979</t>
        </is>
      </c>
      <c r="B85" t="inlineStr">
        <is>
          <t>Data Scientist / Machine Learning Engineer</t>
        </is>
      </c>
      <c r="C85" t="inlineStr">
        <is>
          <t>Jobs via Dice</t>
        </is>
      </c>
      <c r="D85" t="inlineStr">
        <is>
          <t>linkedin</t>
        </is>
      </c>
      <c r="E85">
        <f>HYPERLINK("https://www.linkedin.com/jobs/view/4354830979", "https://www.linkedin.com/jobs/view/4354830979")</f>
        <v/>
      </c>
      <c r="F85" t="inlineStr"/>
      <c r="G85" t="inlineStr">
        <is>
          <t>Juno Beach, FL</t>
        </is>
      </c>
      <c r="H85" t="inlineStr"/>
      <c r="I85" t="inlineStr">
        <is>
          <t>Dice is the leading career destination for tech experts at every stage of their careers. Our client, Capital Staffing Solutions, is seeking the following. Apply via Dice today!
**Data Scientist/Machine Learning Engineer**
**12\-Month Contract**
**ONSITE – Juno Beach, FL 33408**
**Data Science \&amp; Analytics \&amp; Machine Learning for Power Commodity Trading
 Focus is on the Data Science**
* Core Qualifications Master’s or PhD in Data Science, Computer Science, Finance, Engineering, or Applied Mathematics 5\+ years of experience in machine learning or advanced analytics, with at least 2 years in energy, power, or commodities markets Proficiency in Python (pandas, NumPy, scikit\-learn, PyTorch, TensorFlow) and SQL Experience deploying production\-grade ML and analytics systems in AWS, Azure, or Google Cloud Platform Strong foundation in statistics, linear algebra, and optimization
* Domain Expertise – Power \&amp; Commodities: Understanding of power market dynamics (generation, transmission, demand forecasting, ISO/RTO markets such as PJM, ERCOT, MISO, CAISO) Familiarity with trading instruments: DA/RT markets, FTRs, CRRs, PPAs, futures, and swaps Knowledge of natural gas, renewables, and carbon markets Experience modeling locational marginal prices (LMP), congestion, and portfolio risk Understanding of regulatory and compliance data (FERC, EIA, ISO market data)
* Machine Learning \&amp; AI Expertise Experience with supervised, unsupervised, and reinforcement learning for market forecasting or optimization Proficient in LLMs (GPT, Llama, Mistral) and RAG (Retrieval\-Augmented Generation) pipelines for automating report generation, trade rationale summaries, or market insights Hands\-on experience fine\-tuning or evaluating generative models for quantitative or text\-based analytics Familiarity with agentic AI frameworks (LangChain, LlamaIndex, CrewAI) for autonomous data gathering, analysis, and decision support Strong understanding of feature engineering, model interpretability, and bias control
* Agentic \&amp; Autonomous Decision Systems Experience creating intelligent trading assistants or agent frameworks that monitor, forecast, and act based on real\-time data Familiarity with planning, memory, and multi\-agent collaboration concepts Implementation of guardrails and ethical constraints in autonomous AI systems
* Forecasting \&amp; Quantitative Modeling Time series modeling (ARIMA, Prophet, LSTM, XGBoost) for price, load, or renewable generation forecasting Optimization and scenario modeling for trading positions, hedges, or dispatch strategies Proficiency with stochastic modeling, Monte Carlo simulations, and VaR analysis Ability to integrate weather data, grid conditions, and market signals into predictive systems
* Data Infrastructure \&amp; Engineering Strong data architecture skills: ETL/ELT pipelines, dbt, Airflow, or Prefect Experience with data warehouses (DataBricks, Snowflake) Familiarity with vector databases (FAISS, Pinecone, Weaviate) for retrieval\-augmented analytics Data governance awareness: versioning, lineage, security, and compliance
* Analytics, Visualization \&amp; Communication Strong experience with dashboards and visualization tools (Power BI, Tableau, Plotly) Ability to design KPIs and visual analytics for trading performance, market exposure, and forecast accuracy Experience building automated insight pipelines or LLM\-based analytics assistants Skilled in translating technical findings into clear narratives for traders and executives</t>
        </is>
      </c>
    </row>
    <row r="86">
      <c r="A86" t="inlineStr">
        <is>
          <t>li-4360768330</t>
        </is>
      </c>
      <c r="B86" t="inlineStr">
        <is>
          <t>Applied ML Scientist, Cheminformatics (Staff / Principal)</t>
        </is>
      </c>
      <c r="C86" t="inlineStr">
        <is>
          <t>Genesis Molecular AI</t>
        </is>
      </c>
      <c r="D86" t="inlineStr">
        <is>
          <t>linkedin</t>
        </is>
      </c>
      <c r="E86">
        <f>HYPERLINK("https://www.linkedin.com/jobs/view/4360768330", "https://www.linkedin.com/jobs/view/4360768330")</f>
        <v/>
      </c>
      <c r="F86" t="inlineStr"/>
      <c r="G86" t="inlineStr">
        <is>
          <t>San Mateo, CA</t>
        </is>
      </c>
      <c r="H86" t="inlineStr"/>
      <c r="I86" t="inlineStr">
        <is>
          <t>**About the Team** 
**Join a world\-class team at the forefront of AI and biochemistry.** 
 At Genesis Molecular AI, we’re a tight\-knit team of proven deep learning researchers, software engineers, and drug discovery pioneers. Our shared mission is nothing short of revolutionary: to forge the next generation of AI foundation models that will unlock groundbreaking therapies for patients with severe diseases.
 We don’t just apply machine learning to biology; we are conducting fundamental research at the intersection of machine learning, physics, and computational chemistry, pushing the boundaries of each field. You will work side\-by\-side with top multidisciplinary researchers to design and build generative foundation models at scale, having access to ample compute and large\-scale simulations.
**About the Role** 
 This unique role is for a scientist who is passionate about being a catalyst for applying cutting\-edge AI to solve real\-world drug discovery challenges. You will be the critical bridge between our long\-term research and our experimental drug discovery programs. Your mission is to build, evaluate, monitor, and improve our state\-of\-the\-art models directly into active drug programs, leading the charge on model validation, deployment, and analysis to guide the discovery of new medicines.
 You will act as both a translator and a strategist, ensuring our research is aimed at the most critical challenges and that our drug hunters can leverage the full power of our industry\-leading AI platform. This role requires a deep understanding of cheminformatics, computational chemistry, and experimental techniques, strong data science skills, and a talent for communicating complex ideas to a diverse, multidisciplinary team.
 Positions are available at various levels of seniority: Senior, Staff, and Principal.
**What You’ll Do** 
* Work directly with project teams to assess model performance and utility, including applicability to current project needs, and collaborate with ML and engineering teams to resolve issues or add new functionality.
* Assist experimental colleagues with use and interpretation of model predictions by providing context about model quality and prediction uncertainty.
* Evaluate model quality by validating predictions against project data and internal or external benchmarks.
* Curate internal and external datasets for model training and validation (in collaboration with experimental teams).
* Contribute to design and analysis of experiments on model changes and alternative architectures.
**You are** 
* **A seasoned computational scientist** 
 with a proven track record of machine learning based methods to impact small molecule drug discovery projects.
* **A cheminformatics expert** 
 , fluent in the language of molecular data with hands\-on mastery of tools like RDKit or OpenEye.
* **A scientist who speaks the language of experimental drug discovery,** 
 with a strong familiarity with common assay types (biochemical/binding/cell\-based assays, in vivo studies, etc.) and CADD workflows (docking, virtual screening, ADME prediction, etc.).
* **A rigorous data scientist,** 
 with experience in modeling and analysis of small molecule datasets and passion for statistical validation, uncertainty quantification, and deriving clear insights from complex, noisy data.
* **A hands\-on applied scientist and software engineer** 
 with strong coding skills in Python and a deep practical knowledge of the applied ML toolkit (e.g., scikit\-learn, PyTorch).
* **An exceptional communicator and collaborator** 
 , able to act as the bridge between machine learning researchers and experimental scientists.
* **A curious, problem\-oriented mind,** 
 excited to dive into the emerging field at the intersection of AI, physics, chemistry, and biology and make foundational contributions and discoveries.
* **A true team player** 
 who thrives in highly collaborative, mission\-driven environments where science and engineering are deeply intertwined.
* **Inspired by our culture of intellectual curiosity** 
 and the shared belief that breakthroughs happen when diverse perspectives and minds unite.
**Nice to have's** 
* A PhD in Cheminformatics, Computational Chemistry, Computer Science, or a related field.A track record of publications applying machine learning to drug discovery challenges.
* Deep expertise in advanced modeling techniques such as graph neural networks, multitask modeling, active learning, or Bayesian optimization.
* Experience with large\-scale data management, including SQL databases and data pipelining tools.
* Strong opinions on molecule featurization and model validation.
**Compensation, Benefits, and Perks** 
* Competitive compensation package that includes salary and equity.
* Comprehensive health benefits: Medical, Dental, and Vision (covered 100% for the employees).
* 401(k) plan.
* Open (unlimited) PTO policy.
* Free lunches and dinners at our offices.
* Paid family leave (maternity and paternity).
* Life and long\- and short\-term disability insurance.
**About Genesis Molecular AI** 
 Genesis Molecular AI
 is pioneering foundation models for molecular AI to unlock a new era of drug design and development. The company’s generative and predictive AI platform, GEMS (Genesis Exploration of Molecular Space), integrates AI and physics into industry\-leading models to generate and optimize drug molecules, including the breakthrough generative diffusion model Pearl for structure prediction. Genesis has raised over $300 million from leading AI, tech and life science\-focused investors, signed multiple AI\-focused research collaborations with major pharma partners, and is deploying GEMS to advance an internal therapeutics pipeline for a variety of high\-impact targets.
 Genesis is headquartered in San Mateo, CA, with a fully integrated laboratory in San Diego. We are proud to be an inclusive workplace and an Equal Opportunity Employer.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2026-01-13T04:02:52Z</dcterms:created>
  <dcterms:modified xsi:type="dcterms:W3CDTF">2026-01-13T04:02:52Z</dcterms:modified>
</cp:coreProperties>
</file>