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in-2b5a2e9e72013aa9</t>
        </is>
      </c>
      <c r="B2" t="inlineStr">
        <is>
          <t>Finance Machine Learning Engineer - Tech Lead</t>
        </is>
      </c>
      <c r="C2" t="inlineStr">
        <is>
          <t>Apple</t>
        </is>
      </c>
      <c r="D2" t="inlineStr">
        <is>
          <t>indeed</t>
        </is>
      </c>
      <c r="E2" t="inlineStr"/>
      <c r="F2" t="inlineStr"/>
      <c r="G2" t="inlineStr">
        <is>
          <t>Austin, TX, US</t>
        </is>
      </c>
      <c r="H2" s="2" t="n">
        <v>46033</v>
      </c>
      <c r="I2" t="inlineStr">
        <is>
          <t>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machine learning engineer in Finance, you’ll play an integral role in building the data foundations, services, and platforms used for delivering insights and automating decisions for Apple’s Finance organization.  
**Description**  
This role will be the technical lead for product cost, supporting our Operations Finance organization. You will work as part of a multi\-discipline engineering pod with data and software engineers, product managers and program managers. Your ability to learn business processes and instill strong engineering practices into team machine learning processes will be critical. A key part of your role will be to operationalize AI solutions, bridging the gap between prototype and production to rapidly and reliably deliver value to the Finance organization.","responsibilities":"Technical lead overseeing solution design and engineers  
Partner with teammates and share expertise across teams  
Explain technical concepts to non\-technical audiences  
Collaborate effectively with cross\-functional teams  
Operationalize AI solutions, bridging the gap between prototype and production  
Instill strong engineering practices into team machine learning processes  
Rapidly and reliably deliver value to the Finance organization  
**Preferred Qualifications**  
Previous experience working in a corporate finance, accounting, or supply chain organization  
Understanding of or ability to learn financial statements, P\&amp;L impact, high level accounting principles, SOX and tax compliance and month\-end close process  
**Minimum Qualifications**  
At least 8 years experience in an engineering role  
At least one year experience effectively leading engineers and collaborating cross\-functionally, translating technical concepts for diverse audiences and converting ideas into solutions with strong process and data understanding  
Experience building data models and scalable pipelines using SQL and big data technologies, with expertise in data ops best practices  
Experience developing in Python while following and advocating for DRY principles, modularity, testing standards, version control, and code reviews. Experience with front end (.js experience)  
Experience applying ML algorithms for regression, classification, and anomaly detection; build generative AI and agentic solutions; implement MLOps/LLMOps including CI/CD, drift monitoring, and familiarity working with cloud platforms (AWS, GCP, Azure)  
Graduate degree (computer science, data science, math, quantitative finance, or similar discipline)  
Undergraduate degree (computer science, data science, finance, economics, accounting, or related business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
      <c r="A3" t="inlineStr">
        <is>
          <t>in-b99068c20d3bd87e</t>
        </is>
      </c>
      <c r="B3" t="inlineStr">
        <is>
          <t>Google Cloud ML Engineer- Vertex AI &amp; CCAI Chat Virtual Agent Expert</t>
        </is>
      </c>
      <c r="C3" t="inlineStr">
        <is>
          <t>Techladder</t>
        </is>
      </c>
      <c r="D3" t="inlineStr">
        <is>
          <t>indeed</t>
        </is>
      </c>
      <c r="E3" t="inlineStr"/>
      <c r="F3" t="inlineStr"/>
      <c r="G3" t="inlineStr">
        <is>
          <t>Dallas, TX, US</t>
        </is>
      </c>
      <c r="H3" s="2" t="n">
        <v>46034</v>
      </c>
      <c r="I3" t="inlineStr">
        <is>
          <t>Hello,
Greetings!
This is **Avanish** from **Quantum World**. One of our clients is seeking a **Google Cloud ML Engineer in Dallas, TX (Onsite).**
**Position: Google Cloud ML Engineer\- Vertex AI \&amp; CCAI Chat Virtual Agent Expert**
**Location: Dallas, TX (Onsite)**
**Employment Type: Contract**
**Python, Vertex AI,CCAI Chat**
**10\+ years exp**
We seek an experienced developer to design, build, and deploy advanced conversational AI solutions on Google Cloud. You will leverage Vertex AI, CCAI, and Dialogflow to create intelligent, scalable chatbots that enhance digital customer engagement.
**Key Responsibilities:**
* Experience architecting, designing, and developing scalable chat Virtual Agent frameworks using Google Vertex AI, with proficiency in Vertex AI Agent Engine and Google Agent Development Kit (ADK).
* Expertise in building, customizing, and optimizing chatbots and conversational flows with Dialogflow CX/ES, including implementation of advanced intent detection, context management, slot filling, and rich fulfillment.
* Demonstrated ability to leverage state\-of\-the\-art NLP, LLM, and GenAI models on Vertex AI to enhance chatbot capabilities, such as complex intent handling, summarization, entity extraction, and response generation.
* Hands\-on experience building and maintaining cloud\-native chat Virtual Agent solutions using GCP services including CCAI, Vertex AI, Pub/Sub, Cloud Functions, Cloud Run, Cloud Storage, and BigQuery for real\-time data processing, analytics, and reporting.
* Proficiency in training, fine\-tuning, and deploying custom LLMs, transformer models, and Retrieval Augmented Generation (RAG) pipelines to advance chat Virtual Agent intelligence.
* Solid understanding and practical application of MLOps best practices for chatbot pipelines, including automation of training, deployment, testing, monitoring, and versioning with Vertex AI Pipelines, Docker, Kubernetes, and CI/CD workflows.
* Strong experience developing REST APIs, gRPC, and JSON\-based communication for seamless system integration.
**Required Qualifications:**
* 6\+ years in software development (4\+ in NLP/NLU for chat).
* Advanced Python skills; experience with ML/NLP libraries (Hugging Face, TensorFlow, PyTorch).
* Proven success building conversational agents with Vertex AI and Dialogflow CX/ES.
* Proficiency in GCP services and cloud\-native architectures.
* Solid MLOps understanding (Docker, Kubernetes, CI/CD, Git). Experience with Agent Assist functionality is a plus.
**Preferred Qualifications:**
* Master’s/PhD in Computer Science, AI/ML, or related field. GCP certifications (e.g., Google Cloud Certified Professional ML Engineer).
* Experience with GenAI frameworks (PaLM, Gemini). Integration with CRM, knowledge bases, and live agent systems.
* Knowledge of security and compliance in chat AI.
**Soft Skills:**
* Excellent communication and collaboration.
* Strong ownership and end\-to\-end project delivery.
* Leadership in cross\-functional environments.
* Team Leading and Management.
**Checkpoint for quick help**
**Capability Area**
**Key Skills/Tools**
**Conversational AI Design**
**Vertex AI, Dialogflow CX/ES, LLMs, RAG**
**NLP/ML/GenAI**
**Google ADK, NLU/NLG, fine\-tuning, GenAI (PaLM/Gemini)**
**GCP Engineering**
**CCAI, Cloud Functions, Pub/Sub, BigQuery, Cloud Run**
**MLOps \&amp; Automation**
**Vertex AI Pipelines, Docker, Kubernetes, CI/CD**
**API Development \&amp; Integration**
**Python, RESTful APIs, backend integration**
**Thanks \&amp; Regards**   
**Avanish Pandey**
Job Types: Full\-time, Contract
Pay: From $140,000\.00 per year
Work Location: On the road</t>
        </is>
      </c>
    </row>
    <row r="4">
      <c r="A4" t="inlineStr">
        <is>
          <t>in-05b77a5ea3488f7b</t>
        </is>
      </c>
      <c r="B4" t="inlineStr">
        <is>
          <t>AI/ML Engineer: System RF Data Ecosystem</t>
        </is>
      </c>
      <c r="C4" t="inlineStr">
        <is>
          <t>Apple</t>
        </is>
      </c>
      <c r="D4" t="inlineStr">
        <is>
          <t>indeed</t>
        </is>
      </c>
      <c r="E4" t="inlineStr"/>
      <c r="F4" t="inlineStr"/>
      <c r="G4" t="inlineStr">
        <is>
          <t>Cupertino, CA, US</t>
        </is>
      </c>
      <c r="H4" s="2" t="n">
        <v>46033</v>
      </c>
      <c r="I4" t="inlineStr">
        <is>
          <t>At Apple, new ideas quickly transform into products, services, and customer experiences that delight millions. This innovation is fueled by cutting\-edge hardware developed within the Hardware Engineering Group. As a vital part of this organization, the System RF group designs and characterizes wireless systems across Apple’s flagship products\-including iPhone, Watch, iPad, Mac, and Audio\-ensuring world\-class performance from prototype to production.  
Within this organization, the Smart Data Ecosystem team empowers product evolution by building AI/ML\-powered analytics that unlock critical insights from complex wireless manufacturing and design data. The team is currently seeking a Senior AI Development Engineer to architect, develop and deploy scalable AI solutions internally.  
Join a team operating at the intersection of hardware, data, and AI\-architecting intelligent software tools that solve complex system optimization problems where you can directly influence the performance of Apple products used worldwide!  
**Description**  
This role is dedicated to transforming engineering productivity and enabling cutting\-edge hardware design through the strategic application of machine learning and generative AI. As a Senior AI Engineer, you will bridge the gap between complex hardware engineering workflows and state\-of\-the\-art artificial intelligence. You will architect intelligent agents capable of automating repetitive engineering tasks, analyzing high\-dimensional data to surface hidden trends, and tapping into decades of historical design intelligence. By building these systems, you will empower engineers to arrive at critical decisions with unprecedented speed and accuracy, directly influencing the next generation of Apple innovation.  
","responsibilities":"Integrate Large Language Models: Direct the integration of state\-of\-the\-art LLMs (such as Anthropic Claude, Mistral, and Gemini) via both cloud\-based APIs and secure on\-premise deployments.  
Orchestrate Tool\-Use and Integration: Develop safe and efficient mechanisms for agents to invoke APIs, query high\-dimensional databases, and interact with custom internal engineering tools.  
Optimize Retrieval and Knowledge: Architect and maintain advanced RAG (Retrieval\-Augmented Generation) pipelines and oversee LLM fine\-tuning processes to align models with domain\-specific engineering data.  
Design and Architect Multi\-Agent Systems: Lead the development of sophisticated multi\-agent architectures, specifically focusing on complex orchestration, coordination, and persistent state management.  
Scalable Deployment: Oversee the transition of AI solutions from experimental prototypes to robust, production\-scale internal services that handle complex, high\-volume engineering requests.  
**Preferred Qualifications**  
10\+ years of professional experience in AI/ML\-related projects, demonstrating a long\-term track record of innovation and technical leadership.  
Proven ability to build efficient interfaces for agents to invoke APIs, query high\-dimensional databases, and interact with custom toolsets.  
Proficiency in Python (Core and Async) and a strong command of FastAPI or Flask for serving high\-performance AI endpoints.  
Proven success in deploying Generative AI solutions tailored to complex, high\-dimensional, and domain\-specific engineering data.  
Prior experience overseeing the full lifecycle of large\-scale software applications deployed within an enterprise\-grade production environment.  
Deep understanding of model selection, intelligent routing, and fallback strategies to ensure reliability across multiple LLM providers.  
Experience developing and implementing rigorous Gen AI evaluation systems to measure the performance, safety, and accuracy of deployed agents  
**Minimum Qualifications**  
7\+ years of experience in AI/ML\-related projects, with a proven track record of architecting and deploying production\-scale Generative AI solutions.  
Masters or PHD in Artificial Intelligence, Machine Learning, Computer Science or a related field.  
Expert\-level knowledge of multi\-agent system design, including sophisticated orchestration, coordination, and persistent state management.  
Strong command of Agent Communication Protocols (e.g., MCP, A2A) and frameworks for designing distributed agentic workflows.  
Expert\-level software development skills with a solid foundation in architectural design principles and the creation of scalable, modular systems.  
Proven ability to lead cross\-functional architecture discussions and translate ambitious product goals into robust technical system designs.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in-544b3101272bc6ae</t>
        </is>
      </c>
      <c r="B5" t="inlineStr">
        <is>
          <t>Senior ML Engineer</t>
        </is>
      </c>
      <c r="C5" t="inlineStr">
        <is>
          <t>Compact Information Systems</t>
        </is>
      </c>
      <c r="D5" t="inlineStr">
        <is>
          <t>indeed</t>
        </is>
      </c>
      <c r="E5">
        <f>HYPERLINK("https://www.indeed.com/viewjob?jk=544b3101272bc6ae", "https://www.indeed.com/viewjob?jk=544b3101272bc6ae")</f>
        <v/>
      </c>
      <c r="F5">
        <f>HYPERLINK("https://recruiting.paylocity.com/recruiting/jobs/Details/3597392/Compact-Information-Systems-LLC/Senior-ML-Engineer?source=Indeed_Feed", "https://recruiting.paylocity.com/recruiting/jobs/Details/3597392/Compact-Information-Systems-LLC/Senior-ML-Engineer?source=Indeed_Feed")</f>
        <v/>
      </c>
      <c r="G5" t="inlineStr">
        <is>
          <t>Kirkland, WA, US</t>
        </is>
      </c>
      <c r="H5" s="3" t="n">
        <v>46033</v>
      </c>
      <c r="I5" t="inlineStr">
        <is>
          <t>Description:
Our parent company, Compact Information Systems LLC, is considered a pioneer of the data industry and was originally founded in 1988 as a mailing list company for direct marketers and print shops. Thirty\-five years later, and combining the strength of our sister brands – AccuData Integrated Marketing, AlumniFinder, ASL Marketing, College Bound Selection Service (CBSS), Deep Sync Labs and HomeData – we have grown to become some of the foremost data suppliers in the U.S.
Today, we are Deep Sync. A company that powers agencies and brands with unmatched audience insights, unsurpassed reach, and unrivaled expertise by combining the industry’s most comprehensive data with easy\-to\-activate solutions. We provide billions of privacy\-first data connections annually to thousands of customers. Learn more about us here.
**Position Overview**
We are seeking a talented and driven Machine Learning Engineer to join our innovative team. In this role, you will have the opportunity to design, develop, and deploy cutting\-edge machine learning models that drive business value and revolutionize our products and services. You will collaborate with cross\-functional teams, including data scientists, software/data engineers, and product managers. The ideal candidate possesses a strong foundation in machine learning algorithms, exceptional programming skills, and a keen eye for data analysis and feature engineering.
**Key Responsibilities:**
* Design, develop, and deploy machine learning models and algorithms to tackle a wide range of business challenges
* Conduct data exploration, feature engineering, and model selection to optimize performance and accuracy
* Implement and maintain machine learning pipelines, ensuring seamless integration with existing systems
* Monitor and evaluate the performance of deployed models, and continuously iterate and improve them
* Stay up\-to\-date with the latest advancements in machine learning techniques and frameworks
* Communicate complex machine learning concepts and results to both technical and non\-technical stakeholder
* Build and maintain multi agent reinforcement learning models
Requirements:
* 4\+ years of hands\-on experience in Machine Learning
* Master's or Ph.D. degree in Computer Science, Statistics, Mathematics, or a related field
* Strong understanding of machine learning algorithms, techniques, and frameworks (e.g., supervised learning, unsupervised learning, deep learning)
* Proficiency in Python programming
* Expertise in data preprocessing, feature engineering, and model evaluation techniques
* Experience with big data technologies (e.g., Hadoop, Spark) and cloud computing platforms (e.g., AWS, GCP)
* Excellent problem\-solving skills and ability to think creatively to develop innovative solutions
* Strong communication and collaboration skills, with the ability to work effectively in a team environment
**Knowledge and Skills:**
Deep understanding of machine learning algorithms, including but not limited to:
* Supervised learning algorithms (e.g., linear regression, logistic regression, decision trees, random forests, support vector machines)
* Unsupervised learning algorithms (e.g., clustering, dimensionality reduction, anomaly detection)
* Deep learning architectures (e.g., convolutional neural networks, recurrent neural networks, transformers)
* Reinforcement learning techniques
* Multi Agent Reinforcement Learning Models
**Location:**
Kirkland, WA (First 6 months in\-office; hybrid schedule available thereafter—typically remote on Mondays and Fridays, with Tuesday–Thursday in\-office, subject to manager’s discretion).
*Registered to do business and willing to consider candidates in the following states; California, Colorado, Florida, Georgia, Missouri, New York, Oregon, South Carolina, Tennessee, Texas, and Washington.*
**Work Authorization:** *Applicants must be authorized to work for ANY employer in the U.S. We are unable to sponsor or take over sponsorship of an employment Visa at this time.*
**Equal Opportunity Employer:** *Deep Sync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6">
      <c r="A6" t="inlineStr">
        <is>
          <t>in-d5d6a3c8f906a3c6</t>
        </is>
      </c>
      <c r="B6" t="inlineStr">
        <is>
          <t>Principal Machine Learning Engineer, 3D Data and Generative AI Systems</t>
        </is>
      </c>
      <c r="C6" t="inlineStr">
        <is>
          <t>Autodesk</t>
        </is>
      </c>
      <c r="D6" t="inlineStr">
        <is>
          <t>indeed</t>
        </is>
      </c>
      <c r="E6">
        <f>HYPERLINK("https://www.indeed.com/viewjob?jk=d5d6a3c8f906a3c6", "https://www.indeed.com/viewjob?jk=d5d6a3c8f906a3c6")</f>
        <v/>
      </c>
      <c r="F6">
        <f>HYPERLINK("https://autodesk.wd1.myworkdayjobs.com/en-US/Ext/job/Boston-MA-USA/Principal-Machine-Learning-Engineer--3D-Data-and-Generative-AI-Systems_26WD94771-1", "https://autodesk.wd1.myworkdayjobs.com/en-US/Ext/job/Boston-MA-USA/Principal-Machine-Learning-Engineer--3D-Data-and-Generative-AI-Systems_26WD94771-1")</f>
        <v/>
      </c>
      <c r="G6" t="inlineStr">
        <is>
          <t>Boston, MA, US</t>
        </is>
      </c>
      <c r="H6" s="3" t="n">
        <v>46033</v>
      </c>
      <c r="I6" t="inlineStr">
        <is>
          <t>Job Requisition ID \#
26WD94771
Principal *Machine Learning* Engineer, *3D* \&amp; Generative AI Systems
Position Overview
Autodesk is transforming the AEC (Architecture, Engineering, and Construction) industry by embedding generative AI and data\-driven intelligence deeply into our products. Across AutoCAD, Revit, Construction Cloud, and Forma, we are building cloud\-native, AI\-powered systems that operate at the scale and complexity of real\-world design and construction data.
As a Principal *Machine Learning* Engineer on the AEC Solutions team, you will lead the design and implementation of new *machine learning* models for large\-scale *3D* data retrieval and representation learning. Your work will focus on transforming complex geometric data—meshes, point clouds, CAD/BIM representations—into high\-quality embeddings and retrieval systems that power next\-generation design workflows.
This role combines deep *model* development, production ML systems, and technical leadership. You will architect and build end\-to\-end ML pipelines using Airflow and AWS, collaborate closely with researchers and product teams, and set the technical direction for how Autodesk builds, trains, evaluates, and deploys *3D*\-aware ML systems.*3D*\-awar
You will report to an ML Development Manager for the Generative AI team.
Location: Remote or Hybrid (Canada or United States; East Coast preferred)
Responsibilities
Technical Leadership \&amp; Strategy* Set the technical vision for *3D* data retrieval and representation learning across Autodesk’s AEC AI initiatives
* Influence short\- and long\-term investments in models, data infrastructure, and ML systems
* Identify architectural gaps and scalability bottlenecks, and drive cross\-team alignment on long\-term solutions
*Model* \&amp; Algorithm Development* Design and implement new ML models for *3D* data understanding and retrieval, including geometric embeddings and *multimodal* representations
* Apply advanced techniques such as self\-supervised learning, weak supervision, and active learning to leverage large volumes of unlabeled design data
* Optimize data representations and feature extraction pipelines for downstream *model* performance and retrieval quality
Production ML \&amp; Pipelines* Architect and own production\-grade ML pipelines, orchestrated with Airflow, supporting:
	+ large\-scale data preprocessing
	+ *model* training and fine\-tuning
	+ evaluation and deployment workflows
* Build scalable systems on AWS, including integration with SageMaker and distributed training or data processing frameworks
* Establish best practices for *model* experimentation, versioning, evaluation, and monitoring in high\-throughput environments
Data Systems \&amp; Feedback Loops* Lead the development of intelligent data processing systems that transform unstructured *3D*, text, and image data into ML\-ready formats
* Own the *model*/data feedback loop, monitoring quality, diagnosing failure modes, and guiding iterative improvements based on real\-world usage
* Collaborate with data engineers and applied scientists to ensure data quality, lineage, and reproducibility
Collaboration \&amp; Mentorship* Work closely with AI researchers, software architects, and product teams to integrate models into customer\-facing workflows
* Mentor and guide ML engineers, raising the technical bar and fostering a culture of ownership, rigor, and curiosity
* Communicate complex technical ideas clearly through documentation, design reviews, and cross\-functional presentations
Minimum Qualifications* Master’s degree or higher in Computer Science, *Machine Learning*, Artificial Intelligence, Mathematics, Statistics, or a related field
* 10\+ years of experience in *machine learning* or AI, with demonstrated technical leadership and hands\-on *model* development
* Strong expertise in deep learning architectures (e.g., Transformers, CNNs, GANs) and modern ML frameworks such as *PyTorch*, Lightning, and Ray
* Proven experience building new models (not just applying existing ones), especially for retrieval, embeddings, or representation learning
* Deep understanding of *3D* data representations and processing techniques (e.g., meshes, point clouds, CAD/BIM *geometry*)
* Experience building and operating production ML pipelines, including orchestration with Airflow
* Hands\-on experience with AWS and SageMaker for scalable training and deployment
* Strong foundations in computer science, distributed systems, and algorithmic efficiency
* Excellent written and verbal communication skills, with the ability to influence across teams
Preferred Qualifications* Background or domain experience in Architecture, Engineering, or Construction
* Experience with LLMs, VLMs, vector databases, and retrieval systems, including RAG\-style architectures
* Proficiency with distributed data processing or training (e.g., Spark, Ray, custom pipelines)
* Experience designing systems for large\-scale data preparation, optimization, and acceleration
* Familiarity with Responsible AI practices, including bias mitigation, interpretability, and ethical considerations
The Ideal Candidate* Is passionate about solving real AEC customer problems using *machine learning* and AI
* Enjoys tackling technically complex, ambiguous problems where new approaches are required
* Thinks strategically but remains deeply hands\-on
* Actively mentors others and contributes to a strong engineering culture
* Is iterative, bold, and comfortable experimenting, learning, and refining ideas quickly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7">
      <c r="A7" t="inlineStr">
        <is>
          <t>in-a75cade6dc6eff71</t>
        </is>
      </c>
      <c r="B7" t="inlineStr">
        <is>
          <t>Data Scientist/Machine Learning Engineer (req-214 )</t>
        </is>
      </c>
      <c r="C7" t="inlineStr">
        <is>
          <t>Cathexis</t>
        </is>
      </c>
      <c r="D7" t="inlineStr">
        <is>
          <t>indeed</t>
        </is>
      </c>
      <c r="E7">
        <f>HYPERLINK("https://www.indeed.com/viewjob?jk=a75cade6dc6eff71", "https://www.indeed.com/viewjob?jk=a75cade6dc6eff71")</f>
        <v/>
      </c>
      <c r="F7">
        <f>HYPERLINK("https://apply.workable.com/j/FB3D5F2446", "https://apply.workable.com/j/FB3D5F2446")</f>
        <v/>
      </c>
      <c r="G7" t="inlineStr">
        <is>
          <t>Redwood City, CA, US</t>
        </is>
      </c>
      <c r="H7" s="3" t="n">
        <v>46033</v>
      </c>
      <c r="I7"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 **Responsibilities**
**The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 **Desired Skills**
*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8">
      <c r="A8" t="inlineStr">
        <is>
          <t>in-06997bd63d9f09ae</t>
        </is>
      </c>
      <c r="B8" t="inlineStr">
        <is>
          <t>Google Cloud ML Engineer Vertex AI-2</t>
        </is>
      </c>
      <c r="C8" t="inlineStr">
        <is>
          <t>Realign</t>
        </is>
      </c>
      <c r="D8" t="inlineStr">
        <is>
          <t>indeed</t>
        </is>
      </c>
      <c r="E8">
        <f>HYPERLINK("https://www.indeed.com/viewjob?jk=06997bd63d9f09ae", "https://www.indeed.com/viewjob?jk=06997bd63d9f09ae")</f>
        <v/>
      </c>
      <c r="F8">
        <f>HYPERLINK("https://realign-llc.com/careers/job-details/IT19504GO-2", "https://realign-llc.com/careers/job-details/IT19504GO-2")</f>
        <v/>
      </c>
      <c r="G8" t="inlineStr">
        <is>
          <t>Dallas, TX, US</t>
        </is>
      </c>
      <c r="H8" s="3" t="n">
        <v>46034</v>
      </c>
      <c r="I8" t="inlineStr">
        <is>
          <t>Job Type: Contract
Job Category: IT
Job Description
**Role**: Google Cloud ML Engineer\- Vertex AI  
**Location**: Dallas, TX (Onsite)  
**Contract \&amp; FTE Both**  
**Must have:** Vertex AI \&amp; CCAI Chat Virtual Agent Expert**Requirements:***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5\-7 years in software development (4\+ in NLP/NLU for chat).
* Good to have an understanding on other GCP services and cloud\-native architectures
**Preferred Qualifications:*** Master’s/PhD in Computer Science, AI/ML, or related field
* Must have GCP Certification\- Google Cloud Certified Professional Machine Learning Engineer
* Experience with GenAI frameworks (PaLM, Gemini)
* Integration with CRM, knowledge bases, and live agent systems
Required Skills
DEVOPS ENGINEER</t>
        </is>
      </c>
    </row>
    <row r="9">
      <c r="A9" t="inlineStr">
        <is>
          <t>in-e0327544d16f3070</t>
        </is>
      </c>
      <c r="B9" t="inlineStr">
        <is>
          <t>AI/ML Engineer-1</t>
        </is>
      </c>
      <c r="C9" t="inlineStr">
        <is>
          <t>Realign</t>
        </is>
      </c>
      <c r="D9" t="inlineStr">
        <is>
          <t>indeed</t>
        </is>
      </c>
      <c r="E9">
        <f>HYPERLINK("https://www.indeed.com/viewjob?jk=e0327544d16f3070", "https://www.indeed.com/viewjob?jk=e0327544d16f3070")</f>
        <v/>
      </c>
      <c r="F9">
        <f>HYPERLINK("https://realign-llc.com/careers/job-details/IT1953AI-1", "https://realign-llc.com/careers/job-details/IT1953AI-1")</f>
        <v/>
      </c>
      <c r="G9" t="inlineStr">
        <is>
          <t>IL, US</t>
        </is>
      </c>
      <c r="H9" s="3" t="n">
        <v>46034</v>
      </c>
      <c r="I9" t="inlineStr">
        <is>
          <t>Job Type: Contract
Job Category: IT
Job Description
**JOB Role: AI/ML Engineer****Location: Remote****Contract**  
We are seeking a skilled Agentic AI/ML Engineer with a strong background in Python scripting and experience in developing AI solutions using LangChain and LangGraph. The ideal candidate will have a solid understanding of Google Cloud Platform (GCP) and be proficient in application to application (A2A) integrations and microservices architecture (MCP). **Mandatory Skills:*** Proficient in Python scripting.
* Experience with LangChain and LangGraph frameworks.
* Strong understanding of Google Cloud Platform (GCP).
* Knowledge of application to application (A2A) integrations.
* Familiarity with microservices architecture (MCP).
 **Qualifications:*** Bachelor's or Master's degree in Computer Science, Data Science, or a related field.
* 5 7 years of experience in AI/ML engineering or a related role.
Proven track record of successfully delivering AI/ML projects
Required Skills
DEVOPS ENGINEER
 SENIOR EMAIL SECURITY ENGINEER
 SRE ENGINEER (SITE RELIABILITY/RESILIENCY)</t>
        </is>
      </c>
    </row>
    <row r="10">
      <c r="A10" t="inlineStr">
        <is>
          <t>in-49786530a6c1d99e</t>
        </is>
      </c>
      <c r="B10" t="inlineStr">
        <is>
          <t>Senior Machine Learning Engineer, Pose Estimation</t>
        </is>
      </c>
      <c r="C10" t="inlineStr">
        <is>
          <t>Parallel Domain</t>
        </is>
      </c>
      <c r="D10" t="inlineStr">
        <is>
          <t>indeed</t>
        </is>
      </c>
      <c r="E10">
        <f>HYPERLINK("https://www.indeed.com/viewjob?jk=49786530a6c1d99e", "https://www.indeed.com/viewjob?jk=49786530a6c1d99e")</f>
        <v/>
      </c>
      <c r="F10">
        <f>HYPERLINK("https://jobs.lever.co/paralleldomain/c7e29455-3aef-442a-a734-aef592c28ff8", "https://jobs.lever.co/paralleldomain/c7e29455-3aef-442a-a734-aef592c28ff8")</f>
        <v/>
      </c>
      <c r="G10" t="inlineStr">
        <is>
          <t>Karlsruhe, ND, US</t>
        </is>
      </c>
      <c r="H10" s="3" t="n">
        <v>46033</v>
      </c>
      <c r="I10" t="inlineStr">
        <is>
          <t>At Parallel Domain, we believe that autonomous systems – from self\-driving cars to contactless delivery drones – have the opportunity to drastically improve the quality of life for billions of people. That is why we love what we do: enabling our customers to develop their technology safely using the Parallel Domain simulated testing platform. Our software changes the way our customers test their systems, accelerating their ability to deploy safe and reliable AI. We're looking for people like you to join us in pushing the boundaries of artificial intelligence and simulation.  
Parallel Domain is building the world’s most advanced simulation and digital twin platform for autonomy, robotics, and computer vision. Our Replica product creates large\-scale, photorealistic digital twins of real\-world environments used for testing, validation, and development of autonomous systems.  
### **About the role:**
* + We are looking for a Senior Machine Learning Engineer focused on pose estimation and structure\-from\-motion (SfM) to improve the backbone of Replica’s geometric reconstruction pipelines. You will develop and integrate ML\-based and classical approaches for robust camera pose estimation and scalable multiview geometry systems.
### **What you'll do:**
* + **Build robust SfM and pose pipelines:** Improve accuracy, speed, and reliability of pose estimation components.
	+ **Develop geometric vision models:** Design and implement learned modules for camera calibration and pose refinement.
	+ **Integrate ML and classical methods:** Combine geometric algorithms with modern ML tools for practical performance.
	+ **Collaborate on data and evaluation:** Partner with ML engineers to curate datasets and define metrics for success.
### **What you’ll bring:**
* + **Advanced degree:** MS or PhD in ML, computer vision, robotics, or related field.
	+ **Relevant experience:** Industry experience applying ML to computer vision problems, with emphasis on pose or multiview geometry.
	+ **Technical proficiency:** Strong Python experience and production\-level code development.
	+ **Foundational knowledge:** Deep understanding of 3D geometry, linear algebra, and optimization.
### **What will help you stand out:**
* + **Hands\-on experience:** Demonstrated experience in developing and deploying production\-level machine learning models.
	+ **Parallel Compute Experience**: Experience in programming CUDA kernels for 3D computer vision applications
	+ **Research background:** Familiarity with academic research in 3D reconstruction, visual geometry transformer models, bundle adjustment or related fields.
	+ **Industry knowledge:** Understanding of the autonomous systems landscape and the potential applications of machine learning in this domain.
	+ **Publication record:** Publications in top\-tier conferences or journals related to machine learning.
### **What we offer:**
* + **Competitive compensation:** Compensation dependent on your skills, qualifications, experience, and location.
	+ **Impactful work:** The chance to contribute to the advancement of autonomous systems and AI.
	+ **Collaborative culture:** A dynamic and supportive work environment where your ideas are valued.
	+ **Professional growth:** Opportunities to learn and develop your skills in a cutting\-edge field.
If you're passionate about machine learning, 3D reconstruction, generative AI, and the future of autonomous systems, we'd love to hear from you. Apply today and help us revolutionize the world of AI!  
This position is available in Vancouver, BC and Karlsruhe DE. **Why join Parallel Domain?**  
We are assembling a team of creative, talented visionaries seeking to build a new technology that will change the world. You will be able to learn, build, and scale our team and technology in a collaborative, creative culture that values every team member.  
To attract and inspire the right talent, we offer:* Competitive compensation
* Employer\-paid supplemental medical, mental health, dental, and vision benefits.
* Flexible paid vacation, sick time, winter shutdown, and 11\+ holidays per year
* Paid parental leave
* Equipment budget to optimize your setup
* Annual learning and development stipend
Parallel Domain celebrates diversity and is committed to creating a safe and inclusive environment for all our people. We are committed to providing employees with an environment free of discrimination, bullying and harassment. All employment decisions at Parallel Domain are based on business needs, job requirements and individual qualifications. We will maintain our commitment to and support of equal employment opportunity for all individuals without regard to race, national/ethnic origin, colour, religion, age, sex (including pregnancy), sexual orientation, gender identity/expression, marital status, family status, genetic characteristics or physical/mental disability. Our commitment extends to any other protected classes which may exist under applicable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in-f1f2e77a89b87e28</t>
        </is>
      </c>
      <c r="B11" t="inlineStr">
        <is>
          <t>Senior Machine Learning Engineer, Diffusion &amp; Reconstruction</t>
        </is>
      </c>
      <c r="C11" t="inlineStr">
        <is>
          <t>Parallel Domain</t>
        </is>
      </c>
      <c r="D11" t="inlineStr">
        <is>
          <t>indeed</t>
        </is>
      </c>
      <c r="E11">
        <f>HYPERLINK("https://www.indeed.com/viewjob?jk=f1f2e77a89b87e28", "https://www.indeed.com/viewjob?jk=f1f2e77a89b87e28")</f>
        <v/>
      </c>
      <c r="F11">
        <f>HYPERLINK("https://jobs.lever.co/paralleldomain/f7b8b53d-6410-4138-92f7-f18ffad8a1b8", "https://jobs.lever.co/paralleldomain/f7b8b53d-6410-4138-92f7-f18ffad8a1b8")</f>
        <v/>
      </c>
      <c r="G11" t="inlineStr">
        <is>
          <t>Karlsruhe, ND, US</t>
        </is>
      </c>
      <c r="H11" s="3" t="n">
        <v>46033</v>
      </c>
      <c r="I11" t="inlineStr">
        <is>
          <t>Parallel Domain is building the world’s most advanced simulation and digital twin platform for autonomy, robotics, and computer vision. Our Replica product creates large\-scale, photorealistic digital twins of real\-world environments used for testing, validation, and development of autonomous systems.
### **About the role:**
* + We are seeking a Senior Machine Learning Engineer to advance the state of learned reconstruction for Replica. In this role, you will drive development of feed\-forward and diffusion\-based models for 3D and spatiotemporal reconstruction and work closely with cross\-functional teams to integrate these models into production systems.
### **What you'll do:**
* + **Develop innovative ML models:** Design and implement video\-to\-video diffusion models and efficient 4D feed\-forward reconstruction methods.
	+ **Improve scalability and performance:** Optimize models and pipelines to support large\-scale Replica environments.
	+ **Productionize research:** Ship robust, documented ML components integrated with Replica tooling.
	+ **Collaborate cross\-functionally:** Engage with simulation, rendering, and infrastructure engineers to deliver end\-to\-end solutions.
### **What you’ll bring:**
* + **Advanced degree:** MS or PhD in ML, computer vision, robotics, or related field.
	+ **Deep ML expertise:** Experience with deep learning frameworks (e.g., PyTorch) and large model development.
	+ **Strong engineering skills:** Experience taking ML prototypes into production quality code.
	+ **Experience with 3D vision or reconstruction:** Demonstrated knowledge of modern 3D representation learning.
	+ **Generative model background:** Experience with diffusion models or neural rendering.
### **What will help you stand out:**
* + **Hands\-on experience:** Demonstrated experience in developing and deploying production\-level machine learning models.
	+ **Research background:** Familiarity with academic research in video diffusion models, LoRA fine\-tuning, or feed\-forward reconstruction.
	+ **Industry knowledge:** Understanding of the autonomous systems landscape and the potential applications of machine learning in this domain.
	+ **Publication record:** Publications in top\-tier conferences or journals related to machine learning.
### **What we offer:**
* + **Competitive compensation:** Dependent on your skills, qualifications, experience, and location.
	+ **Impactful work:** The chance to contribute to the advancement of autonomous systems and AI.
	+ **Collaborative culture:** A dynamic and supportive work environment where your ideas are valued.
	+ **Professional growth:** Opportunities to learn and develop your skills in a cutting\-edge field.
If you're passionate about machine learning, 3D reconstruction, generative AI, and the future of autonomous systems, we'd love to hear from you. Apply today and help us revolutionize the world of spatial AI!  
This position is available in Vancouver, BC and Karlsruhe, DE.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in-1a004ce293e0a329</t>
        </is>
      </c>
      <c r="B12" t="inlineStr">
        <is>
          <t>AI and ML Engineer</t>
        </is>
      </c>
      <c r="C12" t="inlineStr">
        <is>
          <t>Booz Allen Hamilton</t>
        </is>
      </c>
      <c r="D12" t="inlineStr">
        <is>
          <t>indeed</t>
        </is>
      </c>
      <c r="E12">
        <f>HYPERLINK("https://www.indeed.com/viewjob?jk=1a004ce293e0a329", "https://www.indeed.com/viewjob?jk=1a004ce293e0a329")</f>
        <v/>
      </c>
      <c r="F12">
        <f>HYPERLINK("https://careers.boozallen.com/careers/JobDetail?jobId=119400", "https://careers.boozallen.com/careers/JobDetail?jobId=119400")</f>
        <v/>
      </c>
      <c r="G12" t="inlineStr">
        <is>
          <t>Beavercreek, OH, US</t>
        </is>
      </c>
      <c r="H12" s="3" t="n">
        <v>46033</v>
      </c>
      <c r="I12" t="inlineStr">
        <is>
          <t>AI and ML Engineer**The Opportunity:**
As an experienced engineer, you know that machine learning is critical to understanding and processing massive datasets. Your ability to conduct statistical analyses on workflow processes using ML techniques makes you an integral part of delivering a customer\-focused solution. We need your technical knowledge and desire to problem\-solve to support research and development for a key national defense client. As an Artificial Intelligence (AI) and Machine Learning (ML) Engineer on our intelligence team, you’ll train, test, deploy, and maintain models that learn from data.
In this role, you’ll own and define the direction of solutions by applying best\-fit ML algorithms and technologies. You’ll be part of a large community of ML engineers across the company and collaborate with software developers and engineers as well as end users to deliver world\-class solutions to develop and drive solutions to remote sensing issues for operations clients. You will be testing and driving AI/ML concepts and solutions for a data\-intensive system. As data feeds continue to be brought online, the relatively fixed number of operators need your help driving solutions. Your advanced skills and extensive technical expertise will guide clients as they navigate the landscape of ML algorithms, tools, and frameworks.
Work with us to solve real\-world challenges and define ML strategy.
Join us. The world can’t wait.
**You Have:**
* 4\+ years of experience delivering AI/ML based solutions for object identification and classification
* 4\+ years of experience with Python coding, including for AI/ML solutions
* Experience with remote sensing image processing, data exploitation, and algorithm development
* Experience with software configuration management using Git
* Active TS/SCI clearance; willingness to take a polygraph exam
* Bachelor's degree and 4\+ years of experience in AI/ML or 8\+ years of experience in AI/ML in lieu of a degree
**Nice If You Have:**
* Experience with container technology, including Docker or Podman
* Experience with PyTorch and Tensor Flow
* Knowledge of passive EO and IR systems
* Ability to work with limited guidance and clear direction
* Possession of excellent verbal and written communication skills, including with peers and clients
* Bachelor’s degree in AI/ML Engineering, Data Science, or an Engineering field preferred; Master’s degree in AI/ML Engineering, Data Science, or an Engineering field a plus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
      <c r="A13" t="inlineStr">
        <is>
          <t>in-cb55fa364e1e4671</t>
        </is>
      </c>
      <c r="B13" t="inlineStr">
        <is>
          <t>AI Engineer</t>
        </is>
      </c>
      <c r="C13" t="inlineStr">
        <is>
          <t>Booz Allen Hamilton</t>
        </is>
      </c>
      <c r="D13" t="inlineStr">
        <is>
          <t>indeed</t>
        </is>
      </c>
      <c r="E13">
        <f>HYPERLINK("https://www.indeed.com/viewjob?jk=cb55fa364e1e4671", "https://www.indeed.com/viewjob?jk=cb55fa364e1e4671")</f>
        <v/>
      </c>
      <c r="F13">
        <f>HYPERLINK("https://careers.boozallen.com/careers/JobDetail?jobId=119420", "https://careers.boozallen.com/careers/JobDetail?jobId=119420")</f>
        <v/>
      </c>
      <c r="G13" t="inlineStr">
        <is>
          <t>Washington, DC, US</t>
        </is>
      </c>
      <c r="H13" s="3" t="n">
        <v>46033</v>
      </c>
      <c r="I13" t="inlineStr">
        <is>
          <t>AI Engineer**The Opportunity:**
Design and implement effective AI solution architecture utilizing approaches of various AI technologies and methods to address clients' business problems and needs while complying with the company's strategies and business goals. Apply advanced technical expertise and full industry knowledge. Develop innovative solutions to complex problems. Work without considerable direction. Mentor and supervise team members, as needed.
**You Have:**
* 2\+ years of experience with artificial intelligence, data science, machine learning engineering, software engineering, data research, or data analytics
* 2\+ years of experience with software development or engineering, including in an academic or professional environment
* Experience with generative and agentic AI technologies, such as LLMs, MCP, LangChain, or LangGraph
* Experience with a programming language, including Python, C\#, or Java
* Experience with project work in deep learning, computer vision, NLP, or signal processing
* Knowledge of modern software design patterns, including microservice design or edge computing
* Ability to obtain a Secret clearance
* Bachelor's degree
**Nice If You Have:**
* Experience with embedded systems programming in C, C\+\+, or Rust
* Experience with integrating coding agents such as Cursor or Windsurf into an efficient development pipeline with measured results
* Experience with GPU programming, including CUDA or RAPIDs
* Experience with modern cloud computing technologies, including Docker
* Ability to gather requirements from customers and lead Agile teams
* Doctorate degree in Computer Science or Statistics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
      <c r="A14" t="inlineStr">
        <is>
          <t>in-e021874594970b0d</t>
        </is>
      </c>
      <c r="B14" t="inlineStr">
        <is>
          <t>AI Engineer – Decision &amp; Optimization Systems</t>
        </is>
      </c>
      <c r="C14" t="inlineStr">
        <is>
          <t>Gallatin</t>
        </is>
      </c>
      <c r="D14" t="inlineStr">
        <is>
          <t>indeed</t>
        </is>
      </c>
      <c r="E14">
        <f>HYPERLINK("https://www.indeed.com/viewjob?jk=e021874594970b0d", "https://www.indeed.com/viewjob?jk=e021874594970b0d")</f>
        <v/>
      </c>
      <c r="F14">
        <f>HYPERLINK("https://jobs.ashbyhq.com/gallatin/f1eedfc1-21dc-4be2-932c-417da823ab93?utm_source=qZyxO8XDee", "https://jobs.ashbyhq.com/gallatin/f1eedfc1-21dc-4be2-932c-417da823ab93?utm_source=qZyxO8XDee")</f>
        <v/>
      </c>
      <c r="G14" t="inlineStr">
        <is>
          <t>El Segundo, CA, US</t>
        </is>
      </c>
      <c r="H14" s="3" t="n">
        <v>46033</v>
      </c>
      <c r="I14" t="inlineStr">
        <is>
          <t>**AI Engineer – Decision \&amp; Optimization Systems**
**About Gallatin**
At Gallatin, we are rebuilding defense logistics for the warfighters of the United States and allied forces. We take an AI\-first approach to modernizing how materiel, fuel, and equipment move from factory to foxhole—so commanders and operators can make faster, better, and safer decisions under uncertainty.
We believe that transformational systems are built shoulder\-to\-shoulder, not over Zoom, and we operate from our offices in El Segundo, California and Austin, Texas.
**About the Role**
We’re looking for an AI Engineer – Decision \&amp; Optimization Systems to own the feasibility, authority, and constraint layers that sit between AI reasoning and real\-world execution.
In this role, you will build the systems that decide what plans are allowed to exist before any optimizer, agent, or human can act on them. Your work ensures that AI\-generated logistics plans respect command hierarchy, policy, safety, and operational reality—so when we execute, we execute correctly.
You will work closely with routing, packing, optimization, and AI\-agent teams to translate intent, authority, and uncertainty into auditable, enforceable, and explainable decision systems.
**What You’ll Do**
Build \&amp; Own Feasibility and Authority Models
* Design and implement models that encode command hierarchy, authority limits, and policy rules into formal feasibility checks.
* Convert AI\-agent outputs (LLMs, planners, probabilistic models) into deterministic, enforceable constraints before execution.
* Ensure that authority and policy interpretations are traceable, inspectable, and safe.
**Constraint \&amp; Feasibility Frameworks**
* Build and maintain a centralized constraint framework used across optimization and planning systems.
* Encode:
	+ Authority rules
	+ Compatibility constraints
	+ Timing windows
	+ Asset availability and readiness
* Surface clear diagnostics for infeasible plans and constraint violations so humans and machines can understand what failed and why.
**Data Ownership \&amp; Validation**
* Own the data inputs required for feasibility and constraint enforcement.
* Define and enforce data contracts, normalization, and validation pipelines.
* Build robustness against incomplete, delayed, or noisy operational data.
**Production Integration**
* Integrate feasibility checks into real\-time and batch planning pipelines.
* Partner with optimization and execution teams to gate all actions on valid, policy\-compliant inputs.
* Validate system behavior using scenario testing, simulations, and operational feedback from real users.
**What We’re Looking For**
Strong Engineering \&amp; Modeling Skills
* Proficiency in at least one of: Python, Java, Go, or C\+\+
* Experience building constraint\-based or rule\-based systems in production.
* Experience integrating AI or agent\-based reasoning into downstream decision or execution pipelines.
**Optimization \&amp; Decision Science Background**
* Degree or equivalent experience in Operations Research, Applied Math, Industrial Engineering, Computer Science, or related field.
* Strong understanding of:
Linear programming
Mixed\-integer programming
Constraint satisfaction systems
* Experience using tools such as Gurobi, CPLEX, OR\-Tools, Pyomo, AMPL, or equivalent.
**Systems Thinking**
* Ability to reason about feasibility vs optimality tradeoffs.
* Comfort integrating probabilistic or AI\-derived outputs into deterministic systems.
* Strong instincts for debugging, failure analysis, and explainability in high\-stakes environments.
**Bonus Points**
* Experience with logistics, supply chain, or routing systems.
* Experience working alongside optimization or planning teams.
* Exposure to defense, government, or mission\-critical operations.
* Prior work integrating AI agents into decision or execution pipelines.
**Why Gallatin?**
* Join a mission\-driven, high\-impact startup building the decision systems that power modern defense logistics.
* Work on real operational problems where correctness, safety, and explainability matter.
* Collaborate with world\-class engineers, operators, and AI researchers.
* Competitive compensation including generous equity, 100% employer\-paid health insurance, 401(k), unlimited PTO, and catered meals.
This position requires the ability to obtain and maintain a U.S. security clearance and to work in classified environments when necessary. If you’re not excited about building AI systems that decide what is allowed to happen in war, this role is not for you.</t>
        </is>
      </c>
    </row>
    <row r="15">
      <c r="A15" t="inlineStr">
        <is>
          <t>in-7cdcb05b376474f2</t>
        </is>
      </c>
      <c r="B15" t="inlineStr">
        <is>
          <t>AI Engineer</t>
        </is>
      </c>
      <c r="C15" t="inlineStr"/>
      <c r="D15" t="inlineStr">
        <is>
          <t>indeed</t>
        </is>
      </c>
      <c r="E15">
        <f>HYPERLINK("https://www.indeed.com/viewjob?jk=7cdcb05b376474f2", "https://www.indeed.com/viewjob?jk=7cdcb05b376474f2")</f>
        <v/>
      </c>
      <c r="F15">
        <f>HYPERLINK("https://jobs.ashbyhq.com/inductive-bio/9519d809-5748-4ced-a6b4-bf2b8c34dd6b?utm_source=83dmqlNWkN", "https://jobs.ashbyhq.com/inductive-bio/9519d809-5748-4ced-a6b4-bf2b8c34dd6b?utm_source=83dmqlNWkN")</f>
        <v/>
      </c>
      <c r="G15" t="inlineStr">
        <is>
          <t>US</t>
        </is>
      </c>
      <c r="H15" s="3" t="n">
        <v>46033</v>
      </c>
      <c r="I15" t="inlineStr">
        <is>
          <t>Drug discovery is a prediction problem. Scientists design molecules based on predictions about potency, safety, and bioavailability, but validating those predictions through experiments can take months, making drug discovery slow and expensive.
We’re using AI to change that. Our platform applies state\-of\-the\-art machine learning to predict molecular behavior directly from structure, helping scientists make better decisions earlier. These models are already being used across dozens of active drug discovery programs, powered by a unique and growing proprietary dataset.
Building on this foundation, we’re expanding into agentic, AI\-enabled systems that help scientists analyze new data as it arrives, apply best practices, and collaborate more effectively, bringing AI directly into the daily workflow of drug discovery teams. We are seeking an AI Engineer to help bring our agentic offering, *Indy*, to market through backend development, evaluation, and close collaboration with medicinal chemistry experts, accelerating delivery while improving the quality, scope, and value of the product.
**What you’ll do:**
* Own the implementation of end\-to\-end agentic AI workflows, from data ingestion and schema design to prompting, context management, tool creation, and multi\-agent orchestration
* Partner closely with medicinal chemists to prototype, test, and refine AI\-assisted workflows that improve scientific quality, speed, and confidence
* Improve real user use cases by incorporating feedback from internal users (and external customers post\-launch), translating insights into product and system improvements
* Support automated integration of customer assay and experimental data into Indy environments, ensuring reliability and scalability
* Identify and implement product improvements or new features based on hands\-on collaboration with scientific, product, and engineering stakeholders
* Contribute to backend and system architecture decisions as the platform evolves from single\-user workflows to scalable, multi\-user production systems
**Who you are:**
* 4\+ years of experience building backend and/or data systems using Python in production environments
* Experience shipping at least one user\-facing system that integrates LLMs (agentic workflows are a strong plus)
* Strong understanding of backend systems, data flows, and production infrastructure
* Comfort working with data engineering concepts such as schema design, pipelines, and orchestration (Dagster, Airflow, or similar tools)
* Ability to collaborate deeply and effectively across disciplines, including working directly with scientists and translating domain\-specific needs into robust technical solutions
* Comfortable owning ambiguous problems, building from first principles, and iterating quickly in a startup environment
**Working at Inductive**
At Inductive Bio, we know that the people on the team are what make us great. We offer competitive salary and equity\-based compensation; comprehensive healthcare benefits (including dental and vision); and the opportunity to grow alongside a rapidly scaling company. We are a passionate, kind, and mature team. Working at a fast\-growing startup is not always a 9–5 job, but we believe that our employees should have full lives beyond their career.
Compensation Range: $170K \- $230K</t>
        </is>
      </c>
    </row>
    <row r="16">
      <c r="A16" t="inlineStr">
        <is>
          <t>in-025f9f77c122e63b</t>
        </is>
      </c>
      <c r="B16" t="inlineStr">
        <is>
          <t>Senior Principal Machine Learning Engineer, Foundational Models</t>
        </is>
      </c>
      <c r="C16" t="inlineStr">
        <is>
          <t>Autodesk</t>
        </is>
      </c>
      <c r="D16" t="inlineStr">
        <is>
          <t>indeed</t>
        </is>
      </c>
      <c r="E16">
        <f>HYPERLINK("https://www.indeed.com/viewjob?jk=025f9f77c122e63b", "https://www.indeed.com/viewjob?jk=025f9f77c122e63b")</f>
        <v/>
      </c>
      <c r="F16">
        <f>HYPERLINK("https://autodesk.wd1.myworkdayjobs.com/en-US/Ext/job/Boston-MA-USA/Senior-Principal-Machine-Learning-Engineer--Foundational-Models_26WD94805-1", "https://autodesk.wd1.myworkdayjobs.com/en-US/Ext/job/Boston-MA-USA/Senior-Principal-Machine-Learning-Engineer--Foundational-Models_26WD94805-1")</f>
        <v/>
      </c>
      <c r="G16" t="inlineStr">
        <is>
          <t>Boston, MA, US</t>
        </is>
      </c>
      <c r="H16" s="3" t="n">
        <v>46033</v>
      </c>
      <c r="I16" t="inlineStr">
        <is>
          <t>Job Requisition ID \#
26WD94805
Senior Principal Machine Learning Engineer, Foundational Models
Position Overview
Autodesk is transforming the Architecture, Engineering, and Construction (AEC) industry by embedding advanced AI and foundation models into cloud\-native platforms such as AutoCAD, Revit, Construction Cloud, and Forma.
As a Senior Principal *Machine Learning* Engineer, you will act as a technical leader and delivery owner for complex, high\-impact ML initiatives spanning foundation models, *reinforcement* learning, data systems, and large\-scale ML platforms. You will operate at the intersection of applied research, engineering, and product—setting technical direction while remaining hands\-on in the areas of highest complexity and risk.
This role is designed for a senior ML tech lead with a proven track record of owning and delivering ML systems at scale, including training and operating models in large, distributed environments.
Reporting: ML Development Manager, AEC Solutions  
Location: US or Canada (Remote or Hybrid)
Responsibilities* Technical Strategy \&amp; Leadership: Define the long\-term technical vision for Generative AI and Foundation *Model* infrastructure within the AEC Solutions team. Influence architectural decisions across the broader organization.
* End\-to\-End Delivery: Lead the design, development, and delivery of complex ML systems. Own the full lifecycle from *model* architecture selection and data strategy to distributed training and production deployment.
* Foundation *Model* Engineering: Drive the development of large\-scale training pipelines. Collaborate with Research Scientists to translate experimental ideas (custom architectures, novel loss functions) into scalable, performant code.
* Scalability \&amp; Infrastructure: Architect solutions for distributed training (e.g., FSDP, Megatron\-LM, DeepSpeed) on massive compute clusters. Identify and resolve bottlenecks in data processing and *model* parallelism to maximize training throughput.
* Mentorship \&amp; Influence: Mentor Principal and Senior engineers, fostering a culture of technical ownership, rigorous experimentation, and best practices. Act as a technical partner to Product Management and Engineering leadership.
* Cross\-Functional Collaboration: Partner effectively with Data Engineering, Platform, and Research teams to integrate large\-scale *multimodal* AEC data (*3D* *geometry*, images, text) into *model* development workflows.
* Operational Excellence: Establish standards for *model* evaluation, versioning, monitoring, and MLOps best practices to ensure reproducibility and reliability in a high\-stakes production environment.
Minimum Qualifications* Master’s or *PhD* in a field related to AI/ML such as Computer Science, Mathematics, Statistics, Physics, Computational Linguistics, or related disciplines
* 10\+ years of experience in *machine learning*, AI, or related fields, with a proven track record of technical leadership and hands\-on implementation
* Demonstrated experience mentoring engineers and leading technical projects in cross\-functional environments
* Proven history of leading the delivery of large\-scale ML systems from conception to production
* Expert\-level understanding of deep learning architectures (Transformers, Diffusion models) and modern frameworks (*PyTorch* is required)
* Hands\-on experience with distributed training frameworks and techniques (e.g., *PyTorch* Distributed, Ray, DeepSpeed, Megatron, CUDA optimization) in HPC or cloud environments (AWS/Azure)
* Strong proficiency in Python, with an emphasis on performance profiling, debugging, and writing robust, maintainable production code
* Excellent ability to translate complex technical concepts into clear insights for executive leadership and cross\-functional partners
Preferred Qualifications* Experience with large foundation *model* training in distributed compute environments
* Experience designing data pipelines for *multimodal* datasets at the terabyte/petabyte scale (using Spark, Iceberg, etc.)
* Experience constructing internal developer platforms for ML, utilizing tools like Kubernetes, Slurm, or Metaflow
* A portfolio demonstrating the successful translation of academic research papers into tangible product features
* Background in AEC, computational *geometry*, or experience working with *3D* data representations (BIM, CAD, meshes, point clouds)
The Ideal Candidate* Owns outcomes, not just components
* Has operated ML systems at real scale, including the messy parts
* Brings strong technical judgment shaped by production experience
* Thrives in ambiguous problem spaces and drives clarity
* Enjoys mentoring senior engineers and shaping technical culture
* Is motivated by delivering real\-world impact at scale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17">
      <c r="A17" t="inlineStr">
        <is>
          <t>in-7878c6c9a66a3fd5</t>
        </is>
      </c>
      <c r="B17" t="inlineStr">
        <is>
          <t>AI Engineer</t>
        </is>
      </c>
      <c r="C17" t="inlineStr">
        <is>
          <t>Avetta</t>
        </is>
      </c>
      <c r="D17" t="inlineStr">
        <is>
          <t>indeed</t>
        </is>
      </c>
      <c r="E17">
        <f>HYPERLINK("https://www.indeed.com/viewjob?jk=7878c6c9a66a3fd5", "https://www.indeed.com/viewjob?jk=7878c6c9a66a3fd5")</f>
        <v/>
      </c>
      <c r="F17">
        <f>HYPERLINK("https://grnh.se/e97slsaq3us", "https://grnh.se/e97slsaq3us")</f>
        <v/>
      </c>
      <c r="G17" t="inlineStr">
        <is>
          <t>Remote, US</t>
        </is>
      </c>
      <c r="H17" s="3" t="n">
        <v>46033</v>
      </c>
      <c r="I17" t="inlineStr">
        <is>
          <t>**If residing within commutable distance to one of our offices, a hybrid schedule would be required (3 days in office, 2 days work from home). Those outside of commutable distance may be considered on a remote basis.**
**SUMMARY:**
Avetta's SaaS platform connects the world's leading organizations with qualified suppliers, contractors, and vendors. We bring unmatched visibility to companies through cloud\-based technology and human insights to improve supply chair risk and compliance. As a result, we foster sustainable growth for businesses and their supply chains globally. Our SaaS subscription software is used by 85k\+ active customers in over 100 countries.
We are seeking a highly skilled **AI Engineer** to join our AI team and help build the next generation of AI solutions. This role will report directly to the Director of AI Strategy \&amp; Innovation and will be instrumental in developing and deploying advanced AI\-powered platforms and intelligent agentic systems that transform how organizations manage safety, compliance, and risk.
You will work at the intersection of applied AI research and production engineering, building sophisticated multi\-agent systems, RAG architectures, and intelligent assistants that solve complex enterprise challenges. This is a unique opportunity to shape how AI transforms supply chain safety and risk management on a global scale.
The position requires strong technical leadership, exceptional communication skills, collaboration across departments, delivering impactful outcomes, and a commitment to innovation in AI technologies.
**ESSENTIAL DUTIES AND RESPONSIBILITIES**:
**AI Platform Development \&amp; Architecture**
* Design and implement production\-grade AI systems, including intelligent assistants and multi\-agent orchestration platforms.
* Build agentic workflows using frameworks such as CrewAI, AutoGen, Threads, LangChain, and LangGraph for orchestration.
* Develop and maintain RAG (Retrieval\-Augmented Generation) pipelines for enterprise knowledge bases. Integrate and extend enterprise AI tools through custom solutions.
* Collaborate with senior stakeholders to design, develop, and deploy custom AI solutions to solve complex business problems.
**Production Engineering**
* Develop robust, maintainable, and well\-tested code for enterprise AI applications.
* Optimize API integrations with LLM providers (OpenAI, Anthropic) and enterprise platforms.
* Ensure system security and compliance with enterprise standards.
**Developer Experience \&amp; Productivity**
* Utilize modern AI development tools such as Claude Code, Cursor, Windsurf, and GitHub Copilot.
* Build internal automation tools to accelerate AI development workflows.
* Stay current with emerging AI technologies and integrate them into Avetta's platform.
**Leadership \&amp; Collaboration**
* Lead technical and strategic direction for AI initiatives.
* Lead key projects, architecture reviews, and technical discussions around automation, augmentation, and acceleration of workflows and processes using AI techniques.
* Communicate complicated technical concepts clearly to technical and non\-technical stakeholders, including senior executives.
* Drive collaboration and crucial conversations across business functions centering around business processes and workflows.
* Drive innovation and introduce relevant cutting\-edge technologies to maintain Avetta's industry leadership.
**PREFERRED QUALIFICATIONS:**
* 5\-8 years of professional software engineering experience, with 2\+ years focused on operationalizing/productionizing AI/ML systems.
* Deep expertise in Python; experience with Java, C/C\+\+, or R is a strong plus.
* Proven track record building and deploying production AI systems with LLMs (such as OpenAI, Anthropic Claude, Google Gemini, AWS Bedrock, etc.).
* Good understanding of agents, RAG architectures, vector databases, and semantic search.
* Strong fundamentals in software engineering, testing, CI/CD, and system design.
* Excellent communication skills for engaging with senior leadership.
* Strong experience with agentic frameworks (such as CrewAI, AutoGen, LangGraph).
* Familiarity with enterprise SaaS environments and B2B product development.
* Experience with agentic AI development tools (such as Claude Code, Cursor, Windsurf, GitHub Copilot, Devin).
* Familiarity with observability platforms (LangFuse, LangSmith, Weights \&amp; Biases).
* Experience with fine\-tuning and LLM optimization.
* Track record of mentoring engineers and driving technical strategy.
**IDEAL EDUCATION \&amp; TRAINING:**
* Bachelor's degree in Computer Science, Engineering, or related field (or equivalent practical experience).
At Avetta, we are committed to salary transparency to ensure equitable hiring practices and promote trust. The salary range included in this job posting is based on internal and market data and the role's responsibilities. The final compensation offered to a candidate will be determined by several factors, including work location, job\-related skills, experience, and relevant education or training.
The salary range for this position is $123,000 \- $174,000 USD per year, with a potential bonus.
We also offer a comprehensive benefits package, which includes health, dental and vision insurance, 401(k), and PTO.
Avetta is an equal opportunity employer and values diversity. We encourage individuals from all backgrounds and experiences to apply.
To apply for the **AI Engineer** position, please submit your online application by April 30, 2026, at 11:59 PM PST.
\#LI\-HYBRID
\#LI\-REMOTE</t>
        </is>
      </c>
    </row>
    <row r="18">
      <c r="A18" t="inlineStr">
        <is>
          <t>in-a141bd59cbfb8ed3</t>
        </is>
      </c>
      <c r="B18" t="inlineStr">
        <is>
          <t>Senior Lead Machine Learning Engineer (Big Data and Machine Learning)</t>
        </is>
      </c>
      <c r="C18" t="inlineStr">
        <is>
          <t>Information Technology Senior Management Forum</t>
        </is>
      </c>
      <c r="D18" t="inlineStr">
        <is>
          <t>indeed</t>
        </is>
      </c>
      <c r="E18">
        <f>HYPERLINK("https://www.indeed.com/viewjob?jk=a141bd59cbfb8ed3", "https://www.indeed.com/viewjob?jk=a141bd59cbfb8ed3")</f>
        <v/>
      </c>
      <c r="F18">
        <f>HYPERLINK("https://jobs.itsmfleaders.org/job/xc3vlt/senior-lead-machine-learning-engineer-(big-data-and-machine-learning)/new-york/ny", "https://jobs.itsmfleaders.org/job/xc3vlt/senior-lead-machine-learning-engineer-(big-data-and-machine-learning)/new-york/ny")</f>
        <v/>
      </c>
      <c r="G18" t="inlineStr">
        <is>
          <t>New York, NY, US</t>
        </is>
      </c>
      <c r="H18" s="3" t="n">
        <v>46030</v>
      </c>
      <c r="I18" t="inlineStr">
        <is>
          <t>Posted Date
1/09/2026
Description
Senior Lead Machine Learning Engineer (Big Data and Machine Learning)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Machine Learning Engineer (Big Data and Machine Learning)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li-4340290419</t>
        </is>
      </c>
      <c r="B2" t="inlineStr">
        <is>
          <t>Machine Learning Engineer</t>
        </is>
      </c>
      <c r="C2" t="inlineStr">
        <is>
          <t>Parker B Associates</t>
        </is>
      </c>
      <c r="D2" t="inlineStr">
        <is>
          <t>linkedin</t>
        </is>
      </c>
      <c r="E2" t="inlineStr"/>
      <c r="F2" t="inlineStr"/>
      <c r="G2" t="inlineStr"/>
      <c r="H2" t="inlineStr"/>
      <c r="I2" t="inlineStr">
        <is>
          <t>Machine Learning Engineer (Must be a green card holder or US citizen)
 New York City
 Permanent
 €130,000 – €250,000 \+ Bens
 Our client is a global Insurance business seeking a Machine Learning Engineer to join the team on a permanent basis.
 Are you interested in working on a brand\-new greenfield AI project that is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3">
      <c r="A3" t="inlineStr">
        <is>
          <t>li-4334792564</t>
        </is>
      </c>
      <c r="B3" t="inlineStr">
        <is>
          <t>Senior Applied Scientist - AI &amp; Robotics</t>
        </is>
      </c>
      <c r="C3" t="inlineStr">
        <is>
          <t>General Motors</t>
        </is>
      </c>
      <c r="D3" t="inlineStr">
        <is>
          <t>linkedin</t>
        </is>
      </c>
      <c r="E3" t="inlineStr"/>
      <c r="F3" t="inlineStr"/>
      <c r="G3" t="inlineStr">
        <is>
          <t>Mountain View, CA</t>
        </is>
      </c>
      <c r="H3" t="inlineStr"/>
      <c r="I3"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$150,000 – $195,000\.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\#GMAI\-B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
      <c r="A4" t="inlineStr">
        <is>
          <t>li-4347449532</t>
        </is>
      </c>
      <c r="B4" t="inlineStr">
        <is>
          <t>Senior Machine Learning Engineer</t>
        </is>
      </c>
      <c r="C4" t="inlineStr">
        <is>
          <t>Parker B Associates</t>
        </is>
      </c>
      <c r="D4" t="inlineStr">
        <is>
          <t>linkedin</t>
        </is>
      </c>
      <c r="E4" t="inlineStr"/>
      <c r="F4" t="inlineStr"/>
      <c r="G4" t="inlineStr"/>
      <c r="H4" t="inlineStr"/>
      <c r="I4" t="inlineStr">
        <is>
          <t>Senior Machine Learning Engineer (No sponsorship available)
 New York
 Permanent
 €190,000 – €250,000
 Our client, a global financial services firm, is seeking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across underwriting, claims, and risk management
* Translate complex concepts into actionable business insights
* Research and apply the latest advancements for continuous improvement
 Full job spec will be provided upon request.
 Skills/ Experience:
* Masters degree
* Background in data science \&amp; machine learning techniques
* Generative AI/ LLM \- bonus
* Python \&amp; SQL
* Developed end\-to\-end AI solutions
* Cloud expertise
 If interested or for further information, please apply asap.
 Keywords – Senior Data Scientist, Senior AI engineer, AI engineer, Senior ML Engineer,</t>
        </is>
      </c>
    </row>
    <row r="5">
      <c r="A5" t="inlineStr">
        <is>
          <t>li-4284526990</t>
        </is>
      </c>
      <c r="B5" t="inlineStr">
        <is>
          <t>Applied Scientist, Prime Video - Personalization and Discovery Science</t>
        </is>
      </c>
      <c r="C5" t="inlineStr">
        <is>
          <t>Prime Video &amp; Amazon MGM Studios</t>
        </is>
      </c>
      <c r="D5" t="inlineStr">
        <is>
          <t>linkedin</t>
        </is>
      </c>
      <c r="E5" t="inlineStr"/>
      <c r="F5" t="inlineStr"/>
      <c r="G5" t="inlineStr">
        <is>
          <t>Seattle, WA</t>
        </is>
      </c>
      <c r="H5" t="inlineStr"/>
      <c r="I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A3033050</t>
        </is>
      </c>
    </row>
    <row r="6">
      <c r="A6" t="inlineStr">
        <is>
          <t>li-4285600931</t>
        </is>
      </c>
      <c r="B6" t="inlineStr">
        <is>
          <t>Applied Scientist II, Prime Video - Personalization and Discovery Science</t>
        </is>
      </c>
      <c r="C6" t="inlineStr">
        <is>
          <t>Prime Video &amp; Amazon MGM Studios</t>
        </is>
      </c>
      <c r="D6" t="inlineStr">
        <is>
          <t>linkedin</t>
        </is>
      </c>
      <c r="E6" t="inlineStr"/>
      <c r="F6" t="inlineStr"/>
      <c r="G6" t="inlineStr">
        <is>
          <t>Seattle, WA</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A3059253</t>
        </is>
      </c>
    </row>
    <row r="7">
      <c r="A7" t="inlineStr">
        <is>
          <t>li-4282854537</t>
        </is>
      </c>
      <c r="B7" t="inlineStr">
        <is>
          <t>[Remote] Principal Applied Scientist- Oracle Health</t>
        </is>
      </c>
      <c r="C7" t="inlineStr">
        <is>
          <t>Oracle</t>
        </is>
      </c>
      <c r="D7" t="inlineStr">
        <is>
          <t>linkedin</t>
        </is>
      </c>
      <c r="E7" t="inlineStr"/>
      <c r="F7" t="inlineStr"/>
      <c r="G7" t="inlineStr"/>
      <c r="H7" t="inlineStr"/>
      <c r="I7"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li-4335001759</t>
        </is>
      </c>
      <c r="B8" t="inlineStr">
        <is>
          <t>Principal Applied Scientist, Amazon Connect</t>
        </is>
      </c>
      <c r="C8" t="inlineStr">
        <is>
          <t>Amazon Web Services (AWS)</t>
        </is>
      </c>
      <c r="D8" t="inlineStr">
        <is>
          <t>linkedin</t>
        </is>
      </c>
      <c r="E8" t="inlineStr"/>
      <c r="F8" t="inlineStr"/>
      <c r="G8" t="inlineStr">
        <is>
          <t>Seattle, WA</t>
        </is>
      </c>
      <c r="H8" t="inlineStr"/>
      <c r="I8" t="inlineStr">
        <is>
          <t>**Description**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Principal Applied Scientist will drive the scientific vision for AI systems. The role requires tackling intrinsically hard, previously unsolved problems while balancing rapid innovation with reliability and compliance. You should be comfortable making decisions with incomplete information and driving solutions in ambiguous problem spaces. You'll work closely with senior technical leaders within the team and across AWS. We're looking for scientists who can maintain high standards while moving quickly, prioritizing both rapid experimentation and responsible AI development to deliver measurable customer impact.
 Key job responsibilities
* Drive the scientific vision of teams in the organization and advise technical leadership on scientific challenges
* Initiate and lead the design and delivery of science solutions that address significantly large or endemic customer and business problems
* Propose innovative solutions to intrinsically hard, previously unsolved problems
* Influence the organization towards adopting new approaches, concepts, and paradigms
*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
**Basic Qualifications**
* PhD in Computer Science, Machine Learning, or related field
* 10\+ years of relevant, broad research experience after PhD
* Track record of delivering production AI/ML systems with significant customer impact
* Deep expertise in one or more areas of AI/ML (e.g., NLP, computer vision, deep learning)
* Strong publication record in top\-tier conferences or journals
* Experience leading and mentoring teams of scientists and engineers
* Exceptional problem\-solving and analytical skills
* Strong communication skills and ability to influence across organizations
**Preferred Qualifications**
* Experience with large\-scale machine learning systems and cloud computing
* Track record of driving scientific innovation in industry settings
* Experience partnering with product and engineering teams to deliver AI solutions
* Demonstrated ability to translate complex scientific concepts to non\-technical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A3052445</t>
        </is>
      </c>
    </row>
    <row r="9">
      <c r="A9" t="inlineStr">
        <is>
          <t>li-4361251833</t>
        </is>
      </c>
      <c r="B9" t="inlineStr">
        <is>
          <t>AI/ML Engineer</t>
        </is>
      </c>
      <c r="C9" t="inlineStr">
        <is>
          <t>Air Apps</t>
        </is>
      </c>
      <c r="D9" t="inlineStr">
        <is>
          <t>linkedin</t>
        </is>
      </c>
      <c r="E9" t="inlineStr"/>
      <c r="F9" t="inlineStr"/>
      <c r="G9" t="inlineStr">
        <is>
          <t>San Francisco, CA</t>
        </is>
      </c>
      <c r="H9" t="inlineStr"/>
      <c r="I9"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 Develop, train, and optimize machine learning models for various mobile app features.
* Research and implement state\-of\-the\-art AI techniques to improve user engagement and app performance.
* Collaborate with cross\-functional teams to integrate AI\-driven solutions into our applications.
* Design and maintain scalable ML pipelines, ensuring efficient model deployment and monitoring.
* Analyze large datasets to derive insights and drive data\-driven decision\-making.
* Stay updated with the latest AI trends and best practices, incorporating them into our development processes.
* Optimize AI models for mobile environments to ensure high performance and low latency.
**Requirements**
* Around 3\+ years of experience in AI/ML development, preferably in mobile applications.
* Proficiency in Python, TensorFlow, PyTorch, or other ML frameworks.
* Experience with deep learning, NLP, computer vision, and statistical modeling.
* Familiarity with cloud\-based ML services (AWS, Google Cloud, or Azure).
* Strong understanding of data structures, algorithms, and software engineering best practices.
* Experience in deploying and maintaining ML models in production.
* Ability to work collaboratively in a remote team environment.
* Strong problem\-solving skills and a passion for innovation.
****What benefits do we offer?****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10">
      <c r="A10" t="inlineStr">
        <is>
          <t>li-4275844846</t>
        </is>
      </c>
      <c r="B10" t="inlineStr">
        <is>
          <t>AI/ML Engineer</t>
        </is>
      </c>
      <c r="C10" t="inlineStr">
        <is>
          <t>Brain Co.</t>
        </is>
      </c>
      <c r="D10" t="inlineStr">
        <is>
          <t>linkedin</t>
        </is>
      </c>
      <c r="E10" t="inlineStr"/>
      <c r="F10" t="inlineStr"/>
      <c r="G10" t="inlineStr"/>
      <c r="H10" t="inlineStr"/>
      <c r="I10" t="inlineStr">
        <is>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Perplexity).We are building an AI platform and applications for the world’s most important institutions \- delivering impact on real\-world problems.Our progress so far
* Automated construction permitting for a sovereign government → 80% faster, unlocking $375M\+ in value
* Optimized supply chains for a leading global energy company → 30% lower cost, 99% reliability, preventing $100M\+ in losses
* Streamlined hospital patient care across national health systems → 40% better outcomes, 80% less admin work
* Raised a $30M Series A from top investors
*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As an AI/ML Engineer at Brain Co., you will play a crucial role in deploying state\-of\-the\-art models to automate various real world problems in sectors such as healthcare, government and energy. Part of the role will involve turning research breakthroughs into practical solutions for various nation states. This role is your opportunity to make a significant impact by making AI technology both accessible and influential.
**In This Role, You Will**
* Innovate and Deploy: Design and deploy advanced LLM models to tackle real\-world problems, particularly in automating complex, manual processes in a range of real\-world verticals.
* Optimize and Scale: Build scalable data pipelines, optimize models for performance and accuracy, and prepare them for production. Monitor and maintain deployed models to ensure they continue delivering value across various governments worldwide.
* Make a Difference: Engage in projects including but not limited to optimizing the world's most advanced energy production systems, modernizing core government workflows, or improving patient outcomes in advanced public healthcare systems. Your work will directly impact how AI benefits individuals, businesses, and society at large.
* Engage with Leaders: interact directly with government officials in various countries and apply the first of its kind AI solutions while working alongside experienced ex. Founders, AI researchers, and software engineers to understand complex business challenges and deliver AI\-powered solutions. Join a dynamic team where ideas are exchanged freely and creativity flourishes. You will be able to wear many hats: software building, product management, sales, interpersonal skills.
* Learn and Lead: Keep abreast of the latest developments in machine learning and AI. Participate in code reviews, share knowledge, and set an example with high\-quality engineering practices.
**You Might Thrive In This Role If You**
* Hold a BSc/Master’s/PhD degree in Computer Science, Machine Learning, Data Science, or a related field.
* Have experience building GenAI\-focused applications with the latest technologies, including but not limited to Agents, reasoning models and RAG.
* Have at least a high level familiarity with the architecture and operation of large language models.
* Have personally implemented models in common ML frameworks such as PyTorch, Jax or TensorFlow.
* Possess a strong foundation in data structures, algorithms, and software engineering principles.
* Exhibit excellent problem\-solving and analytical skills, with a proactive approach to challenges.
* Can work collaboratively with cross\-functional teams.
* Thrive in fast\-paced environments where priorities or deadlines may compete.
* Are eager to own problems end\-to\-end and willing to acquire any necessary knowledge to get the job done.
**Benefits**
* Competitive salary
* Medical, Dental, and Vision (100% Coverage)
* Paid Maternity and Paternity Leave
* 401(k)
* Daily Lunches
* Commuter Benefits
* Unlimited PTO
**Why Join Us**
* Ship quickly, iterate constantly and see your work deployed at global scale
* Collaborate with industry veterans from Tesla, DeepMind, Databricks, and more
* Accelerate your career with ownership based on impact, not tenure
* Earn competitive compensation \+ meaningful equity in a high\-growth company
* Thrive in a culture built on speed, curiosity, and impact
*If you want to see your work deployed at scale with real impact, Brain Co. is the place to build.*</t>
        </is>
      </c>
    </row>
    <row r="11">
      <c r="A11" t="inlineStr">
        <is>
          <t>li-4345368707</t>
        </is>
      </c>
      <c r="B11" t="inlineStr">
        <is>
          <t>Machine Learning Engineer TTS</t>
        </is>
      </c>
      <c r="C11" t="inlineStr">
        <is>
          <t>Aiphoria</t>
        </is>
      </c>
      <c r="D11" t="inlineStr">
        <is>
          <t>linkedin</t>
        </is>
      </c>
      <c r="E11" t="inlineStr"/>
      <c r="F11" t="inlineStr"/>
      <c r="G11" t="inlineStr">
        <is>
          <t>Austin, TX</t>
        </is>
      </c>
      <c r="H11" t="inlineStr"/>
      <c r="I11" t="inlineStr">
        <is>
          <t>We are now expanding our team and are looking for skilled, goal\-oriented
 **MLE (TTS)** 
 to join our teams.
**Requirements**
* Hands\-on experience with Text\-to\-Speech (TTS) / speech synthesis
* Proficiency in Python and deep learning frameworks (especially, PyTorch).
* Strong understanding of speech synthesis processing techniques.
* Experience with Fast Attention\-Based Models: (FastPitch, FastSpeech 2\) and modern variative approaches: (e.g., VITS, Glow\-TTS).
* Strong understanding of techniques to control prosody, rhythm, and emotional tone for expressive speech synthesis.
* Knowledge of normalization techniques, FSTs, NN for normalization.
* Familiarity with TTS evaluation techniques, including MOS and A/B testing.
* Familiarity with vocoder models (e.g. Vocos, HiFi\-GAN, mimi).
* Knowledge of signal processing, statistical modeling, and language structure.
**Responsibilities**
* Design and optimize TTS models to ensure our voice assistant sounds as natural and accurate as possible.
* Collaborate closely with product managers and engineers to integrate TTS tech, making it seamless and intuitive for users.
* Partner with data teams to build efficient audio data pipelines, from speaker recording/preprocessing to model training.
* Regularly update and refine TTS models to adapt to various accents, dialects, and speech styles, enhancing user satisfaction and responsiveness.
* Keep up\-to\-date with the latest TTS advancements, bringing in innovative techniques and tools to keep us at the forefront of voice\-assisted banking.
* Rigorously test and validate models to meet strict standards.
**What We Offer**
* Experienced team, Aiphoria is formed by a team of enthusiastic professionals who created award\-winning devices, voice assistants and other AI\-driven products for BigTech corporations.
* Cutting\-edge technologies, we build a technology using our areas of expertise including Computer Vision, Speech Technologies, Natural Language Understanding, Generative AI incl. LLM and Diffusion models.
* Rapid career progression, facilitated by our team of seasoned senior professionals who hail from prestigious, industry\-leading companies.
* Remote work opportunities.
* Company has prominent clients with an opportunity for you to work on different projects and/or to be involved in developing our proprietary own products.
* Competitive compensation surpassing market standards.
* A company with entrepreneurial spirit. We offer a unique mix of a secure workspace thanks to the big clients raised along with a true start\-up culture!</t>
        </is>
      </c>
    </row>
    <row r="12">
      <c r="A12" t="inlineStr">
        <is>
          <t>li-4361171239</t>
        </is>
      </c>
      <c r="B12" t="inlineStr">
        <is>
          <t>Machine Learning Engineer</t>
        </is>
      </c>
      <c r="C12" t="inlineStr">
        <is>
          <t>Plaid</t>
        </is>
      </c>
      <c r="D12" t="inlineStr">
        <is>
          <t>linkedin</t>
        </is>
      </c>
      <c r="E12" t="inlineStr"/>
      <c r="F12" t="inlineStr"/>
      <c r="G12" t="inlineStr"/>
      <c r="H12" t="inlineStr"/>
      <c r="I12"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play a critical role in designing and building scalable machine learning infrastructure that powers our industry\-leading fraud detection products. You will lead the evolution of our model deployment, monitoring, and observability frameworks to ensure high reliability and performance at scale. Collaborating closely with teams across ML Infrastructure, Product, and Engineering, you will deliver robust systems that proactively prevent fraud, safeguarding our users and customers. Your expertise will help shape the long\-term technical vision and strategy of the Fraud Data team, mentoring engineers and driving innovation in ML systems. This role offers the flexibility of remote work and presents an exciting opportunity to work on the largest financial datasets in the world, directly impacting the security and integrity of financial transactions globally.
**Qualifications** 
* 8\+ years of total professional experience in software engineering or data science.
* At least 5 years of experience building and deploying production machine learning systems.
* Proven expertise in machine learning infrastructure and operations.
* Strong technical leadership and architectural vision, with a track record of driving systems from concept to production.
* Proficiency in Python, PyTorch, Spark, SageMaker, Airflow, or equivalent technologies.
* Experience working in fraud detection, risk modeling, or financial security domains (preferred).
* Background in graph machine learning or related advanced techniques (preferred).
**Responsibilities** 
* Design and develop scalable machine learning infrastructure to support Plaid’s fraud detection products.
* Build and maintain reliable ML pipelines, including feature engineering, model training, deployment, and monitoring.
* Solve complex problems at the intersection of ML systems, data management, and system reliability.
* Collaborate with cross\-functional teams including data scientists, engineers, and product managers to deliver high\-quality solutions.
* Lead initiatives to improve model deployment processes, observability, and system scalability.
* Ensure the robustness and security of fraud detection systems on large\-scale financial datasets.
* Mentor junior engineers and contribute to the technical growth of the team.
* Contribute to the long\-term technical strategy and vision for the Fraud Data team.
**Benefits** 
* Competitive salary range of $253,200 \- $400,000 annually.
* Flexible remote work options.
* Comprehensive health, dental, and vision insurance plans.
* Generous paid time off and holiday policies.
* Opportunities for professional development and continuous learning.
* Inclusive and diverse work environment committed to equity and belonging.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legally protected characteristics.</t>
        </is>
      </c>
    </row>
    <row r="13">
      <c r="A13" t="inlineStr">
        <is>
          <t>li-4293940655</t>
        </is>
      </c>
      <c r="B13" t="inlineStr">
        <is>
          <t>Machine Learning Engineer - AI Assistant + Autonomous AI Agents</t>
        </is>
      </c>
      <c r="C13" t="inlineStr">
        <is>
          <t>Glean</t>
        </is>
      </c>
      <c r="D13" t="inlineStr">
        <is>
          <t>linkedin</t>
        </is>
      </c>
      <c r="E13" t="inlineStr"/>
      <c r="F13" t="inlineStr"/>
      <c r="G13" t="inlineStr"/>
      <c r="H13" t="inlineStr"/>
      <c r="I13"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senior engineers who will provide expert\-level individual contributions and thought leadership to help us build the next generation of intelligent enterprise AI assistants and autonomous AI agents. We are reimagining how LLMs and agents can reason, plan, and act to solve complex, multi\-step enterprise workflows. You will work at the intersection of applied research and production engineering in areas such as agentic frameworks, LLM orchestration, low latency LLM inference and optimization, domain adapted and memory augmented LLMs, reinforcement learning, building evaluation frameworks for complex enterprise tasks. We work closely with our customers, deeply understand their pain points, and use the right mix of research\-driven and pragmatic engineering approaches to solve them.
**You Will**
* Build frameworks for LLM\-powered agents to use tools and knowledge sources effectively
* Invent new agentic architectures and signals to improve reasoning, planning, and personalization in workplace AI assistants
* Design and optimize reinforcement learning and fine\-tuning approaches to improve the quality of agentic systems
* Lead development of scalable evaluation, benchmarking, and optimization loops for agents in production
* Drive technical strategy and mentor other engineers, raising the technical bar across the team
* Write robust, maintainable, and well\-tested code that powers enterprise\-grade assistants and agents
**About You**
* 2\+ years as a Staff Engineer, Principal Engineer, or equivalent
* 5\+ years of industry experience in AI or Machine Learning Engineering
* Experience working with agentic frameworks, reinforcement learning, natural language processing, or other large systems involving machine learning
* Proven ability to design, build, and ship production\-ready systems
* Proficiency in your ML framework of choice
* Strong coding skills (Python, Go, Java, C\+\+, ...)
* Thrive in a customer\-focused, tight\-knit and cross\-functional environment \- being a team player and willing to take on whatever is most impactful for the company
* A proactive and positive attitude to lead, learn, troubleshoot, and take ownership of both small tasks and large features
**Location:**
* This role is hybrid (3\-4 days a week in one of our SF Bay Area offices)
**Compensation \&amp; Benefits**
 The standard base salary range for this position is $240,000 \- $300,000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4">
      <c r="A14" t="inlineStr">
        <is>
          <t>li-4328476988</t>
        </is>
      </c>
      <c r="B14" t="inlineStr">
        <is>
          <t>Machine Learning Engineer</t>
        </is>
      </c>
      <c r="C14" t="inlineStr">
        <is>
          <t>Cisco</t>
        </is>
      </c>
      <c r="D14" t="inlineStr">
        <is>
          <t>linkedin</t>
        </is>
      </c>
      <c r="E14" t="inlineStr"/>
      <c r="F14" t="inlineStr"/>
      <c r="G14" t="inlineStr">
        <is>
          <t>Fremont, CA</t>
        </is>
      </c>
      <c r="H14" t="inlineStr"/>
      <c r="I14"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5">
      <c r="A15" t="inlineStr">
        <is>
          <t>li-4328597051</t>
        </is>
      </c>
      <c r="B15" t="inlineStr">
        <is>
          <t>Machine Learning Engineer</t>
        </is>
      </c>
      <c r="C15" t="inlineStr">
        <is>
          <t>Cisco</t>
        </is>
      </c>
      <c r="D15" t="inlineStr">
        <is>
          <t>linkedin</t>
        </is>
      </c>
      <c r="E15" t="inlineStr"/>
      <c r="F15" t="inlineStr"/>
      <c r="G15" t="inlineStr">
        <is>
          <t>Memphis, TN</t>
        </is>
      </c>
      <c r="H15" t="inlineStr"/>
      <c r="I15" t="inlineStr">
        <is>
          <t>**Meet the Team**
 Splunk, a Cisco company, is building a safer, more resilient digital world with an end‑to‑end, full‑stack platform designed for hybrid, multi‑cloud environments.
 The Splunk AI Platform and Services team provides the core runtime and developer experience that power AI across Splunk and Cisco. We manage large\-scale, multi\-tenant LLM inference across major cloud providers and build platform services to support these workloads.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features for GenAI services and APIs that power chat assistants, and automation workflows across Splunk products.
* Help build and maintain RAG pipelines: retrieval orchestration, hybrid search, chunking \&amp; embeddings, and grounding with logs/events/metrics.
* Contribute to agentic and multi\-agent workflows using frameworks like LangChain or LangGraph, integrating with MCP tools, internal APIs, and external systems.
* Develop and refine developer\-facing SDKs, templates, and reference apps (primarily Python/TypeScript) that make it simple for other teams to compose tools, chains, and agents on top of it.
* Integrate with LangSmith or similar eval stacks to instrument prompts, capture traces, and run evaluations under the guidance of more senior engineers and scientists.
* Collaborate with product managers and UX to turn user stories into GenAI experiences, iterate based on feedback, and ship features that move customer and business metrics.
* Apply and advocate responsible AI practices in day\-to\-day work: grounding, guardrails, access controls, and human\-in\-the\-loop flows.
**Minimum Qualifications**
* Bachelor's degree in computer science, Engineering, or equivalent practical experience.
* 5\+ years of hands\-on experience building and operating backend or distributed systems in production or 2\+ years of experience with a Master’s degree
* Proficiency in at least one modern programming language (e.g., Python, TypeScript/JavaScript, Go, or Java) and solid software design/debugging skills.
* Some hands\-on experience with LLM APIs and ecosystems (e.g., OpenAI, Claude, Bedrock, or OSS models such as Llama) and related production features.
* Familiarity with web APIs and microservices (REST/gRPC), including testing, deployment, and basic observability (logs/metrics).
* Demonstrated ability to work end\-to\-end on features: collaborate on design, implement, write tests, help deploy, and iterate based on metrics or feedback.
**Preferred Qualifications**
* Experience or strong interest in RAG systems and vector databases (Weaviate, Qdrant, Milvus, FAISS, etc.).
* Exposure to agentic frameworks (LangChain, LangGraph, LlamaIndex, Semantic Kernel, or similar) and tool/agent orchestration patterns.
* Familiarity with LangSmith or similar evaluation platforms, or experience instrumenting prompts/pipelines for quality and debugging.
* Background contributing to platform or Developer experiences capabilities: internal libraries, SDKs, templates, or shared components that other engineers use.
* Experience with full\-stack development for GenAI interfaces (React/TypeScript), including prompt UX or conversation flows, is a plus.
* Understanding basic AI safety and governance concepts (guardrails, data privacy, RBAC) and how they apply in an enterprise environment.
* Strong communication skills and a growth mindset, comfortable asking questions, giving/receiving feedback, and learning from more senior teammates.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$181,000\.00 to $235,000\.00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
      <c r="A16" t="inlineStr">
        <is>
          <t>li-4345673456</t>
        </is>
      </c>
      <c r="B16" t="inlineStr">
        <is>
          <t>Machine Learning Engineer, AI Early Stage Project</t>
        </is>
      </c>
      <c r="C16" t="inlineStr">
        <is>
          <t>X, The Moonshot Factory</t>
        </is>
      </c>
      <c r="D16" t="inlineStr">
        <is>
          <t>linkedin</t>
        </is>
      </c>
      <c r="E16" t="inlineStr"/>
      <c r="F16" t="inlineStr"/>
      <c r="G16" t="inlineStr">
        <is>
          <t>Mountain View, CA</t>
        </is>
      </c>
      <c r="H16" t="inlineStr"/>
      <c r="I16" t="inlineStr">
        <is>
          <t>**About X**
 X is Alphabet’s moonshot factory with a mission of inventing and launching “moonshot” technologies that could someday make the world a radically better place.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As an innovation engine, X focuses on repeatedly turning breakthrough\-technology ideas into the foundations for large, sustainable businesses.
**About The Team**
 We are an early\-stage project at X working to revolutionize the industrial world by making material transformation intelligent.
 Our mission is to reduce the massive waste in material harvesting and processing. This is a growing sector faced with numerous challenges including resource exhaustion, rising energy costs, and a sizable carbon footprint.
 We are building a system that combines sensing, multimodal AI, agentic digital twins, and advanced physics\-based simulation to automate the continuous optimization of complex industrial processes.
**About The Role**
 We are looking for a Machine Learning Engineer to build out the cognitive engine of our multi\-modal sensemaking platform for the industrial world. In this role, you will solve a massive translation problem by converting the messy, unstructured reality of industrial systems (Piping and ID diagrams, technical manuals, sensor data, and visual feeds) into structured, queryable Process Knowledge Graphs (PKGs).
 You will not just be training models. You will be architecting Agentic RAG workflows where VLMs (Vision\-Language Models) and LLMs reason together to generate digital twins. You will bridge the gap between perception (Computer Vision), real\-time sensing, and reasoning (Graph\-based logic) to create digital value from complex real\-world sources.
**How You Will Make 10x Impact**
* Pioneer Dynamic Knowledge Graph Systems: You will design and implement state\-of\-the\-art systems that extract structured semantic meaning from complex real world environments. You will solve the critical challenge of reconciling disparate data modalities, e.g., physical asset detection, sensor data, quality reporting, leveraging these inputs to build and refine models which simulate physical systems.
* Develop Agentic Reasoning Architectures: You will engineer sophisticated Agentic RAG frameworks where Large Language Models reason over graph structures to perform multi\-step logical deduction. This will enable the system to formulate and solve complex optimization problems.
* Solve High\-Noise Data Challenges: You will tackle the engineering complexity of creating gold standard digital models from noisy real\-world data. You will design resilient data pipelines that handle ambiguity and disparate formats at scale, ensuring reliability across documents, images, and telemetry.
* Accelerate Research\-to\-Production: You will bridge the gap between experimental ML research, partner\-oriented sprints to demonstrate value, and scalable production systems, driving the technical roadmap from initial prototype to deployed pilot.
**What You Should Have**
* Bachelor's degree in Computer Science, AI, Engineering, or equivalent practical experience.
* 3\+ years of experience in software engineering and applied machine learning (Python, PyTorch, or JAX).
* Experience working with Large Language Models (LLMs) and Vision\-Language Models (VLMs) in applied settings, including prompt engineering or fine\-tuning or RAG.
* Strong understanding of Graph data structures, Knowledge Graphs (e.g., Neo4j, NetworkX), or Graph Neural Networks (GNNs), including the handling of unstructured and/or messy real\-world data such as documents, images, videos, scanned diagrams, and sensor feeds.
* Experience implementing LLM\-driven code generation pipelines, specifically utilizing function calling or tool\-use patterns where agents generate and execute code (e.g., Python, SQL, or Cypher) to interact with external environments or data stores.
**It’d Be Great If You Had These**
* Experience with Agentic workflows (e.g., LangChain, AutoGen) where models perform multi\-step reasoning.
* Experience with MLOps best practices, including model deployment, monitoring, and designing pipelines that allow distinct components to interoperate seamlessly.
* Background in Computer Vision and VLMs, specifically object detection or segmentation on technical imagery or diagrams.
* Familiarity with Reinforcement Learning (RL) concepts, particularly as applied to LLM post\-training or optimization problems.
* Demonstrated ability to build self\-correcting agentic loops where models iteratively write, execute, and debug code (e.g., "Code Interpreter" patterns), particularly for generating simulation logic or automating data analysis in scientific/engineering contexts.
* Interest in industrial automation, physics\-based simulation, or AI for Science applications.
* A "0 to 1" mindset with the ability to thrive in ambiguity and define technical roadmaps.
 The US base salary range for this full\-time position is $141,000 \- $200,000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17">
      <c r="A17" t="inlineStr">
        <is>
          <t>li-4321068592</t>
        </is>
      </c>
      <c r="B17" t="inlineStr">
        <is>
          <t>Machine Learning Engineer</t>
        </is>
      </c>
      <c r="C17" t="inlineStr">
        <is>
          <t>TechTree</t>
        </is>
      </c>
      <c r="D17" t="inlineStr">
        <is>
          <t>linkedin</t>
        </is>
      </c>
      <c r="E17" t="inlineStr"/>
      <c r="F17" t="inlineStr"/>
      <c r="G17" t="inlineStr"/>
      <c r="H17" t="inlineStr"/>
      <c r="I17" t="inlineStr">
        <is>
          <t>**About The Company**
 Phia is a fast\-growing shopping platform with 350K\+ users and 90% retention.
**About The Role**
 Design, train, and deploy search, ranking, and personalization systems for a shopping platform with 350K\+ users, processing millions of items daily.
 Join the ML team at Phia to design, train, and deploy the search, ranking, and personalization systems that power a fast\-growing shopping platform with 350K\+ users and 90% retention. You’ll work with large\-scale data and build models that process hundreds of millions of items daily, collaborating with experienced engineers from companies like Pinterest and Amazon. Your work will have direct impact—users depend on search accuracy to trust and continue using the platform. This position is open to fully remote candidates.
**Requirements**
* 3\+ years of professional experience building and deploying ML models in production
* Hands\-on experience with ranking, personalization, or recommendation systems
* Backend integration experience with GraphQL, Prisma, Node.js, Python, and gRPC/Protobuf
* Based in New York or remote in San Francisco
* Comfortable with fast\-paced startup work
* Ideal candidates currently working in companies with search or recommendation services (e.g. DoorDash, Etsy, etc.)
**Required Skills**
* PyTorch
* large\-scale data processing
* real\-time inference
* GraphQL
* Prisma
* Node.js
* Python
* gRPC/Protobuf
**Benefits**
* $190K–$260K base salary \+ competitive equity
* Direct impact on a core product with a massive user base and high retention
* Collaborate with elite engineers from top consumer tech companies
* Fast\-paced environment with rapid iteration and experimentation
* Opportunity to shape the ML search and personalization strategy from the ground up
**Team members**
* experienced engineers from companies like Pinterest and Amazon
**Salary:** 
 190000 \- 260000 USD
**Equity:** 
 equity, Competitive equity</t>
        </is>
      </c>
    </row>
    <row r="18">
      <c r="A18" t="inlineStr">
        <is>
          <t>li-4313804537</t>
        </is>
      </c>
      <c r="B18" t="inlineStr">
        <is>
          <t>Machine Learning Engineer, Integrity</t>
        </is>
      </c>
      <c r="C18" t="inlineStr">
        <is>
          <t>OpenAI</t>
        </is>
      </c>
      <c r="D18" t="inlineStr">
        <is>
          <t>linkedin</t>
        </is>
      </c>
      <c r="E18" t="inlineStr"/>
      <c r="F18" t="inlineStr"/>
      <c r="G18" t="inlineStr">
        <is>
          <t>San Francisco, CA</t>
        </is>
      </c>
      <c r="H18" t="inlineStr"/>
      <c r="I18" t="inlineStr">
        <is>
          <t>**About The Team**
 The Integrity team at OpenAI is dedicated to ensuring that our cutting\-edge technology is not only revolutionary, but also secure from a myriad of adversarial threats. We strive to maintain the integrity of our platforms as they scale.
 The Integrity team is at the front lines of defending against financial abuse, scaled attacks, and other forms of misuse that could undermine the user experience or harm our operational stability.
**About The Role**
 As a Machine Learning Engineer in OpenAI's Applied Group, you will have the opportunity to work with some of the brightest minds in AI. You'll contribute to deploying state\-of\-the\-art models in production environments, helping turn research breakthroughs into tangible solutions that improve the trust and safety of our platform. If you're excited about fine tuning LLMs and building ML models this role is your chance to make a significant mark.
**In This Role, You Will**
* Innovate and Deploy: Design and deploy advanced machine learning models that solve real\-world problems. Bring OpenAI's research from concept to implementation, creating AI\-driven applications with a direct impact.
* Collaborate with the Best: Work closely with researchers, software engineers, and product managers to understand complex business challenges and deliver AI\-powered solutions. Be part of a dynamic team where ideas flow freely and creativity thrives.
* Optimize and Scale: Implement scalable data pipelines, optimize models for performance and accuracy, and ensure they are production\-ready. Contribute to projects that require cutting\-edge technology and innovative approaches.
* Learn and Lead: Stay ahead of the curve by engaging with the latest developments in machine learning and AI. Take part in code reviews, share knowledge, and lead by example to maintain high\-quality engineering practices.
* Make a Difference: Monitor and maintain deployed models to ensure they continue delivering value. Your work will directly influence how AI benefits individuals, businesses, and society at large.
**You Might Thrive In This Role If You**
* Master's/ PhD degree in Computer Science, Machine Learning, Data Science, or a related field.
* Demonstrated experience in deep learning and transformers models
* Proficiency in frameworks like PyTorch or Tensorflow
* Strong foundation in data structures, algorithms, and software engineering principles.
* Experience with search relevance, ads ranking or LLMs is a plus.
* Are familiar with methods of training and fine\-tuning large language models, such as distillation, supervised fine\-tuning, and policy optimization
* Excellent problem\-solving and analytical skills, with a proactive approach to challenges.
* Ability to work collaboratively with cross\-functional teams.
* Ability to move fast in an environment where things are sometimes loosely defined and may have competing priorities or deadlines
* Enjoy owning the problems end\-to\-end, and are willing to pick up whatever knowledge you're missing to get the job done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$250K \- $555K</t>
        </is>
      </c>
    </row>
    <row r="19">
      <c r="A19" t="inlineStr">
        <is>
          <t>li-4316062300</t>
        </is>
      </c>
      <c r="B19" t="inlineStr">
        <is>
          <t>Machine Learning Engineer - Data Foundation and AI</t>
        </is>
      </c>
      <c r="C19" t="inlineStr">
        <is>
          <t>Plaid</t>
        </is>
      </c>
      <c r="D19" t="inlineStr">
        <is>
          <t>linkedin</t>
        </is>
      </c>
      <c r="E19" t="inlineStr"/>
      <c r="F19" t="inlineStr"/>
      <c r="G19" t="inlineStr">
        <is>
          <t>New York, NY</t>
        </is>
      </c>
      <c r="H19" t="inlineStr"/>
      <c r="I1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Foundation \&amp; AI team builds advanced ML/AI models and applications that enable product teams to deliver intelligence at scale. We design infrastructure and abstractions that make AI development faster, more reliable, and more impactful. From embeddings and representation learning to applied AI systems, our work provides the building blocks for the next generation of financial services on Plaid.
 You’ll be a machine learning engineer on the Data Foundation \&amp; AI team. In this role, you will design, build, and scale advanced ML/AI systems that power Plaid products and applications. Your work may span developing reliable distributed training and serving systems, improving ML operations at scale, and building AI\-powered applications that enable new product experiences.
**Responsibilities**
* Building and scaling advanced ML/AI systems that power core Plaid products and applications used by millions of consumers.
* Driving impact at scale by improving distributed training, serving, and ML operations to make Plaid’s AI capabilities faster, more reliable, and more widely available.
* Developing new AI applications that enable innovative product experiences across fintech.
* Tackling 0 to 1 problems where you explore new approaches, as well as scaling 1 to 10 systems for reliability and efficiency.
* Collaborating with some of the strongest MLEs at Plaid in a high\-ownership, bottom\-up driven team.
* Experimenting with cutting\-edge ML and AI techniques while balancing practical productionization and measurable business impact.
**Qualifications**
* 1\-3 years of experience training, deploying, and scaling ML/AI models in production environments.
* Strong experience with distributed systems and ML operations — from large\-scale training to low\-latency serving and monitoring.
* Proficiency in Python and modern ML frameworks (e.g., PyTorch), with the ability to implement and optimize complex models.
* Hands\-on experience building or scaling ML/AI infrastructure, pipelines, or reusable platforms that support multiple teams.
* Curiosity and drive to experiment with advanced AI techniques (e.g., embeddings, retrieval, generative modeling) while staying grounded in production impact.
* Experience applying ML/AI in fintech or similarly regulated industries is a plus.
* Ability to thrive in a collaborative environment, working with both technical and non\-technical partners to drive measurable outcomes.
 $186,000 \- $236,400 a year
 The target base salary for this position ranges from $186,000/year to $236,400/year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0">
      <c r="A20" t="inlineStr">
        <is>
          <t>li-4332598904</t>
        </is>
      </c>
      <c r="B20" t="inlineStr">
        <is>
          <t>Machine Learning Engineer</t>
        </is>
      </c>
      <c r="C20" t="inlineStr">
        <is>
          <t>Hirenza</t>
        </is>
      </c>
      <c r="D20" t="inlineStr">
        <is>
          <t>linkedin</t>
        </is>
      </c>
      <c r="E20" t="inlineStr"/>
      <c r="F20" t="inlineStr"/>
      <c r="G20" t="inlineStr"/>
      <c r="H20" t="inlineStr"/>
      <c r="I20" t="inlineStr">
        <is>
          <t>**About The Company**
 Capital One is a leading diversified financial services company that specializes in credit cards, auto loans, banking, and savings products. Renowned for its innovative approach to banking and financial technology, Capital One leverages cutting\-edge data analytics and machine learning to deliver personalized customer experiences and efficient financial solutions. With a strong commitment to diversity, inclusion, and community engagement, the company fosters a dynamic work environment that encourages continuous learning and professional growth. Capital One's mission is to change banking for good by harnessing the power of technology to make financial services more accessible, transparent, and beneficial for its customers worldwide.
**About The Role**
 The Lead Machine Learning Engineer at Capital One plays a pivotal role in transforming data\-driven insights into scalable, production\-ready machine learning solutions. As part of an Agile team, you will be responsible for designing, developing, and deploying advanced machine learning applications that solve complex business problems across various domains. Your expertise will guide the architectural decisions for ML systems, ensuring high availability, robustness, and performance. This role offers a unique opportunity to work at the forefront of AI innovation, applying the latest industry practices and emerging technologies to develop models that impact millions of customers. You will collaborate closely with cross\-functional teams including Data Science, Data Engineering, and Product Management, to deliver impactful solutions that drive business growth and operational efficiency.
**Qualifications**
 The ideal candidate will possess a strong educational background and significant hands\-on experience in machine learning and data engineering. A Bachelor's degree in Computer Science, Electrical Engineering, Mathematics, or a related field is required; a Master’s or Doctoral degree is preferred. Candidates should have at least six years of experience designing and building data\-intensive solutions utilizing distributed computing frameworks. Proficiency in programming languages such as Python, Scala, or Java is essential, with a minimum of four years of experience in these languages. Additionally, candidates should have at least two years of experience in building, scaling, and optimizing machine learning systems. Industry\-recognized ML frameworks like TensorFlow, PyTorch, scikit\-learn, or Spark are highly desirable. Leadership experience, especially in developing and deploying ML solutions in cloud environments such as AWS, Azure, or Google Cloud, will be considered a strong advantage.
**Responsibilities**
* Design, develop, and deliver machine learning models and components that address real\-world business challenges, working collaboratively with Product and Data Science teams.
* Make informed decisions regarding ML infrastructure, including model selection, feature engineering, hyperparameter tuning, and validation techniques, based on a solid understanding of ML modeling principles.
* Write, test, and maintain application code to automate model training, deployment, and monitoring processes, ensuring robustness and scalability.
* Collaborate within Agile teams to develop software that supports advanced big data and ML applications, fostering continuous improvement and innovation.
* Monitor, retrain, and maintain models in production environments to ensure ongoing accuracy and relevance.
* Leverage cloud\-based architectures and platforms to deploy ML models at scale, optimizing performance and resource utilization.
* Construct and optimize data pipelines that efficiently feed ML models, ensuring data quality and consistency.
* Implement CI/CD best practices, including automated testing and deployment, to streamline model and application releases.
* Maintain code quality and security standards, ensuring models adhere to governance, risk management, and responsible AI practices.
* Utilize programming languages such as Python, Scala, or Java to develop scalable ML solutions, and contribute to open\-source projects or industry publications to share knowledge and innovations.
**Benefits**
 Capital One offers a comprehensive benefits package designed to support the health, financial well\-being, and personal development of its employees. Benefits include competitive health insurance plans, retirement savings options, paid time off, and wellness programs. The company also provides opportunities for professional growth through training, certifications, and participation in industry conferences. Employees have access to a flexible work environment, including remote work arrangements where applicable. Capital One emphasizes diversity and inclusion, fostering a workplace where all employees can thrive. Additionally, the company offers performance\-based incentives, including bonuses and long\-term incentives, to recognize and reward contributions to the organization’s success.
 Equal Opportunity
 Capital One is an equal opportunity employer committed to fostering an inclusive environment for all employees and applicants. The company does not discriminate based on race, color, religion, sex, national origin, age, disability, veteran status, or any other protected characteristic under applicable law. Capital One values diversity and is dedicated to creating a workplace where everyone can succeed. The company complies with all relevant federal, state, and local laws regarding equal employment opportunity and anti\-discrimination policies. Applicants with criminal histories will be considered in accordance with applicable laws and regulations, ensuring fair and equitable treatment throughout the hiring process.</t>
        </is>
      </c>
    </row>
    <row r="21">
      <c r="A21" t="inlineStr">
        <is>
          <t>li-4352704021</t>
        </is>
      </c>
      <c r="B21" t="inlineStr">
        <is>
          <t>Machine Learning Engineer - Autonomy</t>
        </is>
      </c>
      <c r="C21" t="inlineStr">
        <is>
          <t>Wayve</t>
        </is>
      </c>
      <c r="D21" t="inlineStr">
        <is>
          <t>linkedin</t>
        </is>
      </c>
      <c r="E21" t="inlineStr"/>
      <c r="F21" t="inlineStr"/>
      <c r="G21" t="inlineStr">
        <is>
          <t>Sunnyvale, CA</t>
        </is>
      </c>
      <c r="H21" t="inlineStr"/>
      <c r="I21"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We're looking for leaders who can foster innovation, drive strategic initiatives, and steer teams towards achieving breakthroughs in data centric AI.
 This role will sit in our Embodied AI division which consists of modelling, robotics, data and detectives teams working together to deliver an Autonomous Driving product.
 We are looking for an experienced Machine Learning Engineer to help us in our journey to scale end\-to\-end neural networks for autonomous driving. You’ll be working across our embodied AI org team to build, integrate, test and scale algorithms, tools, and machine learning solutions for autonomous driving.
**Challenges you will own**
* Technical leadership of at least one company wide program
* Developing and implementing machine learning models and robotics systems to enhance the capabilities of our Autonomous Vehicle stack.
* Collaborating with cross\-functional teams to contribute to the broader company strategy and roadmap, focusing on machine learning applications.
* Enhancing skills and knowledge in machine learning through continuous learning and application, while contributing to the growth and mentorship of junior engineers.
* Allocating personal bandwidth and technical resources effectively to meet both project requirements and personal professional development needs.
* Working with leadership and other teams to foster a culture that promotes collaboration, high impact, innovation, and a healthy work environment.
* Evaluating project decisions and outcomes, identifying dependencies, and analysing risks associated with machine learning deployments.
* Troubleshooting and optimising machine learning models and systems \- identify potential issues, challenge existing assumptions, introduce innovative solutions, and implement feedback loops to enhance model performance.
**About you**
**Essential**
* 7\+ years of software and machine learning engineering experience in an industrial or applied research environment
* Good insight into the practical aspects of training, validation, testing and metrics for deep learning features/models
* Passion to work in a team on research ideas that have real product impact
* A good grasp of machine learning literature, ideally published
* Comfortable working with large quantities of image and video data
* BSc above in Machine Learning, Computer Science, Engineering, or a related technical discipline or equivalent experience
**Desirable**
* Strong software engineering experience in Python and other relevant languages (e.g. C\+\+ and CUDA)
* Direct experience working in at least one of computer vision, robotics, simulation, graphics, or large language models.
* MS, or above in Machine Learning, Computer Science, Engineering, or a related technical discipline or equivalent experience
**What we offer you**
* The chance to be part of a truly mission driven organisation and an opportunity to shape the future of autonomous driving. Unlike our competitors, Wayve is still relatively small and nimble, giving you the chance to make a huge impact
* Competitive compensation and benefits
* A dynamic and fast\-paced work environment in which you will grow every day \- learning on the job, from the brightest minds in our space, and with support for more formal learning opportunities too
* A culture that is ego\-free, respectful and welcoming (of you and your dog) \- we even eat lunch together every day
* Benefits such as an onsite chef, workplace nursery scheme, private health insurance, cycle scheme, therapy, yoga, two onsite bars, large social budgets
* At Wayve we want the best of all worlds so we operate a hybrid working policy that combines time together in our offices and workshops to fuel innovation, culture, relationships and learning, and time spent working from home. We also operate core working hours so you can be where you need to be for family and loved ones too. Teams determine the routines that work best for them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22">
      <c r="A22" t="inlineStr">
        <is>
          <t>li-4349469095</t>
        </is>
      </c>
      <c r="B22" t="inlineStr">
        <is>
          <t>Machine Learning Engineer</t>
        </is>
      </c>
      <c r="C22" t="inlineStr">
        <is>
          <t>Cubiq Recruitment</t>
        </is>
      </c>
      <c r="D22" t="inlineStr">
        <is>
          <t>linkedin</t>
        </is>
      </c>
      <c r="E22" t="inlineStr"/>
      <c r="F22" t="inlineStr"/>
      <c r="G22" t="inlineStr"/>
      <c r="H22" t="inlineStr"/>
      <c r="I22" t="inlineStr">
        <is>
          <t>I'm working with a pioneering robotics company developing
 **intelligent in\-home robots** 
 capable of performing complex manipulation tasks
 The team is looking for a Machine Learning Researcher to work across the full ML and robotics stack to develop models, algorithms, and systems that enable autonomous operation in complex home environments.
**What You’ll Be Doing:** 
 • Training, deploying, and maintaining manipulation models on physical systems
 • Building autonomy stacks using imitation learning, RL, and VLA approaches
 • Developing robust teleoperation and data collection frameworks
 • Extending state\-of\-the\-art robotics research and adapting it for real\-world use
 • Iterating hands\-on with real robots in the San Francisco lab
 • Collaborating with a highly skilled, design\-conscious engineering team
**What We’re Looking For:** 
 • PhD (or near completion) in Robotics, Machine Learning, or related field
 • Strong publication record (NeurIPS, ICRA, RSS, CoRL, T\-RO, etc.)
 • Expertise in robot learning \- imitation learning, RL, or classical control
 • Experience deploying models on real\-world robotic systems
 • Ability to lead independent research and thrive in fast\-paced environments
 • Excellent communication skills and collaborative mindset</t>
        </is>
      </c>
    </row>
    <row r="23">
      <c r="A23" t="inlineStr">
        <is>
          <t>li-4282877162</t>
        </is>
      </c>
      <c r="B23" t="inlineStr">
        <is>
          <t>Machine Learning Engineer, Ads</t>
        </is>
      </c>
      <c r="C23" t="inlineStr">
        <is>
          <t>Reddit, Inc.</t>
        </is>
      </c>
      <c r="D23" t="inlineStr">
        <is>
          <t>linkedin</t>
        </is>
      </c>
      <c r="E23" t="inlineStr"/>
      <c r="F23" t="inlineStr"/>
      <c r="G23" t="inlineStr"/>
      <c r="H23" t="inlineStr"/>
      <c r="I2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We’re evolving and continuing our mission to bring community, belonging, and empowerment to everyone in the world. Providing a delightful and relevant experience to our users applies to our Ads like all of our offerings, and we’re excited to build a product that is best\-in\-class for our users and advertisers. The year ahead is a busy one!
 Team Description
 Reddit is poised to rapidly innovate and grow like no other time in its history. We’re currently hiring across multiple teams including: Ads Measurement Modeling, Ads Targeting \&amp; Retrieval, Advertiser Optimization and Ads Marketplace Teams.
**Ads Measurement Modeling Team**
 This horizontal ML team in the Ads Measurement org works on proving the value of Reddit Ads to advertisers while ensuring privacy compliance. Their projects address challenges in signals, privacy, and identity, including Modeled Identity, Modeled Conversions, and enhancements for ATT opt\-out utility.
**Ads Targeting and Retrieval Team**
 This team designs and builds large\-scale ML systems to improve targeting products. Their work spans offline and online retrieval systems that enhance contextual and behavioral targeting, helping advertisers reach the most relevant audiences.
**Advertiser Optimization Team**
 This group consists of two horizontal teams focused on advertiser outcomes. The Recommendations and Forecasting team builds ML\-driven tools for advertisers and sales, while the Bidding/Pacing team develops algorithms and customer\-facing products like TCPA, TROAS, and performance advertising solutions. They work on marketplace dynamics, bidding and pacing innovations, and new advertiser tools.
**Ads Marketplace Quality Team**
 This team improves the efficiency of Reddit’s ads marketplace by developing algorithms for auction and pricing optimization, directly impacting advertiser and user value. They also contribute to strategic initiatives such as supply optimization and ad relevance, with the goal of showing the right ads to the right users at the right time and in the right context.
**The Ads Creative Effectiveness Team**
 This team is a newly formed group aimed at improving ad creative at Reddit through generative and predictive products. We train, adapt and finetune LLMs/VLMs to help advertisers make impactful images, videos and text. We build performance predictors to understand and rank ad components, ensuring the advertiser ships the best possible campaigns. We construct insight and recommendation engines to guide advertisers towards best practices and key enhancements, distilling knowledge about what works at Reddit to supercharge their performance.This team is at the heart of Reddit’s creative strategy, a core priority for the organization.
 Role Description
 Join the Ads team as a
 **Machine Learning Engineer** 
 and become a key contributor to Reddit’s business. In this hands\-on role, you will be responsible for the full lifecycle of our ML systems, from initial research and modeling to deployment and optimization in production. Your work will directly impact how we deliver relevant ads and drive value for our advertisers across areas like
 **ad ranking, bidding, measurement, and optimization** 
 .
**Responsibilities**
* Design, build, and deploy industrial\-level machine learning models to solve critical problems in ad ranking, bidding, and optimization.
* Take full ownership of the ML lifecycle, from ideation and research to building scalable serving systems and maintaining models in production.
* Perform systematic feature engineering to transform raw, diverse data into high\-quality features that drive model performance.
* Work closely with product managers, data scientists, and engineers to translate business challenges into effective ML solutions.
* Improve the reliability and stability of our ML systems by building robust monitoring, alerting, and automated retraining pipelines.
* Research new algorithms, stay up\-to\-date with state\-of\-the\-art ML techniques, and contribute to the team’s strategy and roadmap.
**Required Qualifications**
* At least 3\+ years of end\-to\-end experience in training, evaluating, and deploying machine learning models in a production environment.
* Proficient in one or more general\-purpose programming languages (e.g., Python, Scala) and have a solid understanding of software development best practices.
* Hands\-on experience with a major machine learning framework (e.g., TensorFlow, PyTorch) and a deep understanding of core ML concepts and algorithms.
* Proven ability to work effectively with cross\-functional teams, including product managers and data scientists, to translate business needs into technical solutions.
* Track record of using machine learning to drive key performance indicator (KPI) wins and solve complex, real\-world problems.
**Bonus Points**
* Experience working in the Ads domain
* Experience or interest in the advertising business and understanding customer needs
* An advanced degree (MS/PhD) in a quantitative field.
* Familiarity with distributed systems and large\-scale data processing technologies (e.g., Spark, Kafka).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$185,800—$260,100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4">
      <c r="A24" t="inlineStr">
        <is>
          <t>li-4345644127</t>
        </is>
      </c>
      <c r="B24" t="inlineStr">
        <is>
          <t>AI/ML Engineer</t>
        </is>
      </c>
      <c r="C24" t="inlineStr">
        <is>
          <t>General Motors</t>
        </is>
      </c>
      <c r="D24" t="inlineStr">
        <is>
          <t>linkedin</t>
        </is>
      </c>
      <c r="E24" t="inlineStr"/>
      <c r="F24" t="inlineStr"/>
      <c r="G24" t="inlineStr"/>
      <c r="H24" t="inlineStr"/>
      <c r="I24" t="inlineStr">
        <is>
          <t>**Job Description**
*Remote: This role is based remotely but if you live within a 50\-mile radius of Mountain View, you are expected to report to that location three times a week, at minimum.*
**The Role:**
 We are seeking an experienced Senior Full Stack Engineer with a strong ability to execute hands\-on technical work. The AI Lifecycle Team provides the UX backbone and visualization products that Machine Learning Engineers use to shepherd their ideas from data collection to model deployment in the AV. We enable MLEs at GM to Run and debug ML pipelines, Initiate data collection, Manage model training, Evaluate model performance, Deploy models to the AV. As a Senior Full Stack Engineer, you will collaborate closely with machine learning engineers, research scientists, and other partners to develop state\-of\-the\-art AI solutions that enable the future of intelligent driving technologies across General Motors vehicles.
**What You’ll Do:**
* Build UX experiences and agentic workflows to improve MLE workflows and productivity
* Build backend integrations to provide unified experience across ML lifecycle
* Raise the bar on system observability, debuggability, and operational excellence, and user experience.
* Own and drive the design and architecture across the ecosystem that meets security and compliance standards
* Establish consistent metrics to measure platform performance \&amp; health and create the roadmap for scale, reliability, low latency and speed of development and deployment
* Partner with cross functional teams to understand requirements to design, architect and build framework of UX and backend integrations. Partner with engineering teams to ensure seamless end\-to\-end flow and data quality
* Work across the project lifecycle: requirements, design, prototype, implementation, review, release, monitoring
* Review and approve technical design documents and pull requests. Improve and enhance engineering systems documentation and development processes
* Identify and pursue new paths of inquiry, innovation and challenge status quo
* Develop and nurture technical talent within the team and recruiting
**Your Skills \&amp; Abilities (Required Qualifications)**
* At least 7\+ years of experience building production\-level frontend applications using React, Angular, WebGL or similar frameworks
* Strong understanding of JavaScript/TypeScript and dynamic frontend fundamentals
* Experience building, deploying, and operating high\-availability services
* Led large technical initiatives from idea to operationalization and continuous evolution of technical solution to enable new business capabilities and improve efficiencies
* Ability to identify broad challenges (technical, functional, business challenges) worth tackling, and parse them into initiatives within and across engineering teams
* Experience creating ground up enterprise architecture, systems architecture, integration architecture standards, frameworks, and practices
* Programming experience in Python, Java, Go
* Experience working with cloud infrastructure, automations, configuration management, artifact management and building advanced CI/CD solutions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$119,500 to $220,500\.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5">
      <c r="A25" t="inlineStr">
        <is>
          <t>li-4318534690</t>
        </is>
      </c>
      <c r="B25" t="inlineStr">
        <is>
          <t>AI Engineer</t>
        </is>
      </c>
      <c r="C25" t="inlineStr">
        <is>
          <t>Comulate</t>
        </is>
      </c>
      <c r="D25" t="inlineStr">
        <is>
          <t>linkedin</t>
        </is>
      </c>
      <c r="E25" t="inlineStr"/>
      <c r="F25" t="inlineStr"/>
      <c r="G25" t="inlineStr">
        <is>
          <t>San Francisco, CA</t>
        </is>
      </c>
      <c r="H25" t="inlineStr"/>
      <c r="I25" t="inlineStr">
        <is>
          <t>At Comulate, we’re transforming the insurance back office with AI. Our platform, which reinvents expensive and time\-consuming accounting processes, is the first step in our vision to unlock the hundreds of billions of dollars spent on manual insurance operations.
 Our Series B, announced in early 2025, led by BOND \&amp; Workday, comes on the heels of record growth and accelerating expansion plans.
 Why you should consider joining
* Record\-setting growth, having gone from zero to 8\-figure ARR within three years of founding, representing 95th\+ percentile company growth among startups that achieve these milestones
* Strong product market fit revealed in growth and through customer love, with users describing the platform as “the best thing since sliced bread” and "life\-changing"
* Our lean, talented team is creating category\-defining products for large public and private enterprises, driving 7\-figure ROI and cash\-flow positive operations, providing the best of both worlds: outsized employee ownership and low company risk
* We're continuing to take big, ambitious first\-to\-market bets for a highly committed customer base and an exciting pipeline of new customers
* We’re in the early innings of our vision and poised to take advantage of the massive opportunity to deploy AI into core workflows throughout the insurance industry
**About The Role**
 Insurance is buried in unstructured data across documents, emails, and disparate systems. LLMs have turned this into an opportunity. We’re hiring an
 **AI Engineer** 
 to seize it by building game\-changing products.
 Who you are
* 4\+ years of experience in data science or ML/data/software engineering
* Understanding of LLM best practices across evals, RAG, fine\-tuning, and observability
* Familiarity with AI frameworks (e.g. LangChain, LlamaIndex, or similar)
* Experience releasing and maintaining production systems
* Proficiency with SQL and relational databases
* Comfortable with handling ambiguity and working in a self\-directed manner
* Curiosity about different industries and the data \+ business context within them
**Projects you might work on**
* Copilot agent to augment \+ automate natural language\-based workflows
* System to extract structured data from millions of complex, varied documents (see our early work on this here)
* Leveraging the latest advancements in browser agents to generically automate repetitive tasks for users
*For more details, see* 
*this article* 
*encapsulating the role of an AI engineer.*
 Our team \&amp; philosophy
 We’re backed by BOND, Spark Capital, Neo, and Workday, as well as founders/executives from Brex, Asana, Plaid, Applied Intuition, Coalition, and more.
 Our team hails from companies like Airbnb, Google, Brex, and LiveRamp and we’re fairly low\-profile: focusing the majority of our energy on delivering for customers and building a category\-defining company.
 We’re hiring predominantly in San Francisco 🌁, as we believe in\-person collaboration is strategically important for a company at our stage — both for velocity and company culture.
**Benefits**
* Competitive base salary and generous equity
* Generous medical, dental, and vision benefits
* 401K plan enrollment
* Flexible time\-off policy
* Lunch \&amp; dinner every day
* Paid parental leave
* Company outings and offsites
* (and more benefits as we grow!)
*Comulate is proud to be an equal opportunity employer. We are committed to building a diverse and inclusive culture that celebrates authenticity. We do not discriminate on the basis of race, religion, color, national origin, gender, gender identity, sexual orientation, age, marital status, disability, protected veteran status, or any other legally protected characteristics.*
 Compensation Range: $160K \- $240K</t>
        </is>
      </c>
    </row>
    <row r="26">
      <c r="A26" t="inlineStr">
        <is>
          <t>li-4334758069</t>
        </is>
      </c>
      <c r="B26" t="inlineStr">
        <is>
          <t>AI/ML Engineer</t>
        </is>
      </c>
      <c r="C26" t="inlineStr">
        <is>
          <t>fullthrottle.ai®</t>
        </is>
      </c>
      <c r="D26" t="inlineStr">
        <is>
          <t>linkedin</t>
        </is>
      </c>
      <c r="E26" t="inlineStr"/>
      <c r="F26" t="inlineStr"/>
      <c r="G26" t="inlineStr"/>
      <c r="H26" t="inlineStr"/>
      <c r="I26" t="inlineStr">
        <is>
          <t>AI/ML Engineer, Fullthrottle.ai
 We are Fullthrottle.ai, a forward\-thinking SaaS company that’s all about helping businesses accelerate their growth with cutting\-edge AI technology. As a startup, we've got a "go get 'em" mentality, and we're looking for like\-minded people who want to build something incredible. We operate as a distributed, fully remote team and follow an Agile/Scrum framework to stay nimble and get things done.
 The Role
 As our AI/ML Engineer, you will develop, deploy, and optimize AI services, multi\-agent systems, and AI/ML models, focusing on delivering model quality, consistency, and performance across the Fullthrottle,ai platform. You’ll work hands\-on within the AWS AI toolset, AWS Bedrock, the latest agentic AI frameworks, Retrieval\-Augmented Generation (RAG) pipelines, and AWS AI services to drive innovation and reliability in our AI solutions.
 You will play a pivotal role in implementing AI features, multi\-agent orchestration, designing prompt engineering workflows, Machine Learning features, fine\-tuning foundation models, and integrating robust guardrails for compliance and quality.
 Key Responsibilities
* AI Features: Develop and deliver our platform’s AI Features via AWS Cloud AI functions and services.
* Multi\-Agent Orchestration: Implement multi\-agent orchestration using agentic AI frameworks.
* RAG Pipeline Development: Build and optimize Retrieval\-Augmented Generation (RAG) pipelines for scalable, high\-quality outputs.
* Prompt Engineering: Design prompt engineering workflows to ensure consistent and reliable model outputs.
* Model Evaluation \&amp; Tuning: Evaluate and fine\-tune Bedrock foundation models (Claude, Titan, etc.) for optimal performance.
* Compliance \&amp; Guardrails: Integrate model guardrails to ensure compliance and maintain high standards of quality and reliability.
**Required Qualifications**
* Experience: Minimum 2\+ years of hands\-on experience developing and deploying AI/ML services in production environments.
* Technical Expertise: Expert\-level Python and AWS SDK (boto3\) skills.
* AWS AI Services: Hands\-on experience with Bedrock, Knowledge Bases, and SageMaker.
* Production AI Deployment: Proven experience deploying AI features/services and ML models to production environments.
* Debugging \&amp; Optimization: Strong debugging, data engineering, and prompt optimization skills.
* Education/Certifications: Bachelor’s degree in Computer Science, Data Science, or a related field. Relevant certifications in AI/ML or AWS are a plus.
* Collaboration: Ability to work effectively in cross\-functional teams and communicate technical concepts to non\-technical stakeholders.
 You're Not a Fit If...
* You haven’t previously developed and deployed AI/ML services in production environments.
* You prefer a slow\-moving environment and are not comfortable with the pace of a startup.
* You prefer to react to problems rather than plan ahead strategically.
* You do not want to be hands\-on with the technical details of the role.
 Our Core Principles
* We're a team that believes in big ideas and fast execution, adopting a "crawl, walk, run" approach to innovation. We're looking for someone who embodies these principles:
* Customer Centricity: We always put our customers first.
* Growth Mindset: We are constantly learning and evolving.
* Accountability \&amp; Integrity: We take ownership and act with honesty.
* Collaboration \&amp; Humility: We work together and value every voice.
* Open Communication: We believe in transparency and direct feedback.
 If you are a proactive AI engineer with a passion for building and optimizing advanced AI/ML systems, we want to hear from you. This is an opportunity to make a real impact at a dynamic and growing company.</t>
        </is>
      </c>
    </row>
    <row r="27">
      <c r="A27" t="inlineStr">
        <is>
          <t>li-4352553460</t>
        </is>
      </c>
      <c r="B27" t="inlineStr">
        <is>
          <t>Lead Machine Learning Engineer</t>
        </is>
      </c>
      <c r="C27" t="inlineStr">
        <is>
          <t>ChatGPT Jobs</t>
        </is>
      </c>
      <c r="D27" t="inlineStr">
        <is>
          <t>linkedin</t>
        </is>
      </c>
      <c r="E27" t="inlineStr"/>
      <c r="F27" t="inlineStr"/>
      <c r="G27" t="inlineStr"/>
      <c r="H27" t="inlineStr"/>
      <c r="I27" t="inlineStr">
        <is>
          <t>**Job Description**
 Lead Machine Learning Engineer
**Company:** 
 Interos Inc.
**Location:** 
 Remote, US
* Remote
**Salary:** 
 $200K \- $240K/yr
**Type:** 
 Full\-time
**Benefits:** 
 Medical, Dental, Vision, Retirement
**About interos.ai:** 
 Interos is the supply chain risk intelligence company – building the most trusted and transparent supply chains in the world.
**About the role:** 
 Seeking an experienced Senior Principal/Principal Machine Learning Engineer who will serve as a technical architect for our ML team.
**What You Will Do**
* Develop AI\-powered agents that integrate deeply into Interos.ai product experience
* Evaluate, select, and integrate AI tools, frameworks, and platforms to ensure scalability, efficiency, and compliance
* Define best practices for agent design, security, and governance in AI\-driven enterprise applications.
* Work with product, engineering, and data science teams to design and implement AI\-based automation solutions.
* Establish monitoring, feedback loops, and continuous learning mechanisms to improve agent performance over time.
**What You Bring**
* 8\+ years of experience in Software development.
* 5\+ years of experience in AI, machine learning, with a focus on enterprise applications.
* Deep understanding of LLMs, AI agents, and orchestration frameworks (e.g., LangGraph)
* Experience with enterprise\-grade AI architectures, API integration, and large\-scale automation.
* Proficiency in Python, cloud services (AWS), and AI model deployment.
* Experience in data privacy, security, and compliance for AI in enterprise environments
* Experience in Data lakes such as Snowflake and Databricks.
**Bonus Points For**
* Masters/Doctorate degree in a relevant field, such as Computer Science, Mathematics, or Engineering.
* Hands\-on experience with vector databases, retrieval\-augmented generation (RAG), and fine\-tuning LLMs.
**What We Offer**
* Comprehensive health, dental \&amp; vision insurance
* 401(k) with employer match
* Flexible Time Off (FTO) \+ 10 paid holidays
* Career growth opportunities in a fast\-scaling company
**Compensation**
* Base Salary Range: $200,000 \- $240,000 USD (depending on experience and location)
* Variable Compensation: Performance\-based annual bonus
* Equity: Stock options included as part of total compensation package
**Work Environment, Location and Travel:** 
 Remote\-first role open to candidates legally authorized to work in the United States. Minimal travel may be required.</t>
        </is>
      </c>
    </row>
    <row r="28">
      <c r="A28" t="inlineStr">
        <is>
          <t>li-4352674199</t>
        </is>
      </c>
      <c r="B28" t="inlineStr">
        <is>
          <t>Senior Machine Learning Engineer</t>
        </is>
      </c>
      <c r="C28" t="inlineStr">
        <is>
          <t>SoTalent</t>
        </is>
      </c>
      <c r="D28" t="inlineStr">
        <is>
          <t>linkedin</t>
        </is>
      </c>
      <c r="E28" t="inlineStr"/>
      <c r="F28" t="inlineStr"/>
      <c r="G28" t="inlineStr">
        <is>
          <t>District of Columbia, United States</t>
        </is>
      </c>
      <c r="H28" t="inlineStr"/>
      <c r="I28" t="inlineStr">
        <is>
          <t>**Job Title: Senior Machine Learning Engineer** 
**Location: District of Columbia, United States (Remote)** 
**Type: Full time** 
 Our client, a leading financial services organization, is seeking a Distinguished Machine Learning Engineer to join its forward\-thinking technology team. This role offers the opportunity to work alongside innovative product, engineering, and design leaders to challenge conventions, build scalable solutions, and bring advanced machine learning capabilities into production.
**Key Responsibilities** 
* Champion the adoption of modern engineering and machine learning technologies by clearly articulating technical and business value
* Partner on complex, high\-impact initiatives that directly support enterprise goals and improve customer and associate experiences
* Provide deep technical guidance while fostering an inclusive environment where diverse ideas are encouraged and developed
* Promote engineering excellence through reusable architectures, shared platforms, and inner\-source contributions
* Communicate effectively with stakeholders across all levels of the organization, influencing decisions and technical direction
* Serve as a trusted advisor within a defined technology or platform domain, shaping use cases and implementation strategies
* Mentor and develop internal engineering talent while supporting efforts to attract and grow top technical expertise
**Basic Qualifications** 
* Bachelor’s degree or equivalent experience
* 7\+ years of professional experience in software engineering
* 5\+ years of experience building and operating machine learning systems and infrastructure
**Preferred Qualifications** 
* Master’s degree
* 7\+ years of hands\-on experience with languages such as Python, Java, Go, and SQL
* 6\+ years of experience deploying machine learning models into production at scale
* Strong understanding of end\-to\-end ML lifecycle management in large\-scale production environments
* Experience working with large language models, including prompt engineering, fine\-tuning, evaluation, and alignment
* 3\+ years of experience with data and streaming platforms such as Kafka, Airflow, Spark, and cloud data services
* 3\+ years of experience with modern analytics platforms such as Databricks or Snowflake
* Familiarity with MLOps and LLMOps practices, including model versioning, deployment automation, performance optimization, cost management, and latency reduction</t>
        </is>
      </c>
    </row>
    <row r="29">
      <c r="A29" t="inlineStr">
        <is>
          <t>li-4234744650</t>
        </is>
      </c>
      <c r="B29" t="inlineStr">
        <is>
          <t>Senior Machine Learning Engineer - Perception</t>
        </is>
      </c>
      <c r="C29" t="inlineStr">
        <is>
          <t>Zoox</t>
        </is>
      </c>
      <c r="D29" t="inlineStr">
        <is>
          <t>linkedin</t>
        </is>
      </c>
      <c r="E29" t="inlineStr"/>
      <c r="F29" t="inlineStr"/>
      <c r="G29" t="inlineStr">
        <is>
          <t>Foster City, CA</t>
        </is>
      </c>
      <c r="H29" t="inlineStr"/>
      <c r="I29" t="inlineStr">
        <is>
          <t>As a Perception Engineer, you will be instrumental in designing and implementing cutting\-edge detection models, utilizing fused sensor data. In particular, the role will be on advanced projects that are aimed at the next generation of driving software, including looking at joint detection and tracking models as well as ways to send rich embeddings to downstream models to relay semantic meaning and capture uncertainty.
 This role offers a unique opportunity to directly impact Zoox's expansion into new areas. By developing more generalizable and adaptable models, you will help us navigate diverse and challenging circumstances, accelerating our mission to deliver safe and reliable autonomous mobility. We are looking for a highly motivated individual passionate about pushing the boundaries of perception in the autonomous vehicle space.
**In This Role, You Will**
* Train ML models, perform various studies into incorporating SOTA approaches as well as ablations/modifications of existing models
* Document experimental outcomes and drive towards deploying these models into Zoox robots
* Visualize your data at the input and output to understand the issues
* Collaborate with teams such as ML optimization, data labeling, metrics and planner to ensure project is successful for Zoox releases
**Qualifications**
* MS/PhD in Computer Science or related field
* Experience with PyTorch or related ML frameworks
* Experience deploying learned models into production
* Excellent collaboration and teamwork skills with proven track record of working on large\-scale problems
**Bonus Qualifications**
* Prior experience in the AV or related space with joint detection and tracking models
* Deep understanding of how to setup end\-to\-end training and evaluation processes
 $242,000 \- $290,000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
      <c r="A30" t="inlineStr">
        <is>
          <t>li-4314859115</t>
        </is>
      </c>
      <c r="B30" t="inlineStr">
        <is>
          <t>AI Engineer</t>
        </is>
      </c>
      <c r="C30" t="inlineStr">
        <is>
          <t>Troutman Pepper Locke LLP</t>
        </is>
      </c>
      <c r="D30" t="inlineStr">
        <is>
          <t>linkedin</t>
        </is>
      </c>
      <c r="E30" t="inlineStr"/>
      <c r="F30" t="inlineStr"/>
      <c r="G30" t="inlineStr">
        <is>
          <t>San Francisco, CA</t>
        </is>
      </c>
      <c r="H30" t="inlineStr"/>
      <c r="I30"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1">
      <c r="A31" t="inlineStr">
        <is>
          <t>li-4345596944</t>
        </is>
      </c>
      <c r="B31" t="inlineStr">
        <is>
          <t>Senior Machine Learning Engineer (Tapestry)</t>
        </is>
      </c>
      <c r="C31" t="inlineStr">
        <is>
          <t>X, The Moonshot Factory</t>
        </is>
      </c>
      <c r="D31" t="inlineStr">
        <is>
          <t>linkedin</t>
        </is>
      </c>
      <c r="E31" t="inlineStr"/>
      <c r="F31" t="inlineStr"/>
      <c r="G31" t="inlineStr">
        <is>
          <t>Mountain View, CA</t>
        </is>
      </c>
      <c r="H31" t="inlineStr"/>
      <c r="I31" t="inlineStr">
        <is>
          <t>**About The Team**
 Tapestry is Alphabet’s moonshot for the electric grid, working at the frontier where energy’s complexity meets AI’s potential. We were born at X, the innovation lab responsible for breakthrough technologies like Waymo, Verily and Google Brain.
 To keep pace with humanity’s growing energy needs, the world needs a grid that is visible and understandable. We provide that clarity by building advanced AI\-enabled analytical and planning tools that allow the entire energy ecosystem to plan smarter, move faster, and operate more efficiently—ensuring electricity remains reliable and affordable for everyone.
 This is a global effort. Tapestry is proud to support partners in the U.S., U.K., Chile, New Zealand, Australia and Brazil as they build a cleaner, more resilient energy future. Joining Tapestry allows you to do the best work of your life as part of a multidisciplinary team of experts in AI, energy systems, software engineering and product design—all collaborating to reshape energy on a global scale. If you want to tackle problems that matter and build tools with real impact, we would love to meet you. Learn more about our team and our mission here.
**About The Role**
 We're looking for a Senior Machine Learning Engineer to join our team. In this role, you will be responsible for developing and deploying state of the art machine learning models to solve complex challenges that face today’s electric grid. You’ll have the opportunity to lead model building and development across diverse ML domains such as time series analysis, planning and reinforcement learning, multi modal information retrieval and reasoning and agentic AI. In this role, you will be responsible for end to end ML model training and deployment, working with and mentoring junior machine learning engineers, helping lead cross\-functional collaborations and build the state of the art machine learning models to help power the grid of tomorrow.
**How You Will Make 10x Impact**
* Design, train, and deploy machine learning models in production environments.
* Lead the end to end development of ML systems for one or more of planning and reinforcement learning, forecasting and multimodal machine learning
* Actively collaborate with leaders in product, engineering, and data science teams to address key business problems
* Mentor junior engineers and scientists and contribute to the team’s technical growth.
* Stay abreast of the latest advancements in machine learning
**What You Should Have**
* Master’s Degree/Bachelor's Degree in Machine Learning, Computer Science, Statistics or equivalent practical experience.
* 6\+ years of professional experience in machine learning model development and engineering.
* Deep expertise in one or more of the following areas: planning and control, reinforcement learning, forecasting, multimodal machine learning and information retrieval
* Strong programming skills in Python and experience with ML frameworks like PyTorch or TensorFlow.
* Experience with building and deploying ML systems at scale, and a proven ability to perform applied ML research and develop the state of the art
* Proven ability to work on cross\-functional projects and deliver results in a fast\-paced, collaborative environment
**It’d Be Great If You Also Had These**
* PhD in Machine Learning, Computer Science, Statistics, or a related field
* Experience with cloud platforms such as AWS, GCP, or Azure.
* Familiarity with MLOps practices and tools.
* A strong portfolio of projects demonstrating expertise in multiple ML domains..
 The US base salary range for this full\-time position is $166,000 \- $244,000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32">
      <c r="A32" t="inlineStr">
        <is>
          <t>li-4091526578</t>
        </is>
      </c>
      <c r="B32" t="inlineStr">
        <is>
          <t>Senior Machine Learning Engineer, Simulation</t>
        </is>
      </c>
      <c r="C32" t="inlineStr">
        <is>
          <t>PlusAI</t>
        </is>
      </c>
      <c r="D32" t="inlineStr">
        <is>
          <t>linkedin</t>
        </is>
      </c>
      <c r="E32" t="inlineStr"/>
      <c r="F32" t="inlineStr"/>
      <c r="G32" t="inlineStr">
        <is>
          <t>Santa Clara, CA</t>
        </is>
      </c>
      <c r="H32" t="inlineStr"/>
      <c r="I32" t="inlineStr">
        <is>
          <t>Plus, also known as PlusAI, is a Physical AI company pioneering AI\-based virtual driver software for factory\-built autonomous trucks. Headquartered in Silicon Valley with operations in the United States and Europe, Plus was named by Fast Company as one of the World’s Most Innovative Companies. Partners including TRATON GROUP’s Scania, MAN, and International brands, Hyundai Motor Company, Iveco Group, Bosch, and DSV are working with Plus to accelerate the deployment of next\-generation autonomous trucks. If you’re ready to make a huge impact and drive the future of autonomy, Plus is looking for talented individuals to join its fast\-growing teams.
 We are seeking a Senior Machine Learning Engineer with expertise in deep learning and data analysis. In this role, you will apply data\-driven techniques to develop high\-fidelity, scalable vehicle simulation models tailored to various vehicle platforms. You will collaborate with cross\-functional teams to advance autonomous driving technology and drive innovation in simulation and model development.
**Responsibilities:**
* Develop accurate, scalable vehicle dynamics models from collected road test data, leveraging deep learning and advanced data analysis techniques.
* Conduct in\-depth analysis of road test data to identify trends, anomalies, and key performance indicators to enhance model accuracy.
* Integrate the data\-driven models into simulation pipelines with seamless compatibility.
* Design and implement an automated modeling pipeline for periodic model training, evaluation, and updates.
* Collaborate with cross\-disciplinary teams to reproduce and resolve issues encountered during real\-world road tests.
* Ensure that technical work meets customer requirements, regulatory standards, and company quality policies.
* Ensure that your work is performed in accordance with the company’s Quality Management System (QMS) requirements and contribute to continuous improvement efforts.
**Required Skills:**
* MS (with 3\+ years of relevant experience) or PhD new grad in mechanical, electrical, aerospace engineering, physics, computer science, or a related field.
* Extensive experience applying deep learning techniques to time series forecasting and data analysis.
* Proficient in Python with experience working in large codebases.
* Excellent communication skills and the ability to collaborate effectively in a team setting.
* Familiarity with state\-of\-the\-art deep learning models and their applications.
* Ensure that technical work meets customer requirements, regulatory standards, and company quality policies.
**Preferred Skills**
* Proficient in C\+\+
* Background in autonomous vehicle prediction, planning, and control
* Strong understanding of conventional vehicle dynamics modeling
* Experience with autonomous vehicle or robotics simulation and related concepts
 $130,000 \- $200,000 a year
**Your opportunities joining Plus**
 Work, learn and grow in a highly future\-oriented, innovative and dynamic field.
 Wide range of opportunities for personal and professional development.
 Catered free lunch, unlimited snacks and beverages.
 Highly competitive salary and benefits package, including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li-4352463129</t>
        </is>
      </c>
      <c r="B33" t="inlineStr">
        <is>
          <t>AI/ML Engineer / Defence / $500k+ / NYC</t>
        </is>
      </c>
      <c r="C33" t="inlineStr">
        <is>
          <t>Open Talent</t>
        </is>
      </c>
      <c r="D33" t="inlineStr">
        <is>
          <t>linkedin</t>
        </is>
      </c>
      <c r="E33" t="inlineStr"/>
      <c r="F33" t="inlineStr"/>
      <c r="G33" t="inlineStr">
        <is>
          <t>New York, United States</t>
        </is>
      </c>
      <c r="H33" t="inlineStr"/>
      <c r="I33"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34">
      <c r="A34" t="inlineStr">
        <is>
          <t>li-4326356989</t>
        </is>
      </c>
      <c r="B34" t="inlineStr">
        <is>
          <t>Machine Learning Engineer</t>
        </is>
      </c>
      <c r="C34" t="inlineStr">
        <is>
          <t>Recruiting from Scratch</t>
        </is>
      </c>
      <c r="D34" t="inlineStr">
        <is>
          <t>linkedin</t>
        </is>
      </c>
      <c r="E34" t="inlineStr"/>
      <c r="F34" t="inlineStr"/>
      <c r="G34" t="inlineStr">
        <is>
          <t>San Francisco, CA</t>
        </is>
      </c>
      <c r="H34" t="inlineStr"/>
      <c r="I34"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35">
      <c r="A35" t="inlineStr">
        <is>
          <t>li-4361231697</t>
        </is>
      </c>
      <c r="B35" t="inlineStr">
        <is>
          <t>AI Engineer or AI Consultant x3 roles</t>
        </is>
      </c>
      <c r="C35" t="inlineStr">
        <is>
          <t>Aventis Solutions</t>
        </is>
      </c>
      <c r="D35" t="inlineStr">
        <is>
          <t>linkedin</t>
        </is>
      </c>
      <c r="E35" t="inlineStr"/>
      <c r="F35" t="inlineStr"/>
      <c r="G35" t="inlineStr">
        <is>
          <t>New York, NY</t>
        </is>
      </c>
      <c r="H35" t="inlineStr"/>
      <c r="I35" t="inlineStr">
        <is>
          <t>**Follow Billy Hall and @AventisSolutions** 
 for more updates on the wider team build: Aventis Solutions is igniting the AI revolution:
 They have just launched:
 **The AI Executive Podcast,** 
 which can be found here and includes the leader of our advertised firm:
* **YouTube**
* **Spotify**
* **Amazon Music**
 It's amazing!
 Now, our tech partner is establishing a new AI Innovation Hub in New York USA, and Pune, India, and we are hiring
 **AI Consultants, AI Engineers, and Business Analysts** 
 to play a pivotal role in bridging the gap between business stakeholders and technical AI teams. The roles are central to shaping how AI solutions are scoped, delivered, and adopted across a rapidly scaling tech firm, ensuring that innovation translates into measurable business value.
 You will collaborate closely with global product, engineering, and data science teams, working directly with senior stakeholders to capture requirements, design workflows, and ensure that AI\-driven platforms meet customer and enterprise needs. From day one, you will be embedded in high\-impact projects, supporting the rollout of AI\-native products and platforms across financial services, energy and retail.
**Key Details:** 
* **Location:** 
 Can be fully remote \+ offices in New York City (with global collaboration across the India, US and UK)
* **Compensation:** 
 Competitive base salary, performance incentives, and growth opportunities
* **Career Outlook:** 
 Be part of a flagship innovation hub, gaining global exposure while advancing into senior business analysis, product, or strategy leadership roles
**What You Will Lead and Deliver:** 
* Partner with business and product stakeholders to translate strategic objectives into detailed AI solution requirements
* Analyse, document, and optimise workflows where AI, GenAI, and automation can create measurable business impact
* Support data\-driven decision making by mapping business processes to data models, ensuring quality and alignment with AI applications
* Work alongside engineering and data teams to validate requirements, track progress, and ensure successful delivery of AI\-enabled platforms
* Define key performance indicators (KPIs) and success metrics for AI projects, ensuring adoption and commercial outcomes are measurable
* Act as the voice of the customer and the business within technical teams, ensuring solutions are user\-centric, compliant, and scalable
* Support change management, training, and stakeholder adoption initiatives as AI solutions roll out globally
**Role Overview:** 
 This is not traditional business analysis. As an AI Business Analyst, you will be at the heart of a new global innovation hub, where cutting\-edge technology meets practical business application. Your role will be to ensure that the power of AI translates into tangible impact for financial services, shaping how products and platforms evolve across markets.
 If you are a business analyst with strong experience in digital transformation, data\-driven projects, or AI (artificial intelligence) or ML (machine learning) initiatives, and want to shape the future of fintech innovation, this is the opportunity to make it happen.
**For the same company, we are also hiring:** 
* 3x AI/ML Software Engineers
* 6x Data Engineers
* 8x Business Analysts
* 3x Product Managers
* 3x Senior Leadership positions
 Follow Billy Hall and @AventisSolutions for more updates on the wider team build. You don't want to miss this.
 Believe the AI hype!
**Interested?** 
 Please submit your CV via LinkedIn or message Billy Hall for further information.
 Aventis Solutions is acting on behalf of our partner.
 Closing date January 27, 2025\.</t>
        </is>
      </c>
    </row>
    <row r="36">
      <c r="A36" t="inlineStr">
        <is>
          <t>li-4316047694</t>
        </is>
      </c>
      <c r="B36" t="inlineStr">
        <is>
          <t>Staff Machine Learning Engineer - Fraud Data</t>
        </is>
      </c>
      <c r="C36" t="inlineStr">
        <is>
          <t>Plaid</t>
        </is>
      </c>
      <c r="D36" t="inlineStr">
        <is>
          <t>linkedin</t>
        </is>
      </c>
      <c r="E36" t="inlineStr"/>
      <c r="F36" t="inlineStr"/>
      <c r="G36" t="inlineStr">
        <is>
          <t>San Francisco, CA</t>
        </is>
      </c>
      <c r="H36" t="inlineStr"/>
      <c r="I3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cutting\-edge fraud detection products. By leveraging Plaid’s extensive network data, we enable proactive fraud prevention—stopping fraud before it happens. Our team owns the entire ML lifecycle, from developing feature pipelines and training models to deploying and monitoring them in production. We ensure that our systems scale reliably and efficiently as Plaid continues to grow and support hundreds of customers.
 As a Staff Machine Learning Engineer on Plaid’s Fraud Data team, you will design and build scalable ML infrastructure that powers our industry\-leading fraud detection product. You’ll lead the evolution of our model deployment, monitoring, and observability frameworks to ensure high reliability and performance at scale. Collaborating closely with teams across ML Infrastructure, Product, and Engineering, you’ll deliver robust systems that protect users and customers from fraud. In addition, you’ll mentor other engineers and help shape the long\-term technical vision and strategy of the Fraud Data team.
 \*\*\*We are open to remote candidates for this role\*\*\*
**Responsibilities**
* Design and build scalable ML infrastructure for Plaid’s fraud detection product
* Working at a fast\-pace environment to build a rapidly growing product with a championship team
* Solving complex problems at the intersection of ML systems, data, and reliability
* Building the foundations for fraud detection on the largest financial dataset in the world
* Collaborating with talented engineers and data scientists across Plaid
**Qualifications**
* 8\+ years total experience, with at least 5 years building and deploying production ML systems.
* Proven experience in machine learning infrastructure/operations.
* Demonstrated technical leadership and architectural vision, driving systems from concept to production.
* Proficiency in Python, PyTorch, Spark, SageMaker, and Airflow, or equivalent technologies.
* Nice to have \- experience working in fraud detection, risk modeling, or financial security domains.
* Nice to have \- background in graph machine learning or related techniques.
 $192,000 \- $400,000 a year
 The target base salary for this position ranges from $192,000/year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7">
      <c r="A37" t="inlineStr">
        <is>
          <t>li-4314839975</t>
        </is>
      </c>
      <c r="B37" t="inlineStr">
        <is>
          <t>AI Engineer</t>
        </is>
      </c>
      <c r="C37" t="inlineStr">
        <is>
          <t>Troutman Pepper Locke LLP</t>
        </is>
      </c>
      <c r="D37" t="inlineStr">
        <is>
          <t>linkedin</t>
        </is>
      </c>
      <c r="E37" t="inlineStr"/>
      <c r="F37" t="inlineStr"/>
      <c r="G37" t="inlineStr">
        <is>
          <t>Harrisburg, PA</t>
        </is>
      </c>
      <c r="H37" t="inlineStr"/>
      <c r="I37"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38">
      <c r="A38" t="inlineStr">
        <is>
          <t>li-4316551892</t>
        </is>
      </c>
      <c r="B38" t="inlineStr">
        <is>
          <t>Staff Machine Learning Engineer, Risk Signals &amp; Controls</t>
        </is>
      </c>
      <c r="C38" t="inlineStr">
        <is>
          <t>Block</t>
        </is>
      </c>
      <c r="D38" t="inlineStr">
        <is>
          <t>linkedin</t>
        </is>
      </c>
      <c r="E38" t="inlineStr"/>
      <c r="F38" t="inlineStr"/>
      <c r="G38" t="inlineStr"/>
      <c r="H38" t="inlineStr"/>
      <c r="I38" t="inlineStr">
        <is>
          <t>**The Role**
 The Risk Signals and Controls team's mission is to power Block's risk decisions with trusted signals and lean, effective models built on evolving data. We do that by building efficient tools and workflows to accelerate fraud detection and model effectiveness evaluating thousands of transactions per second in real time. We closely collaborate with ML Modellers and Software Engineers from across Block to optimize the signal lifecycle to improve signal quality, reduce noise, and accelerate time\-to\-insight. We're also excited to explore new directions with the team to continue pushing the boundaries of what's possible.
**You Will**
* Design, build, and maintain data pipelines to ingest third parties and Block data to enhance our feature store and modeling capabilities.
* Design elegant ML pipelines and services, prototype new approaches, and productionize solutions at scale.
* Build tooling to help maintain our features and models, gaining efficiencies in fraud detection.
* Work hand\-in\-hand with ML Modelers to identify and integrate new data sources, heuristics and models.
* Solve challenging technical problems at scale, collaborating with colleagues located across the globe
* Apply ML and engineering best practices to shape how Block develops, tests, and maintains ML\-platform solutions.
* Ensure data quality and completeness through automated validation, monitoring, and alerting.
* Own your solutions from design through to operation: we all share the pager!
**You Have**
* 12\+ years of experience in software development and demonstrated technical initiative and leadership on previous machine learning projects.
* A proven ability to shape how teams effectively adopt and evolve AI practices; driving adoption of AI\-first workflows by coaching leaders, identifying scalable use cases, and embedding quality and accountability in team norms.
* Work autonomously in a fast paced, ambiguous and unpredictable environment
* Natural curiosity \&amp; eagerness to learn
* Show the ability to take initiative, lead, and drive creative solutions in cross\-team contexts.
* A strong interest in owning your solutions, maintaining and fixing them as necessary
* Communicate via clear and concise writing to facilitate asynchronous collaboration across multiple time zones
* Reason about complex, distributed systems at high scale
* Proficiency in machine learning techniques, experimental design and data engineering
* Strong programming skills in languages such as Kotlin, Python, TensorFlow, or PyTorch
**Technologies We Use and Teach**
 We value general engineering skill and versatility over existing domain knowledge, but here's a sample of what we currently use:
* Python, Java and Kotlin
* HTTP, JSON, gRPC, Protocol Buffers
* AWS, Databricks, and Kubernetes
* MySQL, DynamoDB, Kafka, Spark
* Prefect, Airflow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based solely on the core competencies required of the role at hand, and without regard to any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an inclusive workplace? Check out our***
***Inclusion \&amp; Diversity page***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$276,800—$415,200 USD
**Zone B**
 $276,800—$415,200 USD
**Zone C**
 $276,800—$415,200 USD
**Zone D**
 $276,800—$415,200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39">
      <c r="A39" t="inlineStr">
        <is>
          <t>li-4334991658</t>
        </is>
      </c>
      <c r="B39" t="inlineStr">
        <is>
          <t>Staff Machine Learning Engineer</t>
        </is>
      </c>
      <c r="C39" t="inlineStr">
        <is>
          <t>CNN</t>
        </is>
      </c>
      <c r="D39" t="inlineStr">
        <is>
          <t>linkedin</t>
        </is>
      </c>
      <c r="E39" t="inlineStr"/>
      <c r="F39" t="inlineStr"/>
      <c r="G39" t="inlineStr">
        <is>
          <t>New York, NY</t>
        </is>
      </c>
      <c r="H39" t="inlineStr"/>
      <c r="I3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**About the Team**
 With deep domain expertise, advanced technical capabilities, and a proven track record of
 successful collaborations, the AI Enablement \&amp; Machine Learning team at CNN is
 accelerating our digital transformation through strategic applications of machine learn
 ing
 and AI technologies. Our current products include popular, related and personalized
 content recommendations, contextual ad targeting, and site search
 \-
 serving millions of CNN
 users via CNN web and mobile apps. Within the next quarter, we will be launchi
 ng
 summarization and classification features with chat to follow early next year.
 We have a variety of specializations and collaborate closely, enhancing our platform and
 adding to the suite of machine learning features running on it.
 •
 Machine learning engineers (MLEs) build models and features
 •
 Data engineers fulfill the availability and latency requirements provided by MLEs
 •
 Some software engineers partner with MLEs to operationalize and expose models
 and features
 •
 Other software engineers focus on our ML platform and tooling, including A/B
 testing
 Here are some of the key challenges the team will tackle in next couple of quarters:
 •
**Content Summaries**
 : Support testing and adoption of various types of content
 summaries from multiple domains, which can be leveraged in consumer experiences
 along with embedding generation and classification.
 •
**Two
 \-
 Tower Experimentation**
 : Explore options for incorporating additional user
 context in our personalized recommendations model such as geolocation, time of
 day and time of year
 •
**All Access Search**
**:** 
 Partner with teams across CNN to design and build a roadmap
 for CNN streaming content search.
 •
**Bandit Foundation**
**:** 
 Enhance data access and begin experimenting with bandits for
 online ranking of recommendations
 •
**Optimize Site Performance:** 
 Dynamically deliver personalized content alongside
 cached assets, improving load times and enhancing user experience with features
 like page
 \-
 level deduplication
**About the Job**
 As a Staff MLE, you will work across our team and collaborate with engineering leads on
 other teams to drive technical excellence, facilitate growth and promote an inclusive and
 supportive engineering culture.
 •
 Design and deliver ML components within our services against product
 requirements
 —
 explore data, identify gaps, and prepare it for machine learning
 models
 •
 Implement model training processes on a schedule in production with monitoring
 and validation to assess model and system performance
 •
 Take full ownership of problems with ML scope
 —
 devise solutions based on limited
 information, adapt existing approaches, and use judgment to select the right course
 of action. Help others understand ML components within our larger systems and
 products
 •
 Design components and systems architecture, driving technical decisions that create
 functional
 \-
 level impact and deliver complex features in partnership with platform
 engineers
 •
 Be passionate about software engineering with a strong sense of responsibility for
 the code you and your team write, delivering high
 \-
 quality results that improve with
 each iteration. Author, test, review, and optimize production
 \-
 quality code, following
 bes
 t practices including version control, and continuous delivery
 •
 Communicate effectively across different audiences
 —
 whether through technical
 documentation, code reviews, design reviews, or interactions with stakeholders and
 adjacent teams
 •
 Embrace failure as a learning opportunity
 —
 use research and experimentation to
 choose the best solutions that meet company goals, moving autonomously from
 proof
 \-
 of
 \-
 concept to production release
**The Essentials**
 •
 Bachelor's Degree AND 5\+ years of related experience or Master's Degree AND 3\+
 years of related experience, in Computer Science, Electrical or Computer
 Engineering, or related field AND 3\+ years related experience with machine
 learning, artificial intellig
 ence, statistics, predictive analytics, research)
 •
 5\+ years of industry software engineering experience in one or more languages,
 preferably with extensive python experience
 •
 3\+ years experience developing and deploying AI/ML products or systems at
 multiple stages in the product cycle from ideation and proof of concept to
 deployment, monitoring, and iteration
**The Nice to Haves**
 •
 Experience with NLP, information retrieval, or Recommendation Systems
 •
 Understanding of experimentation frameworks and A/B testing methodologies
 •
 Experience with data pipelines, feature stores, or embedding infrastructure
 •
 Background in media, publishing, or content recommendation systems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40">
      <c r="A40" t="inlineStr">
        <is>
          <t>li-4314846817</t>
        </is>
      </c>
      <c r="B40" t="inlineStr">
        <is>
          <t>AI Engineer</t>
        </is>
      </c>
      <c r="C40" t="inlineStr">
        <is>
          <t>Troutman Pepper Locke LLP</t>
        </is>
      </c>
      <c r="D40" t="inlineStr">
        <is>
          <t>linkedin</t>
        </is>
      </c>
      <c r="E40" t="inlineStr"/>
      <c r="F40" t="inlineStr"/>
      <c r="G40" t="inlineStr">
        <is>
          <t>Virginia Beach, VA</t>
        </is>
      </c>
      <c r="H40" t="inlineStr"/>
      <c r="I40"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AI Engineer collaborates with the AI Solutions team to design, build, and deploy secure generative AI solutions for attorneys and business teams, focusing on hands\-on development within existing firm platforms and data sources to deliver measurable impact. The AI Engineer translates business needs into practical workflows and copilots, builds and tests solutions, and drive adoption.
**Essential Duties And Responsibilities**
* Collaborate with the AI Solutions team to engage attorneys, practice leaders, and business stakeholders; identify high\-impact use cases; and translate objectives and constraints into actionable technical designs, prioritized backlogs, and delivery plans.
* Design, develop, and implement AI\-powered solutions and workflows, including document intelligence, retrieval\-augmented generation (RAG), semantic search, copilots, and workflow automation, integrated with firm systems and data sources.
* Create and refine prompts, intents, topics, and guardrails for copilots, ensuring outputs meet standards for quality, safety, privacy, and cost efficiency.
* Integrate solutions with firm platforms (e.g., DMS, CRM, knowledge and collaboration systems) using secure, governed connectors.
* Develop reusable templates, standards, and best practices for AI solutions; proactively identify issues and recommend improvements.
* Stay informed on responsible AI principles (privacy, security, bias, safety) and adhere to firm governance, change control, and data\-handling policies.
* Support AI tool evaluations, pilot initiatives, and reporting activities.
* Monitor emerging legal technology trends, with a focus on generative AI and automation.
* Perform additional duties as needed to advance Knowledge Management and Innovation (KM\&amp;I) initiatives and firm priorities.
**Knowledge, Skills And Capabilities**
* Proficient in low\-code development using Microsoft Power Platform (Power Apps, Power Automate), Copilot Studio, Google Dialogflow, UiPath, or similar tools.
* Strong foundation in data engineering, including ETL/ELT processes, SQL, OCR and unstructured document processing, metadata enrichment, data quality, and observability.
* Working knowledge of Azure OpenAI and other LLM services; adept at light scripting (JSON, Excel formulas, basic Python/SQL) for data preparation.
* Demonstrated execution discipline, including testing, documentation, iterative improvement based on feedback, and tracking KPIs to show value.
* Skilled in prompt engineering, configuring knowledge sources, and building simple retrieval/RAG workflows using out\-of\-the\-box connectors.
* Proficiency with M365 data sources (SharePoint, Teams, OneDrive, Dataverse) and mapping business processes to automated workflows.
**Education And Experience**
* Bachelor’s degree preferred in Information Systems, Computer Science, Data Science, or a related field; or equivalent practical experience through internships, bootcamps, certifications, or a demonstrable project portfolio.
* Relevant certifications are beneficial, such as Microsoft Power Platform Fundamentals/Associate, Copilot Studio/AI Builder credentials, or Lean/Agile basics.
* Minimum of eight (8\) years of hands\-on experience developing low\-code automations or applications.
* Experience in professional services environments such as law firms, legal services, or consulting is highly beneficial.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pursuant to the terms of our Worker and Applicant Global Privacy Notice.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education, training, and/or experience.**
**Hiring Salary Range**
 $85,000\.00 \- $105,000\.00</t>
        </is>
      </c>
    </row>
    <row r="41">
      <c r="A41" t="inlineStr">
        <is>
          <t>li-4271476527</t>
        </is>
      </c>
      <c r="B41" t="inlineStr">
        <is>
          <t>Sr. AI Engineer REMOTE</t>
        </is>
      </c>
      <c r="C41" t="inlineStr">
        <is>
          <t>RealPage, Inc.</t>
        </is>
      </c>
      <c r="D41" t="inlineStr">
        <is>
          <t>linkedin</t>
        </is>
      </c>
      <c r="E41" t="inlineStr"/>
      <c r="F41" t="inlineStr"/>
      <c r="G41" t="inlineStr">
        <is>
          <t>Richardson, TX</t>
        </is>
      </c>
      <c r="H41" t="inlineStr"/>
      <c r="I41" t="inlineStr">
        <is>
          <t>**Overview**
 We are looking for a
 **Full Stack AI Engineer** 
 to join our
 **Agentic AI team** 
 . In this role, you will design and build scalable systems that power
 **conversational AI agents** 
 and orchestrate agentic workflows. You’ll work across the stack—front‑end, back‑end, and cloud—while leveraging AI coding assistants and modern agentic frameworks to deliver enterprise‑grade solutions. A key part of your responsibilities will include
 **developing and automating evals** 
 to rigorously test Agentic AI applications for performance, reliability, and safety.
**About The Team**
 Our Agentic AI team is pioneering
 **agentic AI development in the prop tech domain** 
 . We build extensive
 **Agentic AI solutions** 
 spanning across multiple B2B and B2C use cases. Our mission is to deliver intelligent, autonomous systems that improve engagement, reduce operational overhead, and ensure compliance and quality
**This team has been coming to our HQ one week out of the month \- it will be expected that you will travel to the corporate HQ from time to time.**
**Responsibilities**
* Build and orchestrate AI agents end‑to‑end: design tasks, tools, memory, planning, and guardrails; implement agent workflows using modern agentic frameworks (e.g., LangChain, Agents SDKs).
* Clear communication and cross‑functional collaboration with Product, QA, Support, Design and our Customers to deliver outcomes; communicate technical decisions and trade‑offs clearly to both technical and non‑technical stakeholders.
* Develop with AI coding assistants (e.g., Copilot‑style tools) to accelerate delivery while ensuring output meets enterprise design, coding, security, reliability, performance, and compliance standards. Ensure you do not over\-engineer solutions. Manage coding agents.
* Eval first development (offline/online) focused on Agentic AI application quality: define and build metrics and KPIs that showcase agent performance and business impact. Contribute to existing eval framework or standardizing evals across AI products at RealPage.
* Architect for scale across the stack (MCP Servers, API design, state/queueing, caching, streaming, observability, multi‑tenant isolation, cost controls)
* Translate product requirements into engineering designs (specs, sequence diagrams, API contracts); drive design and architecture board reviews.
* Integrate agents with existing services and new microservices (front‑end \+ back‑end), delivering highly scalable and resilient solutions
* Support in release and incident management and monitoring.
* Champion engineering excellence: code reviews, testing, accessibility considerations, performance optimization, and secure coding practices.
**Qualifications**
* Master’s or Ph.D. in Computer Science, Machine Learning, Data Science, or a related field, or equivalent industry experience.
* 5\+ years in ML engineering and/or Data Science, with at least 2 years in Generative AI, transformers, and large language models (LLMs).
* This team has been coming to our HQ one week out of the month \- it will be expected that you will travel to the corporate HQ from time to time.
* Strong proficiency in Python and SQL, experience in writing production\-grade code.
* Proficiency in prompt engineering to enhance model output reliability and quality.
* Familiarity with Vector embeddings, RAG architectures and Agentic frameworks for sophisticated GenAI applications.
* Expertise in cloud platforms for AI (AWS SageMaker, GCP AI, Azure ML) and experience with containerization (Docker), orchestration (Kubernetes), and CI/CD practices.
* Demonstrated ability to lead projects and mentor team members in Agile environments, driving collaboration and fostering team effectiveness.
* Exceptional communication skills to effectively convey complex technical subjects to both technical and non\-technical stakeholders. \# LI\-JL1
**Pay Range**
 USD $122,600\.00 \- USD $208,800\.00 /Yr.</t>
        </is>
      </c>
    </row>
    <row r="42">
      <c r="A42" t="inlineStr">
        <is>
          <t>li-4316508341</t>
        </is>
      </c>
      <c r="B42" t="inlineStr">
        <is>
          <t>Staff Machine Learning Engineer - Fraud Data</t>
        </is>
      </c>
      <c r="C42" t="inlineStr">
        <is>
          <t>Plaid</t>
        </is>
      </c>
      <c r="D42" t="inlineStr">
        <is>
          <t>linkedin</t>
        </is>
      </c>
      <c r="E42" t="inlineStr"/>
      <c r="F42" t="inlineStr"/>
      <c r="G42" t="inlineStr">
        <is>
          <t>Washington, DC</t>
        </is>
      </c>
      <c r="H42" t="inlineStr"/>
      <c r="I4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cutting\-edge fraud detection products. By leveraging Plaid’s extensive network data, we enable proactive fraud prevention—stopping fraud before it happens. Our team owns the entire ML lifecycle, from developing feature pipelines and training models to deploying and monitoring them in production. We ensure that our systems scale reliably and efficiently as Plaid continues to grow and support hundreds of customers.
 As a Staff Machine Learning Engineer on Plaid’s Fraud Data team, you will design and build scalable ML infrastructure that powers our industry\-leading fraud detection product. You’ll lead the evolution of our model deployment, monitoring, and observability frameworks to ensure high reliability and performance at scale. Collaborating closely with teams across ML Infrastructure, Product, and Engineering, you’ll deliver robust systems that protect users and customers from fraud. In addition, you’ll mentor other engineers and help shape the long\-term technical vision and strategy of the Fraud Data team.
 \*\*\*We are open to remote candidates for this role\*\*\*
**Responsibilities**
* Design and build scalable ML infrastructure for Plaid’s fraud detection product
* Working at a fast\-pace environment to build a rapidly growing product with a championship team
* Solving complex problems at the intersection of ML systems, data, and reliability
* Building the foundations for fraud detection on the largest financial dataset in the world
* Collaborating with talented engineers and data scientists across Plaid
**Qualifications**
* 8\+ years total experience, with at least 5 years building and deploying production ML systems.
* Proven experience in machine learning infrastructure/operations.
* Demonstrated technical leadership and architectural vision, driving systems from concept to production.
* Proficiency in Python, PyTorch, Spark, SageMaker, and Airflow, or equivalent technologies.
* Nice to have \- experience working in fraud detection, risk modeling, or financial security domains.
* Nice to have \- background in graph machine learning or related techniques.
 $192,000 \- $400,000 a year
 The target base salary for this position ranges from $192,000/year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43">
      <c r="A43" t="inlineStr">
        <is>
          <t>li-4360742210</t>
        </is>
      </c>
      <c r="B43" t="inlineStr">
        <is>
          <t>Senior AI Engineer – RAG Systems (Agentic Legal Tech)</t>
        </is>
      </c>
      <c r="C43" t="inlineStr">
        <is>
          <t>Montpellier Resourcing</t>
        </is>
      </c>
      <c r="D43" t="inlineStr">
        <is>
          <t>linkedin</t>
        </is>
      </c>
      <c r="E43" t="inlineStr"/>
      <c r="F43" t="inlineStr"/>
      <c r="G43" t="inlineStr">
        <is>
          <t>Manhattan, NY</t>
        </is>
      </c>
      <c r="H43" t="inlineStr"/>
      <c r="I43" t="inlineStr">
        <is>
          <t>**💵Compensation:** 
 Up to $250,000 Base \+ Top\-Tier Equity \+ Benefits
**🌆Location:** 
 Manhattan, NY
**🚀Client:** 
 High\-Growth, Series\-B AI Startup (The "Next Big Disruptor" in NYC Legal Tech)
 Our client, a high\-growth VC backed Legal Tech disruptor is not just "using" AI; they are re\-architecting the very fabric of high\-stakes litigation. As the Senior AI Engineer (RAG Specialist), you will be the lead architect behind the systems that eliminate the "hallucination hurdle." You won’t be building a simple chatbot; you’ll be building autonomous agents that can navigate millions of pages of privileged legal documents with 100% accuracy and zero security leakage.
**🎯You will own the technical end\-to\-end of:** 
* **Advanced RAG Pipelines:** 
 Building the retrieval infrastructure using vector databases (Pinecone/Weaviate) and sophisticated re\-ranking models.
* **Anti\-Hallucination Frameworks:** 
 Developing "Self\-RAG" architectures that cross\-check every AI output against a law firm's proprietary "Truth" library.
* **Semantic Mastery:** 
 Fine\-tuning embeddings specifically for complex "legalese" that standard models struggle to interpret.
* **Agentic Workflows:** 
 Moving beyond Q\&amp;A to build agents that autonomously research, draft, and flag risks.
**🎯Candidate requirements for the successful Senior AI Engineer:** 
* **Experience: 4\+ years in ML/NLP, with a "battle\-tested" portfolio of RAG systems deployed in production.**
* **The Stack:** 
 Expert\-level Python, LangChain/LlamaIndex, and deep knowledge of LLMs (GPT\-4o, Claude 3\.5, and open\-source Llama 3/4\).
* **The Mindset:** 
 You treat data security as a first\-class citizen. You are obsessed with evaluation frameworks (Ragas, TruLens) to prove your systems are bulletproof.
* **Bonus:** 
 Prior experience in FinTech, Legal Tech, or high\-compliance environments where precision is non\-negotiable
* **Candidates must have** 
 full right to work in the US
 This vacancy is being advertised by Montpellier Resourcing Associates Limited. The services advertised by Montpellier Resourcing Associates Limited are those of an Employment Agency.</t>
        </is>
      </c>
    </row>
    <row r="44">
      <c r="A44" t="inlineStr">
        <is>
          <t>li-4313802452</t>
        </is>
      </c>
      <c r="B44" t="inlineStr">
        <is>
          <t>Site AI Engineer</t>
        </is>
      </c>
      <c r="C44" t="inlineStr">
        <is>
          <t>Suffolk Construction</t>
        </is>
      </c>
      <c r="D44" t="inlineStr">
        <is>
          <t>linkedin</t>
        </is>
      </c>
      <c r="E44" t="inlineStr"/>
      <c r="F44" t="inlineStr"/>
      <c r="G44" t="inlineStr">
        <is>
          <t>New Haven, CT</t>
        </is>
      </c>
      <c r="H44" t="inlineStr"/>
      <c r="I44"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$8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New Haven, Connecticut
**Responsibilities**
* Opportunity hunting and workflow redesign – Lead Lean/Six Sigma discovery workshops; map value streams, assess process and data maturity, and log low\-effort/high\-impact AI use cases.
* Process and data maturity assessment – Evaluate each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production\-ready agents in Copilot Studio / Power Apps/Automate, ChatGPT Enterprise, or code\-first frameworks within days; wire them to Teams/SharePoint on the front end and Databricks Lakehouse or other sources on the back end.
* Enterprise\-grade engineering \&amp; LLMOps – Build RAG pipelines backed by Delta tables, Unity Catalog, and Databricks Vector Search; automate infra with GitHub Actions / Posit; monitor latency, cost, adoption, and drift.
* Data integrations – Partner with Data Engineering to design and maintain ETL pipelines, API integrations, and event\-driven connectors feeding RAG and agents.
* Cross\-cloud orchestration – Blend OpenAI, Azure OpenAI, and AWS Bedrock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 hand\-off – Draft clear user stories, data specs, and acceptance criteria for any complex solution that requires the central AI Solution Engineers or Data Engineering / Data Science team to lean in.
* Compliance – Ensure every on\-site AI tool meets Suffolk’s information security, data governance, and client confidentiality standards.
 \#SUFFOLKHIRING
**Qualifications**
* 4–6\+ years in AI engineering / full\-stack data applications or data science, including 2\+ years building production LLM/RAG solutions.
* Bachelor’s in CS, Engineering, Physics, or a related field; Master’s preferred.
* Prior hands\-on work in construction or heavy process industries (manufacturing, oil \&amp; gas, chemicals) is a significant plus.
* Demonstrated process excellence background (Lean/Six Sigma Green Belt or equivalent) with experience diagnosing process and data gaps and supporting change management plans with Operations Excellence.
* Strong facilitation and communication skills.
* Hands\-on expertise with Copilot Studio, Power Apps/Automate, custom connectors, and CoE Toolkit governance.
* Programming \&amp; data stack: Python, SQL, Databricks Lakehouse, vector stores.
* DevOps \&amp; IaC: GitHub Actions (or Azure DevOps) and Posit Workbench/Connect automation or comparable CI/CD tooling; strong Git/GitHub workflow discipline.
* Integration \&amp;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The expected salary range for this position (Site AI Engineer) in New Haven, CT is between $103,000 and $144,000 USD. This represents the typical salary range for this position and is just one component of Suffolk’s total compensation package for employees. Actual salaries may be based on several factors including, but not limited to, skill set, experience, education and other qualifications. Suffolk offers a comprehensive benefits package as part of its overall compensation strategy. Salary ranges may differ by geography and are reviewed regularly to reflect market trends.</t>
        </is>
      </c>
    </row>
    <row r="45">
      <c r="A45" t="inlineStr">
        <is>
          <t>li-4314842980</t>
        </is>
      </c>
      <c r="B45" t="inlineStr">
        <is>
          <t>Global Allocation AI Engineer, Vice President</t>
        </is>
      </c>
      <c r="C45" t="inlineStr">
        <is>
          <t>BlackRock</t>
        </is>
      </c>
      <c r="D45" t="inlineStr">
        <is>
          <t>linkedin</t>
        </is>
      </c>
      <c r="E45" t="inlineStr"/>
      <c r="F45" t="inlineStr"/>
      <c r="G45" t="inlineStr">
        <is>
          <t>New York, NY</t>
        </is>
      </c>
      <c r="H45" t="inlineStr"/>
      <c r="I45" t="inlineStr">
        <is>
          <t>**About This Role**
 BlackRock is one of the world’s preeminent asset management firms and a premier provider of global investment management, risk management and advisory services to institutional, intermediary, and individual investors around the world. BlackRock offers a range of solutions — from fundamental and systematic active management approaches aimed at maximizing outperformance to highly efficient indexing strategies designed to gain broad exposure to the world’s capital markets.
 Elevate your career by joining the world's largest asset manager! Thrive in an environment that cultivates positive relationships and recognizes outstanding performance! We know you want to feel valued every single day and be recognized for your contribution. At BlackRock, we strive to empower our employees and actively engage your involvement in our success.
 The Global Allocation team is seeking an AI Engineer to be at the forefront of financial technology innovation and investing. The Global Allocation team, within the Global Fixed Income division, invests using both fundamental and systematic approaches, combining top\-down and bottom\-up insights across all asset classes. We believe research and innovation are critical to continuing our success and believe in a multi\-disciplinary approach that intersects traditional finance and economics with data and computer science. We are seeking an AI engineer to primarily focus on computer science and mathematical models to help us generate alpha through the build out of our AI ecosystem, investment research, and systematic implementation. Our goal is to build leading\-edge AI research, algorithmic development, and systematic strategies.
**Key Responsibilities**
* Collaborate with portfolio managers and analysts to research and implement comprehensive AI/ML\-based solutions from start to finish.
* Design and develop methods, processes, and systems to consolidate and analyze unstructured and diverse data sources to generate actionable insights and investment recommendations.
* Develop systematic alpha strategies for single name equity selection, asset allocation, fixed income, and cryptocurrencies.
* Integrate new AI services across the platform
* Works with different datasets and run algorithms on large size data effectively and efficiently, staying up to date with all the latest cutting\-edge technologies.
**Requirements**
* B.S./M.S./PhD. degree in Computer Science, Engineering, or a related subject area with 4\+ years of proven experience, or equivalent experience
* A passion for algorithmic development and implementation, and a keen attention to detail.
* Excellent knowledge of Python, Java or C/C\+\+.
* Experience building applications using LLM frameworks
* Experience with ML model training and fine\-tuning.
* Experience in distributed computing and the use of GPUs.
* The desire to work in a team environment with investors of many different backgrounds.
* Experience working in Agile development teams with excellent collaboration skills.
 For New York, NY Only the salary range for this position is USD$162,000\.00 \- USD$215,000\.00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46">
      <c r="A46" t="inlineStr">
        <is>
          <t>li-4260669793</t>
        </is>
      </c>
      <c r="B46" t="inlineStr">
        <is>
          <t>Google Cloud Data &amp; AI Engineer</t>
        </is>
      </c>
      <c r="C46" t="inlineStr">
        <is>
          <t>Slalom</t>
        </is>
      </c>
      <c r="D46" t="inlineStr">
        <is>
          <t>linkedin</t>
        </is>
      </c>
      <c r="E46" t="inlineStr"/>
      <c r="F46" t="inlineStr"/>
      <c r="G46" t="inlineStr">
        <is>
          <t>Charlotte, NC</t>
        </is>
      </c>
      <c r="H46" t="inlineStr"/>
      <c r="I46"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You will collaborate with cross\-functional teams, including Google Cloud architects, data scientists, and business units, to design and implement Google Cloud data and AI solutions. As a Consultant, Senior Consultant or Principal at Slalom, you will be a part of a team of curious learners who lean into the latest technologies to innovate and build impactful solutions for our clients.
**What You’ll Do**
* Design, build, and operationalize large\-scale enterprise data and AI solutions using Google Cloud services such as BigQuery, Vertex AI, Dataflow, Cloud Storage, Pub/Sub and more.
* Implement cloud\-based data solutions for data ingestion, transformation, and storage; and AI solutions for model development, deployment, and monitoring, ensuring both areas meet performance, scalability, and compliance needs.
* Develop and maintain comprehensive architecture plans for data and AI solutions, ensuring they are optimized for both data processing and AI model training within the Google Cloud ecosystem.
* Provide technical leadership and guidance on Google Cloud best practices for data engineering (e.g., ETL pipelines, data pipelines) and AI engineering (e.g., model deployment, MLOps).
* Conduct assessments of current data architectures and AI workflows, and develop strategies for modernizing, migrating, or enhancing data systems and AI models within Google Cloud.
* Stay current with emerging Google Cloud data and AI technologies, such as BigQuery ML, AutoML, and Vertex AI, and lead efforts to integrate new innovations into solutions for clients.
* Mentor and develop team members to enhance their skills in Google Cloud data and AI technologies, while providing leadership and training on both data pipeline optimization and AI/ML best practices.
**What You’ll Bring**
* Proven experience as a Cloud Data and AI Engineer or similar role, with hands\-on experience in Google Cloud tools and services (e.g., BigQuery, Vertex AI, Dataflow, Cloud Storage, Pub/Sub, etc.).
* Strong knowledge of data engineering concepts, such as ETL processes, data warehousing, data modeling, and data governance.
* Proficiency in AI engineering, including experience with machine learning models, model training, and MLOps pipelines using tools like Vertex AI, BigQuery ML, and AutoML.
* Strong problem\-solving and decision\-making skills, particularly with large\-scale data systems and AI model deployment.
* Strong communication and collaboration skills to work with cross\-functional teams, including data scientists, business stakeholders, and IT teams, bridging data engineering and AI efforts.
* Experience with agile methodologies and project management tools in the context of Google Cloud data and AI projects.
* Ability to work in a fast\-paced environment, managing multiple Google Cloud data and AI engineering projects simultaneously.
* Knowledge of security and compliance best practices as they relate to data and AI solutions on Google Cloud.
* Google Cloud certifications (e.g., Professional Data Engineer, Professional Database Engineer, Professional Machine Learning Engineer) or willingness to obtain certification within a defined timeframe.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target base salaries are listed below. In addition, individuals may be eligible for an annual discretionary bonus. Actual compensation will depend upon an individual’s skills, experience, qualifications, location, and other relevant factors. The target salary pay range is subject to change and may be modified at any time.
**East Bay, San Francisco, Silicon Valley**
* Consultant $114,000\-$171,000
* Senior Consultant: $131,000\-$196,500
* Principal: $145,000\-$217,500
**San Diego, Los Angeles, Orange County, Seattle, Houston, New Jersey, New York City, Westchester, Boston, Washington DC:**
* Consultant $105,000\-$157,500
* Senior Consultant: $120,000\-$180,000
* Principal: $133,000\-$199,500
**All other locations:**
* Consultant: $96,000\-$144,000
* Senior Consultant: $110,000\-$165,000
* Principal: $122,000\-$183,000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are accepting applications until 12/31\.*</t>
        </is>
      </c>
    </row>
    <row r="47">
      <c r="A47" t="inlineStr">
        <is>
          <t>li-4308547551</t>
        </is>
      </c>
      <c r="B47" t="inlineStr">
        <is>
          <t>PhD. Co-op – AI Research / Generative AI Engineer – Orlando, FL – January 2026</t>
        </is>
      </c>
      <c r="C47" t="inlineStr">
        <is>
          <t>Philips</t>
        </is>
      </c>
      <c r="D47" t="inlineStr">
        <is>
          <t>linkedin</t>
        </is>
      </c>
      <c r="E47" t="inlineStr"/>
      <c r="F47" t="inlineStr"/>
      <c r="G47" t="inlineStr">
        <is>
          <t>Orlando, FL</t>
        </is>
      </c>
      <c r="H47" t="inlineStr"/>
      <c r="I47" t="inlineStr">
        <is>
          <t>Job Title
 PhD. Co\-op – AI Research / Generative AI Engineer – Orlando, FL – January 2026
**Job Description**
**PhD. Co\-op – AI Research / Generative AI Engineer – Orlando, FL – January 2026**
 Are you interested in a PhD. COOP opportunity with Philips? We welcome individuals who are currently pursuing a PhD. to participate in 6 month paid COOP opportunities at our site in Orlando. Through this role you will join MRPC at the forefront of medical device innovation, building a next\-generation platform to integrate advanced AI into our core engineering workflows. We are seeking a highly motivated and talented AI Research Intern or Co\-op, currently pursuing a PhD.
 This is a unique opportunity to bridge the gap between state\-of\-the\-art academic research and real\-world industrial application. You will go beyond simple RAG applications to
 **architect and build a collaborative multi\-agent system** 
 where intelligent agents work together to solve complex engineering problems. You will play a pivotal role in designing and prototyping the core components of this agentic platform, tackling high impact use cases and contributing to a project with the potential to significantly enhance product development efficiency and safety in the medical device industry.
**Your Role**
* Design and Prototype Novel Generative AI Solutions: Take a leading role in the research, design, and implementation of proof\-of\-concept (PoC) and prototype applications for key systems engineering use cases,
* Leverage our Modern AI Platform: Work hands\-on with our purpose\-built AI stack, including:
+ Interacting with and extending the Open\-WebUI API gateway.
+ Utilizing Azure OpenAI models (GPT\-4o, text\-embedding\-3\-large) via our LiteLLM proxy.
+ Building solutions on top of our Qdrant vector database, designed for terabyte\-scale knowledge bases.
+ Deploying and managing services within a Docker containerized environment.
* Advance the State\-of\-the\-Art in RAG and Agentic Applications: Investigate and apply cutting\-edge techniques in Retrieval\-Augmented Generation (RAG), including advanced chunking strategies, re\-ranking algorithms, and prompt engineering to optimize performance for complex technical and regulatory documents.
* Help define “What’s Next”: Design and build Agents that can take complex product development objectives, plan and execute to achieve them using a ReAct framework and tools including our RAG API. Contribute to the architecture definition for an MCP server and client tools and UI that allows for a scalable approach to implementing multi\-step engineering tasks. Help design and implement the core an Agent Coordinator responsible for task decomposition, planning, and executing multi\-step workflows using advanced reasoning.
* Collaborate and Communicate Findings: Work closely with senior systems engineers and subject matter experts to understand workflow challenges. Present your findings, demo your prototypes, and contribute to the team's strategic direction. There may be opportunities to publish or present your work.
**You’re the right fit if**
* The ideal candidate is enrolled in a PhD program in Computer Science, Artificial Intelligence, Computational Linguistics, or a closely related technical field.
* Demonstrated experience in Natural Language Processing (NLP) and hands\-on expertise with Large Language Models (LLMs) and transformer architectures.
* Strong programming skills in Python and experience with common ML/NLP libraries (e.g., PyTorch, TensorFlow, Hugging Face, scikit\-learn).
* Solid theoretical understanding and practical experience in designing and building RAG pipelines, including knowledge of vector databases (e.g., Qdrant, Pinecone, FAISS) and embedding models.
* Familiarity with cloud computing platforms (Microsoft Azure is a strong plus) and their associated AI/ML services.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hourly pay range for this position is $29\.00 to $45\.00, plus overtime eligible. The actual base pay offered may vary within the posted ranges depending on multiple factors including job\-related knowledge/skills, experience, business needs, geographical location, and internal equity.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Orlando, FL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48">
      <c r="A48" t="inlineStr">
        <is>
          <t>li-4334991333</t>
        </is>
      </c>
      <c r="B48" t="inlineStr">
        <is>
          <t>Lead AI Engineer / LLMs, RAG, Python / Durham / Hybrid</t>
        </is>
      </c>
      <c r="C48" t="inlineStr">
        <is>
          <t>Motion Recruitment</t>
        </is>
      </c>
      <c r="D48" t="inlineStr">
        <is>
          <t>linkedin</t>
        </is>
      </c>
      <c r="E48" t="inlineStr"/>
      <c r="F48" t="inlineStr"/>
      <c r="G48" t="inlineStr">
        <is>
          <t>Durham, NC</t>
        </is>
      </c>
      <c r="H48" t="inlineStr"/>
      <c r="I48" t="inlineStr">
        <is>
          <t>We are working with a major company within the Insurance industry based out of Durham, NC, with a major focus on tech innovation to better serve their customers through alternative asset management, retirement planning, and annuity products, with increased speed and precision.
 For this role, they are looking for an AI Engineer that is comfortable designing/developing GenAI and LLM based solutions and RAG architectures. The ideal profile will be someone with an entrepreneurial mindset that is willing to push for new tools and products in the AI space to truly drive their innovations forward.
**Required Skills \&amp; Experience**
* 7\+ years of combined experience in Software Engineering and AI/ML Product Development
* Hands on with GenAI, LLMs, LangChain
* Comfortable with RAG Architecture and building out Vector Databases
* Comfortable with AWS
* Familiar with MLOps best practices and responsible AI principles
* Able to translate technical outcomes into business value
**Desired Skills \&amp; Experience**
* Bachelor’s Degree in CS/Math/Statistics or related field
**The Offer**
**You Will Receive The Following Benefits**
* Medical, Dental, and Vision Insurance
* Vacation Time and Volunteer Time Off
* Long Term Incentive Plans
 Applicants must be currently authorized to work in the US on a full\-time basis now and in the future.
**Posted By:** 
 Ben Roberts</t>
        </is>
      </c>
    </row>
    <row r="49">
      <c r="A49" t="inlineStr">
        <is>
          <t>li-4325003478</t>
        </is>
      </c>
      <c r="B49" t="inlineStr">
        <is>
          <t>Staff AI Engineer, Trust &amp; Safety Operations</t>
        </is>
      </c>
      <c r="C49" t="inlineStr">
        <is>
          <t>Hinge</t>
        </is>
      </c>
      <c r="D49" t="inlineStr">
        <is>
          <t>linkedin</t>
        </is>
      </c>
      <c r="E49" t="inlineStr"/>
      <c r="F49" t="inlineStr"/>
      <c r="G49" t="inlineStr">
        <is>
          <t>New York, NY</t>
        </is>
      </c>
      <c r="H49" t="inlineStr"/>
      <c r="I49"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Join Hinge as a Staff AI Engineer for Trust \&amp; Safety Operations, where you’ll lay the cornerstone of our agent\-powered future. You will architect the foundational workflows, guardrails, and tooling that turn AI agents into everyday teammates for our Moderation, Appeals, and Support operators. Think of it as building the “operating system” for AI within Trust \&amp; Safety: establishing the orchestration layer, standardizing tool schemas, automating the agent lifecycle, instrumenting real\-time monitoring, and ensuring every solution is robust, scalable, efficient, and responsible. You’ll collaborate closely with operations professionals and engineers, meet non\-technical stakeholders where they are, and deliver value in tight, incremental loops tied directly to solving their biggest problems. Because we’re still early in our agent journey, you’ll enjoy a broad scope with an expectation of mentoring peers, shaping best practices, and defining the north star for AI\-native operations at Hinge. If you’re energized by building green\-field systems that leverage AI to solve challenging problems, this is your invitation to help write the next chapter of Trust \&amp; Safety to create a safer and more meaningful user experience on their journey to find an intimate connection.
**Responsibilities** 
- Own the technical roadmap for AI automation across Moderation, Appeals, and Support workflows, driving discovery and prioritization of high\-impact AI automation opportunities while providing hands\-on technical leadership from concept to production
- Prototype agentic solutions using the latest platforms and frameworks and integrate them with existing internal and third\-party tools and systems
- Deliver reliable, scalable, and robust automations with the appropriate evaluations, guardrails, human oversight, and clear performance monitoring
- Drive adoption by producing documentation, running hands\-on training and enablement sessions for non\-technical operators, and curating prompt libraries and playbooks that empower self\-service iteration.
- Collaborate closely with Data Scientists, Data Engineers, Product Managers, Backend Engineers, and the AI Platform Team to ensure a comprehensive and coordinated approach to improving operational efficiency
- Embed safety, privacy, auditability, and responsible\-AI standards into every workflow in partnership with Legal and Security teams
- Mentor and educate ML Engineers and Platform Engineers on new trends and research in AI/ML that can be applied to Trust \&amp; Safety initiatives to promote user safety and improve AI\-powered products and workflows
**What We're Looking For** 
- **Agentic \&amp; workflow\-orchestration expertise:** 
 Proven ability to design, build, and operate multi\-step LLM agents with modern coordination frameworks
- **Applied AI engineering \&amp; prompt craft:** 
 Deep Python skills plus hands\-on experience integrating foundation models and crafting robust prompts and utilizing vector databases
- **Rapid prototyping \&amp; experimentation:** 
 Comfortable shipping quick proofs of concept, running A/B or shadow launches, and iterating based on data
- **Backend, data\-systems \&amp; tool integration:** 
 Skilled at wiring external services and internal data into agent workflows through well\-designed APIs and schemas
- **Human\-in\-the\-loop system design:** 
 Able to blend automation with human oversight through clear escalation paths, review checkpoints, and moderator tooling
- **Operator enablement \&amp; training:** 
 Talent for translating technical workflows into clear, actionable training for non\-technical teams and supporting their day\-to\-day adoption
- **Working through ambiguity:** 
 Proven skill thriving in high\-ambiguity, fast\-moving environments—prioritizing effectively, adapting plans quickly, and delivering impact amid shifting requirements
**Prior Experience** 
- 7\+ years of software or machine\-learning engineering experience, with a recent focus on AI\-driven automation or agentic systems
- 2\+ years delivering solutions that combine automated decision support with human\-in\-the\-loop review, ideally in Trust \&amp; Safety, customer support, or adjacent domains
- 2\+ years designing and tracking operational metrics that demonstrate ROI, accuracy, and user\-experience improvements for automated workflows
- 1\+ years of hands\-on work prototyping or operating agentic workflows (e.g., MCP, Agentspace, n8n) in real\-world or open\-source projects
- A degree in computer science, engineering, or a related field (or equivalent practical experience)
**As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
 aices
 ,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t>
        </is>
      </c>
    </row>
    <row r="50">
      <c r="A50" t="inlineStr">
        <is>
          <t>li-4361136496</t>
        </is>
      </c>
      <c r="B50" t="inlineStr">
        <is>
          <t>Data Scientist/Machine Learning Engineer (req-214 )</t>
        </is>
      </c>
      <c r="C50" t="inlineStr">
        <is>
          <t>CATHEXIS</t>
        </is>
      </c>
      <c r="D50" t="inlineStr">
        <is>
          <t>linkedin</t>
        </is>
      </c>
      <c r="E50">
        <f>HYPERLINK("https://www.linkedin.com/jobs/view/4361136496", "https://www.linkedin.com/jobs/view/4361136496")</f>
        <v/>
      </c>
      <c r="F50" t="inlineStr"/>
      <c r="G50" t="inlineStr">
        <is>
          <t>Redwood City, CA</t>
        </is>
      </c>
      <c r="H50" t="inlineStr"/>
      <c r="I50"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**Responsibilities**
**The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**Desired Skills**
*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51">
      <c r="A51" t="inlineStr">
        <is>
          <t>li-4361247893</t>
        </is>
      </c>
      <c r="B51" t="inlineStr">
        <is>
          <t>Data Scientist, AI Engineering</t>
        </is>
      </c>
      <c r="C51" t="inlineStr">
        <is>
          <t>Candidly</t>
        </is>
      </c>
      <c r="D51" t="inlineStr">
        <is>
          <t>linkedin</t>
        </is>
      </c>
      <c r="E51">
        <f>HYPERLINK("https://www.linkedin.com/jobs/view/4361247893", "https://www.linkedin.com/jobs/view/4361247893")</f>
        <v/>
      </c>
      <c r="F51" t="inlineStr"/>
      <c r="G51" t="inlineStr"/>
      <c r="H51" t="inlineStr"/>
      <c r="I51" t="inlineStr">
        <is>
          <t>**Company Description**
 Candidly was founded in 2016 to flip the script on what it means to plan, borrow, repay, and save for college. Today, we’re the category leader with the market’s most comprehensive AI\-driven student debt and savings optimization platform. We partner with hundreds of top employers, financial institutions, and retirement record keepers, positioning Candidly to serve more than 35 million Americans.
 We’re already achieving incredible results — to date, we’ve helped our users get on track to eliminate more than $1\.8B in student debt and pay off their loans 175,000 years quicker — and we’re seeking movers, shakers, innovators, and problem solvers to help take our mission even further.
 Candidly is a high\-growth, Series B startup, funded by leading investors including Altos Ventures, Aflac, Salesforce Ventures, UBS, Equal Opportunity Ventures, Impact Engine, Rethink Impact, Unum, and Cercano Management. Our fully remote, international team of 70 (and counting) includes alumni from Google, UBS, Twitter, Plaid, Prudential, LendingTree, Morgan Stanley, Deutsche Bank, and more.
**Job Description**
 As a Data Scientist focusing on AI Engineering at Candidly, you will primarily work on designing, developing, and deploying AI agents that enhance our financial wellness platform and serve our clients. You will partner closely with the product and engineering teams to create products and features that leverage Generative AI to enhance the user experience and improve engagement. You will contribute to projects ranging from designing and developing new AI agents, enhancing our existing agents in production, including evaluations, and contributing to Candidly’s AI platform as a backend engineer.
**What You'll Do**
* Agent Development: Design, build, and deploy AI Agents including custom tools, prompt engineering, orchestration workflows, and agent design patterns.
* Agent Evaluation and Tuning: Design evaluation strategies and metrics for assessing the efficacy of AI agents as well as identifying common failure modes. Ensure AI agents and systems are reliable and provide a good user experience.
* AI Platform Development: Contribute to the backend infrastructure powering Candidly's AI capabilities, including API development, data integrations, and data pipelines.
* Research \&amp; Innovation: Stay on the cutting edge of advancements in Generative AI space and evaluate new techniques for application within the Candidly AI platform.
* Stakeholder Collaboration: Work closely with stakeholders across product, design, engineering, and leadership to translate complex AI concepts into actionable strategies and features.
* Data Storytelling: Present findings and insights in a compelling way to both technical and non\-technical audiences, contributing to strategic decision\-making.
**What We're Looking For** 
* Experience: 2\-5 years of experience in a data science, data engineer, machine learning engineer, or backend engineer role.
* Technical Skills:
+ Strong programming skills in Python and proficiency with libraries such as LangGraph, PyTorch, FastAPI, SQLAlchemy, Pandas \+ Numpy.
+ Strong understanding of agentic systems, AI agent design patterns, and best practices for evaluating AI agents. Including, but not limited to, multi\-agent systems and parallelized agentic workflows.
+ Hands on experience with foundational model APIs (OpenAI / Anthropic / Gemini) and at least one AI Agent framework (LangGraph / CrewAI / Pydantic AI).
+ Hands on experience with database systems especially in regard to vector databases and Retrieval Augmented Generation (RAG) approaches.
+ Previous experience working in a production environment and deploying code to production for example machine learning models, data pipelines, or AI agents.
+ Intermediate level data and analytical skills, with at least some familiarity of SQL and data visualization.
+ Familiarity with software development practices and tools, such as code reviews, GitHub / GitLab, and Jira.
+ Familiarity with backend systems with a focus on serving Generative AI applications.
+ Basic knowledge of web systems with a focus on understanding how AI agents operate within both a web backend and frontend.
+ Basic knowledge of cloud platforms (AWS).
* Soft Skills:
+ Strong communication skills and ability to explain complex concepts to non\-technical stakeholders.
+ High adaptability and comfort working in a dynamic, fast\-paced startup environment.
+ Proactive, with a passion for building impactful solutions that address real\-world challenges.
+ A love of experimenting and working with new tools and technologies
**Preferred Qualifications**
* Experience in FinTech, financial services, or consumer lending domains.
* Strong enough technical ability to own and deploy projects end to end.
* Previous experience deploying and evaluating AI agents in a production setting.
**Background and EEOC**
 Candidly offers for employment are conditioned upon satisfactory completion of our employment screening process (including, but not limited to, a review of past employment and education records, background investigation, and/or credit check \&amp; fingerprints).
 Candidly strives to foster an environment where every employee can succeed. As an Equal Opportunity Employer we do not discriminate on the basis of race, religion, color, sex, sexual orientation, gender identity, gender expression, national origin, age, non\-disqualifying physical or mental disability, veteran status, or any other basis covered by applicable law. All employment is decided on the basis of qualifications, merit, and business need.</t>
        </is>
      </c>
    </row>
    <row r="52">
      <c r="A52" t="inlineStr">
        <is>
          <t>li-4361178596</t>
        </is>
      </c>
      <c r="B52" t="inlineStr">
        <is>
          <t>Applied Scientist III.</t>
        </is>
      </c>
      <c r="C52" t="inlineStr">
        <is>
          <t>InMobi Advertising</t>
        </is>
      </c>
      <c r="D52" t="inlineStr">
        <is>
          <t>linkedin</t>
        </is>
      </c>
      <c r="E52">
        <f>HYPERLINK("https://www.linkedin.com/jobs/view/4361178596", "https://www.linkedin.com/jobs/view/4361178596")</f>
        <v/>
      </c>
      <c r="F52" t="inlineStr"/>
      <c r="G52" t="inlineStr">
        <is>
          <t>San Mateo, CA</t>
        </is>
      </c>
      <c r="H52" t="inlineStr"/>
      <c r="I52"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 you’ll have the opportunity to shape how billions of users connect with content, commerce, and brands worldwide. To learn more, visit www.inmobi.com
**Overview Of The Role**
 We are looking for an Applied Scientist III to join our algorithmic and research science team. You’ll work on mathematically rigorous, research\-driven problems at production scale. This role sits at the intersection of theory and application, designing algorithms that combine elegant modeling with measurable business impact. Specifically, our scientists tackle challenges across traffic shaping, fraud detection, ad quality, pricing strategies, and auction theory, along with their practical applications. We leverage the latest deep learning models alongside classical machine learning techniques to build innovative solutions.
 As the heart of the InMobi Exchange, our team optimizes the company’s core business functions and creates the strategic moat that sets us apart in the market. You will not just “use models”—you will formulate them, evaluate their assumptions, tailor them to our problem domain, and bring them to life in production. Many of our challenges have no off\-the\-shelf solutions; we require scientific creativity to bridge research and reality.
 If you thrive on solving complex, high\-impact problems and want to see your ideas shape the future of a global exchange, this is the place where your work will truly make a difference.
**The Impact You'll Make**
 In this role, you’ll operate at the intersection of cutting\-edge research and massive\-scale production, shaping algorithms that power a global advertising marketplace, making tens of trillions of real\-time decisions every day. You’ll work in an environment where models are continuously tested, evaluated, and refined — with rapid learning loops measured in hours, not weeks. Collaborating with a team that values algorithmic depth and scientific rigor, you’ll have the opportunity to prototype, publish, and deploy work that drives measurable business impact.
* Formulate, analyze, and implement algorithms that power real\-time auctions, dynamic pricing, bid shaping, pacing, and traffic allocation across a massive\-scale ad marketplace.
* Design and experiment with methods in online learning, reinforcement learning, multi\-armed bandits, forecasting, game theory, and Bayesian modeling—in non\-stationary, adversarial environments.
* Collaborate with product and engineering teams to deploy your models in production and run real\-world experiments with rapid feedback loops (measured in hours, not weeks).
* Contribute to the scientific community by publishing high\-quality research, conducting internal seminars, and staying abreast of advances in machine learning, algorithms, and applied statistics.
* Evaluate the long\-term dynamics of deployed algorithms, incorporating feedback, exploitation\-exploration trade\-offs, and incentives within multi\-agent systems.
* Identify new areas for innovation by translating business challenges into research questions and proposing novel, high\-impact methodologies.
* Translate mathematical ideas into practical, high\-performance algorithms that operate at scale in production environments.
* Explore and close the loop between model predictions and real\-world outcomes, refining algorithms based on system behavior.
**The Experience We Need** 
* Ph.D. (preferred) or Master’s degree in Computer Science, Statistics, Mathematics, Operations Research, Physics, or a related quantitative discipline.
* 5\.5–7 years of experience working on algorithmic or applied research problems, ideally with some production deployment experience.
* Deep grounding in one or more of:
+ Statistical learning theory, optimization, probability theory, and information theory
+ Causal inference, decision theory, game theory
+ Online learning, bandits, RL, Bayesian methods
* Strong publication record (e.g., NeurIPS, ICML, AISTATS, KDD, UAI, WSDM, EC, SODA, COLT) is a strong plus—even if not recent.
* Proficient in scientific computing with Python, including packages such as NumPy, SciPy, PyTorch, or TensorFlow.
* Comfortable working with big data platforms like Apache Spark, distributed computing, and large\-scale datasets.
* A researcher’s mindset: questions first, implementation later. You are thoughtful about assumptions and rigorous about validation.
* End\-to\-end ownership: you can go from idea to production and thrive in applied settings.
* Prior experience in ad tech, marketplaces, or dynamic pricing is helpful but not required.
**What We Build…**
 At InMobi, we’re building products that are redefining industries. Our ecosystem spans:
* InMobi Advertising – Powering data\-driven mobile marketing for the world’s leading brands
* Glance – A revolutionary Gen AI\-powered lockscreen \&amp; TV content platform transforming how millions discover and engage with content.
* 1Weather – One of the world’s leading weather platforms, delivering precise, reliable, and real\-time weather forecasts
 With deep expertise in AI, mobile, consumer technology, and digital innovation, we are home to some of the brightest minds in the industry.
 What sets us apart?
 Not just what we build. How we build it. At InMobi, we balance our hunger for cutting\-edge tech with a deep focus on our people \- their growth, well\-being, and potential.
**At InMobi, You’ll Be Surrounded By People Who…**
* Think big and act fast: We’re entrepreneurial, thrive in ambiguity, and love solving high\-impact problems
* Are passionate, fanatically driven, and take immense pride in their work: We care deeply about the impact we create and continuously push our potential
* Own their outcomes: We take responsibility, make bold decisions, and execute with confidence
* Embrace freedom with accountability: We value autonomy and understand that trust comes with responsibility
* Believe in lifelong learning: We welcome feedback, challenge ourselves to grow, and aren’t afraid to take smart risks
**Award\-winning Culture, Best\-in\-class Benefits**
 Our compensation philosophy enables us to provide a competitive salary that drives high performance while balancing business needs and pay parity. We determine compensation based on a wide variety of factors, including role, nature of experience, skills, and location.
 The base salary (fixed) pay range for this role would range from $148,200 USD to $216,600 USD (min to max of base salary pay range). This salary range is applicable for our offices located in California and New York
 **\*** 
 .
* Our ranges may vary based on the final location or region of the roles in accordance with the geographical differentiation in pay scales in the country.
 In addition to cash compensation, based on the position, an InMobian can receive equity in the form of Restricted Stock Units. We believe that our employees/personnel should have the ability to own a part of the entity they are a part of. Therefore, the entity employing you may elect to provide such stocks to you. Ownership of stock enables us to treat our employer company as our own and base our decisions on the company’s best interest at heart. To encourage a spirit of shared ownership, we grant InMobians relevant company stock(s). As you contribute to the growth of your company, certain stocks may be issued to you in recognition of your contribution.
**A Quick Snapshot Of Our U.S. Benefits**
* Competitive salary and RSU grant (where applicable)
* High\-quality medical, dental, and vision insurance (including company\-matched HSA)
* 401(k) company match
* Generous combination of vacation time, sick days, special occasion time, and company\-wide holidays
* Substantial maternity and paternity leave benefits and compassionate work environment
* Flexible working hours to suit everyone
* Wellness stipend for a healthier you!
* Free lunch is provided in our offices daily
* Pet\-friendly work environment and robust pet insurance policy \- because we love our animals!
* Employee Assistance Program (EAP)
 If this sounds like the kind of team, role, values, benefits, and challenges that excite you, we’d love to hear from you. Go for it!
**InMobi is an equal opportunity employer**
 InMobi is a place where everyone can grow. Howsoever you identify, and whatever background you bring with you, we invite you to apply if this sounds like a role that would make you excited to work.
*InMobi provides equal employment opportunities to all employees and applicants for employment and prohibits discrimination and harassment of any type.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t>
        </is>
      </c>
    </row>
    <row r="53">
      <c r="A53" t="inlineStr">
        <is>
          <t>li-4360758210</t>
        </is>
      </c>
      <c r="B53" t="inlineStr">
        <is>
          <t>Applied Scientist, Denied Party Screening, AWS Compliance &amp; Security Assurance</t>
        </is>
      </c>
      <c r="C53" t="inlineStr">
        <is>
          <t>Amazon Web Services (AWS)</t>
        </is>
      </c>
      <c r="D53" t="inlineStr">
        <is>
          <t>linkedin</t>
        </is>
      </c>
      <c r="E53">
        <f>HYPERLINK("https://www.linkedin.com/jobs/view/4360758210", "https://www.linkedin.com/jobs/view/4360758210")</f>
        <v/>
      </c>
      <c r="F53" t="inlineStr"/>
      <c r="G53" t="inlineStr">
        <is>
          <t>Seattle, WA</t>
        </is>
      </c>
      <c r="H53" t="inlineStr"/>
      <c r="I53" t="inlineStr">
        <is>
          <t>**Description**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
**Company** 
 \- Amazon.com Services LLC
 Job ID: A3157154</t>
        </is>
      </c>
    </row>
    <row r="54">
      <c r="A54" t="inlineStr">
        <is>
          <t>li-4354803205</t>
        </is>
      </c>
      <c r="B54" t="inlineStr">
        <is>
          <t>Machine Learning Engineer</t>
        </is>
      </c>
      <c r="C54" t="inlineStr">
        <is>
          <t>Osmosis (YC W25)</t>
        </is>
      </c>
      <c r="D54" t="inlineStr">
        <is>
          <t>linkedin</t>
        </is>
      </c>
      <c r="E54">
        <f>HYPERLINK("https://www.linkedin.com/jobs/view/4354803205", "https://www.linkedin.com/jobs/view/4354803205")</f>
        <v/>
      </c>
      <c r="F54" t="inlineStr"/>
      <c r="G54" t="inlineStr">
        <is>
          <t>San Francisco, CA</t>
        </is>
      </c>
      <c r="H54" t="inlineStr"/>
      <c r="I54" t="inlineStr">
        <is>
          <t>**About Osmosis**
 At Osmosis, we help companies use cutting\-edge reinforcement learning techniques to fine\-tune open\-source language models that beat foundation models on performance, latency, and cost.
 We’ve raised $7M in funding from Y Combinator, top institutional investors like CRV and Audacious Ventures, as well as angel investors including Paul Graham (Y Combinator), Erik Bernhardsson (Modal Labs), Misha Laskin (Reflection AI), and Guillermo Rauch (Vercel).
**About The Role**
 We're looking for a Machine Learning Engineer to contribute to high\-performance distributed training infrastructure for RL at scale. You'll work directly with our founding team and design partners to push the boundaries of what's possible with post\-training and continual learning systems.
 This role requires expertise in RL algorithms, distributed training, and low\-level optimization. You'll have exceptional agency to make impactful decisions while working in a fast\-paced, customer\-driven environment.
**Responsibilities**
 You’ll contribute to work in areas like:
* Distributed Training Infrastructure: implement new RL algorithms and build scalable post\-training pipelines
* Resource Management \&amp; Optimization: design infrastructure systems for efficient GPU utilization and dynamic resource allocation
* Customer\-Facing Work: work directly with customers on production deployments and custom model development
**Technology**
* Backend: Python FastAPI, Golang
* Frontend: React, TypeScript, Next.js
* Cloud Infrastructure: AWS Fargate, Docker, Kubernetes, AWS SageMaker
* ML Frameworks: Verl / slime / Megatron\-LM / SkyRL, PyTorch (FSDP experience is a plus), vLLM / SGLang
* Databases: DynamoDB, S3</t>
        </is>
      </c>
    </row>
    <row r="55">
      <c r="A55" t="inlineStr">
        <is>
          <t>li-4351893698</t>
        </is>
      </c>
      <c r="B55" t="inlineStr">
        <is>
          <t>AI/ML Engineer (Entry Position)</t>
        </is>
      </c>
      <c r="C55" t="inlineStr">
        <is>
          <t>Pragmatike</t>
        </is>
      </c>
      <c r="D55" t="inlineStr">
        <is>
          <t>linkedin</t>
        </is>
      </c>
      <c r="E55">
        <f>HYPERLINK("https://www.linkedin.com/jobs/view/4351893698", "https://www.linkedin.com/jobs/view/4351893698")</f>
        <v/>
      </c>
      <c r="F55">
        <f>HYPERLINK("https://www.careers-page.com/pragmatike/job/Y66XV8Y9?utm_medium=free_job_board&amp;utm_source=linkedin&amp;urlHash=2Y81", "https://www.careers-page.com/pragmatike/job/Y66XV8Y9?utm_medium=free_job_board&amp;utm_source=linkedin&amp;urlHash=2Y81")</f>
        <v/>
      </c>
      <c r="G55" t="inlineStr">
        <is>
          <t>Cambridge, MA</t>
        </is>
      </c>
      <c r="H55" t="inlineStr"/>
      <c r="I55"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56">
      <c r="A56" t="inlineStr">
        <is>
          <t>li-4361106768</t>
        </is>
      </c>
      <c r="B56" t="inlineStr">
        <is>
          <t>Machine Learning Engineer</t>
        </is>
      </c>
      <c r="C56" t="inlineStr">
        <is>
          <t>Absurd Ventures</t>
        </is>
      </c>
      <c r="D56" t="inlineStr">
        <is>
          <t>linkedin</t>
        </is>
      </c>
      <c r="E56">
        <f>HYPERLINK("https://www.linkedin.com/jobs/view/4361106768", "https://www.linkedin.com/jobs/view/4361106768")</f>
        <v/>
      </c>
      <c r="F56" t="inlineStr"/>
      <c r="G56" t="inlineStr">
        <is>
          <t>Santa Monica, CA</t>
        </is>
      </c>
      <c r="H56" t="inlineStr"/>
      <c r="I56" t="inlineStr">
        <is>
          <t>**Summary**
 We are seeking a
 **Machine Learning Engineer** 
 to help shape the future of content systems and real\-time gameplay using cutting\-edge machine learning. As Machine Learning Engineer, you will work alongside gameplay engineers, producers, designers, and artists to integrate intelligent, adaptive systems in to our workflow and the run\-time game. You will be a key player in evolving how our games are built and experienced.
**Core Responsibilities**
* Work with team leads to develop and implement a machine learning (ML) strategy to maximize the potential to enhance our workflow and gameplay. Educate the team on what is possible with ML.
* Design and deploy LLM techniques and develop models to drive in\-game systems such as procedural content, adaptive NPC behavior, and player customization.
* Develop and maintain a local model and MCPs that can be trained on our code and game data to enable workflow acceleration.
* Build pipelines that train on gameplay data and deploy models optimized for real\-time inference.
* Partner with design and gameplay teams to prototype and test ML\-powered features such as smart NPC behaviors and dynamic environments.
* Analyze gameplay telemetry to train models that enhance engagement, retention, and personalization.
* Develop internal tools using ML to streamline workflows for production, art, animation, or audio pipelines within Unreal Engine.
* Stay current with ML and real\-time AI trends and ensure performance scalability across platforms.
**Core Qualifications**
* 3\+ years of machine learning experience with experience integrating models into real\-time or interactive environments a plus.
* Proficient in Python and ML libraries such as PyTorch or TensorFlow.
* Expertise in C\+\+ and strong knowledge of modern software engineering practices.
* Familiarity with training and deploying models for real\-time inference with GPU/CPU constraints in mind.
* Understanding of supervised and unsupervised learning, reinforcement learning, and generative models.
* Bachelor's or Master's degree in Computer Science, Machine Learning, or a related field.
**Plus If**
* Experience with the Unreal Engine toolset (Blueprints, plugins, editor scripting, etc.).
* Experience building or using ML tools in a game development context.
* Knowledge of generative models (e.g. Diffusion, GANs, MCPs) for workflow augmentation.
**Description**
* Full\-time job with benefits.
* Role is on\-site in Santa Monica, CA.
* Office is located near downtown Santa Monica – near metro and freeways.
 The base pay range for this position is $150,000 to $180,000 per year. Actual compensation is based on market location and may vary depending on job\-related knowledge, skills, and experience. We also offer a competitive package of benefits including vacation time, sick time, company holidays, parental leave, medical/dental/vision insurance, life insurance, disability insurance, and 401(k) matching to regular full\-time employees. Certain roles may also be eligible for bonus and equity.</t>
        </is>
      </c>
    </row>
    <row r="57">
      <c r="A57" t="inlineStr">
        <is>
          <t>li-4354423051</t>
        </is>
      </c>
      <c r="B57" t="inlineStr">
        <is>
          <t>Machine Learning Engineer</t>
        </is>
      </c>
      <c r="C57" t="inlineStr">
        <is>
          <t>Premier Aerospace</t>
        </is>
      </c>
      <c r="D57" t="inlineStr">
        <is>
          <t>linkedin</t>
        </is>
      </c>
      <c r="E57">
        <f>HYPERLINK("https://www.linkedin.com/jobs/view/4354423051", "https://www.linkedin.com/jobs/view/4354423051")</f>
        <v/>
      </c>
      <c r="F57">
        <f>HYPERLINK("https://www.careers-page.com/premieraerospace/job/X99WX93Y?utm_medium=free_job_board&amp;utm_source=linkedin&amp;urlHash=dJSe", "https://www.careers-page.com/premieraerospace/job/X99WX93Y?utm_medium=free_job_board&amp;utm_source=linkedin&amp;urlHash=dJSe")</f>
        <v/>
      </c>
      <c r="G57" t="inlineStr">
        <is>
          <t>St Louis, MO</t>
        </is>
      </c>
      <c r="H57" t="inlineStr"/>
      <c r="I57" t="inlineStr">
        <is>
          <t>As a Machine Learning Engineer, you will be responsible for developing and implementing cutting\-edge machine learning algorithms and models to improve our aerospace products and services. You will work closely with a team of engineers and data scientists to analyze large datasets, identify patterns and trends, and develop predictive models to enhance our products and services.
 Key Responsibilities:
* Develop and implement machine learning algorithms and models to improve our aerospace products and services
* Work closely with a team of engineers and data scientists to analyze large datasets and identify patterns and trends
* Collaborate with cross\-functional teams to understand business needs and translate them into technical requirements
* Design, build, and deploy scalable machine learning solutions
* Monitor and maintain the performance of machine learning models and make necessary adjustments
* Stay up\-to\-date with the latest advancements in machine learning and incorporate them into our products and services
* Communicate complex technical concepts to non\-technical stakeholders
* Participate in code reviews and provide constructive feedback to improve the overall quality of the codebase
* Contribute to the development of best practices and standards for machine learning at Premieraerospace
 Requirements:
* Bachelor's degree in Computer Science, Engineering, Mathematics, or a related field
* 2\+ years of experience in machine learning, data science, or a related field
* Strong programming skills in languages such as Python, R, or Java
* Experience with machine learning libraries and frameworks such as TensorFlow, Keras, or PyTorch
* Proficiency in data manipulation and analysis using SQL and other tools
* Knowledge of data visualization techniques and tools
* Experience with cloud computing platforms such as AWS, Azure, or Google Cloud
* Excellent problem\-solving and analytical skills
* Strong communication and teamwork abilities
* Ability to work independently and manage multiple projects simultaneously</t>
        </is>
      </c>
    </row>
    <row r="58">
      <c r="A58" t="inlineStr">
        <is>
          <t>li-4361208663</t>
        </is>
      </c>
      <c r="B58" t="inlineStr">
        <is>
          <t>AI/ML Engineer (Entry Position)</t>
        </is>
      </c>
      <c r="C58" t="inlineStr">
        <is>
          <t>ExecutivePlacements.com</t>
        </is>
      </c>
      <c r="D58" t="inlineStr">
        <is>
          <t>linkedin</t>
        </is>
      </c>
      <c r="E58">
        <f>HYPERLINK("https://www.linkedin.com/jobs/view/4361208663", "https://www.linkedin.com/jobs/view/4361208663")</f>
        <v/>
      </c>
      <c r="F58" t="inlineStr"/>
      <c r="G58" t="inlineStr">
        <is>
          <t>Washington, United States</t>
        </is>
      </c>
      <c r="H58" t="inlineStr"/>
      <c r="I58"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59">
      <c r="A59" t="inlineStr">
        <is>
          <t>li-4361153504</t>
        </is>
      </c>
      <c r="B59" t="inlineStr">
        <is>
          <t>Machine Learning Engineer</t>
        </is>
      </c>
      <c r="C59" t="inlineStr">
        <is>
          <t>Whatnot</t>
        </is>
      </c>
      <c r="D59" t="inlineStr">
        <is>
          <t>linkedin</t>
        </is>
      </c>
      <c r="E59">
        <f>HYPERLINK("https://www.linkedin.com/jobs/view/4361153504", "https://www.linkedin.com/jobs/view/4361153504")</f>
        <v/>
      </c>
      <c r="F59" t="inlineStr"/>
      <c r="G59" t="inlineStr"/>
      <c r="H59" t="inlineStr"/>
      <c r="I59" t="inlineStr">
        <is>
          <t>**About The Company**
 Join the Future of Commerce with Whatnot! Whatnot is the largest live shopping platform operating across North America and Europe, revolutionizing the way people buy, sell, and discover their favorite items. We are redefining e\-commerce by seamlessly blending community interaction, entertainment, and shopping into a vibrant ecosystem tailored for passionate users. Our dynamic team operates remotely with co\-located hubs in the US, UK, Germany, Ireland, and Poland, fostering innovation and collaboration. We are committed to building the future of online marketplaces, offering a diverse range of products from fashion, beauty, electronics to collectibles like trading cards, comic books, and live plants through engaging live auctions. As one of the fastest\-growing marketplaces, we continuously seek bold, forward\-thinking problem solvers to join us in shaping the future of commerce and empowering individuals to turn their passions into thriving businesses.
**About The Role**
 We are looking for a talented Machine Learning Engineer to join our Discovery Content and Navigation (CAN) team. This team’s mission is to create a seamless, engaging, and personalized navigation experience for Whatnot users by capturing intent and content signals. The ideal candidate will be responsible for leading the design, development, and deployment of machine learning models that enhance search, recommendations, and content discovery. You will work on a variety of complex problems including search optimization, taxonomy, intent understanding, and content relevance. Your work will directly impact the user experience by enabling personalized and efficient discovery pathways, ensuring buyers can easily find fun shows, relevant products, and connect with sellers. You will collaborate closely with cross\-functional teams to implement scalable ML solutions, support product initiatives, and drive technical excellence across the organization.
**Qualifications**
* 4\+ years of industry experience building and deploying machine learning models at scale
* Proficiency in Python, SQL, and common ML frameworks such as TensorFlow, PyTorch, or similar
* Experience with applied statistical methods and machine learning techniques in areas such as search, recommendations, natural language processing, and large language models
* Strong understanding of data collection, feature engineering, model training, and deployment processes
* Excellent communication and leadership skills with the ability to influence cross\-functional teams
* Product\-oriented mindset with a focus on delivering user\-centric solutions
* Experience working in high\-growth startup environments preferred
* Ability to thrive in a remote work setting with strong collaboration skills
**Responsibilities**
* Lead the end\-to\-end development and deployment of machine learning models to enhance personalized navigation, search, and recommendation systems
* Define project scope, plan, and execute ML initiatives from data collection and feature engineering to model training and production deployment
* Support product features such as category and brand recommendations, promoting high\-quality livestreams, and relevant search results
* Collaborate with cross\-functional teams including product managers, data scientists, and engineers to integrate ML solutions at scale
* Establish and promote best practices for ML development, deployment, and maintenance across the organization
* Utilize AI technology and data\-driven insights to optimize user experience and engagement
* Continuously monitor and improve model performance through online experimentation and feedback loops
**Benefits**
* Flexible time\-off policy and company\-wide holidays, including seasonal breaks
* Comprehensive health insurance options covering Medical, Dental, and Vision
* Support for remote work including home office setup allowance and monthly cellphone and internet stipends
* Care benefits and wellness allowances to promote work\-life balance
* Annual childcare assistance and lifetime family planning benefits such as adoption or fertility expenses
* Retirement plans including 401(k) with employer matching in the US and pension plans internationally
* Monthly allowance for app testing and usage, encouraging employee engagement with the product
* Paid parental leave of 16 weeks plus a gradual return\-to\-work program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our success is driven by the diverse skills, perspectives, and experiences of our workforce, and we actively support an equitable workplace where everyone can thrive.</t>
        </is>
      </c>
    </row>
    <row r="60">
      <c r="A60" t="inlineStr">
        <is>
          <t>li-4360793590</t>
        </is>
      </c>
      <c r="B60" t="inlineStr">
        <is>
          <t>Machine Learning Engineer</t>
        </is>
      </c>
      <c r="C60" t="inlineStr">
        <is>
          <t>Quora</t>
        </is>
      </c>
      <c r="D60" t="inlineStr">
        <is>
          <t>linkedin</t>
        </is>
      </c>
      <c r="E60">
        <f>HYPERLINK("https://www.linkedin.com/jobs/view/4360793590", "https://www.linkedin.com/jobs/view/4360793590")</f>
        <v/>
      </c>
      <c r="F60" t="inlineStr"/>
      <c r="G60" t="inlineStr"/>
      <c r="H60" t="inlineStr"/>
      <c r="I60" t="inlineStr">
        <is>
          <t>**About The Company**
 Quora is a globally recognized knowledge sharing platform that connects millions of users worldwide. With over 300 million monthly unique visitors, Quora provides a space where individuals can ask questions, share insights, and learn from a diverse community of experts and enthusiasts. The company operates with a remote\-first culture, enabling its teams to work flexibly from various countries around the world. In addition to its core platform, Quora has developed Poe, an innovative platform that offers users access to multiple AI language models, including GPT\-5, Claude Sonnet 4\.5, Grok 4, Veo 3\.1, and Gemini 2\.5 Flash Image, among others. These tools allow users to explore, chat, and build with cutting\-edge AI technology seamlessly. Quora's environment fosters transparency, collaboration, and experimentation, encouraging employees to think big, innovate, and contribute meaningfully to the company's mission of spreading knowledge and fostering understanding globally.
**About The Role**
 We are seeking a highly experienced Staff Machine Learning Engineer to join our dynamic engineering team working on the Quora product. This role offers an exciting opportunity to influence and enhance our recommendation systems, which are integral to delivering personalized content such as feeds, notifications, digest emails, and the "Ask to Answer" feature. As a key member of our team, you will leverage your expertise in machine learning to improve existing systems, identify new applications of ML within the platform, and develop scalable tools and abstractions for other developers. The role emphasizes ownership, innovation, and collaboration, providing a platform for you to make a significant impact on how millions of users engage with Quora daily. Given our remote\-first approach, you will have the flexibility to work from anywhere, while maintaining close collaboration with global teams to push the boundaries of AI\-driven recommendations.
**Qualifications**
* 5\+ years of professional software development experience in machine learning
* 3\+ years of experience working specifically on recommendation systems
* Strong understanding of the mathematical foundations of machine learning algorithms
* Proven experience in building end\-to\-end machine learning systems, including data pipelines, feature engineering, and model deployment
* Bachelor’s, Master’s, or PhD in Computer Science, Engineering, or a related technical field
* Proficiency in Python and/or C\+\+ programming languages (preferred)
* Experience leading large\-scale, multi\-engineer projects (preferred)
* Excellent communication and interpersonal skills
* Availability for meetings and real\-time communication during Quora’s coordination hours (Monday\-Friday, 9am\-3pm Pacific Time)
**Responsibilities**
* Enhance and optimize existing machine learning models and recommendation algorithms to improve user engagement and content relevance
* Identify and explore new opportunities to apply machine learning across different aspects of the Quora platform
* Collaborate with fellow machine learning engineers to design and implement efficient algorithms and scalable systems
* Take ownership of end\-to\-end machine learning workflows, including data collection, candidate extraction, feature engineering, model training, evaluation, and deployment
* Develop and maintain data pipelines and infrastructure to support ML initiatives
* Work closely with cross\-functional teams to integrate ML models into production environments seamlessly
* Contribute to the development of tools, frameworks, and abstractions that facilitate ML development for the broader engineering team
* Stay current with industry trends and advancements in AI and recommendation systems to continuously improve Quora’s offerings
**Benefits**
* Comprehensive medical, dental, and vision coverage
* Equity refreshers and stock options
* Remote work reimbursement and flexible work arrangements
* Paid time off and holidays
* Employee assistance programs and mental health support
* Opportunities for professional development and growth
* Inclusive and diverse work environment that values innovation and collaboration
 Equal Opportunity
 Quora is committed to fostering an inclusive environment and is proud to be an equal opportunity employer. We do not discriminate based on race, religion, color, national origin, gender, sexual orientation, age, marital status, veteran status, disability, or any other protected characteristic. We believe that a diverse team enhances our creativity, innovation, and overall success. We encourage candidates from all backgrounds to apply and join us in our mission to share knowledge and make a positive impact worldwide.</t>
        </is>
      </c>
    </row>
    <row r="61">
      <c r="A61" t="inlineStr">
        <is>
          <t>li-4361178208</t>
        </is>
      </c>
      <c r="B61" t="inlineStr">
        <is>
          <t>AI Engineer – Decision &amp; Optimization Systems</t>
        </is>
      </c>
      <c r="C61" t="inlineStr">
        <is>
          <t>Gallatin AI, Inc.</t>
        </is>
      </c>
      <c r="D61" t="inlineStr">
        <is>
          <t>linkedin</t>
        </is>
      </c>
      <c r="E61">
        <f>HYPERLINK("https://www.linkedin.com/jobs/view/4361178208", "https://www.linkedin.com/jobs/view/4361178208")</f>
        <v/>
      </c>
      <c r="F61">
        <f>HYPERLINK("https://www.gallatin.ai/careers?ashby_jid=f1eedfc1-21dc-4be2-932c-417da823ab93&amp;utm_source=2VOvQ1B7jl&amp;urlHash=lKJV", "https://www.gallatin.ai/careers?ashby_jid=f1eedfc1-21dc-4be2-932c-417da823ab93&amp;utm_source=2VOvQ1B7jl&amp;urlHash=lKJV")</f>
        <v/>
      </c>
      <c r="G61" t="inlineStr">
        <is>
          <t>El Segundo, CA</t>
        </is>
      </c>
      <c r="H61" t="inlineStr"/>
      <c r="I61" t="inlineStr">
        <is>
          <t>**About Gallatin**
 At Gallatin, we are rebuilding defense logistics for the warfighters of the United States and allied forces. We take an AI\-first approach to modernizing how materiel, fuel, and equipment move from factory to foxhole—so commanders and operators can make faster, better, and safer decisions under uncertainty.
 We believe that transformational systems are built shoulder\-to\-shoulder, not over Zoom, and we operate from our offices in El Segundo, California and Austin, Texas.
**About The Role**
 We’re looking for an AI Engineer – Decision \&amp; Optimization Systems to own the feasibility, authority, and constraint layers that sit between AI reasoning and real\-world execution.
 In this role, you will build the systems that decide what plans are allowed to exist before any optimizer, agent, or human can act on them. Your work ensures that AI\-generated logistics plans respect command hierarchy, policy, safety, and operational reality—so when we execute, we execute correctly.
 You will work closely with routing, packing, optimization, and AI\-agent teams to translate intent, authority, and uncertainty into auditable, enforceable, and explainable decision systems.
**What You’ll Do**
 Build \&amp; Own Feasibility and Authority Models
* Design and implement models that encode command hierarchy, authority limits, and policy rules into formal feasibility checks.
* Convert AI\-agent outputs (LLMs, planners, probabilistic models) into deterministic, enforceable constraints before execution.
* Ensure that authority and policy interpretations are traceable, inspectable, and safe.
**Constraint \&amp; Feasibility Frameworks**
* Build and maintain a centralized constraint framework used across optimization and planning systems.
* Encode:
+ Authority rules
+ Compatibility constraints
+ Timing windows
+ Asset availability and readiness
* Surface clear diagnostics for infeasible plans and constraint violations so humans and machines can understand what failed and why.
**Data Ownership \&amp; Validation**
* Own the data inputs required for feasibility and constraint enforcement.
* Define and enforce data contracts, normalization, and validation pipelines.
* Build robustness against incomplete, delayed, or noisy operational data.
**Production Integration**
* Integrate feasibility checks into real\-time and batch planning pipelines.
* Partner with optimization and execution teams to gate all actions on valid, policy\-compliant inputs.
* Validate system behavior using scenario testing, simulations, and operational feedback from real users.
**What We’re Looking For**
 Strong Engineering \&amp; Modeling Skills
* Proficiency in at least one of: Python, Java, Go, or C\+\+
* Experience building constraint\-based or rule\-based systems in production.
* Experience integrating AI or agent\-based reasoning into downstream decision or execution pipelines.
**Optimization \&amp; Decision Science Background**
* Degree or equivalent experience in Operations Research, Applied Math, Industrial Engineering, Computer Science, or related field.
* Strong understanding of:
 Linear programming
 Mixed\-integer programming
 Constraint satisfaction systems
* Experience using tools such as Gurobi, CPLEX, OR\-Tools, Pyomo, AMPL, or equivalent.
**Systems Thinking**
* Ability to reason about feasibility vs optimality tradeoffs.
* Comfort integrating probabilistic or AI\-derived outputs into deterministic systems.
* Strong instincts for debugging, failure analysis, and explainability in high\-stakes environments.
**Bonus Points**
* Experience with logistics, supply chain, or routing systems.
* Experience working alongside optimization or planning teams.
* Exposure to defense, government, or mission\-critical operations.
* Prior work integrating AI agents into decision or execution pipelines.
**Why Gallatin?**
* Join a mission\-driven, high\-impact startup building the decision systems that power modern defense logistics.
* Work on real operational problems where correctness, safety, and explainability matter.
* Collaborate with world\-class engineers, operators, and AI researchers.
* Competitive compensation including generous equity, 100% employer\-paid health insurance, 401(k), unlimited PTO, and catered meals.
 This position requires the ability to obtain and maintain a U.S. security clearance and to work in classified environments when necessary. If you’re not excited about building AI systems that decide what is allowed to happen in war, this role is not for you.</t>
        </is>
      </c>
    </row>
    <row r="62">
      <c r="A62" t="inlineStr">
        <is>
          <t>li-4352676558</t>
        </is>
      </c>
      <c r="B62" t="inlineStr">
        <is>
          <t>Machine Learning Engineer</t>
        </is>
      </c>
      <c r="C62" t="inlineStr">
        <is>
          <t>Keysight Technologies</t>
        </is>
      </c>
      <c r="D62" t="inlineStr">
        <is>
          <t>linkedin</t>
        </is>
      </c>
      <c r="E62">
        <f>HYPERLINK("https://www.linkedin.com/jobs/view/4352676558", "https://www.linkedin.com/jobs/view/4352676558")</f>
        <v/>
      </c>
      <c r="F62" t="inlineStr"/>
      <c r="G62" t="inlineStr">
        <is>
          <t>Colorado Springs, CO</t>
        </is>
      </c>
      <c r="H62" t="inlineStr"/>
      <c r="I62" t="inlineStr">
        <is>
          <t>**Overview**
 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We are seeking a Machine Learning Engineer to lead the design, development, and deployment of scalable machine learning models that power business decisions across the enterprise. This role combines technical depth in ML/AI with a strong understanding of business domains such as Sales, Service, Finance, Order Fulfillment, and Supply Chain. You will collaborate closely with Data Scientists, Data Engineers, and business partners to build production\-ready solutions that drive measurable impact.
**Responsibilities**
* Machine Learning Development \&amp; Deployment
* Design and implement supervised and unsupervised models for predictive analytics, including churn prediction, demand forecasting, renewal risk scoring, and cross\-sell/upsell opportunity identification.
* Translate business problems into ML frameworks and production solutions that improve efficiency, revenue, or customer experience.
* Build, optimize, and maintain ML pipelines using tools such as MLflow, Airflow, or Kubeflow.
* Cross\-Functional ML Use Cases
* Partner with teams across Sales (e.g., lead scoring, next\-best action), Customer Service (e.g., case deflection, sentiment analysis), Finance (e.g., revenue forecasting, fraud detection), Supply Chain (e.g., inventory optimization, ETA prediction), and Order Fulfillment (e.g., delivery risk modeling) to define impactful ML use cases.
* Develop domain\-specific models and continuously improve them using feedback loops and real\-world performance data.
* Model Governance and MLOps
* Ensure robust model monitoring, versioning, and retraining strategies to keep models reliable in dynamic environments.
* Work closely with DevOps and Data Engineering teams to automate deployment, CI/CD workflows, and cloud\-native ML infrastructure (AWS/GCP/Azure).
* Data Engineering and Feature Architecture
* Collaborate with data engineers to define feature stores, data quality checks, and model\-ready datasets on platforms like Snowflake or Databricks.
* Perform feature selection, transformation, and engineering aligned with each domain’s business logic.
* Communication \&amp; Stakeholder Collaboration
* Present technical insights and model results to business and executive stakeholders in a clear, actionable format.
* Work with Product Owners and Program Managers to scope, prioritize, and plan delivery of ML projects.
**Qualifications**
 Required:
* 4\-6 years of experience in machine learning, data science, or AI engineering, with a strong software engineering foundation.
* Proficiency in Python, and libraries such as scikit\-learn, XGBoost, PyTorch, TensorFlow, or similar.
* Experience deploying models into production using ML pipelines and orchestration frameworks.
* Strong understanding of data structures, SQL, and cloud platforms (e.g., AWS SageMaker, Azure ML, or GCP Vertex AI).
**Preferred**
* Experience supporting business functions such as Finance, Sales, or Operations with ML use cases.
* Familiarity with MLOps tools (MLflow, SageMaker Pipelines, Feature Store).
* Exposure to enterprise data platforms (e.g., Snowflake, Oracle Fusion, Salesforce).
* Background in statistics, forecasting, optimization, or recommendation systems.
 Careers Privacy Statement\*\*\*Keysight is an Equal Opportunity Employer.\*\*\*
**California Pay range** 
 :
 **MIN $145,970\.00 \- MAX $266,930\.00**
**Colorado pay range: MIN $135,150\.00\- MAX $1225,250\.00**
**District of Columbia pay range: MIN $135,150\.00\- MAX $1225,250\.00**
**Hawaii pay range: MIN $135,150\.00\- MAX $1225,250\.00**
**Illinois pay range: MIN $135,150\.00\- MAX $1225,250\.00**
**Maryland pay range: MIN $135,150\.00\- MAX $1225,250\.00**
**Massachusetts pay range: MIN $145,970\.00 \- MAX $243,280\.00**
**Minnesota pay range: MIN $135,150\.00\- MAX $1225,250\.00**
**New Jersey City pay range: MIN $145,970\.00 \- MAX $243,280\.00**
**New York pay range: MIN $160,160\.00 \- MAX $266,930\.00**
**Vermont pay range: MIN $135,150\.00\- MAX $1225,250\.00**
**Washington state pay range: MIN $145,970\.00 \- MAX $243,280\.00**
**Note:** 
 For other locations, pay ranges will vary by region
**US Employees May Be Eligible For The Following Benefits**
*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 Restricted Stock Units</t>
        </is>
      </c>
    </row>
    <row r="63">
      <c r="A63" t="inlineStr">
        <is>
          <t>li-4354471472</t>
        </is>
      </c>
      <c r="B63" t="inlineStr">
        <is>
          <t>ML Engineer (Imaging)</t>
        </is>
      </c>
      <c r="C63" t="inlineStr">
        <is>
          <t>Ledgent Technology</t>
        </is>
      </c>
      <c r="D63" t="inlineStr">
        <is>
          <t>linkedin</t>
        </is>
      </c>
      <c r="E63">
        <f>HYPERLINK("https://www.linkedin.com/jobs/view/4354471472", "https://www.linkedin.com/jobs/view/4354471472")</f>
        <v/>
      </c>
      <c r="F63" t="inlineStr"/>
      <c r="G63" t="inlineStr">
        <is>
          <t>Irvine, CA</t>
        </is>
      </c>
      <c r="H63" t="inlineStr"/>
      <c r="I63" t="inlineStr">
        <is>
          <t>*No Corp\-to\-corp. No 3rd party agencies
 .* 
**Hiring on behlaf of our client :ML Software Engineer (Ophthalmic Imaging)** 
 📍
 **Irvine, CA \| 100% Onsite**
 💰
 **$150K\-$180K (DOE)**
 💼
 **Full\-Time \| Direct Hire** 
 .
 **Build the Future of Eye Care**
 .
 Join our client, a purpose\-driven startup revolutionizing ocular diagnostics with cutting\-edge
 **Swept\-Source OCT and advanced ML analytics. We're building a first\-of\-its\-kind platform for ophthalmology, optometry, and oculomics\-and we need YOU to make it happen.** 
 .
**What You'll Do** 
* Architect and develop
 **ML\-powered software** 
 for 3D ocular imaging and diagnostics.
* Create algorithms for
 **segmentation, topography, wavefront mapping, OCT\-Angiography** 
 , and more.
* Build robust, scalable code for a novel medical device from the ground up.
* Collaborate across teams to define requirements, design interfaces, and deliver production\-ready solutions.
**What We're Looking For** 
* **3\+ years** 
 in medical imaging algorithm development.
* Strong
 **AI/ML expertise** 
 and hands\-on experience with image processing.
* Background in
 **ophthalmology, optometry, or vision science** 
 is highly preferred.
* Proficiency in Git, Agile practices, and software architecture principles.
* Self\-starter ready to thrive in a fast\-paced, high\-impact environment.
**Why Join?** 
* Shape the future of eye care technology.
* Work on
 **greenfield projects** 
 \-your ideas will define the product.
* Be part of a passionate team committed to improving patient outcomes.
 .
 .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t>
        </is>
      </c>
    </row>
    <row r="64">
      <c r="A64" t="inlineStr">
        <is>
          <t>li-4334580679</t>
        </is>
      </c>
      <c r="B64" t="inlineStr">
        <is>
          <t>Machine Learning Engineer</t>
        </is>
      </c>
      <c r="C64" t="inlineStr">
        <is>
          <t>4MindsAI Inc.</t>
        </is>
      </c>
      <c r="D64" t="inlineStr">
        <is>
          <t>linkedin</t>
        </is>
      </c>
      <c r="E64">
        <f>HYPERLINK("https://www.linkedin.com/jobs/view/4334580679", "https://www.linkedin.com/jobs/view/4334580679")</f>
        <v/>
      </c>
      <c r="F64" t="inlineStr"/>
      <c r="G64" t="inlineStr">
        <is>
          <t>Dallas, TX</t>
        </is>
      </c>
      <c r="H64" t="inlineStr"/>
      <c r="I64" t="inlineStr">
        <is>
          <t>**Mission**
 4Minds is an enterprise AI fine\-tuning platform that transforms how organizations build and operate private, domain\-specific AI. Unlike static systems, 4Minds’s AI platform learns continuously from live data in real time and can be deployed on\-prem or your cloud provider.
 Our patented technologies scale existing engineering teams and empower new AI teams, enabling rapid AI deployment, adaptation, and ROI. Through 4Minds’s automated data pipeline and proprietary knowledge graph, enterprises can connect all their data sources, including Microsoft, Databricks, AWS and Google, creating adaptive AI that surpasses the capabilities of conventional RAG\-based systems.
**Role Overview**
 We are seeking a talented Machine Learning Engineer to join our team, where you'll be at the heart of developing and optimizing the core AI functionality of our systems. You will have the opportunity to work with cutting\-edge Nvidia technologies, fine\-tuning and deploying advanced machine learning models, while collaborating closely with data engineers to ensure high\-quality data preprocessing and model experimentation.
**Key Responsibilities**
* Develop, train, and fine\-tune machine learning models with a focus on improving core AI system functionalities.
* Collaborate with data engineers to preprocess and clean data for efficient model ingestion and training.
* Experiment with Nvidia’s NVLM models to push the boundaries of AI performance and optimize models using TensorRT for efficient deployment on CUDA hardware.
* Design and implement A/B testing frameworks, set up experiments, and analyze results to measure and enhance model performance.
**Required Qualifications**
* Master’s degree in Computer Science, Software Engineering, AI, Mathematics, Physics, or a closely related technical field; strong academic background preferred.
* Proficiency in Python and hands\-on experience with TensorFlow and PyTorch for model development and training.
* Demonstrated experience of training and deploying large models on GPUs, ensuring high\-performance outputs.
* Strong expertise in Nvidia’s AI stack, including CUDA, TensorRT, and NVLM for model optimization and deployment.
* Experience in setting up and running A/B testing experiments to evaluate and improve AI model accuracy and performance.
* Ability to work on\-site 5 days a week, full time from our Dallas, TX office.
**Preferred Qualifications**
* Doctor of Philosophy in Computer Science, Software Engineering, AI, Mathematics, Physics, or a closely related technical field; strong academic background preferred.
* Experience working with large\-scale datasets and optimizing model training for high computational efficiency.
* Knowledge of GPU hardware acceleration and real\-time inference optimization using Nvidia technologies.
* Familiarity with continuous integration and deployment practices for machine learning models.
* Coachable and humble individual looking to turn themselves into a top 1% engineer
 f you're passionate about building a world class product and being part of LLM development advancement, we’d love for you to apply and contribute to building state\-of\-the\-art machine learning systems.
**Compensation**
* Base salary range: $130,000 \- $200,000 annually
* Competitive equity package in venture\-backed startup
* Performance\-based bonus structure
* Annual merit\-based salary reviews
* Stock
**Benefits**
* Comprehensive medical, dental, and vision coverage (80% employer\-paid)
* 401(k) plan with company match
* Unlimited PTO policy with 15 days minimum
* 11 paid company holidays
* Flexible Spending Account (FSA) and Health Savings Account (HSA) options.
**Professional Development**
* Annual training and certification budget
* Access to online learning platforms
* Conference attendance opportunities
* Regular internal technical workshops and knowledge sharing sessions
**Work Environment**
* Location: Onsite in Dallas
* High\-performance workstations
* Modern office space in Dallas with standing desks and ergonomics equipment
* Monthly team events and learning sessions
* Collaborative in\-office environment fostering innovation and teamwork
**Process**
 We like to be efficient but do our due diligence. Here’s what you’ll expect from us:
* Interview with Recruiter (30\-60 minutes)
* Interview with Hiring Manager (30 minutes)
* Technical Interviews and/or Presentation
* Interview with CEO
**Apply Now**
 Hit that apply button and provide the following:
* Detailed Resume
* Git Hub profile or code samples
* Portfolio of relevant work
* Brief cover letter describing your development experience
* References from previous roles
 4MindsAI is an equal opportunity employer. We value diversity and are committed to creating an inclusive environment for all employees.</t>
        </is>
      </c>
    </row>
    <row r="65">
      <c r="A65" t="inlineStr">
        <is>
          <t>li-4361208169</t>
        </is>
      </c>
      <c r="B65" t="inlineStr">
        <is>
          <t>Senior Machine Learning Engineer</t>
        </is>
      </c>
      <c r="C65" t="inlineStr">
        <is>
          <t>GreenLite</t>
        </is>
      </c>
      <c r="D65" t="inlineStr">
        <is>
          <t>linkedin</t>
        </is>
      </c>
      <c r="E65">
        <f>HYPERLINK("https://www.linkedin.com/jobs/view/4361208169", "https://www.linkedin.com/jobs/view/4361208169")</f>
        <v/>
      </c>
      <c r="F65" t="inlineStr"/>
      <c r="G65" t="inlineStr">
        <is>
          <t>New York, NY</t>
        </is>
      </c>
      <c r="H65" t="inlineStr"/>
      <c r="I65" t="inlineStr">
        <is>
          <t>****Our Company****
 The U.S. construction permitting process is a black box. Over 500,000 forms and 20,000 processes, yet 95% of cities use the same building code. Every permitting delay costs businesses revenue, stalls expansion, and disrupts construction schedules.
 Founded in 2022 by builders, entrepreneurs, and industry experts, GreenLite eliminates permitting uncertainty for developers nationwide.
 We combine AI\-powered technology with an in\-house team of registered architects, engineers, and city planners to deliver the fastest, most predictable path to permit approval. Our expert\-led compliance process ensures plans are code\-ready before submission, reducing revisions, delays, and costs.
 GreenLite has raised
 **$86M in venture funding** 
 from leading investors including Insight Partners, Energize Capital, Craft Ventures, LiveOak Ventures, Trust Ventures, and Chicago Ventures. National brands, including Walgreens, TD Bank, and Driven Brands, trust us to accelerate approvals, reduce risk, and unlock growth.
 Why this role matters
 We're on a mission to automate one of the most costly and expertise\-dependent bottlenecks in the built environment —
 **construction plan review** 
 . Today, plan review is slow, expensive, and highly manual, requiring licensed experts to navigate thousands of unique jurisdictional construction codes and complex architectural documents. We believe AI can help.
 As a key hire in our AI engineering organization, you’ll operate with a founder mindset, help in defining our long‑term data strategy, and help to grow multiple squads behind it. GreenLite is building agentic workflows that compress permitting cycle time across thousands of jurisdictions—spanning permit intake, checklist generation, document QA, code citation, and review ops inside LiteTable. Your work turns messy PDFs/CAD plans and scattered code texts into decisive, auditable agent actions that help customers get permits faster.
**Our agent stack leans on:**
* Bedrock AgentCore to deploy and operate agents securely at scale with session isolation, long\-running workloads, built\-in tools, memory, identity, gateway, and observability.
* LangGraph for graph\-based orchestration and error\-tolerant control flow.
* Strands Agents for structured reasoning and tool use.
 What you’ll do:
* Design \&amp; ship production agents: Own one or more high\-impact agent workflows (e.g., Permit Intake Triage, Smart Document QA, Compliance Comment Copilot, Code Lookup inside LiteTable). Compose multi\-step graphs (LangGraph) with Strands\-based reasoning/tooling and develop internal/external tools for targeting heterogeneous datasets.
* Operationalize on Bedrock AgentCore: Use Runtime for secure, scalable hosting and streaming; Gateway to expose APIs as agent\-ready tools; Memory for persistent context; Identity for least\-privilege access; Observability for traces/metrics; and built\-in Browser/Code\-Interpreter where appropriate.
* Evaluation \&amp; safety harness: Stand up task\-level and end\-to\-end evals (success rate, cost, latency, human\-handoff rate) and regression suites; borrow ideas from AgentBench/WebArena/SWE\-bench where useful but bias toward domain\-grounded tests for permitting.
* Retrieval \&amp; knowledge: Partner with Data to wire agents to building\-code knowledge (RAG), evaluate vector store options (incl. S3 Vectors preview, or Pinecone) and set up durable knowledge interfaces the agents can trust.
* UX handoffs: Collaborate with Product/Design to craft agent\-first reviewer UX in LiteTable (great inline citations, diffs, and remediation suggestions).
* Quality \&amp; reliability: Build fault\-tolerant flows (retries/rollbacks/compensation), observability dashboards, and on\-call runbooks for agent incidents.
* Technical leadership: Create internal libraries/templates for agent patterns; mentor engineers; review designs with domain experts (architects/code officials).
 You may be a fit if you have:
* Agent frameworks: Depth with LangGraph (graph orchestration, state, recovery) and Strands Agents (structured tool reasoning); experience integrating MCP clients/servers.
* Production chops: 7–12\+ years shipping high\-reliability backend or ML systems (Python/TypeScript), cloud infra (AWS), containers (ECS/EKS), CI/CD, IaC, and secure integration patterns.
* Retrieval \&amp; data: Hands\-on with RAG, document stores/vector DBs (bonus: knowledge of Pinecone or early exposure to S3 Vectors), schema/versioning for code texts and comments.
* Evaluation mindset: Ability to design realistic, auditable testbeds; familiarity with agent benchmarks (and their pitfalls) and how to turn real user flows into acceptance tests.
* Safety \&amp; governance: Policy\-driven guardrails (Grounding checks, topic/word filters), auditability, and human\-in\-the\-loop controls.
* Domain empathy: Curiosity for building codes, plan sets, and reviewer workflows; comfort working with messy PDFs/CAD and plan\-review UX.
* Bedrock AgentCore knowledge: Nice to have \- comfort with Runtime (session isolation, 8\-hour sessions, large payloads), Memory, Gateway, Identity, Observability, and built\-in Browser/Code\-Interpreter.
* Nice\-to\-haves: CrewAI/AutoGen/LlamaIndex experience; Apryse or similar PDF tooling; geospatial data; prior work in AEC/reg\-tech.
 What success looks like
* 30 days: One production agent behind a feature flag with observability and a basic evaluation harness; measurable reduction in reviewer clicks/time on a scoped task in LiteTable. Hands on work with some aspect of our data to improve it for agentic work.
* 60 days: A small portfolio of cooperating agents (intake \+ doc QA \+ code lookup) in shadow/beta with Guardrails and human\-handoff paths; clear reliability SLOs.
* 90 days: Participation in developing a plan for agents driving ≥25% faster reviews on target flows; stable on\-call; cost/latency under thresholds; repeatable patterns/template repos useful for future agents.
****Why Join Us?****
* Shape the data platform and labeling strategy that future hires will depend on.
* Be an early technical leader on a high\-impact AI product and trailblaze the first AI model for the building compliance industry.
* Work directly with architects, engineers, and domain experts who shape the system
* Contribute to making the built world more efficient, sustainable, and safe
* Solve one of the most under\-explored AI problems in the real world (with a huge market size)
**Operating principles in action**
**Own It** 
 : You act like the CEO of our data layer—no broken pipelines on your watch.
**Solve Real Problems** 
 : Every schema, pipeline, and quality check exists to deliver ML‑ready data that shortens training cycles and lifts model performance—turning raw construction files into fuel for CV \&amp; LLM models.
**Full Send** 
 : You move with urgency, never at the expense of data integrity.
**Be Real** 
 : Radical candor about trade‑offs and technical debt keeps the team honest.
 If you’re ready to turn raw architectural drawings into the data engine that powers the first AI plan‑reviewer, we’d love to meet you.
****Thrive With GreenLite****
* Competitive Compensation \- Generous base salary \&amp; access to our Employee Equity Program, so you can grow with us.
* Performance\-Based Annual Bonuses \- Rewards for high\-impact results and contributions that move the needle.
* Premium Health Coverage \- Comprehensive medical, dental, and vision insurance for full\-time team members and their families.
* 401(k) Retirement Plan \- Helping you invest in your future with smart saving options.
* Parental Leave \- Generous parental leave for all parents to support your growing family.
* Wellness Support \- Monthly Wellness Stipend and full access to Wellhub, Talkspace, \&amp; Teladoc for your physical and mental well\-being.
* Weekly Team Lunches \- Enjoy catered lunches every week in our NYC office. Great food, better company.
* Company\-Wide Team All Hands \- Held twice a year, fostering transparency, alignment, and inspiration.
* Team\-Building Events \- Regular opportunities to connect, collaborate, and celebrate as a team.
* Unlimited PTO \- Flexible time off so you can recharge, travel, or take care of life as needed.
* Hybrid Work Environment – Our team thrives on collaboration, so we’re in the office 4 days per week. In the summer, from Memorial Day to Labor Day, we switch to a 3\-day in\-office schedule to give everyone extra flexibility.
****Equal Opportunity Statement****
 GreenLite values people from all walks of life and professional backgrounds. We understand not everyone will meet all the above qualifications on day one. That's okay. If you’re passionate about the construction industry and want the opportunity to grow in your career, we encourage you to apply.
*GreenLite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t>
        </is>
      </c>
    </row>
    <row r="66">
      <c r="A66" t="inlineStr">
        <is>
          <t>li-4361138599</t>
        </is>
      </c>
      <c r="B66" t="inlineStr">
        <is>
          <t>Python ML Engineer</t>
        </is>
      </c>
      <c r="C66" t="inlineStr">
        <is>
          <t>ExecutivePlacements.com</t>
        </is>
      </c>
      <c r="D66" t="inlineStr">
        <is>
          <t>linkedin</t>
        </is>
      </c>
      <c r="E66">
        <f>HYPERLINK("https://www.linkedin.com/jobs/view/4361138599", "https://www.linkedin.com/jobs/view/4361138599")</f>
        <v/>
      </c>
      <c r="F66" t="inlineStr"/>
      <c r="G66" t="inlineStr">
        <is>
          <t>Austin, TX</t>
        </is>
      </c>
      <c r="H66" t="inlineStr"/>
      <c r="I66" t="inlineStr">
        <is>
          <t>Our client, a leading organization in the technology and innovation sector, is seeking a Python ML Engineer to join their dynamic team. As a Python ML Engineer, you will be part of the Data Science and AI Development department supporting cross\-functional teams. The ideal candidate will demonstrate strong problem\-solving skills, collaborative spirit, and a passion for innovative solutions, which will align successfully within the organization.
**Job Title:** 
 Python ML Engineer
**Location:** 
 Austin, TX (Onsite)
**Pay Range: Best in the segment on W2**
**What's the Job?**
* Lead the development and deployment of AI/ML models to solve complex business problems.
* Collaborate with stakeholders to translate high\-level designs into detailed technical solutions.
* Guide and mentor team members to ensure high\-quality project delivery within Agile frameworks.
* Design, architect, and deploy cloud\-native applications on platforms such as Pivotal Cloud Foundry (PCF) or GCP.
* Integrate AI\-driven tools and models into existing systems to enhance data analytics, visualization, and automation capabilities.
**What's Needed?**
* Extensive hands\-on experience with Python programming.
* At least 10 years of leadership experience in software development.
* Proven expertise in AI/ML model development and deployment.
* Strong knowledge of development systems, system design, and cloud\-native architectures.
* Experience working with databases such as MongoDB, Aerospike, Microsoft SQL Server, or PostgreSQL.
**What's in it for me?**
* Opportunity to work on cutting\-edge AI/ML projects in a collaborative environment.
* Engagement with innovative cloud\-native technologies and tools.
* Chance to lead and mentor diverse teams across multiple domains.
* Work in a supportive environment that values continuous learning and professional growth.
* Participation in a forward\-thinking organization committed to technological excellence.
**Upon Completion Of Waiting Period Consultants Are Eligible For**
* Medical and Prescription Drug Plans
* Dental Plan
* Vision Plan
* 401(k), Plus Match
*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**Manpower, Experis, Talent Solutions, and Jefferson Wells**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t>
        </is>
      </c>
    </row>
    <row r="67">
      <c r="A67" t="inlineStr">
        <is>
          <t>li-4360778654</t>
        </is>
      </c>
      <c r="B67" t="inlineStr">
        <is>
          <t>AI/ML Engineer</t>
        </is>
      </c>
      <c r="C67" t="inlineStr">
        <is>
          <t>ExecutivePlacements.com</t>
        </is>
      </c>
      <c r="D67" t="inlineStr">
        <is>
          <t>linkedin</t>
        </is>
      </c>
      <c r="E67">
        <f>HYPERLINK("https://www.linkedin.com/jobs/view/4360778654", "https://www.linkedin.com/jobs/view/4360778654")</f>
        <v/>
      </c>
      <c r="F67" t="inlineStr"/>
      <c r="G67" t="inlineStr">
        <is>
          <t>Minneapolis, MN</t>
        </is>
      </c>
      <c r="H67" t="inlineStr"/>
      <c r="I67" t="inlineStr">
        <is>
          <t>Supports and performs the development and programming of machine learning integrated software algorithms to structure, analyze, and leverage data in a production environment.
**Core Responsibilities**
* Leverages data pipeline designs and supports the development of data pipelines to support model development. Proficient with software tools that develop data pipelines in a distributed computing environment (PySprak, GlueETL).
* Supports integration of model pipelines in a production environment. Develops understanding of SDLC for model production.
* Reviews pipeline designs, makes data model design changes as needed. Documents and reviews design changes with data science teams.
* Supports data discovery \&amp; automated ingestion for model development. Performs detailed analysis of raw data sources for data quality, applies business context, and model development needs.
* Engages with internal stakeholders to understand and probe business processes in order to develop hypotheses. Brings structure to requests and translates requirements into an analytic approach. Participates in and influences ongoing business planning and departmental prioritization activities.
* Runs model monitoring scripts, follows process for alerts to management as needed. Addresses issues found in data pipelines from model monitoring alerts.
* Participates in special projects and performs other duties as assigned.
**Qualifications**
* Gen AI experience \- finetuning SLMs , application evaluation
* Experience with AWS suite of tools such as bedrock , agent core
* Undergraduate degree or equivalent combination of training and experience.
* Minimum of five years related work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68">
      <c r="A68" t="inlineStr">
        <is>
          <t>li-4352732442</t>
        </is>
      </c>
      <c r="B68" t="inlineStr">
        <is>
          <t>AI Engineer</t>
        </is>
      </c>
      <c r="C68" t="inlineStr">
        <is>
          <t>TechTrend, Inc.</t>
        </is>
      </c>
      <c r="D68" t="inlineStr">
        <is>
          <t>linkedin</t>
        </is>
      </c>
      <c r="E68">
        <f>HYPERLINK("https://www.linkedin.com/jobs/view/4352732442", "https://www.linkedin.com/jobs/view/4352732442")</f>
        <v/>
      </c>
      <c r="F68" t="inlineStr"/>
      <c r="G68" t="inlineStr">
        <is>
          <t>Reston, VA</t>
        </is>
      </c>
      <c r="H68" t="inlineStr"/>
      <c r="I68" t="inlineStr">
        <is>
          <t>TechTrend is seeking a talented AI Engineer to join our AI Rapid Innovation team. Using a modern technology stack and agile approach, in this role you will have the opportunity to lead the development and prototyping of cutting\-edge AI solutions that transform how our clients leverage artificial intelligence in their operations.
 Be a member of an environment that thrives on innovation and ideas of all members of the team. Our environment is highly collaborative and allows you the opportunity to continue building your skills through training and multiple diverse projects while mentoring and guiding technical team members.
**Duties and Responsibilities:** 
 · Design, develop, and prototype innovative AI solutions primarily using Google Cloud Platform (GCP) AI/ML services including Vertex AI, AI Platform, Document AI, and related technologies.
 · Partner with stakeholders, product teams, and technical leadership to rapidly solution and architect AI capabilities that address complex business challenges for major U.S. Government customers.
 · Collaborate closely with business teams, data scientists, and IT professionals to translate business requirements into scalable, production\-ready AI solutions.
 · Architect and implement end\-to\-end AI pipelines including data ingestion, model training, deployment, monitoring, and continuous improvement using GCP native services.
 · Develop proof\-of\-concepts and prototypes that demonstrate the art\-of\-the\-possible with generative AI, large language models (LLMs), computer vision, natural language processing, and predictive analytics.
 · Leverage experience with Azure AI services (Azure OpenAI, Azure Machine Learning, Cognitive Services) to provide cross\-cloud AI solutions when required.
 · Implement responsible AI practices including model explainability, bias detection, security controls, and compliance with industry standards and government regulations.
 · Work within DevOps/MLOps environments to automate infrastructure provisioning, model deployment, and monitoring using Infrastructure as Code (IaC) tools.
 · Create comprehensive technical documentation including architecture diagrams, API specifications, model cards, and operational runbooks for AI solutions.
 · Demonstrate a high degree of adaptability and willingness to take on varied responsibilities, often beyond the initial scope of the role, to meet evolving business needs and contribute to cross\-functional initiatives.
 · Stay current with emerging AI technologies, tools, and best practices, and evangelize innovations within the team and to client stakeholders.
**Required Qualifications:** 
 · Bachelor's degree in Computer Science, Software Engineering, Data Science, Artificial Intelligence, or related technical field
 · 2\+ years of hands\-on software development experience with demonstrated expertise in Python, and familiarity with frameworks such as TensorFlow, PyTorch, scikit\-learn, LangChain, or similar
 · 2\+ years of experience in a technical leadership or team lead capacity, including mentoring developers and guiding technical decisions
 · Proven experience designing and deploying AI/ML solutions in Google Cloud Platform, with hands\-on knowledge of Vertex AI, BigQuery ML, Document AI, or other GCP AI services
 · Strong understanding of machine learning fundamentals, model development lifecycle, and production ML system design
 · Experience with containerization (Docker, Kubernetes/GKE) and orchestration of AI workloads in cloud environments
 · Familiarity with vector databases, embeddings, and retrieval\-augmented generation (RAG) architectures for generative AI applications
 · Experience with API development and integration using REST, gRPC, or similar protocols
 · Strong problem\-solving skills with ability to rapidly prototype and iterate on AI solutions
**Preferred Qualifications:** 
 · Google Cloud Professional Machine Learning Engineer or Professional Cloud Architect certification
 · Experience with Azure AI services (Azure OpenAI Service, Azure Cognitive Services)
 · Familiarity with generative AI platforms and frameworks (OpenAI API, Gemini, etc.)
 · Experience with data engineering tools and practices
 · Knowledge of AI security, model governance, and responsible AI practices
**Work Details:** 
 · Work Location: Hybrid \- Must live within commutable distance to Reston, VA
 · Travel Requirements: Minimal travel (10% or less)
 · Job Type: Full\-time
**Benefits:** 
 · Medical, Dental and Vision Insurance
 · Life, Short and Long\-term Disability Insurance
 · PTO \&amp; All federal holidays off
 · 401(k) Plan (matching component included)
 · Free Gym Access at Headquarters
 TechTrend, Inc. is a Small Business providing IT products and services to both the government and commercial markets. We were founded in 2003 and continue to evolve as a leading provider of enterprise\-wide services and technology solutions. TechTrend is a noted and trusted partner to our clients who seek our knowledge and guidance for their most critical and complex IT projects. TechTrend's mission is to provide comprehensive, enterprise\-wide IT solutions to our clients' complex challenges. We serve as a liaison for positive organizational change by forming relationships and building bridges across functions, gaining buy\-in from both leaders and end\-users, and removing barriers to mission success. Our established processes ensure quality delivery of results by maximizing efficiency, productivity, and client satisfaction enterprise\-wide.</t>
        </is>
      </c>
    </row>
    <row r="69">
      <c r="A69" t="inlineStr">
        <is>
          <t>li-4352616486</t>
        </is>
      </c>
      <c r="B69" t="inlineStr">
        <is>
          <t>AI Engineer- work on agentic healthcare systems- $200,000-$350,000 base plus bonus!</t>
        </is>
      </c>
      <c r="C69" t="inlineStr">
        <is>
          <t>Saragossa</t>
        </is>
      </c>
      <c r="D69" t="inlineStr">
        <is>
          <t>linkedin</t>
        </is>
      </c>
      <c r="E69">
        <f>HYPERLINK("https://www.linkedin.com/jobs/view/4352616486", "https://www.linkedin.com/jobs/view/4352616486")</f>
        <v/>
      </c>
      <c r="F69" t="inlineStr"/>
      <c r="G69" t="inlineStr"/>
      <c r="H69" t="inlineStr"/>
      <c r="I69" t="inlineStr">
        <is>
          <t>Are you looking to build production AI systems that drive real business outcomes and see your work used daily across some of the largest healthcare organizations in the country?
 In this role, you won’t be experimenting in isolation or building generic copilots. You’ll help define how agentic AI systems transform healthcare revenue cycle operations, enabling providers to focus on delivering exceptional patient care. You’ll bring strong technical judgment, a builder’s mindset, and a deep appreciation for business context to create AI systems that actually get deployed, measured, and improved.
 As an AI Engineer, you’ll design, build, and own AI\-driven solutions end to end. You’ll develop LLM\-powered agents that reason over messy, unstructured healthcare data and execute clearly defined business workflows. Partnering closely with healthcare domain experts, product managers, and engineers, you’ll perform context engineering, design agentic evaluation frameworks, and continuously improve model performance in production.
 To succeed in this role, you should bring proven experience building and operating production AI system
 **s** 
 , comfort owning the full lifecycle from model selection through deployment, and the ability to connect abstract modeling decisions to real business value. Hands\-on experience with LLMs, ML systems in production, and evaluation frameworks is essential, as is familiarity with modern AI tooling such as PyTorch, TensorFlow, Hugging Face, Databricks, AWS Bedrock, or Azure ML.
 You will ideally also have experience working in both a FAANG company and a healthcare firm or health\-tech startup.
 You’ll be joining a team with the energy of a startup, backed by strong revenue, clear ROI, and the opportunity to build agentic AI at enterprise scale while maintaining true ownership and velocity.
 Salary: $200,000\-$350,000 base
 Apply now! No up\-to\-date resume required.</t>
        </is>
      </c>
    </row>
    <row r="70">
      <c r="A70" t="inlineStr">
        <is>
          <t>li-4361108133</t>
        </is>
      </c>
      <c r="B70" t="inlineStr">
        <is>
          <t>AI Engineer – Routing &amp; Network Optimization</t>
        </is>
      </c>
      <c r="C70" t="inlineStr">
        <is>
          <t>Gallatin AI, Inc.</t>
        </is>
      </c>
      <c r="D70" t="inlineStr">
        <is>
          <t>linkedin</t>
        </is>
      </c>
      <c r="E70">
        <f>HYPERLINK("https://www.linkedin.com/jobs/view/4361108133", "https://www.linkedin.com/jobs/view/4361108133")</f>
        <v/>
      </c>
      <c r="F70">
        <f>HYPERLINK("https://www.gallatin.ai/careers?ashby_jid=9a4877a3-b3c6-4b1a-a942-d6f46abcfdae&amp;utm_source=2VOvQ1B7jl&amp;urlHash=nqfW", "https://www.gallatin.ai/careers?ashby_jid=9a4877a3-b3c6-4b1a-a942-d6f46abcfdae&amp;utm_source=2VOvQ1B7jl&amp;urlHash=nqfW")</f>
        <v/>
      </c>
      <c r="G70" t="inlineStr">
        <is>
          <t>El Segundo, CA</t>
        </is>
      </c>
      <c r="H70" t="inlineStr"/>
      <c r="I70" t="inlineStr">
        <is>
          <t>****AI Engineer – Routing \&amp; Network Optimizatio****
**About Gallatin**
 At Gallatin, we are rebuilding defense logistics for the warfighters of the United States and allied forces. We take an AI\-first approach to modernizing how materiel, fuel, and equipment move from factory to foxhole—so commanders and operators can make faster, better, and safer decisions under uncertainty.
 We believe that transformational systems are built shoulder\-to\-shoulder, not over Zoom, and we operate from our offices in El Segundo, California and Austin, Texas.
**About The Role**
 We’re looking for an AI Engineer – Routing \&amp; Network Optimization to own how supplies, vehicles, and materiel move across Gallatin’s global distribution networks.
 In this role, you will build the systems that determine how things move through time\-phased, capacity\-constrained, and risk\-aware networks at scale. Your work transforms AI\-driven intent and operational demand into optimal, executable routes across thousands of assets and nodes.
 You will work closely with feasibility, packing, optimization, and AI\-agent teams to ensure routing decisions are correct, scalable, and resilient under real\-world operational volatility.
**What You’ll Do**
**Build \&amp; Own Routing and Network Models**
* Design and implement routing models across transportation, warehousing, and resupply networks.
* Encode constraints related to:
+ Distance and time
+ Asset and lane capacity
+ Availability, readiness, and risk
* Support multi\-hop, time\-phased, and event\-aware routing across dynamic networks.
**Algorithm Engineering \&amp; Optimization**
* Implement and tune routing solvers using exact, heuristic, and hybrid algorithms.
* Scale routing algorithms to large graphs, real\-time updates, and uncertain inputs.
* Evaluate tradeoffs between solution quality, runtime, and operational robustness.
**Network Data Ownership**
* Own routing datasets including nodes, edges, costs, capacities, and constraints.
* Validate and maintain network representations used by all routing and planning systems.
* Handle data gaps, uncertainty, and changing network conditions without breaking execution.
**Production Integration**
* Integrate routing systems into real\-time and batch planning pipelines.
* Partner with feasibility, simulation, and execution teams to validate route executability.
* Support scenario testing, what\-if analysis, and iterative optimization based on real operational feedback.
**What We’re Looking For**
**Strong Engineering \&amp; Optimization Skills**
* Strong programming skills in Python or similar, with experience translating mathematical models into production\-grade systems.
* Experience integrating routing or optimization algorithms into live planning pipelines with monitoring, validation, and performance tuning.
**Operations Research \&amp; Network Optimization Background**
* Degree or equivalent experience in Operations Research, Applied Math, Industrial Engineering, Computer Science, or related field.
* Strong foundation in:
+ Graph theory and network optimization
+ Shortest\-path algorithms (Dijkstra, A\*, Bellman\-Ford)
+ Network flow models (max flow, min cut, min\-cost flow)
* Experience with VRP, capacitated routing, or routing with time windows.
* Experience with large\-scale graphs, time\-expanded networks, or multi\-commodity flow models.
* Hands\-on experience with modeling languages and solvers such as Pyomo, GAMS, AMPL, CPLEX, or Gurobi.
**Systems Thinking**
* Ability to reason about scale, uncertainty, and time\-dependent systems.
* Comfort owning routing logic and data end\-to\-end.
* Strong performance, correctness, and reliability mindset in high\-stakes environments.
**Bonus Points**
* Experience with vehicle routing or transportation systems.
* Experience working alongside simulation or digital\-twin teams.
* Exposure to defense, government, or mission\-critical logistics.
* Experience with ML models, experimentation (A/B testing), or causal inference.
* Experience in data operationalization and production analytics.
**Why Gallatin?**
* Build the core routing engines that power modern defense logistics.
* Work on real operational problems where minutes, miles, and misroutes matter.
* Collaborate with AI, optimization, and defense experts in a fast\-moving, mission\-driven startup.
* Competitive compensation including generous equity, 100% employer\-paid health insurance, 401(k), unlimited PTO, and catered meals.
 This position requires the ability to obtain and maintain a U.S. security clearance and work in classified environments when necessary.
 If you’re not excited about building the routing intelligence behind modern warfare logistics, this role isn’t for you.</t>
        </is>
      </c>
    </row>
    <row r="71">
      <c r="A71" t="inlineStr">
        <is>
          <t>li-4360768828</t>
        </is>
      </c>
      <c r="B71" t="inlineStr">
        <is>
          <t>AI Engineer – Routing &amp; Network Optimization</t>
        </is>
      </c>
      <c r="C71" t="inlineStr">
        <is>
          <t>Gallatin AI, Inc.</t>
        </is>
      </c>
      <c r="D71" t="inlineStr">
        <is>
          <t>linkedin</t>
        </is>
      </c>
      <c r="E71">
        <f>HYPERLINK("https://www.linkedin.com/jobs/view/4360768828", "https://www.linkedin.com/jobs/view/4360768828")</f>
        <v/>
      </c>
      <c r="F71" t="inlineStr"/>
      <c r="G71" t="inlineStr">
        <is>
          <t>Austin, TX</t>
        </is>
      </c>
      <c r="H71" t="inlineStr"/>
      <c r="I71" t="inlineStr">
        <is>
          <t>****AI Engineer – Routing \&amp; Network Optimizatio****
**About Gallatin**
 At Gallatin, we are rebuilding defense logistics for the warfighters of the United States and allied forces. We take an AI\-first approach to modernizing how materiel, fuel, and equipment move from factory to foxhole—so commanders and operators can make faster, better, and safer decisions under uncertainty.
 We believe that transformational systems are built shoulder\-to\-shoulder, not over Zoom, and we operate from our offices in El Segundo, California and Austin, Texas.
**About The Role**
 We’re looking for an AI Engineer – Routing \&amp; Network Optimization to own how supplies, vehicles, and materiel move across Gallatin’s global distribution networks.
 In this role, you will build the systems that determine how things move through time\-phased, capacity\-constrained, and risk\-aware networks at scale. Your work transforms AI\-driven intent and operational demand into optimal, executable routes across thousands of assets and nodes.
 You will work closely with feasibility, packing, optimization, and AI\-agent teams to ensure routing decisions are correct, scalable, and resilient under real\-world operational volatility.
**What You’ll Do**
**Build \&amp; Own Routing and Network Models**
* Design and implement routing models across transportation, warehousing, and resupply networks.
* Encode constraints related to:
+ Distance and time
+ Asset and lane capacity
+ Availability, readiness, and risk
* Support multi\-hop, time\-phased, and event\-aware routing across dynamic networks.
**Algorithm Engineering \&amp; Optimization**
* Implement and tune routing solvers using exact, heuristic, and hybrid algorithms.
* Scale routing algorithms to large graphs, real\-time updates, and uncertain inputs.
* Evaluate tradeoffs between solution quality, runtime, and operational robustness.
**Network Data Ownership**
* Own routing datasets including nodes, edges, costs, capacities, and constraints.
* Validate and maintain network representations used by all routing and planning systems.
* Handle data gaps, uncertainty, and changing network conditions without breaking execution.
**Production Integration**
* Integrate routing systems into real\-time and batch planning pipelines.
* Partner with feasibility, simulation, and execution teams to validate route executability.
* Support scenario testing, what\-if analysis, and iterative optimization based on real operational feedback.
**What We’re Looking For**
**Strong Engineering \&amp; Optimization Skills**
* Strong programming skills in Python or similar, with experience translating mathematical models into production\-grade systems.
* Experience integrating routing or optimization algorithms into live planning pipelines with monitoring, validation, and performance tuning.
**Operations Research \&amp; Network Optimization Background**
* Degree or equivalent experience in Operations Research, Applied Math, Industrial Engineering, Computer Science, or related field.
* Strong foundation in:
+ Graph theory and network optimization
+ Shortest\-path algorithms (Dijkstra, A\*, Bellman\-Ford)
+ Network flow models (max flow, min cut, min\-cost flow)
* Experience with VRP, capacitated routing, or routing with time windows.
* Experience with large\-scale graphs, time\-expanded networks, or multi\-commodity flow models.
* Hands\-on experience with modeling languages and solvers such as Pyomo, GAMS, AMPL, CPLEX, or Gurobi.
**Systems Thinking**
* Ability to reason about scale, uncertainty, and time\-dependent systems.
* Comfort owning routing logic and data end\-to\-end.
* Strong performance, correctness, and reliability mindset in high\-stakes environments.
**Bonus Points**
* Experience with vehicle routing or transportation systems.
* Experience working alongside simulation or digital\-twin teams.
* Exposure to defense, government, or mission\-critical logistics.
* Experience with ML models, experimentation (A/B testing), or causal inference.
* Experience in data operationalization and production analytics.
**Why Gallatin?**
* Build the core routing engines that power modern defense logistics.
* Work on real operational problems where minutes, miles, and misroutes matter.
* Collaborate with AI, optimization, and defense experts in a fast\-moving, mission\-driven startup.
* Competitive compensation including generous equity, 100% employer\-paid health insurance, 401(k), unlimited PTO, and catered meals.
 This position requires the ability to obtain and maintain a U.S. security clearance and work in classified environments when necessary.
 If you’re not excited about building the routing intelligence behind modern warfare logistics, this role isn’t for you.</t>
        </is>
      </c>
    </row>
    <row r="72">
      <c r="A72" t="inlineStr">
        <is>
          <t>li-4354411461</t>
        </is>
      </c>
      <c r="B72" t="inlineStr">
        <is>
          <t>AI Engineer</t>
        </is>
      </c>
      <c r="C72" t="inlineStr">
        <is>
          <t>Orion</t>
        </is>
      </c>
      <c r="D72" t="inlineStr">
        <is>
          <t>linkedin</t>
        </is>
      </c>
      <c r="E72">
        <f>HYPERLINK("https://www.linkedin.com/jobs/view/4354411461", "https://www.linkedin.com/jobs/view/4354411461")</f>
        <v/>
      </c>
      <c r="F72" t="inlineStr"/>
      <c r="G72" t="inlineStr">
        <is>
          <t>Jacksonville, FL</t>
        </is>
      </c>
      <c r="H72" t="inlineStr"/>
      <c r="I72" t="inlineStr">
        <is>
          <t>**About This Opportunity**
 As an AI Engineer, you will have a hands\-on AI Engineer role focused on building, deploying, and maintaining end\-to\-end AI/ML systems, pipelines, and applications. You will work closely with senior AI engineers while independently owning well\-scoped projects and shipping production\-ready code. There is emphasis on strong software engineering, data pipelines, cloud infrastructure, containerization, and LLM\-based workflows. This position offers close mentorship, real\-world production experience, and a clear growth path toward senior AI/ML or data engineering roles. As we continue to evolve and live our Orion values, we are looking for someone to grow with us.
**For External Candidates**
 Candidates must work in\-office at one of the following locations for at least 3 days per week: Omaha, NE; Berwyn, PA; Hebron, KY; Chandler, AZ; Jacksonville, FL or Lehi, UT.
**For Internal Candidates**
*A* 
 ll internal employees, regardless of their current work arrangement (remote or in\-office), are encouraged to apply.
**In This Role, You’ll Get To**
* Design, build, and deploy end\-to\-end AI/ML systems, including model workflows, data pipelines, and deployment architectures
* Develop and maintain reliable, scalable data pipelines for structured and unstructured data
* Write clean, maintainable, and well\-tested code following software engineering best practices
* Work with cloud infrastructure, including containerization and orchestration tools
* Monitor, troubleshoot, and optimize AI workflows and data pipelines for performance and reliability
* Collaborate with cross\-functional teams to integrate AI solutions into production systems
**We’re Looking For Talent Who**
* Has strong programming and software engineering skills (Python, JavaScript, or similar languages)
* Has experience designing and maintaining AI/ML systems, workflows, and pipelines
* Has data engineering skills, including ETL processes and handling structured and unstructured data
* Has familiarity with cloud platforms (AWS, GCP, or Azure) and infrastructure concepts
* Has experience with containerization and orchestration tools (e.g., Docker, Kubernetes)
* Has hands\-on experience with LLMs and prompt engineering
* Has ability to troubleshoot, optimize, and improve system performance and reliability
* Has strong collaboration skills, paired with the ability to work independently and learn quickly
* Has a minimum of a bachelors degree
* Has a minimum of 3 years of experience
* Owns and manages relationships with stakeholders directly and works effectively with people at all levels in an organization
**Salary Range**
 $108,245\.00 \- $169,933\.00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73">
      <c r="A73" t="inlineStr">
        <is>
          <t>li-4361255826</t>
        </is>
      </c>
      <c r="B73" t="inlineStr">
        <is>
          <t>Lead Machine Learning Engineer</t>
        </is>
      </c>
      <c r="C73" t="inlineStr">
        <is>
          <t>Salesforce</t>
        </is>
      </c>
      <c r="D73" t="inlineStr">
        <is>
          <t>linkedin</t>
        </is>
      </c>
      <c r="E73">
        <f>HYPERLINK("https://www.linkedin.com/jobs/view/4361255826", "https://www.linkedin.com/jobs/view/4361255826")</f>
        <v/>
      </c>
      <c r="F73">
        <f>HYPERLINK("https://salesforce.wd12.myworkdayjobs.com/External_Career_Site/job/California\u002d\u002d-Palo-Alto/Lead-Machine-Learning-Engineer_JR322456?source=LinkedIn_Jobs&amp;urlHash=RfG_", "https://salesforce.wd12.myworkdayjobs.com/External_Career_Site/job/California\u002d\u002d-Palo-Alto/Lead-Machine-Learning-Engineer_JR322456?source=LinkedIn_Jobs&amp;urlHash=RfG_")</f>
        <v/>
      </c>
      <c r="G73" t="inlineStr">
        <is>
          <t>Palo Alto, CA</t>
        </is>
      </c>
      <c r="H73" t="inlineStr"/>
      <c r="I7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74">
      <c r="A74" t="inlineStr">
        <is>
          <t>li-4354810920</t>
        </is>
      </c>
      <c r="B74" t="inlineStr">
        <is>
          <t>AI Engineer</t>
        </is>
      </c>
      <c r="C74" t="inlineStr">
        <is>
          <t>Orion</t>
        </is>
      </c>
      <c r="D74" t="inlineStr">
        <is>
          <t>linkedin</t>
        </is>
      </c>
      <c r="E74">
        <f>HYPERLINK("https://www.linkedin.com/jobs/view/4354810920", "https://www.linkedin.com/jobs/view/4354810920")</f>
        <v/>
      </c>
      <c r="F74" t="inlineStr"/>
      <c r="G74" t="inlineStr">
        <is>
          <t>Cincinnati metropolitan area, OH</t>
        </is>
      </c>
      <c r="H74" t="inlineStr"/>
      <c r="I74" t="inlineStr">
        <is>
          <t>**About This Opportunity**
 As an AI Engineer, you will have a hands\-on AI Engineer role focused on building, deploying, and maintaining end\-to\-end AI/ML systems, pipelines, and applications. You will work closely with senior AI engineers while independently owning well\-scoped projects and shipping production\-ready code. There is emphasis on strong software engineering, data pipelines, cloud infrastructure, containerization, and LLM\-based workflows. This position offers close mentorship, real\-world production experience, and a clear growth path toward senior AI/ML or data engineering roles. As we continue to evolve and live our Orion values, we are looking for someone to grow with us.
**For External Candidates**
 Candidates must work in\-office at one of the following locations for at least 3 days per week: Omaha, NE; Berwyn, PA; Hebron, KY; Chandler, AZ; Jacksonville, FL or Lehi, UT.
**For Internal Candidates**
*A* 
 ll internal employees, regardless of their current work arrangement (remote or in\-office), are encouraged to apply.
**In This Role, You’ll Get To**
* Design, build, and deploy end\-to\-end AI/ML systems, including model workflows, data pipelines, and deployment architectures
* Develop and maintain reliable, scalable data pipelines for structured and unstructured data
* Write clean, maintainable, and well\-tested code following software engineering best practices
* Work with cloud infrastructure, including containerization and orchestration tools
* Monitor, troubleshoot, and optimize AI workflows and data pipelines for performance and reliability
* Collaborate with cross\-functional teams to integrate AI solutions into production systems
**We’re Looking For Talent Who**
* Has strong programming and software engineering skills (Python, JavaScript, or similar languages)
* Has experience designing and maintaining AI/ML systems, workflows, and pipelines
* Has data engineering skills, including ETL processes and handling structured and unstructured data
* Has familiarity with cloud platforms (AWS, GCP, or Azure) and infrastructure concepts
* Has experience with containerization and orchestration tools (e.g., Docker, Kubernetes)
* Has hands\-on experience with LLMs and prompt engineering
* Has ability to troubleshoot, optimize, and improve system performance and reliability
* Has strong collaboration skills, paired with the ability to work independently and learn quickly
* Has a minimum of a bachelors degree
* Has a minimum of 3 years of experience
* Owns and manages relationships with stakeholders directly and works effectively with people at all levels in an organization
**Salary Range**
 $108,245\.00 \- $169,933\.00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75">
      <c r="A75" t="inlineStr">
        <is>
          <t>li-4354791370</t>
        </is>
      </c>
      <c r="B75" t="inlineStr">
        <is>
          <t>Principal Computer Vision ML Engineer</t>
        </is>
      </c>
      <c r="C75" t="inlineStr">
        <is>
          <t>Loopr AI</t>
        </is>
      </c>
      <c r="D75" t="inlineStr">
        <is>
          <t>linkedin</t>
        </is>
      </c>
      <c r="E75">
        <f>HYPERLINK("https://www.linkedin.com/jobs/view/4354791370", "https://www.linkedin.com/jobs/view/4354791370")</f>
        <v/>
      </c>
      <c r="F75" t="inlineStr"/>
      <c r="G75" t="inlineStr">
        <is>
          <t>Redmond, WA</t>
        </is>
      </c>
      <c r="H75" t="inlineStr"/>
      <c r="I75" t="inlineStr">
        <is>
          <t>**Principal Computer Vision Machine Learning Engineer** 
**DO NOT APPLY IF YOU ARE NOT A US CITIZEN OR PERMANENT RESIDENT \- Your application will be rejected due to requirement for handling sensitive government data.** 
**REQUIREMENTS TO APPLY** 
* Seattle, WA \- In\-office several days per week
* US citizens and permanent residents only due to handling government data
* Minimum 5 years corporate experience with Computer Vision beyond potential academic/lab experience
 Loopr AI is revolutionizing the manufacturing industry with its visual inspection AI solution for quality assurance.
 The solution is specifically designed to tackle the costly quality control issues that plague manufacturers, representing a $300 billion market opportunity annually. Moreover, Loopr AI is addressing the critical challenge of workforce attrition, a significant concern given that 25% of the manufacturing workforce is approaching retirement.
 Our platform is capable of identifying defects and verifying assembly of complex parts with unparalleled precision, making it the ultimate quality inspector. It also acts as a comprehensive knowledge base, capturing invaluable process expertise and serving as a foundational data repository for training sophisticated language models.
 We have built a cutting\-edge micro\-service architecture where we leverage latest computer vision AI models in the backend to run inference on real\-time video, store inference results in a scalable middleware and present them to a user friendly front\-end whose experience is optimized for operators using the app in a factory. The platform can easily integrate with customer's MES system or ERP to drive real\-time actions and QMS and data warehouses. The platform also includes rich quality intelligence and analytics utilizing AI Agents.
 We are seeking a highly skilled and motivated ML Engineer to join our Machine Learning team. You will play a key role in leading the implementation and development of computer vision algorithms and techniques to solves complex vision problems of our customers in the manufacturing and aerospace industries. You will also play a key role in guiding the product roadmap of the company with innovation to help create other powerful solutions and greater efficiency.
 If you are excited to work on these technologies and have proven experience in developing and deploying production grade computer vision and ML algorithms outside of academia then we'd love to connect with you. You will have end to end design, development and delivery ownership of key components.
 Please note: This role requires candidates to have existing US Citizenship or Permanent Residence (Green Card)
 Location: Seattle, WA
 Responsibilities:
1. Design and train deep learning models for object detection, image segmentation, and image classification tasks.
2. Collaborate with cross\-functional teams to understand project requirements and provide technical expertise in computer vision.
3. Use Azure \&amp; ML Flow services to orchestrate complex computer vision pipelines and workflows for large\-scale data processing and to track, manage, and reproduce experiments and models, ensuring reproducibility and scalability.
4. Integrate computer vision models into production application using Python libraries and other relevant technologies.
5. Optimize computer vision models for performance, efficiency, and accuracy on various hardware platforms, including server and edge deployments.
6. Stay up to date with the latest advancements in computer vision and machine learning research to enhance the company's capabilities.
7. Collaborate with clients and stakeholders to understand their needs, propose solutions, and deliver results that meet their requirements.
 Minimum Requirements:
1. **DO NOT APPLY IF YOU ARE NOT A US CITIZEN OR PERMANENT RESIDENT \- Your application will be rejected due to requirement for handling sensitive government data.**
2. Ability to work in Seattle office several days a week
3. Bachelor’s, Master's, or PhD in Computer Science, Informatics, Physics, or a related field.
4. 7\+ years of proven experience in computer vision, deep learning, and image processing, with a strong portfolio of projects. Experience in manufacturing or manufacturing adjacent industries is preferred.
5. High level of Python proficiency, experience with relevant computer vision libraries (e.g., OpenCV, TensorFlow, PyTorch), and proficiency with Linux/bash
6. Experience building, deploying, and maintaining production ML systems.
7. Experience with cloud platforms, especially Azure, for deploying and scaling computer vision models.
8. Knowledge of containerization technologies (e.g., Docker, Kubernetes) for deploying computer vision models.
9. Strong problem\-solving skills and the ability to work on challenging computer vision tasks, while ensuring the right tools are used for the given task.
10. Independent and self\-driven with the ability to bring crazy ideas and innovation to the company, not just technical skills.
11. Excellent communication skills and the ability to collaborate effectively with cross\-functional teams and clients.
 Joining Loopr AI offers an exciting opportunity to work with a dynamic team at the forefront of computer vision technology. You will have the chance to contribute to cutting\-edge projects, collaborate with industry experts, and make a significant impact in solving real\-world challenges using computer vision techniques.
 Benefits: Stock Options, Medical/Dental/Vision insurance, Discretionary Time Off, Hybrid work environment
**DO NOT APPLY IF YOU ARE NOT A US CITIZEN OR PERMANENT RESIDENT \- Your application will be rejected due to requirement for handling sensitive government data.** 
 Loopr AI is an equal opportunity employer and does not discriminate based on national origin, race, religion, gender, orientation, identity, disabilities or veteran status.</t>
        </is>
      </c>
    </row>
    <row r="76">
      <c r="A76" t="inlineStr">
        <is>
          <t>li-4354441460</t>
        </is>
      </c>
      <c r="B76" t="inlineStr">
        <is>
          <t>AI Engineer</t>
        </is>
      </c>
      <c r="C76" t="inlineStr">
        <is>
          <t>Orion</t>
        </is>
      </c>
      <c r="D76" t="inlineStr">
        <is>
          <t>linkedin</t>
        </is>
      </c>
      <c r="E76">
        <f>HYPERLINK("https://www.linkedin.com/jobs/view/4354441460", "https://www.linkedin.com/jobs/view/4354441460")</f>
        <v/>
      </c>
      <c r="F76" t="inlineStr"/>
      <c r="G76" t="inlineStr">
        <is>
          <t>Lehi, UT</t>
        </is>
      </c>
      <c r="H76" t="inlineStr"/>
      <c r="I76" t="inlineStr">
        <is>
          <t>**About This Opportunity**
 As an AI Engineer, you will have a hands\-on AI Engineer role focused on building, deploying, and maintaining end\-to\-end AI/ML systems, pipelines, and applications. You will work closely with senior AI engineers while independently owning well\-scoped projects and shipping production\-ready code. There is emphasis on strong software engineering, data pipelines, cloud infrastructure, containerization, and LLM\-based workflows. This position offers close mentorship, real\-world production experience, and a clear growth path toward senior AI/ML or data engineering roles. As we continue to evolve and live our Orion values, we are looking for someone to grow with us.
**For External Candidates**
 Candidates must work in\-office at one of the following locations for at least 3 days per week: Omaha, NE; Berwyn, PA; Hebron, KY; Chandler, AZ; Jacksonville, FL or Lehi, UT.
**For Internal Candidates**
*A* 
 ll internal employees, regardless of their current work arrangement (remote or in\-office), are encouraged to apply.
**In This Role, You’ll Get To**
* Design, build, and deploy end\-to\-end AI/ML systems, including model workflows, data pipelines, and deployment architectures
* Develop and maintain reliable, scalable data pipelines for structured and unstructured data
* Write clean, maintainable, and well\-tested code following software engineering best practices
* Work with cloud infrastructure, including containerization and orchestration tools
* Monitor, troubleshoot, and optimize AI workflows and data pipelines for performance and reliability
* Collaborate with cross\-functional teams to integrate AI solutions into production systems
**We’re Looking For Talent Who**
* Has strong programming and software engineering skills (Python, JavaScript, or similar languages)
* Has experience designing and maintaining AI/ML systems, workflows, and pipelines
* Has data engineering skills, including ETL processes and handling structured and unstructured data
* Has familiarity with cloud platforms (AWS, GCP, or Azure) and infrastructure concepts
* Has experience with containerization and orchestration tools (e.g., Docker, Kubernetes)
* Has hands\-on experience with LLMs and prompt engineering
* Has ability to troubleshoot, optimize, and improve system performance and reliability
* Has strong collaboration skills, paired with the ability to work independently and learn quickly
* Has a minimum of a bachelors degree
* Has a minimum of 3 years of experience
* Owns and manages relationships with stakeholders directly and works effectively with people at all levels in an organization
**Salary Range**
 $108,245\.00 \- $169,933\.00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77">
      <c r="A77" t="inlineStr">
        <is>
          <t>li-4361237718</t>
        </is>
      </c>
      <c r="B77" t="inlineStr">
        <is>
          <t>Ai Engineer</t>
        </is>
      </c>
      <c r="C77" t="inlineStr">
        <is>
          <t>Actalent</t>
        </is>
      </c>
      <c r="D77" t="inlineStr">
        <is>
          <t>linkedin</t>
        </is>
      </c>
      <c r="E77">
        <f>HYPERLINK("https://www.linkedin.com/jobs/view/4361237718", "https://www.linkedin.com/jobs/view/4361237718")</f>
        <v/>
      </c>
      <c r="F77" t="inlineStr"/>
      <c r="G77" t="inlineStr">
        <is>
          <t>Wooster, OH</t>
        </is>
      </c>
      <c r="H77" t="inlineStr"/>
      <c r="I77" t="inlineStr">
        <is>
          <t>**AI Engineer**
**Job Description**
 We are seeking a talented Software Engineer responsible for designing, developing, and deploying artificial intelligence and machine learning models that enhance our products and support systems. This role encompasses all phases of the AI project lifecycle, including data preparation, model development, validation, optimization, deployment, and maintenance. The position demands strong programming and analytical skills, a robust understanding of AI frameworks, and the ability to translate business requirements into scalable AI solutions.
**Responsibilities**
* Implement small AI features and resolve basic model or pipeline bugs.
* Develop components of larger ML or AI systems.
* Prepare and clean datasets for training and testing.
* Evaluate model accuracy and reliability using standard metrics.
* Write automated tests and scripts for AI pipelines.
* Document AI workflows and experiments.
* Integrate AI modules with other software components.
* Participate in code reviews and sprint meetings.
* Follow engineering standards, ethical AI principles, and company procedures.
* Design and train machine learning models independently.
* Research and implement new algorithms to improve system performance.
* Develop inference APIs and services for AI model deployment.
* Build and maintain data and model pipelines for continuous integration.
* Collaborate with software, data, and product teams to embed AI into products.
* Demonstrate completed AI work to stakeholders through sprint demos.
* Monitor model performance and retrain as necessary.
* Contribute to design and code reviews.
* Keep up to date with developments in AI, ML, and related technologies.
* Implement CI/CD pipelines for model training and deployment.
* Use tools like MLflow for model versioning and monitoring.
**Skills \&amp; Qualifications**
* Bachelor's degree in Computer Science, Data Science, Engineering, or a related field.
* Professional experience in AI/ML engineering or a related field.
* Experience in developing and deploying ML models.
* Proficient in Python, SQL, and AI/ML frameworks such as PyTorch and TensorFlow.
* Experience with ONNX, Airflow, and experiment tracking tools like MLflow.
* Understanding of cloud services like AWS, Azure, or GCP for model deployment.
* Strong grasp of computer systems, programming, and AI model development.
* Experience in fine\-tuning or deploying LLMs using frameworks like Hugging Face Transformers or OpenAI APIs.
* Familiarity with version control systems such as Git.
* Exposure to basic CI/CD concepts for ML workflows.
**Work Environment**
 This position is 100% remote, offering flexibility and the opportunity to work from the comfort of your own home. You will be part of a small company making a significant impact by providing technology for individuals who are unable to speak.
**Job Type \&amp; Location**
 This is a Permanent position based out of Wooster, OH.
**Pay And Benefits**
 The pay range for this position is $90000\.00 \- $115000\.00/yr.
 Company Benefits Paid Time Off Bereavement Leave Company\-paid Short\-Term and Long\-Term Disability ESOP Holidays: 8 standard, 3 floating PTO: 7 days (when tenure is under a year), 12 days (when tenure is a year or more) HSA Free life insurance policy Profit sharing
**Workplace Type**
 This is a fully remote position.
**Application Deadline**
 This position is anticipated to close on Jan 26,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78">
      <c r="A78" t="inlineStr">
        <is>
          <t>li-4361217356</t>
        </is>
      </c>
      <c r="B78" t="inlineStr">
        <is>
          <t>AI Engineer</t>
        </is>
      </c>
      <c r="C78" t="inlineStr">
        <is>
          <t>Braintrust</t>
        </is>
      </c>
      <c r="D78" t="inlineStr">
        <is>
          <t>linkedin</t>
        </is>
      </c>
      <c r="E78">
        <f>HYPERLINK("https://www.linkedin.com/jobs/view/4361217356", "https://www.linkedin.com/jobs/view/4361217356")</f>
        <v/>
      </c>
      <c r="F78">
        <f>HYPERLINK("https://jobs.ashbyhq.com/Braintrust/1a8c2f24-97fe-4504-a30c-1cfe7f03278b/application?utm_source=dMzLN60BjG&amp;src=Linkedin&amp;urlHash=mEY0", "https://jobs.ashbyhq.com/Braintrust/1a8c2f24-97fe-4504-a30c-1cfe7f03278b/application?utm_source=dMzLN60BjG&amp;src=Linkedin&amp;urlHash=mEY0")</f>
        <v/>
      </c>
      <c r="G78" t="inlineStr"/>
      <c r="H78" t="inlineStr"/>
      <c r="I78" t="inlineStr">
        <is>
          <t>**About The Company**
 Braintrust is the AI observability platform. By connecting evals and observability in one workflow, Braintrust gives builders the visibility to understand how AI behaves in production and the tools to improve it.
 Teams at Notion, Stripe, Zapier, Vercel, and Ramp use Braintrust to compare models, test prompts, and catch regressions — turning production data into better AI with every release.
**About The Role**
 We’re looking for an
 **AI Engineer** 
 to work directly with our most strategic customers and help them successfully deploy, scale, and extract value from Braintrust in real production environments.
 This is a deeply technical, customer\-facing role at the intersection of engineering, product, and go\-to\-market. You’ll partner closely with customer engineering teams to instrument real AI workflows, establish production baselines, operationalize evaluations, and build the feedback loops that make AI systems reliable at scale.
 You will need strong judgment about how AI systems behave in the real world, how to evaluate them, and how to improve them iteration by iteration.
 If you are excited by the challenge of solving open\-ended problems, enjoy shipping quickly, and take full ownership of customer outcomes, this role offers outsized impact on both customer success and Braintrust’s product roadmap.
**What You’ll Do**
* Partner closely with customer engineering teams to deploy, stabilize, and continuously improve AI applications in production
* Instrument and trace real\-world AI workflows end\-to\-end, establishing baseline targets for latency, cost, quality, and reliability
* Turn production data into datasets and evaluations; define scoring rubrics and implement CI quality gates
* Build prototypes, integrations, and custom workflows that help customers operationalize evaluations and observability as part of their SDLC
* Deploy and troubleshoot Braintrust in customer environments (cloud or self\-hosted), working across application, data, and infrastructure layers
* Act as the technical lead in customer engagements, running an operating cadence and feeding real\-world learnings back into Product and Engineering
**What You’ll Bring**
* 3–7\+ years of experience as a software engineer or forward\-deployed / field engineer
* Strong backend or full\-stack engineering skills (Python strongly preferred; TypeScript a plus)
* Hands\-on experience working with LLMs, APIs, or agentic workflows in production environments
* Familiarity with cloud infrastructure and deployment patterns (AWS preferred; Docker/Kubernetes a plus)
* Comfortable working directly with customers and owning technical outcomes end\-to\-end
* Strong communication skills and ability to translate between business needs and technical implementation
* Bias toward action: you enjoy shipping scrappy but production\-ready solutions and iterating quickly
**Nice to Haves**
* Experience with AI observability, evaluation frameworks, or ML/LLMOps tooling
* Prior experience in a startup, founding team, or 0→1 product environment
* Experience supporting enterprise or self\-hosted deployments
* Willingness to travel occasionally for on\-site customer engagements
 Benefits include
* Medical, dental, and vision insurance
* Daily lunch, snacks, and beverages
* Flexible time off
* Competitive salary and equity
* AI Stipend
 Equal opportunity
 Braintrust is an equal opportunity employer. All applicants will be considered for employment without attention to race, color, religion, sex, sexual orientation, gender identity, national origin, veteran or disability status.</t>
        </is>
      </c>
    </row>
    <row r="79">
      <c r="A79" t="inlineStr">
        <is>
          <t>li-4361208662</t>
        </is>
      </c>
      <c r="B79" t="inlineStr">
        <is>
          <t>AI Engineer IV</t>
        </is>
      </c>
      <c r="C79" t="inlineStr">
        <is>
          <t>ExecutivePlacements.com</t>
        </is>
      </c>
      <c r="D79" t="inlineStr">
        <is>
          <t>linkedin</t>
        </is>
      </c>
      <c r="E79">
        <f>HYPERLINK("https://www.linkedin.com/jobs/view/4361208662", "https://www.linkedin.com/jobs/view/4361208662")</f>
        <v/>
      </c>
      <c r="F79">
        <f>HYPERLINK("https://www.executiveplacements.com/JF/AI-Engineer-IV-jobs-in-Washington-067bd3b0d9e7.asp?sid=linkedin&amp;urlHash=hUkJ", "https://www.executiveplacements.com/JF/AI-Engineer-IV-jobs-in-Washington-067bd3b0d9e7.asp?sid=linkedin&amp;urlHash=hUkJ")</f>
        <v/>
      </c>
      <c r="G79" t="inlineStr">
        <is>
          <t>Washington, United States</t>
        </is>
      </c>
      <c r="H79" t="inlineStr"/>
      <c r="I79" t="inlineStr">
        <is>
          <t>**Workforce Classification**
 Telecommuter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tobeinga workplace where people feel empowered to grow, innovate, and lead with purpose. By investing in our employees and fostering a culture of collaboration and continuous development,wereable to better serve our customers.Itsthis commitment that has earned us recognition as one of the best companies to work for.
 As an
 **AI Engineer IV,** 
 you'llcontribute leadership in a team developing AI/ML solutions for complex business problems from conception to production. Your role involves guiding the solutioning ofsophisticatedmulti\-agent systems,implementingcutting\-edgeretrieval techniques, and prototyping new AI products using advanced orchestration patterns. With substantial experience in deployingAI systemsand strong software engineering skills,you'llensure the creation of reliable and maintainable AI infrastructureleveragingprotocols like A2A and MCP. Yourexpertisewill drive innovativeAI systems,mentor junior engineers, andpush for adoption ofcutting\-edgeAI research and technologies forenterprise\-scale agent platforms.
**This is a telecommuter position, working from home.**
**What Youll Do**
* Recommend and develop comprehensive multi\-agent systems and enterprise AI systems for complex applications and products.
* Pitch concepts to team leadership and lead construction of prototypes and minimum viable products to validate AI/ML solutions before committing substantial resources.
* Assist in designing and implementing the cloud architecture of large multi\-faceted AI systems on Kubernetes using platforms like Azure AI Foundry with comprehensive agent governance.
* Assist in the design and scaffolding of robust data pipelines that drive large complex AI systems including graph databases, tensor\-based fusion, and multi\-model retrieval.
* Develop specifications for enterprise\-wide agent communication standards, tool governance, and evaluation harnesses to deploy AI models at scale.
* Develop the code for monitoring models and AI systems including customer evaluation metrics, agent behavior analytics, and comprehensive drift detection that ensures consistent and reliable performance.
* Actively participate in a team that exercises principled, agile\-like development practices.
* Create and maintain thorough documentation that is consistent with team procedures, corporate policies, and expectations including architectural decision records.
* Ensure peer review on all assigned work, as well as conduct peer reviews over the work of others as requested.
* Guide and mentor junior AI engineers on AI/ML and industry best practices and methodologies and emerging standards like A2A, MCP, and novel reasoning/retrieval techniques.
* Keep abreast of new tools and concepts through reading documentation or literature and actively practicing skills development.
* Advise team and division leadership on matters such as enterprise AI strategies, AI related technology strategies and roadmaps, AI related infrastructure strategies, and roadmaps.
* Meet and collaborate with external stakeholders to conceptualize AI solutions that realize business value while ensuring AI governance adherence, AI best practices, and data quality.
* Provide thought leadership to the Premera AI community.
**Required Qualifications**
**What youll bring:**
* Bachelor's Degree in Computer Science, Statistics, Mathematics, or a related field, or 2\+ years of experience in a related, professional IT/analytics position.
* Minimum of 5 years of industry experience in developing, deploying, and maintaining AI or ML systems. Up to two years of industry experience may be substituted with an AI centered Masters/PhD degree or AI Engineering certifications.
**Preferred Qualifications**
* At least 4 years of experience in developing enterprise scale multi\-agent systems using advanced orchestration and evaluation frameworks.
* Previous experience with novel fusion techniques (TRF, learned rankers) and production GraphRAG at scale.
* Experience implementing enterprise AI systems with comprehensive governance, security, and compliance features.
* Publications, patents, or significant open\-source contributions in agent architectures or advanced retrieval systems.
* Minimum of 4 years of experience in successfully productionizing AI models, including constructing scalable data pipelines and establishing robust monitoring systems.
* At least 5 years working within agile\-like teams and environments.
**Knowledge, Skills, And Abilities**
* Mastery of complex multi\-agent architectures including distributed orchestration.
* Expert knowledge of advanced fusion methods (TRF, tensor\-based ranking).
* Ability to design enterprise\-scale RAG systems with comprehensive governance.
* Deep expertise in agent evaluation and benchmarking methodologies.
* Proficiency in implementing agent safety systems and attack mitigation.
* Advanced knowledge of graph\-augmented retrieval and ontology alignment.
* Experience with multi\-modal agent systems and embeddings.
* Ability to design agent communication standards and protocols.
* Expertise in token optimization and cost management at scale.
* Knowledge of agent pool management and scale\-to\-zero architectures.
* Experience with agent simulation and testing frameworks.
* Ability to mentor teams on cutting\-edge AI engineering practices.
* Understanding of regulatory compliance for agentic AI systems.
* Ability to articulate the technical details and tradeoffs of AI solutions to non\-technical stakeholders in a clear and concise manner.
**Physical Requirements**
 The following have been identified as essential physical requirements of this job and must be performed with or without an accommodation:
*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**Benefits**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**Premera is hiring in the following states, with some limitations based on role or city:** 
 Alaska, Arizona, Arkansas, California, Colorado, Florida, Georgia, Idaho, Iowa, Kansas, Kentucky, Maine, Michigan, Minnesota, Missouri, Montana, Nevada, New Hampshire, New Mexico, North Carolina, Oklahoma, Oregon, South Carolina, South Dakota, Tennessee, Texas, Utah, Washington, Wisconsin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Salary Range**
 $131, \- $237,
**National Plus Salary Range**
 $150, \- $270,
 Were happy to discuss compensation further during the interview because we believe that open communication leads to better outcomes for all. Were committed to creating an environment where all employees are celebrated for their unique skills and contributions.</t>
        </is>
      </c>
    </row>
    <row r="80">
      <c r="A80" t="inlineStr">
        <is>
          <t>li-4354822528</t>
        </is>
      </c>
      <c r="B80" t="inlineStr">
        <is>
          <t>Machine Learning Engineer</t>
        </is>
      </c>
      <c r="C80" t="inlineStr">
        <is>
          <t>Jobs via Dice</t>
        </is>
      </c>
      <c r="D80" t="inlineStr">
        <is>
          <t>linkedin</t>
        </is>
      </c>
      <c r="E80">
        <f>HYPERLINK("https://www.linkedin.com/jobs/view/4354822528", "https://www.linkedin.com/jobs/view/4354822528")</f>
        <v/>
      </c>
      <c r="F80" t="inlineStr"/>
      <c r="G80" t="inlineStr">
        <is>
          <t>Sunrise, FL</t>
        </is>
      </c>
      <c r="H80" t="inlineStr"/>
      <c r="I80" t="inlineStr">
        <is>
          <t>Dice is the leading career destination for tech experts at every stage of their careers. Our client, Intraedge, is seeking the following. Apply via Dice today!
**Machine Learning Engineer \- Generative Al**
**Long term contract**
**Sunrise, FL (Hybrid\-3 days onsite)**
**Direct client\- Immediate client interview**
**Job description:**
 We are seeking a Machine Learning Engineer to design, build, and deploy Generative Al solutions powered by Large Language Models (LLMs). In this role, you will work on end\-to\-end GenAl use cases, from model selection to production\-ready systems.
 Strong python, have work experiment on LLM, gen AI, Lang chain, Lang Graph, Python API, Google Cloud Platform
**Key Responsibilities**
 Develop and productionize GenAl applications using LLMs (open\-source and closed\-source).
 Design agentic workflows using LangChain and LangGraph.
 Implement short\-term and long\-term memory strategies for LLM\-based systems.
 Optimize prompts, retrieval pipelines, and orchestration logic.
 Colaborate with product and platform teams to deliver scalable Al solutions.
**Required Qualifications**
 Strong experience with LLMs (e.g., OpenAl, Anthropic, Llama, Mistral).
 Hands\-on experience with LangChain and/ or LangGraph.
 Solid understanding of LLM memory architectures and state management.
 Proficiency in Python and ML engineering best practices.
**Nice to Have**
 Experience with Google Cloud Platform services (e.g.,Vertex Al, BigQuery, GCS).
 Experience deploying ML/GenAl systems in production environments.</t>
        </is>
      </c>
    </row>
    <row r="81">
      <c r="A81" t="inlineStr">
        <is>
          <t>li-4361168506</t>
        </is>
      </c>
      <c r="B81" t="inlineStr">
        <is>
          <t>Sr Manager, AI Engineer</t>
        </is>
      </c>
      <c r="C81" t="inlineStr">
        <is>
          <t>ExecutivePlacements.com</t>
        </is>
      </c>
      <c r="D81" t="inlineStr">
        <is>
          <t>linkedin</t>
        </is>
      </c>
      <c r="E81">
        <f>HYPERLINK("https://www.linkedin.com/jobs/view/4361168506", "https://www.linkedin.com/jobs/view/4361168506")</f>
        <v/>
      </c>
      <c r="F81" t="inlineStr"/>
      <c r="G81" t="inlineStr">
        <is>
          <t>New York, NY</t>
        </is>
      </c>
      <c r="H81" t="inlineStr"/>
      <c r="I8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**Experience**
**Required Qualifications:**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Languages:Proficiency in Python is essential, along with experience in languages like R, Java, or Scala.
* AI/ML Frameworks:Expertise in machine learning and deep learning frameworks, such as TensorFlow, PyTorch, and scikit\-learn.
* Data Technologies:Strong knowledge of big data technologies like Hadoop and Spark, as well as data processing and warehousing techniques.
* AI Concepts:Deep understanding of machine learning models, neural networks, natural language processing (NLP), and computer vision.
**Soft Skills**
* Problem\-Solving:Exceptional analytical and critical thinking skills to address complex technical and business challenges.
* Communication:Strong ability to communicate complex technical concepts to both technical and non\-technical stakeholders.
* Leadership:Demonstrated leadership and project management capabilities to guide and mentor teams.
* Adaptability:A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We anticipate the application window for this opening will close on: 02/27/2026
 Qualified applicants with arrest or conviction records will be considered for employment in accordance with all federal, state and local laws.</t>
        </is>
      </c>
    </row>
    <row r="82">
      <c r="A82" t="inlineStr">
        <is>
          <t>li-4326438940</t>
        </is>
      </c>
      <c r="B82" t="inlineStr">
        <is>
          <t>Staff AI Engineer</t>
        </is>
      </c>
      <c r="C82" t="inlineStr">
        <is>
          <t>honeycomb.io</t>
        </is>
      </c>
      <c r="D82" t="inlineStr">
        <is>
          <t>linkedin</t>
        </is>
      </c>
      <c r="E82">
        <f>HYPERLINK("https://www.linkedin.com/jobs/view/4326438940", "https://www.linkedin.com/jobs/view/4326438940")</f>
        <v/>
      </c>
      <c r="F82" t="inlineStr"/>
      <c r="G82" t="inlineStr"/>
      <c r="H82" t="inlineStr"/>
      <c r="I82" t="inlineStr">
        <is>
          <t>**What We’re Building**
 Honeycomb is a service for the near and present future, defining observability and raising expectations of what developer tools can do! We’re working with well known companies like HelloFresh, Slack, LaunchDarkly, and Vanguard and more across a range of industries. This is an exciting time in our trajectory, we’ve closed Series D funding, scaled past the 200\-person mark, and were named to Forbes’ America’s Best Startups of 2022 and 2023!
 If you want to see what we’ve been up to, please check out these blog posts and Honeycomb.io press releases.
**Who We Are**
 We come for the impact, and stay for the culture! We’re a talented, opinionated, passionate, fiercely inclusive, and responsible group of bees. We have conviction and we strive to live our values every day. We want our people to do what they truly love amongst a team of highly talented (but humble) peers.
**How We Work**
 We are a fully distributed company, which means we believe it is not where you sit, but how you deliver that matters most. We invest in our people and care about how you orient to our culture and processes. At the same time we imbue a lot of trust, autonomy, and accountability from Day 1\.
**2026: The Year of AI at Honeycomb**
 We’re scaling our dedicated AI Team—a group of builders shaping the future of developer tools with AI at the core. This isn’t just about building cool demos—it’s about shipping reliable, innovative AI\-powered features that make our users faster, smarter, and more effective. As a
 **Staff AI Engineer** 
 , you’ll lead high\-impact projects, mentor teammates, and help define what great AI at Honeycomb looks like.
 We’ve already shipped major AI capabilities like an AI\-guided workspace to query your Honeycomb data, Natural Language Querying, and an MCP server, and shared our learnings along the way in posts like So we shipped an AI Product, did it work?. Now we’re investing even more deeply. Want to help write the next chapter?
**A Little More About The Team**
 The AI team is dedicated to building user\-facing AI features that transform how engineers explore and understand their software systems. Along with the rest of the team’s triad, you’ll help lead a cross\-functional team reshaping Honeycomb into an AI\-native platform for observability. If you’re excited about owning high\-impact, greenfield projects and helping define what “great AI” looks like in production, we’d love to meet you.
**What You’ll Do In The Role**
* Own end\-to\-end implementation of AI\-powered product features, from prototypes to production. Mentor other engineers on the team, leveling up the team as a whole. Collaborate across the organization to support shipping these features to production.
* Handle prompt engineering, model tuning, and evaluation strategies to improve reliability and UX.
* Collaborate with product and design partners in defining and scoping AI\-driven experiences.
* Teach best practices for working with LLMs, including prompt design and evaluation methodologies.
* Learn deeply about Honeycomb’s workflows and user problems to build truly helpful AI features.
* Iterate through fast feedback loops, experimentation, and sharing both wins and failures.
**What You’ll Bring To The Role**
* Ideally 7\+ years of software engineering experience, with 3\+ years building ML/AI\-powered features in production.
* Proven experience shipping production AI/GenAI features end\-to\-end.
* Strong background as a Staff\-level product software engineer (not data science or ML\-research\-only).
* Experience iteratively improving GenAI\-powered features based on quantitative and qualitative signals.
* Ability to design, run, and evaluate experiments for AI features.
* Prior on\-call experience supporting production systems.
* Deep expertise in LLMs, prompt engineering, retrieval\-augmented generation, and evaluation methods.
* Proficiency in backend development using Python, Go, Ruby, TypeScript or a similar language.
* Strong cross\-functional skills and a track record of collaborating closely with PMs and designers.
* Comfort navigating ambiguity and driving clarity in fast\-paced environments.
* Bonus: Experience with observability tools, production infrastructure, or public contributions to the AI community.
**Your recruiter will ask you for feedback on our range and your compensation expectations in the first call.**
 Base Salary based on level of experience
 $259,300 \- $305,000 USD
**What You'll Get When You Join The Hive**
* A stake in our success \- generous equity with employee\-friendly stock program
* It’s not about how strong of a negotiator you are \- our pay is based on transparent levels relative to experience
* Time to recharge \- Unlimited PTO and paid sabbatical
* A distributed\-first mindset and culture (really!)
* Home office, co\-working, and internet stipend
* Full benefits coverage for employees, with additional coverage available for dependents
* Up to 16 weeks of paid parental leave, regardless of path to parenthood
* Annual development allowance
* And much more...
**Please note we cannot currently sponsor or support visa transfers at this time.** 
 Additionally, in compliance with applicable law, all persons hired will be required to verify identity and eligibility to work.
**Phishing And Recruitment Scam Warning**
 We take your security seriously. Please be aware that recruitment scams are increasingly common and scammers may create email addresses or websites to impersonate Honeycomb employees. To help protect you:
* All communications will come from an @honeycomb.io email address
+ We occasionally work with external recruiting agencies. These partners will use legitimate business email addresses—never personal accounts like Gmail or Yahoo.
* Our recruiting process will never ask you to provide financial or sensitive personal information, including but not limited to:
+ Social security or tax identification numbers
+ Credit card numbers
+ Bank account information
**Diversity \&amp; Accommodations**
 We're committed to building a diverse, inclusive, and equitable workplace—where people of all backgrounds, identities, experiences, and abilities are welcomed, valued, and supported. We recognize that there is no single path to success and embrace nontraditional career journeys and diverse perspectives as key to building stronger, more innovative teams.
 We strive to ensure an inclusive experience throughout every stage of our hiring process and are happy to provide reasonable accommodations as needed. If you require accommodations or accessible formats at any point during our hiring process, please let your recruiter know.
 As an equal opportunity employer our hiring process is designed to put you at ease and help you show your best work. If there’s anything we can do to improve your experience, we’re always open to feedback.
**Privacy Notice**
 If you apply for a job at Honeycomb and your application is unsuccessful (or you withdraw from the process or decline our offer), Honeycomb will retain your information after your application for a period of time in accordance with local laws. We retain this information for various reasons, including in case we face a legal challenge in respect of a recruitment decision, to consider you for other current or future jobs at Honeycomb, and to help us better understand, analyze and improve our recruitment processes.
 For more information regarding our privacy practices please see the Honeycomb Privacy Notice.
 If you do not want us to retain your information for consideration for other roles, or want us to update it, please contact privacy@honeycomb.io. Please note, however, that we may retain some information if required by law or as necessary to protect ourselves from legal claims.</t>
        </is>
      </c>
    </row>
    <row r="83">
      <c r="A83" t="inlineStr">
        <is>
          <t>li-4354830979</t>
        </is>
      </c>
      <c r="B83" t="inlineStr">
        <is>
          <t>Data Scientist / Machine Learning Engineer</t>
        </is>
      </c>
      <c r="C83" t="inlineStr">
        <is>
          <t>Jobs via Dice</t>
        </is>
      </c>
      <c r="D83" t="inlineStr">
        <is>
          <t>linkedin</t>
        </is>
      </c>
      <c r="E83">
        <f>HYPERLINK("https://www.linkedin.com/jobs/view/4354830979", "https://www.linkedin.com/jobs/view/4354830979")</f>
        <v/>
      </c>
      <c r="F83" t="inlineStr"/>
      <c r="G83" t="inlineStr">
        <is>
          <t>Juno Beach, FL</t>
        </is>
      </c>
      <c r="H83" t="inlineStr"/>
      <c r="I83" t="inlineStr">
        <is>
          <t>Dice is the leading career destination for tech experts at every stage of their careers. Our client, Capital Staffing Solutions, is seeking the following. Apply via Dice today!
**Data Scientist/Machine Learning Engineer**
**12\-Month Contract**
**ONSITE – Juno Beach, FL 33408**
**Data Science \&amp; Analytics \&amp; Machine Learning for Power Commodity Trading
 Focus is on the Data Science**
* Core Qualifications Master’s or PhD in Data Science, Computer Science, Finance, Engineering, or Applied Mathematics 5\+ years of experience in machine learning or advanced analytics, with at least 2 years in energy, power, or commodities markets Proficiency in Python (pandas, NumPy, scikit\-learn, PyTorch, TensorFlow) and SQL Experience deploying production\-grade ML and analytics systems in AWS, Azure, or Google Cloud Platform Strong foundation in statistics, linear algebra, and optimization
* Domain Expertise – Power \&amp; Commodities: Understanding of power market dynamics (generation, transmission, demand forecasting, ISO/RTO markets such as PJM, ERCOT, MISO, CAISO) Familiarity with trading instruments: DA/RT markets, FTRs, CRRs, PPAs, futures, and swaps Knowledge of natural gas, renewables, and carbon markets Experience modeling locational marginal prices (LMP), congestion, and portfolio risk Understanding of regulatory and compliance data (FERC, EIA, ISO market data)
* Machine Learning \&amp; AI Expertise Experience with supervised, unsupervised, and reinforcement learning for market forecasting or optimization Proficient in LLMs (GPT, Llama, Mistral) and RAG (Retrieval\-Augmented Generation) pipelines for automating report generation, trade rationale summaries, or market insights Hands\-on experience fine\-tuning or evaluating generative models for quantitative or text\-based analytics Familiarity with agentic AI frameworks (LangChain, LlamaIndex, CrewAI) for autonomous data gathering, analysis, and decision support Strong understanding of feature engineering, model interpretability, and bias control
* Agentic \&amp; Autonomous Decision Systems Experience creating intelligent trading assistants or agent frameworks that monitor, forecast, and act based on real\-time data Familiarity with planning, memory, and multi\-agent collaboration concepts Implementation of guardrails and ethical constraints in autonomous AI systems
* Forecasting \&amp; Quantitative Modeling Time series modeling (ARIMA, Prophet, LSTM, XGBoost) for price, load, or renewable generation forecasting Optimization and scenario modeling for trading positions, hedges, or dispatch strategies Proficiency with stochastic modeling, Monte Carlo simulations, and VaR analysis Ability to integrate weather data, grid conditions, and market signals into predictive systems
* Data Infrastructure \&amp; Engineering Strong data architecture skills: ETL/ELT pipelines, dbt, Airflow, or Prefect Experience with data warehouses (DataBricks, Snowflake) Familiarity with vector databases (FAISS, Pinecone, Weaviate) for retrieval\-augmented analytics Data governance awareness: versioning, lineage, security, and compliance
* Analytics, Visualization \&amp; Communication Strong experience with dashboards and visualization tools (Power BI, Tableau, Plotly) Ability to design KPIs and visual analytics for trading performance, market exposure, and forecast accuracy Experience building automated insight pipelines or LLM\-based analytics assistants Skilled in translating technical findings into clear narratives for traders and executives</t>
        </is>
      </c>
    </row>
    <row r="84">
      <c r="A84" t="inlineStr">
        <is>
          <t>li-4351876563</t>
        </is>
      </c>
      <c r="B84" t="inlineStr">
        <is>
          <t>Machine Learning Engineer</t>
        </is>
      </c>
      <c r="C84" t="inlineStr">
        <is>
          <t>Jobs via Dice</t>
        </is>
      </c>
      <c r="D84" t="inlineStr">
        <is>
          <t>linkedin</t>
        </is>
      </c>
      <c r="E84">
        <f>HYPERLINK("https://www.linkedin.com/jobs/view/4351876563", "https://www.linkedin.com/jobs/view/4351876563")</f>
        <v/>
      </c>
      <c r="F84">
        <f>HYPERLINK("https://click.appcast.io/t/mEoXQVkxJQEYv5Xe_DG8M3NIFXMFJfCS4qZUeRSVVe4=&amp;urlHash=Uwr7", "https://click.appcast.io/t/mEoXQVkxJQEYv5Xe_DG8M3NIFXMFJfCS4qZUeRSVVe4=&amp;urlHash=Uwr7")</f>
        <v/>
      </c>
      <c r="G84" t="inlineStr">
        <is>
          <t>McLean, VA</t>
        </is>
      </c>
      <c r="H84" t="inlineStr"/>
      <c r="I84" t="inlineStr">
        <is>
          <t>Dice is the leading career destination for tech experts at every stage of their careers. Our client, Ventechsoft Inc, is seeking the following. Apply via Dice today!
**Title: Machine Learning Engineer**
**Location: McLean, VA/New York, NY/Hybrid**
**Duration: 11 months with possible extension**
**Contract: W2**
**Description:**
**Team Info:**
* ML Decisioning team
* Team is data engineers with Data pipeline with building Data pipelines. Taking up ML training pipelines.
* To own end to end ML engineering
* Core focus is really to help with operations of ML Pipelines
* He will be doing continued automation MLOps
* Scaling entire infrastructure for Customer acquisition as Capital One has acquired Discover Financials.
**Role Info:**
* Looking for a Machine Learning Engineer with strong python, scala, AWS, Kubernetes \&amp; machine learning frameworks.
* 80% of model Engineering work \&amp; 20% of operations work
* Email arbitration with real time data processing.
* Has model in Random forest model and moving to transformers soon in feature development.
**Top Skills:**
* 5\+ years of exp. in Machine Learning Engineer
* Python exp. is a must.
* Scala exp. is a must.
* ML Frameworks (TensorFlow, PyTorch, Scikit\-learn \&amp; Keras) exp. is a must.
* AWS exp. is a must.
* Kubernetes exp. is a must.
* Experience with CI/CD</t>
        </is>
      </c>
    </row>
    <row r="85">
      <c r="A85" t="inlineStr">
        <is>
          <t>li-4360797220</t>
        </is>
      </c>
      <c r="B85" t="inlineStr">
        <is>
          <t>Sr AI/ML Engineer Hybrid in MN/DC or Remote</t>
        </is>
      </c>
      <c r="C85" t="inlineStr">
        <is>
          <t>Optum</t>
        </is>
      </c>
      <c r="D85" t="inlineStr">
        <is>
          <t>linkedin</t>
        </is>
      </c>
      <c r="E85">
        <f>HYPERLINK("https://www.linkedin.com/jobs/view/4360797220", "https://www.linkedin.com/jobs/view/4360797220")</f>
        <v/>
      </c>
      <c r="F85">
        <f>HYPERLINK("https://careers.unitedhealthgroup.com/job/22854238/sr-ai-ml-engineer-hybrid-in-mn-dc-or-remote-minnetonka-mn/?src=JB-22455&amp;utm_source=linkedin.com&amp;utm_medium=job_posting&amp;urlHash=OAJu", "https://careers.unitedhealthgroup.com/job/22854238/sr-ai-ml-engineer-hybrid-in-mn-dc-or-remote-minnetonka-mn/?src=JB-22455&amp;utm_source=linkedin.com&amp;utm_medium=job_posting&amp;urlHash=OAJu")</f>
        <v/>
      </c>
      <c r="G85" t="inlineStr">
        <is>
          <t>Minnetonka, MN</t>
        </is>
      </c>
      <c r="H85" t="inlineStr"/>
      <c r="I85"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At Optum, we are shaping the future of health care through technology that powers better outcomes for millions of people. As a Senior AI/ML engineer, you will provide team lead oversight for voice bots on omnichannel contact center platforms.
 We're looking for a hands\-on technical leader to design, build, and productionize AI/ML and GenAI solutions that improve healthcare operations and patient outcomes. You will own end\-to\-end delivery\-from problem framing and data pipelines to models, and ongoing monitoring\-while mentoring a small team and partnering with product, data engineering, and clinical/operations stakeholders.
 You'll enjoy the flexibility to work remotely\* from anywhere within the U.S. as you take on some tough challenges. For all hires in the Minneapolis or Washington, D.C. area, you will be required to work in the office a minimum of four days per week.
**Primary Responsibilities**
* Lead and contribute to the design and hands\-on implementation of AI/ML systems that enables Optum to deliver self\-service voice bot solutions
* Design, develop, and implement models using GenAI (LLMs, agentic frameworks) and/or traditional ML on the cloud
* Utilize version control tools such as GitHub for code management and collaboration, and manage multiple activities in a fast\-paced environment while adhering to best practices in coding and documentation
* Partner with product managers, data scientists, prompt designers, engineers, and business stakeholders to translate business requirements into scalable AI voice bot systems
* Leverage AI assisted tools for design, implementation, code reviews, and testing
* Ensure the delivery of high\-quality, maintainable, and efficient code and specifications. Lead by example to deliver product quality the first time
* Drive the full lifecycle of AI/ML initiatives\-from problem definition and data exploration to agent development, deployment, and monitoring. Define project scope, success metrics, and timelines in collaboration with cross\-functional teams and ensure timely delivery while not compromising on quality
* Stay ahead of the curve on emerging AI/ML technologies, tools, and research, and evaluate their applicability to business problems. Embrace and promote a culture of innovation through rapid iteration, experimentation and data driven decision\-making
* Be a trusted technical advisor to management, internal stakeholders, and customers
* Mentor and lead other engineers to reach their potential
* Uphold ethical AI principles by embedding fairness, transparency, and accountability throughout the model development lifecycle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3\+ years of experience in Python programming
* 2\+ years of experience with Deploying and manage ML models on cloud platforms such as Microsoft Azure, AWS, Google Cloud Platform (GCP)
* 1\+ years DevOps experience
* 1\+ years Terraform scripts understanding
* 1\+ years Git action and CI/CD experience needed
**Preferred Qualifications**
* Prompt engineering experience
* Experience leveraging Large Language Models (LLMs)
* Experience working with various AI/ML infrastructure, tools and platforms across the full stack of AI/ML technology
* Experience with the challenges of delivering and monitoring LLM based cloud systems into production
* Solid communication skills with the ability to explain complex technical concepts to diverse audiences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2026-01-13T04:02:52Z</dcterms:created>
  <dcterms:modified xsi:type="dcterms:W3CDTF">2026-01-13T04:02:52Z</dcterms:modified>
</cp:coreProperties>
</file>