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3"/>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in-ee11c84e1d5717b5</t>
        </is>
      </c>
      <c r="B2" t="inlineStr">
        <is>
          <t>Data Engineer</t>
        </is>
      </c>
      <c r="C2" t="inlineStr">
        <is>
          <t>Cherry Coatings</t>
        </is>
      </c>
      <c r="D2" t="inlineStr">
        <is>
          <t>indeed</t>
        </is>
      </c>
      <c r="E2" t="inlineStr"/>
      <c r="F2" t="inlineStr"/>
      <c r="G2" t="inlineStr">
        <is>
          <t>Farmers Branch, TX, US</t>
        </is>
      </c>
      <c r="H2" s="2" t="n">
        <v>46034</v>
      </c>
      <c r="I2" t="inlineStr">
        <is>
          <t>Established in 1968, Cherry Coatings is one of the largest commercial paint contractors in the country. We are a family\-owned business that provides architectural, industrial, and maintenance coating services for some of the most recognizable facilities in Texas, Arizona, Tennessee, and beyond. Our strong emphasis on high\-quality service and client satisfaction has made us the select partner for general contractors, property management firms, and facility managers.
The Data Engineer will design, develop, and maintain the organization’s Azure\-based data infrastructure and manage API integrations across key business systems. This role ensures seamless data flow, interoperability, security, and scalability to support strategic decision\-making. The Data Engineer will work closely with IT, business analysts, and department leaders to align data architecture with business goals while upholding CHERRY’s core values.
**CHERRY CORE VALUES: You will be reviewed by the CORE VALUES**
**Servant Heart:** Put Others First
**Cultivate**: Invest time developing yourself. Always take time to help \&amp; mentor others
**Act Promptly:** Respond the way you hope others respond to you. Fast \&amp; accurate.
**Innovate:** Be Creative. Think outside the box.
**Deliver:** Follow through, do what you say, honor your commitments. Go beyond expectations with excellence.
**Key Deliverables:**
* Design and implement a robust Azure\-based data warehouse using Azure Synapse
* Build, manage, and optimize secure data pipelines using Azure Data Factory
* Implement and manage serverless computing solutions using Azure Functions
* Ensure data accuracy, consistency, and availability across systems
* Lead API integration efforts for internal and external systems
* Support data onboarding and integration for acquisitions
* Provide technical documentation and leadership for data architecture and integrations
**Essential Functions and Responsibilities:**
* Act as DBA for the Azure Synapse environment, ensuring optimal performance and security
* Define and enforce data governance, access controls, and backup strategies
* Integrate ERP, CRM, FSM, and project management platforms with enterprise data systems
* Monitor and resolve API and data pipeline issues
* Manage ETL processes to transform raw data into structured formats for reporting
* Collaborate with BI developers and analysts to ensure timely, accurate, and secure reporting
* Recommend and implement architecture and performance improvements
* Support data integration with Microsoft Fabric and other enterprise platforms
**Key Competencies:**
* Proven experience with Azure Synapse, Azure Data Factory, and Azure Functions
* Proficiency in SQL, RESTful APIs, JSON, and third\-party system integrations
* Knowledge of ERP, FSM, and project management systems
* Strong understanding of data security, compliance, and optimization
* Familiarity with Microsoft Fabric and Power BI
* Skilled in acquisition data onboarding and merging
* Excellent problem\-solving and collaboration skills
**Qualifications:**
* Demonstrated experience building and managing data warehouses and pipelines in Azure
* Strong technical expertise in API integrations and enterprise system connectivity
* Experience with large\-scale Azure data architecture and performance tuning
* Ability to work independently and in cross\-functional teams
**Physical Requirements:**
* Prolonged use of a computer while at a desk (seated or standing)
* Occasional lifting of up to 20 pounds
*This Job Description is not a complete statement of all duties and responsibilities comprising this position. Cherry Coatings reserves the right to revise or change the essential functions and employment standards as the need arises. This description does not constitute a written or implied contract of employment.*
Job Types: Full\-time, Permanent
Pay: $95,000\.00 per year
Benefits:
* 401(k)
* Dental insurance
* Health insurance
* Paid time off
* Vision insurance
Application Question(s):
* Do you require sponsorship at any point now or in the future?
Location:
* Farmers Branch, TX 75234 (Required)
Work Location: In person</t>
        </is>
      </c>
    </row>
    <row r="3">
      <c r="A3" t="inlineStr">
        <is>
          <t>in-0c2b1e2bef867755</t>
        </is>
      </c>
      <c r="B3" t="inlineStr">
        <is>
          <t>Data engineer</t>
        </is>
      </c>
      <c r="C3" t="inlineStr">
        <is>
          <t>Stacklogy</t>
        </is>
      </c>
      <c r="D3" t="inlineStr">
        <is>
          <t>indeed</t>
        </is>
      </c>
      <c r="E3" t="inlineStr"/>
      <c r="F3" t="inlineStr"/>
      <c r="G3" t="inlineStr">
        <is>
          <t>US</t>
        </is>
      </c>
      <c r="H3" s="2" t="n">
        <v>46033</v>
      </c>
      <c r="I3" t="inlineStr">
        <is>
          <t>**Qualification:**  
Master's Degree in Statistical Analytics, Data Science, or Bachelor's Degree in computer science engineering will be considered with at least three \- five years of applicable work experience
**Preferred Proficiency:**  
* Web development experience (AngularJS, D3\).
* Experience in a statistical programming language like R or Python; applied machine learning techniques including dimensionality reduction strategies, supervised/unsupervised classification and natural language processing frameworks.
* Experience in at least one data visualization tools (e.g. Tableau, QlikView) and data warehousing tools (e.g. Informatica) is preferred
**Huge Advantage:**  
* Building and scaling Machine Learning frameworks
* Hadoop (Hive, Spark, UDF's)
**Definite Plus:**  
* Web development experience (AngularJS, D3\).
**Experience:**  
* 5\+ years of relevant experience in one of the following areas: Data engineering, database engineering, business intelligence or business analytics.
* 5\+ years of hands\-on experience in writing complex, highly\-optimized SQL queries across large data sets.
* 2\+ years of experience in scripting languages like Python etc.
If you qualify for this position, please send your resume at hr@stacklogy.com Please bookmark this page to know more about job openings at Stacklogy.</t>
        </is>
      </c>
    </row>
    <row r="4">
      <c r="A4" t="inlineStr">
        <is>
          <t>in-38bb1ed03a4e7f40</t>
        </is>
      </c>
      <c r="B4" t="inlineStr">
        <is>
          <t>Data Engineer Senior 1, 2</t>
        </is>
      </c>
      <c r="C4" t="inlineStr">
        <is>
          <t>SRP</t>
        </is>
      </c>
      <c r="D4" t="inlineStr">
        <is>
          <t>indeed</t>
        </is>
      </c>
      <c r="E4" t="inlineStr"/>
      <c r="F4" t="inlineStr"/>
      <c r="G4" t="inlineStr">
        <is>
          <t>Tempe, AZ, US</t>
        </is>
      </c>
      <c r="H4" s="2" t="n">
        <v>46030</v>
      </c>
      <c r="I4" t="inlineStr">
        <is>
          <t>**Requisition ID**: 19600
 **Join us in building a better future for Arizona!**
SRP is one of the largest public power and water utilities in the U.S. providing electricity to approximately one million customers in the greater metropolitan Phoenix area. Since its founding in 1903, SRP has fostered a culture of stewardship and customer service consistently ranking as an industry leader in customer service according to J.D. Power and named one of Arizona's best employers by Forbes. SRP continues to adapt to its changing business environment by seeking innovative ways to reimagine utility service and the provision of critical resources essential to the life and economy of Arizona.
 **Why Work at SRP**
At SRP, we foster an inclusive work environment and believe everyone should have a fair chance to work, regardless of who they are. That’s why we value teams with diverse perspectives, experiences, and backgrounds to help SRP deliver on its mission of providing reliable, affordable and sustainable water and power.
SRP's success is rooted in our employees' happiness, health, and safety. That's why we offer a comprehensive benefits package to meet the needs of our employees and enhance their well\-being. In addition to competitive pay and performance incentives, eligible employees can take advantage of the following benefits:
* Pension Plan (at no cost to the employee)
* 401(k) plan with employer matching
* Available your first day: Medical, vision, dental, and life insurance
* Over 200\+ hours of PTO (includes vacation days, holidays, floating holidays, and sick leave)
* Parental leave (up to 4 weeks) and adoption assistance
* Wellness programs (including access to a recreation and fitness facility)
* Short and long\-term disability plans
* Tuition assistance for both undergraduate and graduate programs
* 10 Employee Resource Groups for career development, community service, and networking
**Summary**
-----------
The Generation Applications team is dedicated to empowering the Power Generation organization with actionable, data\-driven insights. The team analyzes data, creates efficient data models, builds complex data pipelines, and delivers high impact dashboards and data visualizations.
As an Analytics Developer/Data Engineer on this team, you will work on dashboards, interactive visualizations, data pipelines, and reports. The successful candidate will utilize their experience with all Business Intelligence (BI) domains from translating requirements to sourcing, profiling, and modeling data, to ETL and dashboard development. This role will work closely with business partners to develop and implement analytical data models and dashboards. To excel in this role, the candidate will have strong communication skills to complement their technical ones.
You will work alongside Application Developers, Business Representatives, Data Engineers, Business Analysts, Engineers, and Power Plant personnel.
**What You'll Do**
------------------
* Define and develop dashboards including business metrics and performance indicators that drive action and insights (PowerBI experience required).
* Build and maintain ETL pipelines utilizing data migration services (SSIS), languages, and tools that connect various data sources (Snowflake, SQL, Oracle).
* Apply query, data exploration and transformation, basic statistical methods and visualization techniques to create business insights or improve data quality.
* Write, implement, and schedule ETL and other operational packages and scripts using SSIS and SQL.
* Collaborate with operational/IT business leads to recognize and help adopt best practices in data delivery, analysis, integrity, and validation.
* Ability to analyze and design physical databases and their definitions.
* Design, test, build, and manage complex, high\-performing multi\-user analytic solutions.
* Coordinate technical interactions between Power Generation personnel and other information technology teams.
* Visit Power Generation power plants to support customers.
* Participate in on\-call rotation for 24/7 support needs.
**What It Takes To Succeed**
----------------------------
The successful candidate will possess these capabilities:
* Advanced proficiency with PowerBI
* Strong proficiency with T\-SQL in a SQL Server environment
* Experience coding ETL processes in SSIS
* Expertise in modern database technologies, data integration, reporting
* Solid understanding of data warehousing concepts and data
* Strong critical thinking, problem solving, organization and analytical skills
* Demonstrated ability to communicate and present analysis or technical concepts to a non\-technical audience in a clear and understandable manner
Desired Technical Skills:
* Development/Query languages: SQL (T\-SQL, Python)
* Platforms/Tools: PowerBI, Snowflake, Dataiku, SQL Server, Oracle, SSIS, SSRS
* Knowledge of SAP and Maximo is preferred
* Visual studio experience preferred
**Experience**
--------------
• For a Level 1 (Associate), a minimum of no previous years of experience to two years related experience is required (if no degree, four\-six years of relevant experience or equivalent combination of education and related experience totaling four\-six years). • For a Level 2 (Journey), a minimum of two years of experience to four years related experience is required (if no degree, six\-eight years of relevant experience or equivalent combination of education and related experience totaling six\-eight years). • For a Level 3 (Senior), a minimum of five years of related experience is required (if no degree, nine years of relevant experience or equivalent combination of education and related experience totaling nine years).
**Education**
-------------
A bachelor's degree relevant to the assignment from an accredited institution is preferred. **Hybrid Workplace**
SRP currently offers a hybrid workplace, which allows employees whose jobs can be performed remotely, and who have sufficient technical capability, to telework up to three days per week. Although teleworking is available, all employees must live and work in Arizona.
 **Drug/Alcohol Policy Statement**
To promote the safety and well\-being of our employees, customers, and the communities we serve, SRP is committed to maintaining a drug/alcohol free work environment. Although marijuana may now be legal in Arizona, except as otherwise specified under Arizona law, SRP considers it to be an illegal drug for the purpose of our drug/alcohol policy because marijuana remains illegal at the federal level. Any candidate found to be impaired during the hiring process or who has the presence of an illegal drug or unauthorized substance in their system during the pre\-employment drug/alcohol test may be disqualified from further consideration in the hiring process.
 **Equal Opportunity Employer Statement**
Salt River Project (SRP) is committed to equal employment opportunity regardless of race, color, religion, sex (including pregnancy), gender identity, sexual orientation, national origin, age, disability, genetic information, military status, or any other protected status under applicable federal, state or local law.
 **Work Authorization**
All candidates must be legally authorized to work in the United States.  
Currently, SRP does not sponsor H1B visas, OPT, or other employment\-related visa's.</t>
        </is>
      </c>
    </row>
    <row r="5">
      <c r="A5" t="inlineStr">
        <is>
          <t>in-db7538f9caa1800b</t>
        </is>
      </c>
      <c r="B5" t="inlineStr">
        <is>
          <t>Data Engineer - Senior</t>
        </is>
      </c>
      <c r="C5" t="inlineStr">
        <is>
          <t>Connected Logistics</t>
        </is>
      </c>
      <c r="D5" t="inlineStr">
        <is>
          <t>indeed</t>
        </is>
      </c>
      <c r="E5">
        <f>HYPERLINK("https://www.indeed.com/viewjob?jk=db7538f9caa1800b", "https://www.indeed.com/viewjob?jk=db7538f9caa1800b")</f>
        <v/>
      </c>
      <c r="F5">
        <f>HYPERLINK("https://recruiting.paylocity.com/recruiting/jobs/Details/3833797/Connected-Logistics/Data-Engineer---Senior?source=Indeed_Feed", "https://recruiting.paylocity.com/recruiting/jobs/Details/3833797/Connected-Logistics/Data-Engineer---Senior?source=Indeed_Feed")</f>
        <v/>
      </c>
      <c r="G5" t="inlineStr">
        <is>
          <t>US</t>
        </is>
      </c>
      <c r="H5" s="3" t="n">
        <v>46034</v>
      </c>
      <c r="I5" t="inlineStr">
        <is>
          <t>Description:
*Contingent Upon Award*
**Off\-Site Remote**
**Who We Are**
**Connected Logistics** builds secure, mission\-critical IT and logistics solutions for the U.S. Army and other federal stakeholders. Our team values integrity, excellence, teamwork, and professional courage delivering real impact for national security missions. Connected Logistics is seeking a Senior Data Engineer for our clients data governance and strategic alignment with the DoD data strategy, aiming to ensure that data is visible, accessible, understandable, linked, trusted, interoperable, and secure(VAULTIS).
**Key Responsibilities**
The Senior Data Engineer provides expertise in:
* Experience designing, developing, and maintaining scalable data pipelines and architectures supporting enterprise data catalogs and federated data environments.
* Experience integrating structured and unstructured data from clinical, operational, and research systems (e.g., EHRs, data lakes, APIs).
* Experience implementing metadata harvesting, data lineage, and data quality enforcement aligned with enterprise governance frameworks.
* Experience supporting AI/ML readiness through feature engineering, data transformation, and pipeline automation.
* Experience working within federal healthcare environments, ensuring compliance with HIPAA, DoD, and DHA data standards.
Requirements:
**Minimum Education Level**
Bachelor's Degree in Computer Science, Data Engineering, Information Systems, Systems, Software Engineering, or related technical discipline.
Certifications in cloud platforms or data engineering technologies(e.g., AWS Data Analytics, Azure Data Engineer, Databricks) preferred.
**Minimum Experience**  
8 years (with at least 5 years designing and implementing enterprise\-scale data pipelines supporting healthcare or federal data programs).
**Connected Logistics** respects the need for confidentiality for all applicants.
**Connected Logistics** offers an excellent benefits package that includes health, dental, vision, life and disability insurance, a great 401(k) package, and generous Paid Time Off.
**EQUAL OPPORTUNITY EMPLOYER.** It is our policy to abide by all federal, state and local laws prohibiting employment discrimination solely on the basis of a person’s race, religious creed, color, national origin, ancestry, physical disability, mental condition (including, but not limited to, cancer related or HIV related), marital status, sex, gender (including sex stereotyping), age, sexual orientation, military status, or any other protected status except where a reasonable, bona fide occupational qualification exists.</t>
        </is>
      </c>
    </row>
    <row r="6">
      <c r="A6" t="inlineStr">
        <is>
          <t>in-6c58c55a13e298de</t>
        </is>
      </c>
      <c r="B6" t="inlineStr">
        <is>
          <t>Data Engineer II</t>
        </is>
      </c>
      <c r="C6" t="inlineStr">
        <is>
          <t>Kapitus</t>
        </is>
      </c>
      <c r="D6" t="inlineStr">
        <is>
          <t>indeed</t>
        </is>
      </c>
      <c r="E6">
        <f>HYPERLINK("https://www.indeed.com/viewjob?jk=6c58c55a13e298de", "https://www.indeed.com/viewjob?jk=6c58c55a13e298de")</f>
        <v/>
      </c>
      <c r="F6">
        <f>HYPERLINK("https://grnh.se/qg4ylqf89us", "https://grnh.se/qg4ylqf89us")</f>
        <v/>
      </c>
      <c r="G6" t="inlineStr">
        <is>
          <t>Arlington, VA, US</t>
        </is>
      </c>
      <c r="H6" s="3" t="n">
        <v>46034</v>
      </c>
      <c r="I6" t="inlineStr">
        <is>
          <t>Kapitus is seeking a Data Engineer II. The ideal candidate will have hands\-on experience with Snowflake, data warehousing, data pipelines, and modern data engineering tools. You will play a key role in designing, building, and maintaining our data infrastructure, ensuring high\-quality data is available for analytics and decision\-making.
**What you will do:**
* Design, develop, and maintain data pipelines to ensure the smooth flow of data into Snowflake and other data storage solutions.
* Implement ELT and ETL processes using tools such as DBT and Apache Airflow for data transformation and orchestration.
* Collaborate with data analysts and stakeholders to understand data requirements and deliver effective solutions.
* Optimize and monitor data workflows to improve efficiency and performance.
* Manage and maintain RDBMS databases, focusing on AWS RDS, ensuring data reliability and security.
* Ensure data quality and integrity by implementing best practices in data governance.
* Document data architecture, processes, and workflows to support team knowledge sharing.
**What we are looking for:**
* Applicants must be authorized to work in the United States without the need for current or future visa sponsorship.
* Bachelor's degree in Computer Science, Information Technology, or a related field.
* 3\+ years of experience in data engineering or related fields.
* Strong proficiency in Snowflake, including experience with data modelling and performance optimization.
* Strong experience with DBT (Core or Cloud) in a production environment.
* Proficiency in SQL – writing complex queries, window functions, CTEs, etc.
* Familiarity with Git and collaborative development workflows.
* Solid understanding of RDBMS principles and experience with AWS RDS.
* Familiarity with data preparation and analytics using Alteryx.
* Knowledge of cloud platforms, particularly AWS, including services such as S3, EventBridge, and Lambda.
* Excellent problem\-solving skills and a proactive approach to challenges.
* Strong communication skills, able to collaborate with technical and non\-technical teams.
**Additional Skills:**
* Familiarity with Alteryx for data preparation and advanced analytics tasks.
* Experience with data visualization tools (e.g., Tableau, Power BI).
* Familiarity with data warehousing concepts and methodologies.
* Exposure to machine learning tools and frameworks is a plus.
**Kapitus Total Rewards Package Includes:**
* **Competitive Base Salary Range** of $96,300\-$154,400 Kapitus is providing this as a good faith salary range to comply with applicable law. The applicant's final salary will depend on a number of factors including the applicant's geographic location, skills, and experience.
* **Annual Incentive Compensation Eligibility** –Up to 10% annually
* **Health Insurance:** We offer comprehensive medical, dental, and employer\-paid vision plans through UnitedHealthcare (UHC), with various coverage levels available to meet the needs of our employees and their families
* **100% Company Paid Insurances:** Kapitus fully covers the cost of *basic short\-term and long\-term disability insurance, as well as vision insurance*, ensuring our employees have comprehensive protection without any personal expense
* **Voluntary Insurance:** Supplemental life insurance as well as enhanced short\- and long\-term disability coverage are available through Mutual of Omaha, providing additional security for our employees. Additionally, Colonial Accident and Hospitalization insurances are also available, offering further protection against unforeseen events
* **Paid Maternity and Parental Leave:** Beyond state\-mandated leave policies, Kapitus provides company\-paid maternity and parental leave, supporting our employees during important family milestones
* **LifeBalance Program:** Enhance your lifestyle with our LifeBalance membership, which offers discounts on outdoor activities, the arts, health, and fitness. Additional benefits include:
	+ Pet and car insurance discounts
	+ Financial services such as LegalShield
	+ Relaxation and stress management tools, including a fully covered annual subscription to The Calm App
* **Plum Benefits Discount Program:** Access exclusive discounts on shows, travel, car rentals, and more, enriching your personal and family life
* **Tuition Reimbursement:** Pursue further education with up to $5,000 annually in tuition reimbursement, plus opportunities to attend relevant conferences and career development events
* **Transit Reimbursement:** We also offer transit reimbursement for all work\-related travel, supporting your involvement in career and personal development activities
* **Paid Time Off \&amp; Sick Time**
* **Retirement Benefits:** Our 401K plan is managed through Fidelity, featuring a 25% match on employee contributions, helping you plan for a secure financial future
**About Kapitus:**
Kapitus is one of the most reliable and respected names in small business financing. As both a direct lender and a marketplace built with a trusted network of lending partners, we can provide small businesses with the financing they need when, and how it is needed.
We have spent our entire existence building a culture that makes us excited to come to work in the morning. Our company is fast paced, teammates need to be self\-directed and have an internal motivation to do the right thing, even when the right thing takes a lot of hard work.
We show our teammates our appreciation by offering great benefits, competitive pay and solid opportunity for growth.
**Company Mission:**
At Kapitus, our mission is to help small business owners grow their organizations by providing tailored, transparent, and ethical financing solutions. We invest in every business owner's story and we are dedicated to building lasting relationships to champion their goals. We promise to keep the best interests of our clients at the center of the financing process by operating with transparency, fairness, and integrity.
**Consideration will be given to qualified remote candidates residing in states where Kapitus and/or one of its subsidiaries has an established physical presence.**</t>
        </is>
      </c>
    </row>
    <row r="7">
      <c r="A7" t="inlineStr">
        <is>
          <t>in-d81c37f6211de22f</t>
        </is>
      </c>
      <c r="B7" t="inlineStr">
        <is>
          <t>Senior Data Engineer</t>
        </is>
      </c>
      <c r="C7" t="inlineStr">
        <is>
          <t>Koch</t>
        </is>
      </c>
      <c r="D7" t="inlineStr">
        <is>
          <t>indeed</t>
        </is>
      </c>
      <c r="E7">
        <f>HYPERLINK("https://www.indeed.com/viewjob?jk=d81c37f6211de22f", "https://www.indeed.com/viewjob?jk=d81c37f6211de22f")</f>
        <v/>
      </c>
      <c r="F7">
        <f>HYPERLINK("https://ars2.equest.com/?response_id=3502cb4398be8a232a3a3f497089d427", "https://ars2.equest.com/?response_id=3502cb4398be8a232a3a3f497089d427")</f>
        <v/>
      </c>
      <c r="G7" t="inlineStr">
        <is>
          <t>Plano, TX, US</t>
        </is>
      </c>
      <c r="H7" s="3" t="n">
        <v>46034</v>
      </c>
      <c r="I7" t="inlineStr">
        <is>
          <t>**Your Job**
The Data Engineer will play a critical role in transforming the way we design, develop, and implement robust data pipelines to enable seamless data flow and support various initiatives at Koch Industries. This role requires hands\-on expertise in SQL and Python coding and acts as a Subject Matter Expert (SME) in data engineering, helping position us for scalability and future industry advancements. The Data Engineer will partner closely with solution and data architects on design and implementation, collaborating with various capability teams to drive effective and scalable data solutions.
**Our Team**
The DMET (Data Management, Enablement and Transformation) team is focused on developing a long\-term sustainable capability utilizing data and technology to transform tax and finance. This includes a diverse group with multiple teams focused on data platform technologies, specific data products and transformation with an emphasis on data security. Our strategy will empower the finance and tax organizations to create superior value while consuming few resources, unlocking analytical capabilities, mitigating risk, and meeting ever changing regulatory requirements.
**Location: This role can be located in Wichita, KS / Plano, TX / Atlanta, GA and requires an onsite presence 5 days/week.**
**This role is not eligible for VISA sponsorship.**
**What You Will Do**
* Write efficient, maintainable SQL and Python code to create, implement, and optimize data pipelines ensuring high data quality and flow across systems.
* Collaborate closely with architecture teams to design and implement scalable data solutions aligned with enterprise architecture standards.
* Apply a thorough understanding of the full Software Development Life Cycle (SDLC) and AI Development Life Cycle (AIDLC) frameworks, including requirements gathering, development, testing, deployment, and maintenance phases.
* Work within Agile frameworks to deliver incremental value, participate in sprint planning, stand\-ups, retrospectives, and continuous improvement activities.
* Serve as a trusted Subject Matter Expert (SME) for data engineering, providing guidance and domain knowledge when interacting with cross\-functional teams from various business and technical capabilities.
* Support data governance, data quality initiatives, and ensure compliance with security and privacy policies.
* Document data architecture designs, pipeline workflows, and best practices to promote knowledge sharing and operational excellence.
**Who You Are (Basic Qualifications)**
* Proven experience coding in SQL and Python for building and maintaining data pipelines.
* Hands\-on experience collaborating with architecture teams to implement data solutions.
* Strong understanding of the full SDLC and practical experience working in Agile development environments.
* Excellent communication skills, with the ability to clearly articulate technical concepts to non\-technical stakeholders and act as an SME across teams .
**What Will Put You Ahead**
* Familiarity with dbt (Data Build Tool) for data transformation and modeling.
* Strong experience working with Snowflake data warehouse and cloud infrastructure in AWS.
* Proficiency with GitHub or similar version control tools for collaborative development.
* Prior exposure to other orchestration or pipeline tools, such as **Apache Airflow** or **Prefect**.
* Experience with distributed events and stream\-processing, such as **Kafka**.
* Experience with observability tools, such as **Grafana** or **Datadog.**
* Understanding of data governance, security protocols, and compliance.
* Knowledge or hands\-on experience with AI/ML concepts, frameworks, or model deployment.
At Koch companies, we are entrepreneurs. This means we openly challenge the status quo, find new ways to create value and get rewarded for our individual contributions. Any compensation range provided for a role is an estimate determined by available market data. The actual amount may be higher or lower than the range provided considering each candidate's knowledge, skills, abilities, and geographic location. If you have questions, please speak to your recruiter about the flexibility and detail of our compensation philosophy.
**Hiring Philosophy**
All Koch companies value diversity of thought, perspectives, aptitudes, experiences, and backgrounds. We are Military Ready and Second Chance employers. Learn more about our hiring philosophy here .
**Who We Are**
Koch creates and innovates a wide spectrum of products and services that make life better. Our work spans a vast number of industries across the world, including engineered technology, refining, chemicals and polymers, pulp and paper, glass, electronics and many more. Headquartered in Wichita, Kansas, Koch employs about 120,000 employees across the globe.
At Koch, employees are empowered to do what they do best to make life better. Learn how our business philosophy helps employees unleash their potential while creating value for themselves and the company.
**Our Benefits**
Our goal is for each employee, and their families, to live fulfilling and healthy lives. We provide essential resources and support to build and maintain physical, financial, and emotional strength \- focusing on overall wellbeing so you can focus on what matters most. Our benefits plan includes \- medical, dental, vision, flexible spending and health savings accounts, life insurance, ADD, disability, retirement, paid vacation/time off, educational assistance, and may also include infertility assistance, paid parental leave and adoption assistance. Specific eligibility criteria is set by the applicable Summary Plan Description, policy or guideline and benefits may vary by geographic region. If you have questions on what benefits apply to you, please speak to your recruiter.
Additionally, everyone has individual work and personal needs. We seek to enable the best work environment that helps you and the business work together to produce superior results.
**Equal Opportunities**
Equal Opportunity Employer, including disability and protected veteran status. Except where prohibited by state law, some offers of employment are conditioned upon successfully passing a drug test. This employer uses E\-Verify. Please click here for additional information. (For Illinois E\-Verify information click here , aquí , or tu ).
\#LI\-NK1</t>
        </is>
      </c>
    </row>
    <row r="8">
      <c r="A8" t="inlineStr">
        <is>
          <t>in-1e260186fe57d5af</t>
        </is>
      </c>
      <c r="B8" t="inlineStr">
        <is>
          <t>Senior Data Engineer</t>
        </is>
      </c>
      <c r="C8" t="inlineStr">
        <is>
          <t>Koch</t>
        </is>
      </c>
      <c r="D8" t="inlineStr">
        <is>
          <t>indeed</t>
        </is>
      </c>
      <c r="E8">
        <f>HYPERLINK("https://www.indeed.com/viewjob?jk=1e260186fe57d5af", "https://www.indeed.com/viewjob?jk=1e260186fe57d5af")</f>
        <v/>
      </c>
      <c r="F8">
        <f>HYPERLINK("https://ars2.equest.com/?response_id=5119c6b6c0a61c940dd25301e45bcf7a", "https://ars2.equest.com/?response_id=5119c6b6c0a61c940dd25301e45bcf7a")</f>
        <v/>
      </c>
      <c r="G8" t="inlineStr">
        <is>
          <t>Atlanta, GA, US</t>
        </is>
      </c>
      <c r="H8" s="3" t="n">
        <v>46034</v>
      </c>
      <c r="I8" t="inlineStr">
        <is>
          <t>**Your Job**
The Data Engineer will play a critical role in transforming the way we design, develop, and implement robust data pipelines to enable seamless data flow and support various initiatives at Koch Industries. This role requires hands\-on expertise in SQL and Python coding and acts as a Subject Matter Expert (SME) in data engineering, helping position us for scalability and future industry advancements. The Data Engineer will partner closely with solution and data architects on design and implementation, collaborating with various capability teams to drive effective and scalable data solutions.
**Our Team**
The DMET (Data Management, Enablement and Transformation) team is focused on developing a long\-term sustainable capability utilizing data and technology to transform tax and finance. This includes a diverse group with multiple teams focused on data platform technologies, specific data products and transformation with an emphasis on data security. Our strategy will empower the finance and tax organizations to create superior value while consuming few resources, unlocking analytical capabilities, mitigating risk, and meeting ever changing regulatory requirements.
**Location: This role can be located in Wichita, KS / Plano, TX / Atlanta, GA and requires an onsite presence 5 days/week.**
**This role is not eligible for VISA sponsorship.**
**What You Will Do**
* Write efficient, maintainable SQL and Python code to create, implement, and optimize data pipelines ensuring high data quality and flow across systems.
* Collaborate closely with architecture teams to design and implement scalable data solutions aligned with enterprise architecture standards.
* Apply a thorough understanding of the full Software Development Life Cycle (SDLC) and AI Development Life Cycle (AIDLC) frameworks, including requirements gathering, development, testing, deployment, and maintenance phases.
* Work within Agile frameworks to deliver incremental value, participate in sprint planning, stand\-ups, retrospectives, and continuous improvement activities.
* Serve as a trusted Subject Matter Expert (SME) for data engineering, providing guidance and domain knowledge when interacting with cross\-functional teams from various business and technical capabilities.
* Support data governance, data quality initiatives, and ensure compliance with security and privacy policies.
* Document data architecture designs, pipeline workflows, and best practices to promote knowledge sharing and operational excellence.
**Who You Are (Basic Qualifications)**
* Proven experience coding in SQL and Python for building and maintaining data pipelines.
* Hands\-on experience collaborating with architecture teams to implement data solutions.
* Strong understanding of the full SDLC and practical experience working in Agile development environments.
* Excellent communication skills, with the ability to clearly articulate technical concepts to non\-technical stakeholders and act as an SME across teams .
**What Will Put You Ahead**
* Familiarity with dbt (Data Build Tool) for data transformation and modeling.
* Strong experience working with Snowflake data warehouse and cloud infrastructure in AWS.
* Proficiency with GitHub or similar version control tools for collaborative development.
* Prior exposure to other orchestration or pipeline tools, such as **Apache Airflow** or **Prefect**.
* Experience with distributed events and stream\-processing, such as **Kafka**.
* Experience with observability tools, such as **Grafana** or **Datadog.**
* Understanding of data governance, security protocols, and compliance.
* Knowledge or hands\-on experience with AI/ML concepts, frameworks, or model deployment.
At Koch companies, we are entrepreneurs. This means we openly challenge the status quo, find new ways to create value and get rewarded for our individual contributions. Any compensation range provided for a role is an estimate determined by available market data. The actual amount may be higher or lower than the range provided considering each candidate's knowledge, skills, abilities, and geographic location. If you have questions, please speak to your recruiter about the flexibility and detail of our compensation philosophy.
**Hiring Philosophy**
All Koch companies value diversity of thought, perspectives, aptitudes, experiences, and backgrounds. We are Military Ready and Second Chance employers. Learn more about our hiring philosophy here .
**Who We Are**
Koch creates and innovates a wide spectrum of products and services that make life better. Our work spans a vast number of industries across the world, including engineered technology, refining, chemicals and polymers, pulp and paper, glass, electronics and many more. Headquartered in Wichita, Kansas, Koch employs about 120,000 employees across the globe.
At Koch, employees are empowered to do what they do best to make life better. Learn how our business philosophy helps employees unleash their potential while creating value for themselves and the company.
**Our Benefits**
Our goal is for each employee, and their families, to live fulfilling and healthy lives. We provide essential resources and support to build and maintain physical, financial, and emotional strength \- focusing on overall wellbeing so you can focus on what matters most. Our benefits plan includes \- medical, dental, vision, flexible spending and health savings accounts, life insurance, ADD, disability, retirement, paid vacation/time off, educational assistance, and may also include infertility assistance, paid parental leave and adoption assistance. Specific eligibility criteria is set by the applicable Summary Plan Description, policy or guideline and benefits may vary by geographic region. If you have questions on what benefits apply to you, please speak to your recruiter.
Additionally, everyone has individual work and personal needs. We seek to enable the best work environment that helps you and the business work together to produce superior results.
**Equal Opportunities**
Equal Opportunity Employer, including disability and protected veteran status. Except where prohibited by state law, some offers of employment are conditioned upon successfully passing a drug test. This employer uses E\-Verify. Please click here for additional information. (For Illinois E\-Verify information click here , aquí , or tu ).
\#LI\-NK1</t>
        </is>
      </c>
    </row>
    <row r="9">
      <c r="A9" t="inlineStr">
        <is>
          <t>in-423217219b6a983b</t>
        </is>
      </c>
      <c r="B9" t="inlineStr">
        <is>
          <t>Senior Data Engineer</t>
        </is>
      </c>
      <c r="C9" t="inlineStr">
        <is>
          <t>Koch</t>
        </is>
      </c>
      <c r="D9" t="inlineStr">
        <is>
          <t>indeed</t>
        </is>
      </c>
      <c r="E9">
        <f>HYPERLINK("https://www.indeed.com/viewjob?jk=423217219b6a983b", "https://www.indeed.com/viewjob?jk=423217219b6a983b")</f>
        <v/>
      </c>
      <c r="F9">
        <f>HYPERLINK("https://ars2.equest.com/?response_id=c000e97728fda7f49e538880585be63b", "https://ars2.equest.com/?response_id=c000e97728fda7f49e538880585be63b")</f>
        <v/>
      </c>
      <c r="G9" t="inlineStr">
        <is>
          <t>Wichita, KS, US</t>
        </is>
      </c>
      <c r="H9" s="3" t="n">
        <v>46034</v>
      </c>
      <c r="I9" t="inlineStr">
        <is>
          <t>**Your Job**
The Data Engineer will play a critical role in transforming the way we design, develop, and implement robust data pipelines to enable seamless data flow and support various initiatives at Koch Industries. This role requires hands\-on expertise in SQL and Python coding and acts as a Subject Matter Expert (SME) in data engineering, helping position us for scalability and future industry advancements. The Data Engineer will partner closely with solution and data architects on design and implementation, collaborating with various capability teams to drive effective and scalable data solutions.
**Our Team**
The DMET (Data Management, Enablement and Transformation) team is focused on developing a long\-term sustainable capability utilizing data and technology to transform tax and finance. This includes a diverse group with multiple teams focused on data platform technologies, specific data products and transformation with an emphasis on data security. Our strategy will empower the finance and tax organizations to create superior value while consuming few resources, unlocking analytical capabilities, mitigating risk, and meeting ever changing regulatory requirements.
**Location: This role can be located in Wichita, KS / Plano, TX / Atlanta, GA and requires an onsite presence 5 days/week.**
**This role is not eligible for VISA sponsorship.**
**What You Will Do**
* Write efficient, maintainable SQL and Python code to create, implement, and optimize data pipelines ensuring high data quality and flow across systems.
* Collaborate closely with architecture teams to design and implement scalable data solutions aligned with enterprise architecture standards.
* Apply a thorough understanding of the full Software Development Life Cycle (SDLC) and AI Development Life Cycle (AIDLC) frameworks, including requirements gathering, development, testing, deployment, and maintenance phases.
* Work within Agile frameworks to deliver incremental value, participate in sprint planning, stand\-ups, retrospectives, and continuous improvement activities.
* Serve as a trusted Subject Matter Expert (SME) for data engineering, providing guidance and domain knowledge when interacting with cross\-functional teams from various business and technical capabilities.
* Support data governance, data quality initiatives, and ensure compliance with security and privacy policies.
* Document data architecture designs, pipeline workflows, and best practices to promote knowledge sharing and operational excellence.
**Who You Are (Basic Qualifications)**
* Proven experience coding in SQL and Python for building and maintaining data pipelines.
* Hands\-on experience collaborating with architecture teams to implement data solutions.
* Strong understanding of the full SDLC and practical experience working in Agile development environments.
* Excellent communication skills, with the ability to clearly articulate technical concepts to non\-technical stakeholders and act as an SME across teams .
**What Will Put You Ahead**
* Familiarity with dbt (Data Build Tool) for data transformation and modeling.
* Strong experience working with Snowflake data warehouse and cloud infrastructure in AWS.
* Proficiency with GitHub or similar version control tools for collaborative development.
* Prior exposure to other orchestration or pipeline tools, such as **Apache Airflow** or **Prefect**.
* Experience with distributed events and stream\-processing, such as **Kafka**.
* Experience with observability tools, such as **Grafana** or **Datadog.**
* Understanding of data governance, security protocols, and compliance.
* Knowledge or hands\-on experience with AI/ML concepts, frameworks, or model deployment.
At Koch companies, we are entrepreneurs. This means we openly challenge the status quo, find new ways to create value and get rewarded for our individual contributions. Any compensation range provided for a role is an estimate determined by available market data. The actual amount may be higher or lower than the range provided considering each candidate's knowledge, skills, abilities, and geographic location. If you have questions, please speak to your recruiter about the flexibility and detail of our compensation philosophy.
**Hiring Philosophy**
All Koch companies value diversity of thought, perspectives, aptitudes, experiences, and backgrounds. We are Military Ready and Second Chance employers. Learn more about our hiring philosophy here .
**Who We Are**
Koch creates and innovates a wide spectrum of products and services that make life better. Our work spans a vast number of industries across the world, including engineered technology, refining, chemicals and polymers, pulp and paper, glass, electronics and many more. Headquartered in Wichita, Kansas, Koch employs about 120,000 employees across the globe.
At Koch, employees are empowered to do what they do best to make life better. Learn how our business philosophy helps employees unleash their potential while creating value for themselves and the company.
**Our Benefits**
Our goal is for each employee, and their families, to live fulfilling and healthy lives. We provide essential resources and support to build and maintain physical, financial, and emotional strength \- focusing on overall wellbeing so you can focus on what matters most. Our benefits plan includes \- medical, dental, vision, flexible spending and health savings accounts, life insurance, ADD, disability, retirement, paid vacation/time off, educational assistance, and may also include infertility assistance, paid parental leave and adoption assistance. Specific eligibility criteria is set by the applicable Summary Plan Description, policy or guideline and benefits may vary by geographic region. If you have questions on what benefits apply to you, please speak to your recruiter.
Additionally, everyone has individual work and personal needs. We seek to enable the best work environment that helps you and the business work together to produce superior results.
**Equal Opportunities**
Equal Opportunity Employer, including disability and protected veteran status. Except where prohibited by state law, some offers of employment are conditioned upon successfully passing a drug test. This employer uses E\-Verify. Please click here for additional information. (For Illinois E\-Verify information click here , aquí , or tu ).
\#LI\-NK1</t>
        </is>
      </c>
    </row>
    <row r="10">
      <c r="A10" t="inlineStr">
        <is>
          <t>in-930bc7138a166fee</t>
        </is>
      </c>
      <c r="B10" t="inlineStr">
        <is>
          <t>Senior Data Engineer</t>
        </is>
      </c>
      <c r="C10" t="inlineStr">
        <is>
          <t>Koch</t>
        </is>
      </c>
      <c r="D10" t="inlineStr">
        <is>
          <t>indeed</t>
        </is>
      </c>
      <c r="E10">
        <f>HYPERLINK("https://www.indeed.com/viewjob?jk=930bc7138a166fee", "https://www.indeed.com/viewjob?jk=930bc7138a166fee")</f>
        <v/>
      </c>
      <c r="F10">
        <f>HYPERLINK("https://ars2.equest.com/?response_id=5f9ba8c5b37439a10100b972372f6944", "https://ars2.equest.com/?response_id=5f9ba8c5b37439a10100b972372f6944")</f>
        <v/>
      </c>
      <c r="G10" t="inlineStr">
        <is>
          <t>Dallas, TX, US</t>
        </is>
      </c>
      <c r="H10" s="3" t="n">
        <v>46034</v>
      </c>
      <c r="I10" t="inlineStr">
        <is>
          <t>**Your Job**
The Data Engineer will play a critical role in transforming the way we design, develop, and implement robust data pipelines to enable seamless data flow and support various initiatives at Koch Industries. This role requires hands\-on expertise in SQL and Python coding and acts as a Subject Matter Expert (SME) in data engineering, helping position us for scalability and future industry advancements. The Data Engineer will partner closely with solution and data architects on design and implementation, collaborating with various capability teams to drive effective and scalable data solutions.
**Our Team**
The DMET (Data Management, Enablement and Transformation) team is focused on developing a long\-term sustainable capability utilizing data and technology to transform tax and finance. This includes a diverse group with multiple teams focused on data platform technologies, specific data products and transformation with an emphasis on data security. Our strategy will empower the finance and tax organizations to create superior value while consuming few resources, unlocking analytical capabilities, mitigating risk, and meeting ever changing regulatory requirements.
**Location: This role can be located in Wichita, KS / Plano, TX / Atlanta, GA and requires an onsite presence 5 days/week.**
**This role is not eligible for VISA sponsorship.**
**What You Will Do**
* Write efficient, maintainable SQL and Python code to create, implement, and optimize data pipelines ensuring high data quality and flow across systems.
* Collaborate closely with architecture teams to design and implement scalable data solutions aligned with enterprise architecture standards.
* Apply a thorough understanding of the full Software Development Life Cycle (SDLC) and AI Development Life Cycle (AIDLC) frameworks, including requirements gathering, development, testing, deployment, and maintenance phases.
* Work within Agile frameworks to deliver incremental value, participate in sprint planning, stand\-ups, retrospectives, and continuous improvement activities.
* Serve as a trusted Subject Matter Expert (SME) for data engineering, providing guidance and domain knowledge when interacting with cross\-functional teams from various business and technical capabilities.
* Support data governance, data quality initiatives, and ensure compliance with security and privacy policies.
* Document data architecture designs, pipeline workflows, and best practices to promote knowledge sharing and operational excellence.
**Who You Are (Basic Qualifications)**
* Proven experience coding in SQL and Python for building and maintaining data pipelines.
* Hands\-on experience collaborating with architecture teams to implement data solutions.
* Strong understanding of the full SDLC and practical experience working in Agile development environments.
* Excellent communication skills, with the ability to clearly articulate technical concepts to non\-technical stakeholders and act as an SME across teams .
**What Will Put You Ahead**
* Familiarity with dbt (Data Build Tool) for data transformation and modeling.
* Strong experience working with Snowflake data warehouse and cloud infrastructure in AWS.
* Proficiency with GitHub or similar version control tools for collaborative development.
* Prior exposure to other orchestration or pipeline tools, such as **Apache Airflow** or **Prefect**.
* Experience with distributed events and stream\-processing, such as **Kafka**.
* Experience with observability tools, such as **Grafana** or **Datadog.**
* Understanding of data governance, security protocols, and compliance.
* Knowledge or hands\-on experience with AI/ML concepts, frameworks, or model deployment.
At Koch companies, we are entrepreneurs. This means we openly challenge the status quo, find new ways to create value and get rewarded for our individual contributions. Any compensation range provided for a role is an estimate determined by available market data. The actual amount may be higher or lower than the range provided considering each candidate's knowledge, skills, abilities, and geographic location. If you have questions, please speak to your recruiter about the flexibility and detail of our compensation philosophy.
**Hiring Philosophy**
All Koch companies value diversity of thought, perspectives, aptitudes, experiences, and backgrounds. We are Military Ready and Second Chance employers. Learn more about our hiring philosophy here .
**Who We Are**
Koch creates and innovates a wide spectrum of products and services that make life better. Our work spans a vast number of industries across the world, including engineered technology, refining, chemicals and polymers, pulp and paper, glass, electronics and many more. Headquartered in Wichita, Kansas, Koch employs about 120,000 employees across the globe.
At Koch, employees are empowered to do what they do best to make life better. Learn how our business philosophy helps employees unleash their potential while creating value for themselves and the company.
**Our Benefits**
Our goal is for each employee, and their families, to live fulfilling and healthy lives. We provide essential resources and support to build and maintain physical, financial, and emotional strength \- focusing on overall wellbeing so you can focus on what matters most. Our benefits plan includes \- medical, dental, vision, flexible spending and health savings accounts, life insurance, ADD, disability, retirement, paid vacation/time off, educational assistance, and may also include infertility assistance, paid parental leave and adoption assistance. Specific eligibility criteria is set by the applicable Summary Plan Description, policy or guideline and benefits may vary by geographic region. If you have questions on what benefits apply to you, please speak to your recruiter.
Additionally, everyone has individual work and personal needs. We seek to enable the best work environment that helps you and the business work together to produce superior results.
**Equal Opportunities**
Equal Opportunity Employer, including disability and protected veteran status. Except where prohibited by state law, some offers of employment are conditioned upon successfully passing a drug test. This employer uses E\-Verify. Please click here for additional information. (For Illinois E\-Verify information click here , aquí , or tu ).
\#LI\-NK1</t>
        </is>
      </c>
    </row>
    <row r="11">
      <c r="A11" t="inlineStr">
        <is>
          <t>in-7841d7c7b6166cf5</t>
        </is>
      </c>
      <c r="B11" t="inlineStr">
        <is>
          <t>ETL Data Engineer-4</t>
        </is>
      </c>
      <c r="C11" t="inlineStr">
        <is>
          <t>Realign</t>
        </is>
      </c>
      <c r="D11" t="inlineStr">
        <is>
          <t>indeed</t>
        </is>
      </c>
      <c r="E11">
        <f>HYPERLINK("https://www.indeed.com/viewjob?jk=7841d7c7b6166cf5", "https://www.indeed.com/viewjob?jk=7841d7c7b6166cf5")</f>
        <v/>
      </c>
      <c r="F11">
        <f>HYPERLINK("https://realign-llc.com/careers/job-details/IT19461ET-4", "https://realign-llc.com/careers/job-details/IT19461ET-4")</f>
        <v/>
      </c>
      <c r="G11" t="inlineStr">
        <is>
          <t>CA, US</t>
        </is>
      </c>
      <c r="H11" s="3" t="n">
        <v>46034</v>
      </c>
      <c r="I11" t="inlineStr">
        <is>
          <t>Job Type: Contract
Job Category: IT
Job Description
**Title: ETL Data Engineer**  
**Location : \- California / remote****Duration : 06 Months**  
Seeking an experienced Data Managemenet professional who will design, implement, and manage secure, scalable ODS solution for reporting and decision making to support critical business applications. This role requires strong hands\-on SQL adn SSIS experience, automation skills, and the ability to collaborate with cross\-functional teams.  
Key Responsibilities  
* Strategize, Design, implement, and manage ODS jobs and environments.
* Documentation of PowerBI project requirements, roadmap planning and reporting data delivery.
* Build and maintain SSIS packages, SQL queries, databases and reports
* Ensure high availability and scalable solution is designed for ODS environment.
* Monitor and optimize SQL queries, daily, weekly and monthly Jobs.
* Collaborate with development teams to design data management projects.
* Maintain backup and disaster recovery strategies.
* Document cloud architecture, processes, and configurations.
* Support cloud migration and modernization projects.
* Conduct performance testing.
Preferred Skills \&amp; Qualifications  
* Experience: 5\+ years in Data Management with PowerBI, SQL, SSIS, AWS/Azure
* Strong project management experience.
Required Skills
DEVOPS ENGINEER
 SENIOR EMAIL SECURITY ENGINEER</t>
        </is>
      </c>
    </row>
    <row r="12">
      <c r="A12" t="inlineStr">
        <is>
          <t>in-4550451ff3e7a6a2</t>
        </is>
      </c>
      <c r="B12" t="inlineStr">
        <is>
          <t>Analytics and Monitoring / Data Engineer</t>
        </is>
      </c>
      <c r="C12" t="inlineStr">
        <is>
          <t>Realign</t>
        </is>
      </c>
      <c r="D12" t="inlineStr">
        <is>
          <t>indeed</t>
        </is>
      </c>
      <c r="E12">
        <f>HYPERLINK("https://www.indeed.com/viewjob?jk=4550451ff3e7a6a2", "https://www.indeed.com/viewjob?jk=4550451ff3e7a6a2")</f>
        <v/>
      </c>
      <c r="F12">
        <f>HYPERLINK("https://realign-llc.com/careers/job-details/IT1955AN", "https://realign-llc.com/careers/job-details/IT1955AN")</f>
        <v/>
      </c>
      <c r="G12" t="inlineStr">
        <is>
          <t>Bellevue, WA, US</t>
        </is>
      </c>
      <c r="H12" s="3" t="n">
        <v>46034</v>
      </c>
      <c r="I12" t="inlineStr">
        <is>
          <t>Job Type: Contract
Job Category: IT
Job Description
**Job Title** : Analytics and Monitoring \- Data Engineer**Location :** Bellevue, WA 100% Onsite
**6\+ months****Job Description**  
**Location:** Bellevue, WA 100% Onsite  
**Duration**: 6\+ months  
Experience with Azure Data Factory; Databricks; data governance and security best practices,Kusto; ADLS; POWERBI; PL/SQL  
Required Skills
DEVOPS ENGINEER</t>
        </is>
      </c>
    </row>
    <row r="13">
      <c r="A13" t="inlineStr">
        <is>
          <t>in-0bf0d8ee25b00ec2</t>
        </is>
      </c>
      <c r="B13" t="inlineStr">
        <is>
          <t>SNOW Certified Data Engineer</t>
        </is>
      </c>
      <c r="C13" t="inlineStr">
        <is>
          <t>innoVet Health, LLC</t>
        </is>
      </c>
      <c r="D13" t="inlineStr">
        <is>
          <t>indeed</t>
        </is>
      </c>
      <c r="E13">
        <f>HYPERLINK("https://www.indeed.com/viewjob?jk=0bf0d8ee25b00ec2", "https://www.indeed.com/viewjob?jk=0bf0d8ee25b00ec2")</f>
        <v/>
      </c>
      <c r="F13">
        <f>HYPERLINK("http://www.indeed.com/job/snow-certified-data-engineer-0bf0d8ee25b00ec2", "http://www.indeed.com/job/snow-certified-data-engineer-0bf0d8ee25b00ec2")</f>
        <v/>
      </c>
      <c r="G13" t="inlineStr">
        <is>
          <t>US</t>
        </is>
      </c>
      <c r="H13" s="3" t="n">
        <v>46034</v>
      </c>
      <c r="I13" t="inlineStr">
        <is>
          <t>InnoVet Health, a small and growing business that provides health IT professional services to the Department of Veterans Affairs (VA) is looking for an experienced Service Now Certified Data Engineer. You will leverage **Service Now (SNOW)** platform to develop and manage data intake workflows, service catalogs, incident/request tracking, and other custom data management applications. Your work will directly impact VA healthcare delivery by developing and implementing scalable data pipelines, analytical data sets, and rapid prototypes to deliver short\-term and longitudinal insights to healthcare professionals serving Veterans. You will work in an agile environment alongside VA and contractor stakeholders. It is flexible, full\-time, and does not require relocation (work\-from\-home). The pay, benefits, and growth potential are competitive.
Responsibilities
* Leverage **ServiceNow (SNOW)** and the Risk Management Application (RMA) platform to develop and manage data intake workflows, service catalogs, incident/request tracking, and other custom data management applications.
* Work within a SAFe Agile team environment, utilizing Jira (and Jira Align) or Azure DevOps to write and verify user stories and acceptance criteria aligned with program increments, demos, and release milestones.
* **Data Solution Engineering \&amp; Prototyping**: Develop and implement scalable data pipelines, analytical data sets, and rapid prototypes using Python, R, SQL, and related tools to support accelerated decision\-making needs within the EHRM program.
* Perform in\-depth data investigations and root\-cause analyses on data quality issues, defects, and gaps impacting clinical workflows, reporting, interoperability, and overall EHR performance. Build repeatable processes and automation that enhance data usability, accessibility, and operational efficiency for end\-users.
* **Healthcare, Clinical, and EHR Expertise:** Translate clinical workflows and health IT concepts into structured data requirements and technical solutions. Analyze and interpret healthcare operational and clinical datasets from Cerner Millennium or comparable EHR platforms (e.g., Epic, VistA) to inform data issue resolution and system optimization efforts.Stay up to date with emerging technologies and trends in data engineering and healthcare data management.
* **Master Data Management (MDM) \&amp; Governance:** Support the definition, maintenance, and implementation of master data management practices, reference data controls, and master entity resolution across EHR, operational, and enterprise data domains. Document data lineage, data transformation logic, and system\-to\-system interfaces to ensure transparency and traceability of data flows. Evaluate data quality, completeness, timeliness, and fitness for purpose; recommend corrective actions or system enhancements to address identified data issues.
Qualifications
* Education \&amp; Experience: Master’s degree in Information Management, Data Science, Healthcare Informatics, Biostatistics, or a related field. At least 8 years of experience delivering data engineering solutions within federal health IT, healthcare, clinical, or large public\-sector environments.
* ServiceNow (SNOW) Expertise: Extensive hands\-on experience with the ServiceNow platform, including architecture design, data modeling, and custom application development. Must have proven ability to build workflows and data services in SNOW (e.g. handling data intake forms, service catalog items, request/incident management modules).
* Data Engineering \&amp; Tools: Proficiency in Python, R, SQL, and modern data engineering or analytics toolsets. Experience developing data pipelines, performing data transformations, and handling large datasets for analysis.
* Master Data Management \&amp; Governance: Deep understanding of master data management principles and data governance impacts (data quality, standardization, reference data management) in an enterprise environment.
* Problem\-Solving with EHR Data: Demonstrated ability to analyze, interpret, and resolve complex data issues involving clinical or EHR data, including troubleshooting data integrity problems and recommending solutions.
* Agile/DevOps Environment: Experience working in Agile teams (preferably SAFe methodology), using tools such as Jira and/or Azure DevOps for backlog management, issue tracking, and collaboration.
* Compliance Knowledge: Familiarity with VA\-specific data privacy and security standards, as well as overarching regulations such as HIPAA and FISMA.
* Communication Skills: Exceptional written and verbal communication skills, with a proven ability to produce executive\-level documentation and to translate technical topics into business terms for leadership audiences.
* Green card or US citizen required because of government contract work.
* No 1099 or corp\-to\-corp or international outsourcing or staffing agencies.
Preferred
* ServiceNow Credentialing: ServiceNow Certified System Administrator (CSA) and Certified Application Developer (CAD)
* EHR Systems Knowledge: Working knowledge of Oracle Cerner Millennium EHR data structures or similar healthcare information systems (e.g., Epic or VistA), including understanding of clinical data models and workflows.
* Analytics \&amp; BI: Experience with biostatistics, predictive analytics, or clinical outcomes analysis, particularly in a healthcare context to support data\-driven decision making.
* User\-Centered Data Design: Experience designing for data usability and accessibility – creating user\-friendly data views, dashboards, or data products that facilitate end\-user consumption and decision\-making.
* Workflow Automation: Hands\-on experience with automation and ETL tools such as Microsoft Power Automate, Alteryx, or similar, to improve data processing efficiency.
* VA Domain Experience: Prior experience supporting VA’s EHRM program or other large healthcare transformation initiatives. Familiarity with VA healthcare operations or clinical workflow processes is a strong plus (experience in a VA environment is highly advantageous).
Job Type: Full\-time
Pay: From $130,000\.00 per year
Benefits:
* 401(k)
* 401(k) matching
* Dental insurance
* Health insurance
* Paid time off
* Referral program
* Vision insurance
Application Question(s):
* This position works directly with US government contracts and under Order 11935, it requires either U.S. Citizenship or valid Green Card. Please answer 2 if you are a US citizen, 1 if you have a valid green card, 0 if neither. Please make sure to answer this question.
* Your LinkedIn profile link (required):
Education:
* Bachelor's (Required)
Experience:
* ServiceNow: 5 years (Required)
* Data Engineering: 4 years (Required)
License/Certification:
* SNOW Certified Application Developer (CAD) certification (Required)
* SNOW Certified System Administrator (CSA) certification (Required)
Location:
* United States (Required)
Work Location: Remote</t>
        </is>
      </c>
    </row>
    <row r="14">
      <c r="A14" t="inlineStr">
        <is>
          <t>in-7b9ca7da2ea3a9eb</t>
        </is>
      </c>
      <c r="B14" t="inlineStr">
        <is>
          <t>Bigdata Engineer</t>
        </is>
      </c>
      <c r="C14" t="inlineStr">
        <is>
          <t>Realign</t>
        </is>
      </c>
      <c r="D14" t="inlineStr">
        <is>
          <t>indeed</t>
        </is>
      </c>
      <c r="E14">
        <f>HYPERLINK("https://www.indeed.com/viewjob?jk=7b9ca7da2ea3a9eb", "https://www.indeed.com/viewjob?jk=7b9ca7da2ea3a9eb")</f>
        <v/>
      </c>
      <c r="F14">
        <f>HYPERLINK("https://realign-llc.com/careers/job-details/IT134272", "https://realign-llc.com/careers/job-details/IT134272")</f>
        <v/>
      </c>
      <c r="G14" t="inlineStr">
        <is>
          <t>Phoenix, AZ, US</t>
        </is>
      </c>
      <c r="H14" s="3" t="n">
        <v>46034</v>
      </c>
      <c r="I14" t="inlineStr">
        <is>
          <t>Job Type: Contract
Job Category: IT
Job Description
**Job Title: Bigdata Engineer****Location: Phoenix, AZ – Onsite****Long term Contract**  
**Role Description:\-**  
* Architect and design scalable big data solutions leveraging technologies like Hadoop, Hive, Spark, and Scala.
* Develop and optimize data pipelines and workflows for processing and analyzing large\-scale datasets.
* Manage and fine\-tune distributed computing frameworks to ensure high performance and reliability.
* Collaborate with cross\-functional teams, including data engineers, analysts, and business stakeholders, to gather and define data requirements.
* Implement data security, governance, and compliance measures in big data environments.
* Diagnose and resolve technical issues in big data systems to maintain operational efficiency.
Required Skills
DEVOPS ENGINEER</t>
        </is>
      </c>
    </row>
    <row r="15">
      <c r="A15" t="inlineStr">
        <is>
          <t>in-f28f6525b4f0ce7b</t>
        </is>
      </c>
      <c r="B15" t="inlineStr">
        <is>
          <t>Data Engineer</t>
        </is>
      </c>
      <c r="C15" t="inlineStr">
        <is>
          <t>Contexture</t>
        </is>
      </c>
      <c r="D15" t="inlineStr">
        <is>
          <t>indeed</t>
        </is>
      </c>
      <c r="E15">
        <f>HYPERLINK("https://www.indeed.com/viewjob?jk=f28f6525b4f0ce7b", "https://www.indeed.com/viewjob?jk=f28f6525b4f0ce7b")</f>
        <v/>
      </c>
      <c r="F15">
        <f>HYPERLINK("https://contexture.bamboohr.com/careers/90?source=indeed&amp;src=indeed&amp;postedDate=2026-01-12", "https://contexture.bamboohr.com/careers/90?source=indeed&amp;src=indeed&amp;postedDate=2026-01-12")</f>
        <v/>
      </c>
      <c r="G15" t="inlineStr">
        <is>
          <t>Phoenix, AZ, US</t>
        </is>
      </c>
      <c r="H15" s="3" t="n">
        <v>46033</v>
      </c>
      <c r="I15" t="inlineStr">
        <is>
          <t>**DATA ENGINEER**
**Job Code:** **DATAENG**
**Reports To: Manager, Data Engineering**
**Base Location:** **AZ or CO**
Work Status: **Virtual Office**
**Minimum Starting Monthly Range: $7,599**
**Hiring Range (Monthly Pay): $7,599 \- $8,750**
**Full\-time / Part\-time:** **Full\-time**
**Exempt / Non\-Exempt: Exempt**
**Risk Designation: Extremely High**
 **Summary:**
The Data Engineer will work as part of the Data Operations \&amp; Engineering, Transformation and Analysis team to derive business value from enterprise data by implementing technical specifications provided by the Data Architect and Director of Data Operations \&amp; Engineering, including data storage, processing, transformation, ingestion, consumption, and automation. This role will work with multiple healthcare data sources and cross\-functional teams to establish integrated datasets across legacy and greenfield data systems/platforms. You will work closely with data producers, consumers, and subject matter experts to enhance data service capabilities by implementing data architecture frameworks, standards, and principals, including modeling, metadata, security, and reference data.
This position is based in Phoenix Arizona; Denver Colorado; or Grand Junction, Colorado and requires local residency in one of these base locations. Our strategic flexibility allows for local work from home opportunities.
 **Qualifications**
To perform this job successfully, an individual must be able to perform each essential duty satisfactorily. The requirements listed below are representative of the knowledge, skills, and/or abilities required. Reasonable accommodations may be made to enable individuals with disabilities to perform the essential functions.
**Essential Duties and Responsibilities include the following:**
* Develop, implement, and maintain enterprise data management solutions to enable organizational business intelligence, reporting, visualization, and analysis.
* Assist with the development, implementation and maintenance of an overall organizational data strategy that is in line with business processes.
* Design and build data processing flows to extract data from various sources, such as databases, API endpoints, and flat files.
* Load data into data storage systems, specifically Microsoft SQL Server, MongoDB, and Snowflake.
* Transform data using industry\-standard techniques such as standardization, normalization, de\-duplication, filtering, projection, and aggregation.
* Build and maintain data processing environments, including hardware and software infrastructure. Working knowledge of data flow orchestration tools such as Prefect and Airflow is preferred.
* Collaborate with data producers, consumers, and subject matter experts to ensure smooth dissemination and flow of data within the organization.
* Performs other related duties as assigned.
**Skills**
* Demonstrated experience with relational and non\-relational data storage models, schemas, and structures used in data lakes and warehouses for big data, business intelligence, reporting, visualization, and analytics.
* Hands\-on experience with extract, transform, load (ETL) process design, data lifecycle management, metadata management, and data visualization/report generation.
* Practical experience with industry\-accepted standards, best practices, and principles for implementing a well\-designed enterprise data architecture.
* Technical Skills and Experience:
	+ Data processing experience in a production environment with terabyte\-sized datasets that are both structured and unstructured data
		- Required Languages: Python and SQL
		- Required Libraries: PyData stack, Dask, and Prefect
	+ Data storage experience with Microsoft SQL Server, MongoDB, and Snowflake
	+ Leveraging data partitioning, parallelization, and data flow optimization principles
	+ Implementing data sterilization, normalization, and standardization processes
	+ Orchestrating fault tolerant/redundant data processing flows
	+ SQL query planning and optimization for incremental and historical workloads
	+ File manipulation across varied file types, encodings, formats, and standards
	+ Secure Software Development Lifecycle (SSDLC), version control and release management
* Knowledge of healthcare interoperability standards such as HL7 (Health Level 7\), FHIR (Fast Healthcare Interoperability Resources), CDA (Clinical Document Architecture), etc.
* Knowledge of healthcare clinical code sets such as LOINC, SNOMED, CPT, ICD\-10, etc.
* Strong understanding of project management disciplines such as Agile and Waterfall.
* Ability to translate technical requirements into actionable tasks for execution.
* Ability to work in a fast\-paced and rapidly changing environment while consistently meeting strict service level agreement performance requirements.
* Ability to work independently as well as ability to effectively work in a team environment and maintain strong working relationships.
* Working knowledge of Microsoft Office 365 toolset (OneDrive, Word, Excel, and PowerPoint).
**Education/Experience**
* Minimum of 4\+ years of experience working in data\-related positions with increasing responsibility and scope of duties; specifically, 4\+ years working with relational databases, 3\+ years working with analytical data workloads, and 2\+ years working with batch data processing technologies.
* Bachelor’s Degree is required with a concentration in a data\-related field such as Computer Science, Informatics, Mathematics, Engineering, etc.
**Work Environment**
The work environment characteristics described here are representative of those an employee encounters while performing the essential functions of this job. The noise level in the work environment is usually moderate.
The position may require occasional availability for after\-hours work, outside of regularly scheduled hours.
The position may require ability to periodically drive to and from clients, conferences and / or events; and / or limited travel.
This position is expected to be exposed to, process, or handle sensitive information including but not limited to Protected Health Information (PHI), Personally Identifiable Information (PII), financial information, etc. As such, the holder of this position is expected to comply with all applicable laws, regulations, organizational policies, and compliance expectations.
**Physical Demands**
The physical demands described here are representative of those necessary to perform the essential functions of the role:
* Frequent communication and information exchange.
* Regular movement within the office to access equipment and materials.
* Ability to remain stationary for extended periods (approximately 50% of the time).
* Continuous use of computers and office equipment (e.g., keyboard, monitor, printer).
* Frequent handling of materials up to 10 lbs; occasional handling up to 30 lbs.
***Reasonable accommodations may be made to enable individuals with disabilities to perform essential functions.***
***Note:*** *This job description is not intended to be an exhaustive list of all duties, responsibilities and / or qualifications associated with the job.*
**Benefits:** Contexture provides a comprehensive benefits package. For details, please request a Benefit Summary from our Benefits Department.
*The organization is an inclusive* ***Equal Opportunity Employer****. We do not discriminate on the basis of age, race, color, religion, sex, sexual orientation, gender identity, national origin, disability, status as a protected veteran, or other status protected by law or regulation.*</t>
        </is>
      </c>
    </row>
    <row r="16">
      <c r="A16" t="inlineStr">
        <is>
          <t>in-a8beb4d461f09fb2</t>
        </is>
      </c>
      <c r="B16" t="inlineStr">
        <is>
          <t>Senior Data Engineer, Platform Infrastructure</t>
        </is>
      </c>
      <c r="C16" t="inlineStr">
        <is>
          <t>Gather Health</t>
        </is>
      </c>
      <c r="D16" t="inlineStr">
        <is>
          <t>indeed</t>
        </is>
      </c>
      <c r="E16">
        <f>HYPERLINK("https://www.indeed.com/viewjob?jk=a8beb4d461f09fb2", "https://www.indeed.com/viewjob?jk=a8beb4d461f09fb2")</f>
        <v/>
      </c>
      <c r="F16">
        <f>HYPERLINK("https://recruiting.paylocity.com/recruiting/jobs/Details/3832832/Gather-Health/Senior-Data-Engineer-Platform-Infrastructure?source=Indeed_Feed", "https://recruiting.paylocity.com/recruiting/jobs/Details/3832832/Gather-Health/Senior-Data-Engineer-Platform-Infrastructure?source=Indeed_Feed")</f>
        <v/>
      </c>
      <c r="G16" t="inlineStr">
        <is>
          <t>Boston, MA, US</t>
        </is>
      </c>
      <c r="H16" s="3" t="n">
        <v>46033</v>
      </c>
      <c r="I16" t="inlineStr">
        <is>
          <t>**About Gather Health**
Gather Health is a Series B healthcare company reimagining primary care for older adults. Backed by Khosla, Maverick, and HC9, we’ve raised over $50M to build a new model of socially supported care addressing both medical and social determinants of health.
**The Role**
We are seeking a hands\-on **Senior Data Engineer (Platform Infrastructure)** to build and manage the cloud infrastructure that powers Gather’s next\-generation data platform. You’ll own our Google Cloud (GCP) environment, ensuring it’s resilient, secure, and cost\-efficient. This role is foundational: you will create the backbone that enables ingestion, orchestration, and modeling across our entire stack.
You’ll collaborate closely with the Lead Data Engineer on architectural design and the Pipelines Engineer on operational enablement — together forming the core data platform team.
**What You’ll Do**
* **Architect \&amp; Build Cloud Infrastructure:** Design, deploy, and own Gather’s data platform infrastructure on GCP using Infrastructure\-as\-Code (Terraform).
* **Implement \&amp; Manage Security:** Own the platform’s security posture, implementing IAM roles, VPCs, encryption, and monitoring for full HIPAA compliance.
* **Enable Observability:** Build monitoring, logging, and alerting across all platform services (Stackdriver, Grafana, etc.) to ensure reliability.
* **Establish CI/CD Pipelines:** Develop and maintain CI/CD workflows for dbt, Dagster, and Cloud Run services using tools like GitHub Actions or GitLab CI.
* **Manage Core Ingestion Services:** Deploy and operate BigQuery Data Transfer (AthenaOne Snowflake Share) and Cloud Run webhook services for real\-time data ingestion.
* **Optimize Performance \&amp; Cost:** Monitor and tune BigQuery performance (slots, clustering, partitioning) for efficiency.
* **Collaborate Closely:** Work with the Lead Engineer to align infra design with data architecture, and support the Pipelines Engineer to ensure ingestion readiness.
**Preferred Experience \&amp; Qualifications**
* 5–8\+ years of hands\-on experience in DevOps, SRE, or data platform engineering.
* Deep expertise in GCP (BigQuery, GCS, IAM, Cloud Run, networking) and Terraform.
* Proficiency with containerization (Docker/Kubernetes) and CI/CD tools.
* Experience with healthcare or other regulated (HIPAA, SOC2\) environments is a strong plus.
* Familiarity with dbt, Dagster, and modern data pipelines preferred.
 **Why Join Gather Health**
* Build the data infrastructure foundation for a mission\-driven healthcare company.
* Work with modern tools (GCP, Terraform, Dagster, dbt) in a greenfield environment.
* Join a remote\-first, global team with high autonomy and ownership.
* Competitive salary.</t>
        </is>
      </c>
    </row>
    <row r="17">
      <c r="A17" t="inlineStr">
        <is>
          <t>in-e2008771beef167a</t>
        </is>
      </c>
      <c r="B17" t="inlineStr">
        <is>
          <t>Senior Data Engineer, Data Pipelines</t>
        </is>
      </c>
      <c r="C17" t="inlineStr">
        <is>
          <t>Gather Health</t>
        </is>
      </c>
      <c r="D17" t="inlineStr">
        <is>
          <t>indeed</t>
        </is>
      </c>
      <c r="E17">
        <f>HYPERLINK("https://www.indeed.com/viewjob?jk=e2008771beef167a", "https://www.indeed.com/viewjob?jk=e2008771beef167a")</f>
        <v/>
      </c>
      <c r="F17">
        <f>HYPERLINK("https://recruiting.paylocity.com/recruiting/jobs/Details/3832847/Gather-Health/Senior-Data-Engineer-Data-Pipelines?source=Indeed_Feed", "https://recruiting.paylocity.com/recruiting/jobs/Details/3832847/Gather-Health/Senior-Data-Engineer-Data-Pipelines?source=Indeed_Feed")</f>
        <v/>
      </c>
      <c r="G17" t="inlineStr">
        <is>
          <t>Boston, MA, US</t>
        </is>
      </c>
      <c r="H17" s="3" t="n">
        <v>46033</v>
      </c>
      <c r="I17" t="inlineStr">
        <is>
          <t>**About Gather Health**
Gather Health is a Series B healthcare company reimagining primary care for older adults. Backed by Khosla, Maverick, and HC9, we’ve raised over $50M to build a new model of socially supported care addressing both medical and social determinants of health.
**The Role**
 We are seeking a hands\-on **Senior Data Engineer (Data Pipelines)** to own the flow, transformation, and quality of data within Gather Health’s next\-generation data platform. You’ll design and maintain all batch and streaming pipelines using Dagster and dbt, transforming raw data into high\-quality, analytics\-ready assets.
This is a critical build role — you will lead the implementation of **The Tuva Project** clinical data models, design robust Bronze ? Silver ? Gold transformations, and ensure that every dataset in our platform is accurate, fresh, and reliable.
**What You’ll Do**
* **Build \&amp; Orchestrate Pipelines:** Design, build, and maintain end\-to\-end data pipelines using Dagster and dbt across ingestion, transformation, and delivery.
* **Transform \&amp; Model Data:** Own the Bronze ? Silver mapping models, writing modular, production\-grade dbt code and tests.
* **Implement The Tuva Project:** Serve as Gather’s in\-house expert on The Tuva Project, adapting its models to our schema and ensuring alignment with clinical data standards.
* **Ensure Data Quality:** Implement robust data validation and testing frameworks in dbt and Dagster to guarantee data integrity.
* **Integrate Data Sources:** Collaborate with the Infrastructure Engineer to onboard and maintain source data (AthenaOne, HubSpot, CCIQ, Telephony).
* **Define Data Contracts:** Establish and maintain schema stability between ingestion and transformation layers.
* **Collaborate Across Teams:** Work with the Lead Engineer and stakeholders (Clinical, Ops, Product) to deliver trustworthy, actionable data.
**Preferred Experience \&amp; Qualifications**
* 5–8\+ years of hands\-on experience in data engineering with a modern cloud warehouse (BigQuery, Snowflake, Redshift).
* Expert\-level proficiency in SQL and Python.
* Deep experience with dbt (modeling, testing, deployment).
* Deep experience with a modern orchestration tool (Airflow, Dagster, or Prefect preferred). Experience with asset\-centric pipelines is a strong plus.
* Experience with healthcare data (EHR, claims) and The Tuva Project or similar (OMOP) strongly preferred.
* Strong understanding of data quality and testing frameworks.
 **Why Join Gather Health**
* Own all pipelines for a modern data platform built from scratch.
* Work with dbt, Dagster, and BigQuery in a cloud\-native environment.
* Join a small, senior, mission\-driven team with real autonomy.
* Competitive salary.</t>
        </is>
      </c>
    </row>
    <row r="18">
      <c r="A18" t="inlineStr">
        <is>
          <t>in-92e7c72c81c8d047</t>
        </is>
      </c>
      <c r="B18" t="inlineStr">
        <is>
          <t>Senior Data Engineer</t>
        </is>
      </c>
      <c r="C18" t="inlineStr">
        <is>
          <t>University of Oregon Foundation</t>
        </is>
      </c>
      <c r="D18" t="inlineStr">
        <is>
          <t>indeed</t>
        </is>
      </c>
      <c r="E18">
        <f>HYPERLINK("https://www.indeed.com/viewjob?jk=92e7c72c81c8d047", "https://www.indeed.com/viewjob?jk=92e7c72c81c8d047")</f>
        <v/>
      </c>
      <c r="F18">
        <f>HYPERLINK("https://recruiting.paylocity.com/recruiting/jobs/Details/3831454/University-of-Oregon-Foundation/Senior-Data-Engineer?source=Indeed_Feed", "https://recruiting.paylocity.com/recruiting/jobs/Details/3831454/University-of-Oregon-Foundation/Senior-Data-Engineer?source=Indeed_Feed")</f>
        <v/>
      </c>
      <c r="G18" t="inlineStr">
        <is>
          <t>Eugene, OR, US</t>
        </is>
      </c>
      <c r="H18" s="3" t="n">
        <v>46033</v>
      </c>
      <c r="I18" t="inlineStr">
        <is>
          <t>Description:
**SUMMARY:**
The Senior Data Engineer supports the Foundation’s data, reporting, and analytics ecosystem by designing, building, and maintaining secure, scalable, and high\-quality data solutions. This role leads in the development and optimization of the Foundation’s data warehouse, ETL/ELT pipelines, data models, and data quality frameworks to ensure trusted, timely data for fundraising, financial, and operational decisions. The Senior Data Engineer collaborates closely with cross\-functional teams – including Financial Services, IT, and external partners – to integrate new data sources, streamline data movement, and support enterprise reporting and innovation.
**BEHAVIORAL EXPECTATIONS:**
* Follows the principles of the Foundation’s core values:
* Trust
* Respect
* Integrity
* Commitment
* Motivated to value\-add to the success of the Foundation
* Effective communicator
* Collaborative
* Dependable
* Detail\-oriented
* Adaptable, receptive to change
* Teach through example and service
* Practice professional curiosity and desire to learn
* Excellent interpersonal skills and ability to work with a diverse constituency
* Maintain confidentiality
* Work safely
**ESSENTIAL DUTIES AND RESPONSIBILITIES:**
*Reasonable accommodations may be made to enable individuals with disabilities to perform the essential functions.*
Data Engineering \&amp; Warehousing
* Design, implement, test, deploy, and maintain scalable data engineering solutions and pipelines
* Build and manage data warehouse structures, including tables, views, routines (stored procedures, functions), and metadata documentation
* Integrate new internal and external data sources and optimize existing data models
* Ensure reliable, secure data flows between systems, applications, and affiliates
ETL/ELT Development
* Build, optimize, and monitor automated ETL/ELT processes
* Produce efficient, replicable, version\-controlled code to automate repetitive data management tasks
* Troubleshoot and resolve pipeline failures and performance bottlenecks
Data Quality \&amp; Governance
* Establish and maintain data quality checks, validation routines, and exception handling
* Improve data accuracy, completeness, and consistency across systems
* Support data governance, documentation, and compliance standards
Database \&amp; Platform Management
* Manage relational database environments (Postgres, Oracle, SQL Server) housed on AWS
* Optimize database performance, resource allocation, indexing, and storage strategies
* Support security, access control, and backup/restoration processes
Analytics \&amp; Reporting Support
* Build and support datasets, views, and queries needed for enterprise reports and dashboards
* Partner with business analysts and report developers to deliver accurate, timely reporting
* Provide troubleshooting and technical guidance for data consumers across the Foundation
Collaboration \&amp; Leadership
* Serve as a senior technical resource to cross\-functional teams
* Participate in code reviews and ensure best practices in GitHub/version control
* Mentor junior data engineers or analysts (if applicable)
* Recommend and introduce innovative data engineering tools and methods
**OTHER DUTIES AND RESPONSIBILITIES:**
* Projects
* Participates in on\-going training, education, and staff meetings
* Other duties as assigned
Requirements:
**COMPETENCIES AND EXPERIENCE:**
* Minimum 5 years of professional experience in data engineering or database development
* Strong expertise in data warehousing, relational database design, and SQL
* Hands\-on experience with Postgres, Oracle, and/or SQL Server, ideally hosted on AWS
* Advanced skills in ETL/ELT development, job orchestration, and data pipeline automation
* Demonstrated ability to manage data quality processes and performance tuning
* Experience using GitHub or similar tools for version control
* Strong analytical skills and ability to translate business needs into technical solutions
* Effective communicator with proven success collaborating across teams
**PREFERRED QUALIFICATIONS:**
* Understanding of fundraising, advancement, and accounting/finance data
* Exposure to Salesforce, MuleSoft, Python, Advancement RM, Apsona, or Tableau
* Experience supporting analytics/reporting environments
* Prior mentorship or coaching experience
**PHYSICAL DEMANDS AND WORK ENVIRONMENT:**
* This job is conducted in an office work environment, sitting much of the time
* This position’s duties require use of a computer
* Must be able to exert up to 20 lbs. of force occasionally
* Some travel may be required</t>
        </is>
      </c>
    </row>
    <row r="19">
      <c r="A19" t="inlineStr">
        <is>
          <t>in-926a94397ad5a96d</t>
        </is>
      </c>
      <c r="B19" t="inlineStr">
        <is>
          <t>Data Engineer</t>
        </is>
      </c>
      <c r="C19" t="inlineStr">
        <is>
          <t>Expansion Capital Group</t>
        </is>
      </c>
      <c r="D19" t="inlineStr">
        <is>
          <t>indeed</t>
        </is>
      </c>
      <c r="E19">
        <f>HYPERLINK("https://www.indeed.com/viewjob?jk=926a94397ad5a96d", "https://www.indeed.com/viewjob?jk=926a94397ad5a96d")</f>
        <v/>
      </c>
      <c r="F19">
        <f>HYPERLINK("https://recruiting.paylocity.com/recruiting/jobs/Details/3833714/Expansion-Capital-Group/Data-Engineer?source=Indeed_Feed", "https://recruiting.paylocity.com/recruiting/jobs/Details/3833714/Expansion-Capital-Group/Data-Engineer?source=Indeed_Feed")</f>
        <v/>
      </c>
      <c r="G19" t="inlineStr">
        <is>
          <t>Sioux Falls, SD, US</t>
        </is>
      </c>
      <c r="H19" s="3" t="n">
        <v>46033</v>
      </c>
      <c r="I19" t="inlineStr">
        <is>
          <t>Description:
Reports to: Vice President of IT
Classification: Full Time, Exempt
**JOB DESCRIPTION**
**Summary/Objective**
We are seeking a detail\-oriented and innovative Data Engineer to design, build, and maintain scalable data pipelines and infrastructure across technology and operations. This role combines hands\-on engineering with a strong emphasis on data quality, documentation, and collaboration. The ideal candidate will be skilled in managing data workflows, optimizing performance, and producing clear, structured documentation that supports project clarity and compliance.
**Essential Functions**
Data Pipeline Development
* Architect, develop, and maintain robust ETL/ELT pipelines for structured and unstructured data across multiple departments.
* Optimize data workflows for reliability, scalability, and performance.
* Integrate internal and third\-party data sources for seamless analytics and reporting.
**Data Modeling \&amp; Managemen**t
* Design and implement efficient data models and storage solutions (e.g., relational, NoSQL, cloud\-based).
* Ensure data integrity, security, and compliance with organizational standards.
* Support data governance initiatives and maintain metadata repositories.
**Documentation \&amp; Technical Writing**
* Create and maintain comprehensive documentation for data pipelines, models, and infrastructure.
* Translate complex technical concepts into user\-friendly documentation for internal and external stakeholders.
* Partner with helpdesk and knowledge base teams to ensure documentation is accessible and up to date.
**Stakeholder Engagement**
* Serve as liaison between data engineering, analytics, business units, and leadership.
* Present project updates, risks, and mitigation strategies to executive stakeholders.
* Support training and onboarding materials for new data systems or processes.
**Quality \&amp; Compliance**
* Support UAT and QA planning, ensuring data solutions align with compliance standards.
* Assist in change management efforts and maintain version control of documentation.
Requirements:
**Required Education and Experience**
* Bachelor’s degree in Computer Science, Engineering, Mathematics, or related field.
* 1\+ years of experience in data engineering, preferably in a technical or regulated environment.
* Strong programming skills (e.g., Python, SQL, Scala) and experience with data engineering tools (e.g., SSIS, Apache Spark, Airflow, dbt).
* Proficiency in cloud platforms (e.g., AWS, Azure, GCP) and data warehousing solutions.
* Experience with project management tools (e.g., Jira, Asana, Trello) and documentation platforms (e.g., Confluence, SharePoint).
* Familiarity with software development lifecycle (SDLC) and Agile methodologies.
**Additional Eligibility Qualifications**
* Excellent attention to detail and quality of work.
* Strong problem\-solving skills.
* Strong verbal and written communication skills.
* Strong organizational skills to assist in managing multiple projects and tasks.
* Experience in financial services, SaaS, or compliance\-driven industries.
* Ability to create data flow diagrams and technical documentation templates.
* Desire to make an impact.
**Supervisory Responsibility**
* This position does not have any supervisory responsibility.
**Work Environment**
This job operates in a professional office environment. This role routinely uses standard office equipment such as computers, phones, photocopiers, filing cabinets, and fax machines.
**Physical Demands**
The physical demands described here are representative of those that an employee must meet to perform the essential functions of this job successfully. This is largely a sedentary role; however, some filing is required. This would require the ability to lift files, open filing cabinets, and bending or standing on a stool as necessary.
**Position Type/Expected Hours of Work**
This is a full\-time position, and hours of work and days are Monday through Friday, 8:00 a.m. to 5:00 p.m. Occasional evening and weekend work may be required as job duties demand.
**Other Duties**
Please note this job description is not designed to cover or contain a comprehensive listing of activities, duties, or responsibilities that are required of the employee for this job. Duties, responsibilities, and activities may change at any time with or without notice.</t>
        </is>
      </c>
    </row>
    <row r="20">
      <c r="A20" t="inlineStr">
        <is>
          <t>in-649d55bdcec78c37</t>
        </is>
      </c>
      <c r="B20" t="inlineStr">
        <is>
          <t>Data Intelligence and Analytics Engineer</t>
        </is>
      </c>
      <c r="C20" t="inlineStr">
        <is>
          <t>Excel Engineering Inc</t>
        </is>
      </c>
      <c r="D20" t="inlineStr">
        <is>
          <t>indeed</t>
        </is>
      </c>
      <c r="E20">
        <f>HYPERLINK("https://www.indeed.com/viewjob?jk=649d55bdcec78c37", "https://www.indeed.com/viewjob?jk=649d55bdcec78c37")</f>
        <v/>
      </c>
      <c r="F20">
        <f>HYPERLINK("https://recruiting.paylocity.com/recruiting/jobs/Details/3831420/Excel-Engineering-Inc/Data-Intelligence-and-Analytics-Engineer?source=Indeed_Feed", "https://recruiting.paylocity.com/recruiting/jobs/Details/3831420/Excel-Engineering-Inc/Data-Intelligence-and-Analytics-Engineer?source=Indeed_Feed")</f>
        <v/>
      </c>
      <c r="G20" t="inlineStr">
        <is>
          <t>Mounds View, MN, US</t>
        </is>
      </c>
      <c r="H20" s="3" t="n">
        <v>46033</v>
      </c>
      <c r="I20" t="inlineStr">
        <is>
          <t>Description:
Excel Engineering is seeking a team\-oriented, highly motivated Data Intelligence and Analytics Engineer for our Mounds View, Minnesota office. We offer full\-service Engineering Consulting services in the US and abroad.
Since 1990, Excel Engineering has differentiated its services from that of its competition by providing engineering solutions to achieve our clients’ business objectives.
This role is a critical contributor to our Pharma 4\.0 vision—where data integrity, contextualization, and real\-time insights drive smarter, faster, and more compliant operations. As a Data Intelligence and Analytics Engineer, you’ll be at the forefront of digital transformation for our clients.
**Primary Responsibilities**
* Design and implement AVEVA PI solutions that support GMP\-compliant data collection, contextualization, and reporting across manufacturing, utilities, and lab environments
* Configure PI Asset Framework (AF) to model pharma\-specific assets such as reactors, cleanrooms, HVAC systems, and water systems, enabling batch traceability and deviation analysis
* Design and implement PI Interfaces and PI Connectors for seamless integration with PLCs, DCSs, SCADA systems, SQL Databases, and other industrial data sources
* Configure PI Data Archive for optimal performance, including tuning compression settings, exception filters, and archive management
* Build and deploy PI Vision dashboards to support operations, maintenance, and executive decision\-making
* Implement analytics using PI AF Analysis and Notifications to automate insights and trigger alerts based on process conditions
* Apply security best practices for PI System architecture, including user access control, data integrity, and network segmentation
* Support 21 CFR Part 11 and Annex 11 compliance by configuring audit trails, electronic signatures, and secure access controls within the PI System
* Conduct system health checks, performance tuning, and troubleshooting of PI System components to ensure high availability and reliability
* Integrate PI System with MES, LIMS, and ERP platforms to enable end\-to\-end visibility of production, quality, and supply chain data
* Support data governance initiatives by documenting tag naming conventions, metadata standards, and historian retention policies
* Collaborate with QA and validation teams to support CSV (Computer System Validation) efforts, including URS, IQ/OQ/PQ documentation for PI deployment
Requirements:
**Education and Experience**
* Bachelors or Masters’ Degree in Chemical, Mechanical, Electrical, Computer, or System Engineering from an ABET Accredited Institution.
* Cumulative GPA of 3\.0 or higher on a 4\.0 Scale.
* 3\+ years design and configuration experience with a real time data solution technology in AVEVA PI, AVEVA, AspenTech, Canary, or similar technologies.
**Qualifications**
* Creation/modification of PI tags
* PI AF Element templates and AF Elements
* PI based dashboards (PI Vision/Process Book)
* PI AF Analytics, PI Notifications and PI Event Frames
* PI Interfaces: OPC DA/UA, RDBMS, FactoryTalk Batch, PI to PI
* PI Software Development Kit, PI Asset Framework Software Development Kit
* Exposure to PLC logic, HMI interface logic, system communications, elementary diagrams, control panel layouts or instrument specifications is preferred.
* Interest and experience with computer programming are highly preferred.
* Engineer in Training (EIT) registration or ability to obtain such is highly preferred.
* Ability to write and speak in the English language.
* Willingness to travel up to 10% of the time.
**Additional Skills Applicable to the Role**
* Excellent interpersonal skills, as well as verbal and written communications.
* Ability to work collaboratively with individuals at all levels in the organization in a team environment.
* Knowledge of relevant technical software.
* Knowledge of MS Office software products: Word/Excel/Outlook.
We offer a competitive salary and benefits package.
Excel Engineering is focused on cultivating a high performing culture where a service oriented approach, continuous improvement and goal orientation are valued. If you enjoy working in a fast paced, challenging and rewarding environment, Excel Engineering is for you!
Excel Engineering is an Equal Opportunity Employer. Applicants will receive consideration for employment regardless of their race, color, religion, national origin, sex, sexual orientation, disability, age, veteran status, marital status, or status with regard to public assistance.
In our commitment to diversity, equity, and inclusion, we strongly encourage applicants from populations that are underrepresented in the engineering field to apply. For applicants who need an accommodation to apply, please contact human resources at ExcelHR@exceleng.net.</t>
        </is>
      </c>
    </row>
    <row r="21">
      <c r="A21" t="inlineStr">
        <is>
          <t>in-bdea8e93031267fb</t>
        </is>
      </c>
      <c r="B21" t="inlineStr">
        <is>
          <t>Senior Data Engineer (Remote)</t>
        </is>
      </c>
      <c r="C21" t="inlineStr">
        <is>
          <t>CareFirst BlueCross BlueShield</t>
        </is>
      </c>
      <c r="D21" t="inlineStr">
        <is>
          <t>indeed</t>
        </is>
      </c>
      <c r="E21">
        <f>HYPERLINK("https://www.indeed.com/viewjob?jk=bdea8e93031267fb", "https://www.indeed.com/viewjob?jk=bdea8e93031267fb")</f>
        <v/>
      </c>
      <c r="F21">
        <f>HYPERLINK("https://carefirstcareers.ttcportals.com/jobs/17212670-senior-data-engineer-remote?tm_job=21723-1A&amp;tm_event=view&amp;tm_company=2380", "https://carefirstcareers.ttcportals.com/jobs/17212670-senior-data-engineer-remote?tm_job=21723-1A&amp;tm_event=view&amp;tm_company=2380")</f>
        <v/>
      </c>
      <c r="G21" t="inlineStr">
        <is>
          <t>Baltimore, MD, US</t>
        </is>
      </c>
      <c r="H21" s="3" t="n">
        <v>46033</v>
      </c>
      <c r="I21" t="inlineStr">
        <is>
          <t>**Resp \&amp; Qualifications**
**PURPOSE:**
The primary purpose of a Senior Data Engineer in Production Support is to maintain the seamless operation of data pipelines, databases, and analytics platforms in live environments. This includes monitoring and troubleshooting data workflows, resolving incidents, and proactively addressing performance bottlenecks to minimize downtime and ensure data availability for end users and business stakeholders.
**ESSENTIAL FUNCTIONS:**
* **Incident Management:** Quickly diagnose and resolve data\-related issues in production, minimizing impact on business operations.
* **Monitoring \&amp; Alerting:** Implement and maintain monitoring solutions to detect anomalies, failures, or performance degradation in data systems.
* **Root Cause Analysis:** Investigate recurring problems, identify their root causes, and implement long\-term solutions to prevent future incidents.
* **Performance Optimization:** Analyze data workflows and infrastructure for inefficiencies, tuning systems for optimal performance and scalability.
* **Collaboration:** Work closely with data engineers, analysts, software developers, and IT teams to ensure seamless integration and deployment of data solutions.
* **Documentation \&amp; Best Practices:** Maintain clear documentation of production environments, issue resolutions, and standard operating procedures.
* **Change Management:** Participate in the planning and execution of changes to data systems, including upgrades, patches, and configuration updates, while minimizing disruption to ongoing operations.
* **Security \&amp; Compliance:** Ensure data systems adhere to organizational security policies and regulatory requirements, identifying and mitigating potential vulnerabilities.
* **Capacity Planning:** Forecast future data storage and processing needs, recommending infrastructure enhancements to support growth and evolving business requirements.
* **User Support:** Provide technical assistance to end users and business teams, addressing queries and enabling effective utilization of data resources.
* **Automation:** Develop and maintain scripts and tools to automate repetitive support tasks, streamlining processes and reducing manual intervention.
**SUPERVISORY RESPONSIBILITY:**
Position does not have direct reports but is expected to assist in guiding and mentoring less experienced staff. May lead a team of matrixed resources.
**QUALIFICATIONS:**
**Education Level:** Bachelor's Degree in Computer Science, Information Technology or Engineering or related field OR in lieu of a Bachelor's degree, an additional 4 years of relevant work experience is required in addition to the required work experience.
**Experience:**
* 5 years Experience with database design and developing modeling tools.
* Experience developing and updating ETL/ELT scripts. Hands\-on experience with application development, relational database layout, development, data modeling.
**Knowledge, Skills and Abilities (KSAs)**
* Experience with Informatica IICS: Practical knowledge in using Informatica Intelligent Cloud Services (IICS) for building, managing, and optimizing cloud\-based data integration workflows.
* Knowledge of Kafka: Familiarity with Apache Kafka architecture and able to trouble shoot issues in a timely manner.
* MDM SaaS Experience: Understanding and hands\-on experience with Master Data Management (MDM) Software as a Service solution for ensuring data consistency, quality, and governance across enterprise systems.
* Proficiency in GitHub: Demonstrated expertise in utilizing GitHub for version control, code collaboration, and managing development workflows within data engineering projects.
* Extensive Experience with SQL: Advanced proficiency in writing complex queries, optimizing performance, and managing large datasets in Snowflake, Oracle, and SQL Server Databases.
* Expertise in Microsoft Azure: Hands\-on experience with Azure Data Factory, Azure Databricks, Azure Synapse Analytics, Azure Blob Storage, Fabrics, and other relevant Azure cloud services.
* Power BI Experience: Hands\-on experience in developing, deploying, and maintaining data visualizations and dashboards using Power BI, including advanced DAX queries, and integrating with diverse data sources for actionable insights.
* Control\-M Knowledge: Familiarity with Control\-M workload automation, including designing, scheduling, and monitoring data pipeline jobs to ensure reliable and efficient batch processing within enterprise environments.
* Proficiency in Scripting Languages: Demonstrated ability to automate data workflows using Python, PowerShell, or similar scripting languages.
* Experience with Version Control Tools: Strong understanding and practical use of Git, GitHub, Azure DevOps for collaborative development and CI/CD pipelines.
* Strong Data Engineering Fundamentals: Solid understanding of ETL/ELT processes, data warehousing concepts, and best practices in data architecture and governance.
Flexible working long hours and on demand: Willingness and ability to adapt to varying work schedules, including evenings and weekends, to meet project deadlines and production support requirements. Able to respond promptly to urgent issues and provide support whenever needed to ensure business continuity and system reliability.  
* 
**Salary Range:** $96,048 \- $190,762
 **Salary Range Disclaimer**
The disclosed range estimate has not been adjusted for the applicable geographic differential associated with the location at which the work is being performed. This compensation range is specific and considers factors such as (but not limited to) the scope and responsibilities of the position, the candidate's work experience, education/training, internal peer equity, and market and business consideration. It is not typical for an individual to be hired at the top of the range, as compensation decisions depend on each case's facts and circumstances, including but not limited to experience, internal equity, and location. In addition to your compensation, CareFirst offers a comprehensive benefits package, various incentive programs/plans, and 401k contribution programs/plans (all benefits/incentives are subject to eligibility requirements).
**Department**
Data Platforms and Services
**Equal Employment Opportunity**
CareFirst BlueCross BlueShield is an Equal Opportunity (EEO) employer. It is the policy of the Company to provide equal employment opportunities to all qualified applicants without regard to race, color, religion, sex, sexual orientation, gender identity, national origin, age, protected veteran or disabled status, or genetic information.
**Where To Apply**
Please visit our website to apply: www.carefirst.com/careers
**Federal Disc/Physical Demand**
Note: The incumbent is required to immediately disclose any debarment, exclusion, or other event that makes him/her ineligible to perform work directly or indirectly on Federal health care programs.
**PHYSICAL DEMANDS:**
The associate is primarily seated while performing the duties of the position. Occasional walking or standing is required. The hands are regularly used to write, type, key and handle or feel small controls and objects. The associate must frequently talk and hear. Weights up to 25 pounds are occasionally lifted.
**Sponsorship in US**
Must be eligible to work in the U.S. without Sponsorship
\#LI\-LD1</t>
        </is>
      </c>
    </row>
    <row r="22">
      <c r="A22" t="inlineStr">
        <is>
          <t>in-117429c4e6c89de1</t>
        </is>
      </c>
      <c r="B22" t="inlineStr">
        <is>
          <t>Analytics Engineer, Finance</t>
        </is>
      </c>
      <c r="C22" t="inlineStr">
        <is>
          <t>OpenAI</t>
        </is>
      </c>
      <c r="D22" t="inlineStr">
        <is>
          <t>indeed</t>
        </is>
      </c>
      <c r="E22">
        <f>HYPERLINK("https://www.indeed.com/viewjob?jk=117429c4e6c89de1", "https://www.indeed.com/viewjob?jk=117429c4e6c89de1")</f>
        <v/>
      </c>
      <c r="F22">
        <f>HYPERLINK("https://openai.com/careers/analytics-engineer-finance-san-francisco/", "https://openai.com/careers/analytics-engineer-finance-san-francisco/")</f>
        <v/>
      </c>
      <c r="G22" t="inlineStr">
        <is>
          <t>San Francisco, CA, US</t>
        </is>
      </c>
      <c r="H22" s="3" t="n">
        <v>46033</v>
      </c>
      <c r="I22" t="inlineStr">
        <is>
          <t>About the Team
The Finance Data team is embedded within the CFO Org and is responsible for building internal data products that scale analytics across business teams and drive efficiencies in our daily operations. This team provides technical guidance on high\-impact, scalable projects across Finance, and is the subject\-matter expert in financial and transactional data that supports our Finance day\-to\-day operations.
About the Role
As an Analytics Engineer, you will be setting the foundation to scale analytics across our business functions and impart best data practices for a rapidly growing organization. We aspire to build the Finance team of the future.
In addition, you will work collaboratively with key stakeholders in Finance and other business teams to understand their pain points and take the lead in proposing viable, future\-proof solutions to resolve them. You will also autonomously lead your own projects that deliver business impact and help cultivate a mature data culture among Finance teams.
We are looking for a seasoned engineer who has a proven track record of owning the entire data stack at high transaction volume companies, managing business critical ETL pipelines consumed by non\-technical teams. As a generalist “fixer”, you may be deployed across several different Finance domains (e.g. Tax datamart, ERP migration, Procurement automation). For this role we need someone who excels in dynamic environments, adapts quickly to changing needs, and confidently navigates ambiguous or evolving requirements. If you're energized by solving technical problems without a playbook and comfortable wearing multiple hats, this role is for you! To clarify, you will
not
be responsible for training ML models and neither would we describe this role as ‘product analytics’.
This role is based in San Francisco, CA. We use a hybrid work model of 3 days in the office per week and offer relocation assistance to new employees.
**In this role, you will:**  
Understand the data needs of Finance teams, including Revenue, Tax, Procurement, Compute \&amp; Infrastructure Accounting, Strategic Finance, and translate that scope into technical requirements
Facilitate the development of data products and tools to for stakeholders to self\-service and enable analytics to scale across the company
Lead dimensional design \- define, own, and maintain business facing data marts
Be a cross\-functional champion at upholding high data integrity standards and SLAs for the timely delivery of data
Build and maintain insightful and reliable dashboards to track both operational and financial Metrics for the Executive team
Contribute to the future roadmap of the Finance team from a data systems perspective
Grow to be an expert in Finance Data and OpenAI’s data architecture
**You might thrive in this role if you have:**  
7\+ years of experience as an Analytics Engineer or in a similar role (Data Analyst or Data Engineer) with a proven track record in shipping canonical datasets
Empathy towards non\-developer stakeholders and their day\-to\-day pain points
Strong proficiency in SQL for data transformation, comfort in at least one functional/OOP language such as Python or R
Familiarity with managing distributed data stores (e.g. S3, Trino, Hive, Spark), and experience building multi\-step ETL jobs coupled with orchestrating workflows (e.g. Airflow, Dagster)
Experience in writing unit tests to validate data products and version control (e.g. GitHub, Stash)
Expert at creating compelling data visualizations with dashboarding tools (e.g. Tableau, Looker or similar)
Excellent communication skills and ability to present data\-driven narratives in both verbal and written form to a non\-technical audience
Experience solving ambiguous problem statements in an early stage environment
**You could be an especially great fit if you have:**  
Prior experience leading the development of an internal production tool, serving hundreds of cross\-functional customers such as Billing Operations, Deal Desk or Go\-to\-Market teams
Some frontend experience with React, TypeScript, Retool, Streamlit, or building web apps
Good understanding of Spark and ability to write, debug, and optimize Spark jobs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 No response will be provided to inquiries unrelated to job posting compliance.
We are committed to providing reasonable accommodations to applicants with disabilities.
OpenAI Global Applicant Privacy Policy
At OpenAI, we believe artificial intelligence has the potential to help people solve immense global challenges, and we want the upside of AI to be widely shared. Join us in shaping the future of technology.
Compensation
$220K – $270K \+ Offers Equity</t>
        </is>
      </c>
    </row>
    <row r="23">
      <c r="A23" t="inlineStr">
        <is>
          <t>in-b77fff9e72ecaa9f</t>
        </is>
      </c>
      <c r="B23" t="inlineStr">
        <is>
          <t>Machine Learning Data Engineer, Replica Pipelines</t>
        </is>
      </c>
      <c r="C23" t="inlineStr">
        <is>
          <t>Parallel Domain</t>
        </is>
      </c>
      <c r="D23" t="inlineStr">
        <is>
          <t>indeed</t>
        </is>
      </c>
      <c r="E23">
        <f>HYPERLINK("https://www.indeed.com/viewjob?jk=b77fff9e72ecaa9f", "https://www.indeed.com/viewjob?jk=b77fff9e72ecaa9f")</f>
        <v/>
      </c>
      <c r="F23">
        <f>HYPERLINK("https://jobs.lever.co/paralleldomain/2fecbeb8-6281-44a0-9455-1d3dbf8fd477", "https://jobs.lever.co/paralleldomain/2fecbeb8-6281-44a0-9455-1d3dbf8fd477")</f>
        <v/>
      </c>
      <c r="G23" t="inlineStr">
        <is>
          <t>Karlsruhe, ND, US</t>
        </is>
      </c>
      <c r="H23" s="3" t="n">
        <v>46033</v>
      </c>
      <c r="I23" t="inlineStr">
        <is>
          <t>Parallel Domain is building the world’s most advanced simulation and digital twin platform for autonomy, robotics, and computer vision. Our Replica product creates large\-scale, photorealistic digital twins of real\-world environments used for testing, validation, and development of autonomous systems.
### **About the role:**
* + We are hiring a Machine Learning Data Engineer responsible for building and scaling the data pipelines that support Replica and ML model development. You will ensure that data flows efficiently from raw customer inputs through validated, structured formats suitable for training, evaluation, and production systems.
### **What you'll do:**
* + **Own data ingestion:** Build reliable pipelines to normalize and validate customer and synthetic data.
	+ **Define data standards:** Create schemas, validation checks, and quality metrics for Replica datasets.
	+ **Build curation tooling:** Implement tools for dataset filtering, versioning, and annotation support.
	+ **Enable ML workflows:** Generate high\-quality data feeds for training and evaluation across ML models.
### **What you’ll bring:**
* + **Data engineering experience:** Proven experience building scalable data pipelines and tooling.
	+ **ML\-aware engineering:** Understanding of how data is used in model training and evaluation.
	+ **3D Foundations:** Practical experience with 3D concepts, geometry, and the linear algebra principles underpinning computer vision (e.g., projections, transformations)
	+ **Technical skills:** Strong Python proficiency and comfort with large datasets.
	+ **Collaborative mindset:** Experience working closely with ML engineers on data needs.
### **What will help you stand out:**
* + **Advanced degree:** MS or PhD in ML, computer vision, robotics, or related field.
	+ **Cloud/infra experience:** Familiarity with cloud storage and distributed processing frameworks.
	+ **Robotics data knowledge:** Experience handling camera, lidar, or radar data
	+ **Visualization tools experience:** Familiarity with data visualization systems like Foxglove, Rerun, or Voxel51
	+ **MLOps tooling exposure:** Experience with dataset versioning, preprocessing automation, or training pipeline orchestration.
### **What we offer:**
* + **Competitive compensation:** Salary dependent on your skills, qualifications, experience, and location.
	+ **Impactful work:** The chance to contribute to the advancement of autonomous systems and AI.
	+ **Collaborative culture:** A dynamic and supportive work environment where your ideas are valued.
	+ **Professional growth:** Opportunities to learn and develop your skills in a cutting\-edge field.
If you're passionate about machine learning, 3D reconstruction, generative AI, and the future of autonomous systems, we'd love to hear from you. Apply today and help us revolutionize the world of AI!  
This position is available in Vancouver, BC and Karlsruhe DE.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4">
      <c r="A24" t="inlineStr">
        <is>
          <t>in-4adab322533c3a47</t>
        </is>
      </c>
      <c r="B24" t="inlineStr">
        <is>
          <t>Senior IT Data Engineer</t>
        </is>
      </c>
      <c r="C24" t="inlineStr">
        <is>
          <t>Peraton</t>
        </is>
      </c>
      <c r="D24" t="inlineStr">
        <is>
          <t>indeed</t>
        </is>
      </c>
      <c r="E24">
        <f>HYPERLINK("https://www.indeed.com/viewjob?jk=4adab322533c3a47", "https://www.indeed.com/viewjob?jk=4adab322533c3a47")</f>
        <v/>
      </c>
      <c r="F24">
        <f>HYPERLINK("https://www.careers.peraton.com/jobs/senior-it-data-engineer-chantilly-virginia-162658-jobs--information-technology--", "https://www.careers.peraton.com/jobs/senior-it-data-engineer-chantilly-virginia-162658-jobs--information-technology--")</f>
        <v/>
      </c>
      <c r="G24" t="inlineStr">
        <is>
          <t>Chantilly, VA, US</t>
        </is>
      </c>
      <c r="H24" s="3" t="n">
        <v>46033</v>
      </c>
      <c r="I24"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**Program Overview**  
**About The Role**  
We are seeking a highly skilled Senior IT Data Engineer to design, build, and maintain secure data solutions within a NIST 800\-53 compliant enclave in support of the FAA BNATCS contract. This role is responsible for developing and managing data integrations, building visualizations, and optimizing data warehouse storage to support analytics and mission\-critical reporting. The Data Engineer will collaborate with cybersecurity, compliance, and business intelligence teams to ensure that all data systems meet federal security standards while enabling actionable insights.  
**Key responsibilities may include\-**  
**Data Integration**  
* Design and implement ETL/ELT pipelines to integrate data from multiple sources into secure environments.
* Ensure data flows comply with NIST 800\-53 security controls and organizational policies.
* Automate data ingestion and transformation processes for efficiency and scalability.
* Familiarity with Mulesoft and other data integration tools.
**Data Warehouse \&amp; Storage**  
* Architect and maintain secure data warehouse solutions (on\-premises and/or cloud).
* Optimize storage, indexing, and query performance for large\-scale datasets.
* Implement encryption, access controls, and monitoring in line with NIST 800\-53 requirements.
**Data Visualization \&amp; Analytics**  
* Develop dashboards and reports using BI tools (Power BI, Tableau, Qlik, etc.).
* Collaborate with stakeholders to translate business needs into meaningful visualizations.
* Ensure reporting solutions meet compliance and security standards.
**Security \&amp; Compliance**  
* Integrate NIST 800\-53 security controls into all data engineering processes.
* Partner with cybersecurity teams to ensure secure configurations and continuous monitoring.
* Support audits, assessments, and accreditation processes (e.g., FISMA, FedRAMP).
**Collaboration \&amp; Leadership**  
* Work closely with data scientists, analysts, and business units to deliver secure, reliable data solutions.
* Provide technical guidance on data engineering best practices in regulated environments.
* Document processes, configurations, and compliance evidence for internal and external reviews.**Qualifications**
**Required Qualifications**  
* Minimum of 8\+ years of experience with a Bachelor's degree in Computer Science, Information Systems, or related field, 6\+ YoE with a Master's degree, or 3\+ YoE with a Ph.D.
* Must have 3\+ year of working experience focused on integrations, data lakes, warehousing, and visualization.
* Strong knowledge of NIST 800\-53 security controls and compliance frameworks (FISMA, FedRAMP).
* Expertise in SQL, Python, and ETL/ELT tools (SSIS, Informatica, Talend, dbt).
* Experience with cloud data platforms (Azure Synapse, AWS Redshift, Google BigQuery) and hybrid architectures.
* Familiarity with BI tools (Power BI, Tableau, Qlik) and data modeling techniques.
* Professional certifications such as CISSP, CISM, or cloud data engineering certifications are highly desirable.
* **While this role is primarily telework/remote, candidates must live within 100 miles of the DC Metro area.**
* **This role requires US Citizenship with the ability to obtain/maintain a Public Trust as required by the program**
**Preferred Qualifications**  
* Ability to translate regulatory requirements into technical solutions.
* Strong analytical and problem\-solving skills.
* Excellent communication and documentation abilities.
* Experience working in federal or regulated environments.
**SCA / Union / Intern Rate or Range**  
**Details**  
Target Salary Range: $86,000 \- $138,000\.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25">
      <c r="A25" t="inlineStr">
        <is>
          <t>in-d88eeae004e5abbf</t>
        </is>
      </c>
      <c r="B25" t="inlineStr">
        <is>
          <t>Director, Data Engineering</t>
        </is>
      </c>
      <c r="C25" t="inlineStr">
        <is>
          <t>LiveRamp</t>
        </is>
      </c>
      <c r="D25" t="inlineStr">
        <is>
          <t>indeed</t>
        </is>
      </c>
      <c r="E25">
        <f>HYPERLINK("https://www.indeed.com/viewjob?jk=d88eeae004e5abbf", "https://www.indeed.com/viewjob?jk=d88eeae004e5abbf")</f>
        <v/>
      </c>
      <c r="F25">
        <f>HYPERLINK("https://liveramp.wd5.myworkdayjobs.com/en-US/LiveRampCareers/job/San-Francisco/Director--Data-Engineering_JR011928", "https://liveramp.wd5.myworkdayjobs.com/en-US/LiveRampCareers/job/San-Francisco/Director--Data-Engineering_JR011928")</f>
        <v/>
      </c>
      <c r="G25" t="inlineStr">
        <is>
          <t>San Francisco, CA, US</t>
        </is>
      </c>
      <c r="H25" s="3" t="n">
        <v>46033</v>
      </c>
      <c r="I25" t="inlineStr">
        <is>
          <t>LiveRamp is the data collaboration platform of choice for the world’s most innovative companies. A groundbreaking leader in consumer privacy, data ethics, and foundational identity, LiveRamp is setting the new standard for building a connected customer view with unmatched clarity and context while protecting precious brand and consumer trust. LiveRamp offers complete flexibility to collaborate wherever data lives to support the widest range of data collaboration use cases—within organizations, between brands, and across its premier global network of top\-quality partners.
Hundreds of global innovators, from iconic consumer brands and tech giants to banks, retailers, and healthcare leaders turn to LiveRamp to build enduring brand and business value by deepening customer engagement and loyalty, activating new partnerships, and maximizing the value of their first\-party data while staying on the forefront of rapidly evolving compliance and privacy requirements.  
You will:
Strategic \&amp; Technical Leadership* Define and execute LiveRamp’s data engineering strategy, aligning with company objectives, product vision, and AI readiness goals.
* Architect a modern, cloud\-first data platform focused on scalability, performance, and cost optimization.
* Lead the evolution of our semantic and data layers, ensuring data is discoverable, reliable, and self\-serve across business functions.
* Champion data platform modernization and modern data principles (e.g., data mesh, lakehouse architectures, and composability).
* Drive automation, observability, and FinOps practices to enhance operational efficiency and reduce cloud costs.
* Provide hands\-on technical leadership — participating in architectural reviews, building proofs of concept, and guiding design and implementation decisions.
Team Leadership \&amp; Global Growth* Lead, mentor, and grow a global team of data engineers, with a focus on expanding our technical excellence and capabilities in India.
* Foster a culture of collaboration, innovation, and continuous learning across distributed teams.
* Serve as a player\-coach: both managing and contributing directly to technical solutions and platform delivery.
* Build strong partnerships with Analytics, Product, and Engineering leaders to ensure alignment between data infrastructure and analytic outcomes.
Governance, Quality, and Compliance* Implement data governance, lineage, and access control frameworks to ensure compliance, privacy, and ethical use of data.
* Advance observability and reliability practices, ensuring proactive monitoring and optimization of pipelines and workloads.
* Promote standardization, reusability, and maintainability across data products and services.
AI \&amp; Analytics Enablement* Partner with Analytics and Data Science teams to design AI\- and ML\-ready infrastructure, enabling feature stores, vector databases, and real\-time pipelines.
* Ensure the data platform supports AI\-driven decision intelligence, retrieval\-augmented generation (RAG), and self\-service analytics.
* Collaborate on the integration of Generative AI and LLM\-based tools to improve accessibility and efficiency of data insights.
Your team will:
Build and operate LiveRamp’s internal data platform that powers analytics, reporting, and AI initiatives across the company.
About you:* 10\+ years of experience in data engineering or data architecture roles, including 5\+ years leading technical teams.
* Proven experience building and scaling global data engineering teams, especially across the U.S. and India.
* A hands\-on technical leader with deep experience in designing, implementing, and optimizing modern data platforms (e.g., BigQuery, Snowflake, dbt, Airflow, Kafka, Spark).
* Expertise in data modeling, ELT/ETL pipelines, orchestration, and semantic layer design.
* Familiarity with multi\-cloud, lakehouse, and data mesh architectures, and best practices for data observability and quality.
* Strong understanding of FinOps, cost optimization, and workload management in cloud environments.
* Experience enabling AI, ML, and analytics workloads through scalable, reliable data infrastructure.
* Excellent communication and storytelling skills; able to align technical strategies with business outcomes.
* Bachelor’s or Master’s degree in Computer Science, Engineering, Mathematics, or a related technical field.
Preferred Skills:* Experience integrating Generative AI and LLM\-based workflows into data pipelines.
* Exposure to modern data observability and governance platforms (e.g., Monte Carlo, Atlan, DataHub, Alation).
* Experience defining and executing FinOps programs or cloud cost optimization initiatives.
* Proven ability to lead and inspire high\-performing, cross\-regional teams in fast\-paced environments.
The approximate annual base compensation range is $200,000 to $288,000\. The actual offer, reflecting the total compensation package and benefits, will be determined by a number of factors including the applicant's experience, knowledge, skills, and abilities, geography, as well as internal equity among our team.  
Benefits:* People: Work with talented, collaborative, and friendly people who love what they do.
* Fun: We host in\-person and virtual events such as game nights, happy hours, camping trips, and sports leagues.
* Work/Life Harmony: Flexible paid time off, paid holidays, options for working from home, and paid parental leave.
* Comprehensive Benefits Package: LiveRamp offers a comprehensive benefits package designed to help you be your best self in your personal and professional lives. Our benefits package offers medical, dental, vision, life and disability, an employee assistance program, voluntary benefits as well as perks programs for your healthy lifestyle, career growth and more.
* Savings: Our 401K matching plan—1:1 match up to 6% of salary—helps you plan ahead. Also Employee Stock Purchase Plan \- 15% discount off purchase price of LiveRamp stock (U.S. LiveRampers)
* RampRemote: A comprehensive office equipment and ergonomics program—we provide you with equipment and tools to be your most productive self, no matter where you're located
More about us:*LiveRamp’s mission is to connect data in ways that matter, and doing so starts with our people. We know that inspired teams enlist people from a blend of backgrounds and experiences. And we know that individuals do their best when they not only bring their full selves to work but feel like they truly belong. Connecting LiveRampers to new ideas and one another is one of our guiding principles—one that informs how we hire, train, and grow our global team across nine countries and four continents. Click* *here* *to learn more about Diversity, Inclusion, \&amp; Belonging (DIB) at LiveRamp.*
LiveRamp is an affirmative action and equal opportunity employer (AA/EOE/W/M/Vet/Disabled) and does not discriminate in recruiting, hiring, training, promotion or other employment of associates or the awarding of subcontracts because of a person's race, color, sex, age, religion, national origin, protected veteran, disability, sexual orientation, gender identity, genetics or other protected status. Qualified applicants with arrest and conviction records will be considered for the position in accordance with the San Francisco Fair Chance Ordinance.  
California residents: Please see our California Personnel Privacy Policy for more information regarding how we collect, use, and disclose the personal information you provide during the job application process.  
To all recruitment agencies: LiveRamp does not accept agency resumes. Please do not forward resumes to our jobs alias, LiveRamp employees or any other company location. LiveRamp is not responsible for any fees related to unsolicited resumes.</t>
        </is>
      </c>
    </row>
    <row r="26">
      <c r="A26" t="inlineStr">
        <is>
          <t>in-dda909c0df2741ac</t>
        </is>
      </c>
      <c r="B26" t="inlineStr">
        <is>
          <t>Data and BI Engineer</t>
        </is>
      </c>
      <c r="C26" t="inlineStr">
        <is>
          <t>American Food &amp; Vending</t>
        </is>
      </c>
      <c r="D26" t="inlineStr">
        <is>
          <t>indeed</t>
        </is>
      </c>
      <c r="E26">
        <f>HYPERLINK("https://www.indeed.com/viewjob?jk=dda909c0df2741ac", "https://www.indeed.com/viewjob?jk=dda909c0df2741ac")</f>
        <v/>
      </c>
      <c r="F26">
        <f>HYPERLINK("https://olivia.paradox.ai/co/AmericanFoodVendingAmericanDiningCreations4/Job?job_id=PDX_AFVADC_3C20B466-5086-4F59-8A8B-B805B12C06B1_22551889&amp;source=indeed", "https://olivia.paradox.ai/co/AmericanFoodVendingAmericanDiningCreations4/Job?job_id=PDX_AFVADC_3C20B466-5086-4F59-8A8B-B805B12C06B1_22551889&amp;source=indeed")</f>
        <v/>
      </c>
      <c r="G26" t="inlineStr">
        <is>
          <t>NY, US</t>
        </is>
      </c>
      <c r="H26" s="3" t="n">
        <v>46033</v>
      </c>
      <c r="I26" t="inlineStr">
        <is>
          <t>**Pay:** $110000 per year \- $120000 per year
* Must be a US Citizen.
 **Summary:**
We are seeking a highly skilled and versatile Data \&amp; BI Engineer to join our data\-driven team. This role combines responsibilities across data engineering, ETL development, business intelligence and data analysis. The ideal candidate will have hands\-on experience with ETL pipelines, BI tools, cloud platforms, Python, and Snowflake, and will be responsible for designing, developing, and maintaining scalable data solutions that support analytics and business decision\-making. They will collaborate closely with cross\-functional teams to ensure the availability, reliability, and performance of our data systems and solutions.
 **Responsibilities**:
* Design, build, and optimize robust ETL pipelines to ingest, transform, and load data from diverse sources (Structured and Unstructured).
* Build and maintain integrations with internal and external data sources and APIs.
* Develop and maintain data models, schemas, and metadata for analytical and operational use.
* Implement data validation, testing, cleansing, and quality checks to ensure data integrity.
* Work with orchestration tools for workflow automation and monitoring data pipeline operation.
* Design and develop user\-friendly and intuitive visualizations/dashboards to communicate insights effectively using Power BI or similar BI tools.
* Collaborate with stakeholders to gather requirements and translate them into BI solutions.
* Monitor and troubleshoot BI and ETL processes to ensure performance and reliability.
* Provide insights through data visualization and performance metrics.
* Work with cloud platforms such as Azure for data storage and processing.
* Utilize Snowflake for data warehousing, Write complex SQL queries and stored procedures for data extraction, transformation, and loading processes.
* Implement CI/CD pipelines and version control using tools like Git or Azure DevOps.
* Document technical designs, workflows, and best practices to facilitate knowledge sharing and maintain system documentation
 **Qualifications:**
* 3\+ years of relevant experience with detailed knowledge of data warehouse technical architectures, infrastructure components, ETL tools, and BI/analytic tools
* 2\+ years of Experience with BI tools such as Power BI, Tableau, or QlikView.
* Hands\-on experience with Snowflake, including Snowpipe, Streams, Stored Procedures and various AI and ML features.
* Strong analytical skills with the ability to collect, organize, analyze, and disseminate significant amounts of information with attention to detail and accuracy.
* Strong understanding of database technologies, management systems, and data modeling techniques.
* Proficiency in Python.
* Strong SQL skills and experience with relational and cloud databases.
* Familiarity with cloud technology
* Familiarity with Agile/Scrum methodology
* Familiarity with AI/Machine Learning and Advanced analytics is plus
* Strong communication, problem solving and collaboration skills.
* Ability to manage multiple priorities simultaneously.
* Knowledge of data governance, security, and compliance best practices.
 **Education:**
* Bachelor’s or master’s degree in computer science, Information Systems, Business Analytics or related field.
 **About Us:**
American Food \&amp; Vending began vending operations in Ithaca, NY, over eighty years ago and has become one of the largest privately held hospitality service partners in the United States.
As a family\-owned boutique company, we have evolved into a dining and catering service provider. In 2012, the second and third family generations expanded the company nationally by adding our dining division, American Dining Creations. Today we provide service to guests in 24 states, over 50 cities, and employ more than 2,000 employees.
American Food \&amp; Vending and American Dining Creations strongly focus on service, technology, partnerships, and hospitality, which is evident in everything we do. Our national ranking as one of the Top 50 Contract Management Companies highlights our commitment to excellence.
We are a company of culinary enthusiasts. Our award\-winning chefs are always exploring innovative, creative, and on\-trend dining and refreshment solutions. As part of our combined services, we provide café dining, mobile ordering, catering, events, grab\-and\-go programs, vending and refreshment solutions, advanced micro markets, coffee services, pantry services, water filtration and purification.
We are committed to enhancing the guest experience and partnering with our communities to provide outstanding service, innovation, sustainability, and customization.
 **American Food \&amp; Vending Offers:**
* Weekly Pay
* 401K with company match
* Employee Referral Bonus Program
* Employee Assistance Program
* Eligible employees offered Medical, Prescription, Dental, and Vision Plans
 **American Food \&amp; Vending is an Equal Opportunity Employer.**
 **Chat with Scout, our virtual hiring assistant to apply for this position right from your mobile device. Text JOB to 315\-803\-6049 to get started!**</t>
        </is>
      </c>
    </row>
    <row r="27">
      <c r="A27" t="inlineStr">
        <is>
          <t>in-5ac265aed9e87361</t>
        </is>
      </c>
      <c r="B27" t="inlineStr">
        <is>
          <t>Data Engineer</t>
        </is>
      </c>
      <c r="C27" t="inlineStr">
        <is>
          <t>Ford Motor Company</t>
        </is>
      </c>
      <c r="D27" t="inlineStr">
        <is>
          <t>indeed</t>
        </is>
      </c>
      <c r="E27">
        <f>HYPERLINK("https://www.indeed.com/viewjob?jk=5ac265aed9e87361", "https://www.indeed.com/viewjob?jk=5ac265aed9e87361")</f>
        <v/>
      </c>
      <c r="F27">
        <f>HYPERLINK("https://efds.fa.em5.oraclecloud.com/hcmUI/CandidateExperience/en/sites/CX_1/requisitions/preview/55567", "https://efds.fa.em5.oraclecloud.com/hcmUI/CandidateExperience/en/sites/CX_1/requisitions/preview/55567")</f>
        <v/>
      </c>
      <c r="G27" t="inlineStr">
        <is>
          <t>Dearborn, MI, US</t>
        </is>
      </c>
      <c r="H27" s="3" t="n">
        <v>46033</v>
      </c>
      <c r="I27" t="inlineStr">
        <is>
          <t>At Ford Motor Company, we believe freedom of movement drives human progress. We also believe in providing you with the freedom to define and realize your dreams. With our incredible plans for the future of mobility, we have an exciting opportunity for you to join our expanding area of Prognostics.
Are you enthusiastic to mine raw data and realize its hidden value by building amazing, connected data solutions that benefit our customers? Would you love to accelerate our efforts in implementing advanced physics and ML Models in production?
The Data Engineer role resides within the Ford’s Electric Vehicle organization. In this role, you will work on building scalable and robust data pipelines to process large volumes of connected vehicle data to support the Ford vehicle prognostic initiatives.
**You will have...**
* Master’s degree or foreign equivalent degree in Computer Science, Software Engineering, Information Systems, Data Engineering, or a related field, and 4 years of experience OR equivalent combination of education and experience (6\+ years with Bachelor's Degree).
* 4 years of professional experience in:
	+ Data engineering, data product development and software product launches
	+ At least three of the following languages: Java, Python, Spark, Scala, SQL
* 3 years of cloud data/software engineering experience building scalable, reliable, and cost\-effective production batch and streaming data pipelines using:
	+ Data warehouses like Amazon Redshift, Microsoft Azure Synapse Analytics, Google BigQuery.
	+ Workflow orchestration tools like Airflow.
	+ Relational Database Management System like MySQL, PostgreSQL, and SQL Server.
	+ Real\-Time data streaming platform like Apache Kafka, GCP Pub/Sub
	+ Microservices architecture to deliver large\-scale real\-time data processing application.
	+ REST APIs for compute, storage, operations, and security.
	+ DevOps tools such as Tekton, GitHub Actions, Git, GitHub, Terraform, Docker.
	+ Project management tools like Atlassian JIRA.
**Even better if you have...**
* Ph.D. or foreign equivalent degree in Computer Science, Software Engineering, Information System, Data Engineering, or a related field.
* 2 years of experience with ML Model Development and/or MLOps.
* Committed code to improve open\-source data/software engineering projects
* Experience architecting cloud infrastructure and handling application migrations/upgrades.
* GCP Professional Certifications.
* Demonstrated passion to mine raw data and realize its hidden value.
* Passion to experiment/implement state of the art data engineering methods/techniques.
* Experience working in an implementation team from concept to operations, providing deep technical subject matter expertise for successful deployment.
* Experience implementing methods for automation of all parts of the pipeline to minimize labor in development and production.
* Analytics skills to profile data, troubleshoot data pipeline/product issues.
* Ability to simplify, clearly communicate complex data/software ideas/problems and work with cross\-functional teams and all levels of management independently.
You may not check every box, or your experience may look a little different from what we have outlined, but if you think you can bring value to Ford Motor Company, we encourage you to apply!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vision and prescription drug coverage
* Flexible family care days, paid parental leave, new parent ramp\-up programs, subsidized back\-up child care and more
* Family building benefits including adoption and surrogacy expense reimbursement, fertility treatments,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For more information on salary and benefits, click here: https://fordcareers.co/GSRSP2
This position is a range of salary grades 6\-8 .
Visa sponsorship is not available for this position.
Candidates for positions with Ford Motor Company must be legally authorized to work in the United States. Verification of employment eligibility will be required at the time of hire.
We are an Equal Opportunity Employer.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This position is hybrid. Candidates who are in commuting distance to a Ford hub location will be required to be onsite four or more days per week.
\#LI\-Hybrid
\#LI\-CS2
**What you will do...**
* Develop exceptional analytical data products using both streaming and batch ingestion patterns on Google Cloud Platform with solid data warehouse principles.
* Build data pipelines to monitoring quality of data and performance of analytical models.
* Maintain the infrastructure of the data platform using terraform and continuously develop, evaluate, and deliver code using CI/CD.
* Collaborate with data analytics stakeholders to streamline the data acquisition, processing, and presentation process.
* Implement an enterprise data governance model and actively promote the concept of data \- protection, sharing, reuse, quality, and standards.
* Enhance and maintain the DevOps capabilities of the data platform.
* Continuously optimize and enhance existing data solutions (pipelines, products, infrastructure) for best performance, high security, low vulnerability, low costs, and high reliability.
* Work in an agile product team to deliver code frequently using Test Driven Development (TDD), continuous integration and continuous deployment (CI/CD).
* Promptly address code quality issues using SonarQube, Checkmarx, Fossa, and Cycode throughout the development lifecycle.
* Perform any necessary data mapping, data lineage activities and document information flows.
* Monitor the production pipelines and provide production support by addressing production issues as per SLAs.
* Provide analysis of connected vehicle data to support new product developments and production vehicle improvements.
* Provide visibility to data quality/vehicle/feature issues and work with the business owners to fix the issues.
* Demonstrate technical knowledge and communication skills with the ability to advocate for well\-designed solutions.
* Continuously enhance your domain knowledge of connected vehicle data, connected services and algorithms/models developed by data scientists within Ford.
* Stay current on the latest data engineering practices and contribute to the technical direction of the company while keeping a customer\-centric approach.</t>
        </is>
      </c>
    </row>
    <row r="28">
      <c r="A28" t="inlineStr">
        <is>
          <t>in-bf6ab87db9d06917</t>
        </is>
      </c>
      <c r="B28" t="inlineStr">
        <is>
          <t>Palantir Data Engineer</t>
        </is>
      </c>
      <c r="C28" t="inlineStr">
        <is>
          <t>Booz Allen Hamilton</t>
        </is>
      </c>
      <c r="D28" t="inlineStr">
        <is>
          <t>indeed</t>
        </is>
      </c>
      <c r="E28">
        <f>HYPERLINK("https://www.indeed.com/viewjob?jk=bf6ab87db9d06917", "https://www.indeed.com/viewjob?jk=bf6ab87db9d06917")</f>
        <v/>
      </c>
      <c r="F28">
        <f>HYPERLINK("https://careers.boozallen.com/careers/JobDetail?jobId=119416", "https://careers.boozallen.com/careers/JobDetail?jobId=119416")</f>
        <v/>
      </c>
      <c r="G28" t="inlineStr">
        <is>
          <t>Atlanta, GA, US</t>
        </is>
      </c>
      <c r="H28" s="3" t="n">
        <v>46033</v>
      </c>
      <c r="I28" t="inlineStr">
        <is>
          <t>Palantir Data Engineer**Key Role:**
Apply a broad understanding of computer and information science principles to build and maintain data pipelines in Python, PySpark, and TypeScript. Import and sync to various data sources, clean and standardize data elements, and fix data quality issues. Collect, manage, and convert raw data into usable information for clients, data scientists, and business analysts to interpret. Use code authoring tools in designated platforms to make data accessible so that organizations can use it to evaluate and optimize policy. Build processes for users and data owners to interact with their data in platform using a variety of technologies, including Python, TypeScript, and JavaScript. Develop innovative solutions to complex data\-driven problems and operate with substantial latitude for unreviewed action or decision.
**Basic Qualifications:**
* 4\+ years of experience working in a professional environment
* 1\+ year of experience with Palantir Foundry and it's applications, including Code Repository, Ontology Manager and Workshop
* Experience with coding in Python and PySpark
* Knowledge of fundamental programming principles or web development
* Ability to obtain and maintain a Public Trust or Suitability/Fitness determination based on client requirements
* Bachelor's degree
**Additional Qualifications:**
* Experience with R
* Experience with JavaScript, TypeScript, HTML, and CSS
* Experience with version control systems, including GIT
* Experience leading and mentoring teams
* Experience working in a public health environment
* Knowledge of Agile and Scrum processes
* Master's degree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29">
      <c r="A29" t="inlineStr">
        <is>
          <t>in-e5fdc210f115c381</t>
        </is>
      </c>
      <c r="B29" t="inlineStr">
        <is>
          <t>Palantir Data Engineer</t>
        </is>
      </c>
      <c r="C29" t="inlineStr">
        <is>
          <t>Booz Allen Hamilton</t>
        </is>
      </c>
      <c r="D29" t="inlineStr">
        <is>
          <t>indeed</t>
        </is>
      </c>
      <c r="E29">
        <f>HYPERLINK("https://www.indeed.com/viewjob?jk=e5fdc210f115c381", "https://www.indeed.com/viewjob?jk=e5fdc210f115c381")</f>
        <v/>
      </c>
      <c r="F29">
        <f>HYPERLINK("https://careers.boozallen.com/careers/JobDetail?jobId=119415", "https://careers.boozallen.com/careers/JobDetail?jobId=119415")</f>
        <v/>
      </c>
      <c r="G29" t="inlineStr">
        <is>
          <t>Atlanta, GA, US</t>
        </is>
      </c>
      <c r="H29" s="3" t="n">
        <v>46033</v>
      </c>
      <c r="I29" t="inlineStr">
        <is>
          <t>Palantir Data Engineer**Key Role:**
Apply a broad understanding of computer and information science principles to build and maintain data pipelines in Python, PySpark, and TypeScript. Import and sync to various data sources, clean and standardize data elements, and fix data quality issues. Collect, manage, and convert raw data into usable information for clients, data scientists, and business analysts to interpret. Use code authoring tools in designated platforms to make data accessible so that organizations can use it to evaluate and optimize policy. Build processes for users and data owners to interact with their data in platform using a variety of technologies, including Python, TypeScript, and JavaScript. Develop innovative solutions to complex data\-driven problems and operate with substantial latitude for unreviewed action or decision.
 **Basic Qualifications:**
* 4\+ years of experience working in a professional environment
* 1\+ years of experience with Palantir Foundry and it's applications, including Code Repository, Ontology Manager and Workshop
* Experience with coding in Python and PySpark
* Knowledge of fundamental programming principles or web development
* Ability to obtain and maintain a Public Trust or Suitability/Fitness determination based on client requirements
* Bachelor's degree
**Additional Qualifications:**
* Experience with R
* Experience with JavaScript, TypeScript, HTML, and CSS
* Experience with version control systems, including GIT
* Experience leading and mentoring teams
* Experience working in a public health environment
* Knowledge of Agile and Scrum processes
* Master's degree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30">
      <c r="A30" t="inlineStr">
        <is>
          <t>in-220b5f070abeb1d4</t>
        </is>
      </c>
      <c r="B30" t="inlineStr">
        <is>
          <t>Engineering Manager (Assistant Director for Data Engineering)</t>
        </is>
      </c>
      <c r="C30" t="inlineStr">
        <is>
          <t>Service Employees International Union</t>
        </is>
      </c>
      <c r="D30" t="inlineStr">
        <is>
          <t>indeed</t>
        </is>
      </c>
      <c r="E30">
        <f>HYPERLINK("https://www.indeed.com/viewjob?jk=220b5f070abeb1d4", "https://www.indeed.com/viewjob?jk=220b5f070abeb1d4")</f>
        <v/>
      </c>
      <c r="F30">
        <f>HYPERLINK("https://recruiting.ultipro.com/SER1005SEIU/JobBoard/e131b2ae-a5ce-4fb1-a93c-84c36a485721/OpportunityDetail?opportunityId=6f63d710-bd32-4eda-aac7-600726143210&amp;postingId=394741b4-2984-4508-98ba-d4902983c05e", "https://recruiting.ultipro.com/SER1005SEIU/JobBoard/e131b2ae-a5ce-4fb1-a93c-84c36a485721/OpportunityDetail?opportunityId=6f63d710-bd32-4eda-aac7-600726143210&amp;postingId=394741b4-2984-4508-98ba-d4902983c05e")</f>
        <v/>
      </c>
      <c r="G30" t="inlineStr">
        <is>
          <t>Washington, DC, US</t>
        </is>
      </c>
      <c r="H30" s="3" t="n">
        <v>46033</v>
      </c>
      <c r="I30" t="inlineStr">
        <is>
          <t>**SEIU (Service Employees International Union)**
**Job Title:** Engineering Manager (Assistant Director for Data Engineering)
**Location:** Washington D.C
**Grade:** MGMT F
**Annual Salary:** $132,301\.48
**Organizational Overview:**We are the Service Employees International Union (SEIU), a union of about 2 million diverse members in healthcare, the public sector, and property services. We believe in and fight for our Vision for a Just Society: where all workers are valued and all people respected, no matter where we come from or what color we are; where all families and communities can thrive; and where we leave a better and more equitable world for generations to come. We are an anti\-racist union determined to check corporate power and uproot structural racism through unions, worker power, collective action, and government, legislative, and political action. We fight for Unions for All and a Government that Works for All so that all of us, across race and place, can have power together in unions and participate fully in our democracy.
**Purpose:** The Engineering Manager leads the data engineering team in the Data Systems and Analytics Department (DSA). This position will oversee the analytics tech stack that services multiple departments in SEIU. The Engineering Manager will split their time between writing code and playing a key role in developing and guiding engineers.
**Primary Duties and Responsibilities:** (Any one position may not include all of the specific duties and responsibilities listed. Examples provide a general summary of the work required and should not be treated as a total and complete list of expected duties to be performed by employees in the classification).
Leads and manages the team that is responsible for working with teams across DSA and SEIU to build out the infrastructure needed to make data available. Primary responsibilities include:
* Supervise the data engineer(s) with an emphasis on helping them grow their technical and professional skills
* Build and maintain systems to make data available to everyone in DSA and extend self\-service capabilities to key stakeholders
* Design data infrastructure that is reliable and secure, while also being a judicious use of SEIU resources
* Work with other SEIU Departments to design and build data systems for high\-priority campaigns
* Consult on new projects under the guidance of the DSA Deputy Director of Analytics and Engineering and in collaboration with internal teams and external stakeholders on creative solutions to engineering challenges
* Use of Agile practices to document and monitor the progress of development.
* Review code to ensure that SEIU is using development best practices.
* Performs other duties as required to support the department and its mission
**Contacts:** Includes SEIU staff, affiliate staff, local union staff, SEIU field staff, and outside partners and vendors.
**Direction and Decision Making:** This position reports to the DSA Deputy Director of Analytics and Engineering in the Data Systems and Analytics Department. Exercises independent judgment and makes decisions that may determine the success or failure of SEIU’s data engineering program.
**Education and Experience:** At least 6 years of related work experience and 1 year of supervisory experience or or combination of education and experience that would provide for the following knowledge, skills, and abilities:
* Strong technical background in building data pipelines and ETL/ELT workflows
* Experience managing multiple stakeholders and external vendors and can clearly articulate risks and dependencies on projects
* 6\+ years of experience working primarily in Data/Analytics Engineering
* A deep understanding of SQL and popular data warehouses, such as Redshift
* 3\+ years of experience with Python 3 (3\.6\+ preferred)
* Strong understanding of REST API Interactions including familiarity with concepts like: Query Parameters, Error Handling, JSON, OpenAPI/SwaggerUI, REST Verbs
* Familiarity with Analytics, streaming, ETL/ELT, and/or Member Data Management concepts
* Experience in an Agile Environment, preferably using JIRA
* A high level of judgment, leadership, and commitment to the goals of SEIU and its leaders, including SEIU’s goal of becoming an anti\-racist organization
Preferred Skills
* Experience with: AWS (EKS, S3, EC2, MSK, Aurora, EBS, Lambda), Github, Airbyte, DBT, Prefect
* Experience with moderate to large codebases and microservices
* Knowledge of labor unions and their operations is helpful
**Physical Requirements:** Work is generally performed in an office setting. Extended hours and extensive travel required.
SEIU is committed to building a diverse and inclusive workforce. We strongly encourage applications from people of color, women, LGBTQ\+ individuals, people with disabilities, members of ethnic minorities, foreign\-born residents, and veterans. SEIU is an equal opportunity employer.
Equal Opportunity Employer  
This employer is required to notify all applicants of their rights pursuant to federal employment laws. For further information, please review the Know Your Rights notice from the Department of Labor.</t>
        </is>
      </c>
    </row>
    <row r="31">
      <c r="A31" t="inlineStr">
        <is>
          <t>in-b227d37a783c71b9</t>
        </is>
      </c>
      <c r="B31" t="inlineStr">
        <is>
          <t>Principal Software and Data Engineer</t>
        </is>
      </c>
      <c r="C31" t="inlineStr">
        <is>
          <t>Advanced Medical Management</t>
        </is>
      </c>
      <c r="D31" t="inlineStr">
        <is>
          <t>indeed</t>
        </is>
      </c>
      <c r="E31">
        <f>HYPERLINK("https://www.indeed.com/viewjob?jk=b227d37a783c71b9", "https://www.indeed.com/viewjob?jk=b227d37a783c71b9")</f>
        <v/>
      </c>
      <c r="F31">
        <f>HYPERLINK("https://recruiting.ultipro.com/ADV1032AVMM/JobBoard/145b5a5a-e521-4e90-9b86-ae9b9be8596b/OpportunityDetail?opportunityId=301fa3c2-bef9-46fd-98f8-0063d4b77cfa&amp;postingId=e5a45c1c-7503-4f31-9c10-da3d27c2fe80", "https://recruiting.ultipro.com/ADV1032AVMM/JobBoard/145b5a5a-e521-4e90-9b86-ae9b9be8596b/OpportunityDetail?opportunityId=301fa3c2-bef9-46fd-98f8-0063d4b77cfa&amp;postingId=e5a45c1c-7503-4f31-9c10-da3d27c2fe80")</f>
        <v/>
      </c>
      <c r="G31" t="inlineStr">
        <is>
          <t>Pleasant Grove, UT, US</t>
        </is>
      </c>
      <c r="H31" s="3" t="n">
        <v>46033</v>
      </c>
      <c r="I31" t="inlineStr">
        <is>
          <t>Data Engineer
This role is responsible for managing and maintaining the organization’s backend data infrastructure, with a primary focus on data sourced from Tebra. Responsibilities include ensuring data integrity, availability, and ongoing maintenance of core systems. The role involves designing, building, and maintaining internal tools to streamline processes, improve operational efficiency, and reduce manual workflows. It also includes coordinating with third\-party contractors by defining requirements, monitoring progress, and ensuring deliverables meet technical and business expectations. The role serves as a technical liaison between internal stakeholders and external partners to support reliable, scalable, and data\-driven operations.
Equal Opportunity Employer
This employer is required to notify all applicants of their rights pursuant to federal employment laws. For further information, please review the Know Your Rights notice from the Department of Labor.</t>
        </is>
      </c>
    </row>
    <row r="32">
      <c r="A32" t="inlineStr">
        <is>
          <t>in-20e2bb00d279697f</t>
        </is>
      </c>
      <c r="B32" t="inlineStr">
        <is>
          <t>Data Engineer, Data Management</t>
        </is>
      </c>
      <c r="C32" t="inlineStr">
        <is>
          <t>NISA Investment Advisors, L.L.C.</t>
        </is>
      </c>
      <c r="D32" t="inlineStr">
        <is>
          <t>indeed</t>
        </is>
      </c>
      <c r="E32">
        <f>HYPERLINK("https://www.indeed.com/viewjob?jk=20e2bb00d279697f", "https://www.indeed.com/viewjob?jk=20e2bb00d279697f")</f>
        <v/>
      </c>
      <c r="F32">
        <f>HYPERLINK("https://careers.nisa.com/jobs/2158/job?utm_source=indeed_integration&amp;iis=Job%20Board&amp;iisn=Indeed&amp;indeed-apply-token=73a2d2b2a8d6d5c0a62696875eaebd669103652d3f0c2cd5445d3e66b1592b0f", "https://careers.nisa.com/jobs/2158/job?utm_source=indeed_integration&amp;iis=Job%20Board&amp;iisn=Indeed&amp;indeed-apply-token=73a2d2b2a8d6d5c0a62696875eaebd669103652d3f0c2cd5445d3e66b1592b0f")</f>
        <v/>
      </c>
      <c r="G32" t="inlineStr">
        <is>
          <t>St. Louis, MO, US</t>
        </is>
      </c>
      <c r="H32" s="3" t="n">
        <v>46033</v>
      </c>
      <c r="I32" t="inlineStr">
        <is>
          <t>Overview:
NISA Investment Advisors, LLC (NISA) offers customized investment solutions for tax\-exempt and taxable institutional clients. NISA manages over $295 billion in fixed\-income and equity securities and over $165 billion in derivative notional value. We seek bright, motivated individuals who can contribute to our growing team of professionals. Candidates with a high degree of independent thinking, strong analytical and quantitative skills, and team\-playing abilities who desire to make a difference are encouraged to apply.
Responsibilities:
The Data Engineer, Data Solutions is a member of NISA’s Data Engineering team responsible for creating, updating and supporting ETL/ELT data pipelines for a variety of stakeholders across the enterprise. They will define, design, develop, unit test and support new and existing solutions to meet complicated and time\-sensitive business requirements. In addition, the Data Engineer supports and manages high\-severity production incident resolution, performs code reviews, and participates in on\-call rotations. They should be comfortable working in a fast\-paced team environment and have the skills to troubleshoot and resolve data integration issues independently.
Qualifications:
* Bachelor’s degree in Computer Science or a related field or relevant work experience required
* 5\+ years of experience with ETL/ELT
* 3\+ years of experience with SQL
* Experience with Python, C\#, or similar high\-level language
* Experience with AWS, AWS Lambda, S3, Airflow, and related technologies
* Professional work experience with Databricks or PySpark
* Demonstrated team player who works well in a fast\-paced environment and can adapt to changing priorities, demands, and timelines
* Strong analytical and innovative problem\-solving skills, along with a solid attention to detail.
* Excellent customer support skills
 Preferred Experience:* Microsoft SQL Server database development
* PostgreSQL database development
* SSIS development
* Working knowledge of Airflow or a similar business automation tool
* Developing software/databases in an Agile environment
NISA’s culture encourages collaboration and innovation. We seek self\-motivated, intellectually curious individuals willing to push themselves and others in an environment that celebrates fresh thinking. We equip employees with the resources needed to excel and we encourage personal development. NISA is dedicated to internally cultivating and rewarding talent. Employees at NISA are provided with a wide range of benefits, including a complimentary onsite cafeteria, gym, health and wellness program, and educational assistance program.  
NISA is an equal opportunity employer. All qualified applicants will receive consideration for employment without regard to race, color, religion, sex, sexual orientation, gender identity, national origin, disability, or protected veteran status.</t>
        </is>
      </c>
    </row>
    <row r="33">
      <c r="A33" t="inlineStr">
        <is>
          <t>in-efc59a8dbfd63614</t>
        </is>
      </c>
      <c r="B33" t="inlineStr">
        <is>
          <t>Lead Data Engineer, ScriptDrop</t>
        </is>
      </c>
      <c r="C33" t="inlineStr">
        <is>
          <t>GoodRx</t>
        </is>
      </c>
      <c r="D33" t="inlineStr">
        <is>
          <t>indeed</t>
        </is>
      </c>
      <c r="E33">
        <f>HYPERLINK("https://www.indeed.com/viewjob?jk=efc59a8dbfd63614", "https://www.indeed.com/viewjob?jk=efc59a8dbfd63614")</f>
        <v/>
      </c>
      <c r="F33">
        <f>HYPERLINK("https://goodrx.wd1.myworkdayjobs.com/en-US/careers/job/Remote-OH/Lead-Data-Engineer--ScriptDrop_JR100533", "https://goodrx.wd1.myworkdayjobs.com/en-US/careers/job/Remote-OH/Lead-Data-Engineer--ScriptDrop_JR100533")</f>
        <v/>
      </c>
      <c r="G33" t="inlineStr">
        <is>
          <t>OH, US</t>
        </is>
      </c>
      <c r="H33" s="3" t="n">
        <v>46033</v>
      </c>
      <c r="I33" t="inlineStr">
        <is>
          <t>GoodRx is the leading prescription savings platform in the U.S. Trusted by more than 25 million consumers and 750,000 healthcare professionals annually, GoodRx provides access to savings and affordability options for generic and brand\-name medications at more than 70,000 pharmacies nationwide, as well as comprehensive healthcare research and information. Since 2011, GoodRx has helped consumers save nearly $75 billion on the cost of their prescriptions.
Our goal is to help Americans find convenient and affordable healthcare. We offer solutions for consumers, employers, health plans, and anyone else who shares our desire to provide affordable prescriptions to all Americans.
About the Role:
GoodRx is hiring a Lead Data Engineer to support ScriptDrop, our prescription delivery and pharmacy connectivity platform. This role will collaborate and work with teams across GoodRx to build outstanding data pipelines and processes that stitch together complex sets of data stores in order to guide business decisions.
Responsibilities:* Collaborate with product managers, data scientists, analysts, and engineers to define business requirements and translate them into scalable data solutions.
* Plan, design, build, test, and deploy data warehouse, data mart, and ETL/ELT pipelines—primarily within Google Cloud and BigQuery.
* Lead small to medium data projects, including scoping, design, documentation, and execution.
* Architect and operate cloud\-based data pipelines that support reporting, invoicing, and analytics use cases.
* Ensure data integrity, consistency, and accessibility across internal and external data products.
* Develop, document, and enforce coding and data modeling standards to improve code quality, maintainability, and system performance.
* Serve as an in\-house data expert, making recommendations on data design, pipeline improvements, and best practices.
* Build and maintain:
* + Internal dashboards and reporting packages (weekly, monthly operational and financial reporting).
	+ External reporting packages for customers, including standardized QBRs and trend analyses.
	+ Monthly invoicing logic, automated data workflows, and standardized datasets for finance.
* Work cross\-functionally to expand usage and value of the data warehouse, promoting a data\-driven culture across the organization.
Skills and Qualifications:* Bachelor’s degree in analytics, engineering, computer science, information technology, or related field—or equivalent experience.
* 8\+ years of professional experience in the data engineering or analytics space.
* Expert proficiency with:
* + SQL (complex transformations, performance tuning)
	+ Python
	+ dbt
	+ ETL/ELT pipeline development
* Strong experience with data modeling, schema design, and data cataloging.
* Demonstrated ability to analyze large datasets, identify inconsistencies, debug data issues, and propose scalable solutions.
* Deep familiarity with Google Cloud Platform (GCS, BigQuery, Cloud Functions/Run, IAM).
* Experience with data warehouse platforms such as BigQuery, Snowflake, Redshift, or Databricks.
* Ability to quickly understand complex business domains and pick up new tools/tech rapidly.
* Highly organized, detail\-oriented, and curious with a strong sense of ownership.
* Thrives in a fast\-moving startup environment with evolving priorities.
Nice to Have:* Experience with Metabase and/or Looker for dashboarding and semantic modeling.
* Familiarity with GitHub, Jira, Docker, Terraform, or similar DevOps tools.
* Experience with testing frameworks, data quality checks, and defining data quality metrics.
* AWS, Kafka, Databricks, or similar certifications.
Engineering teams are responsible for supporting appropriate security controls, including management, operational, and technical controls in addition to general GoodRx best practices, such as reading and adhering to the security policies and procedures, being vigilant and observant of potential security threats, etc.
At GoodRx, pay ranges are determined based on work locations and may vary based on where the successful candidate is hired. The pay ranges below are shown as a guideline, and the successful candidate’s starting pay will be determined based on job\-related skills, experience, qualifications, and other relevant business and organizational factors. These pay zones may be modified in the future. Please contact your recruiter for additional information.
San Francisco and Seattle Offices:
$202,000\.00 \- $323,000\.00
New York Office:
$185,000\.00 \- $296,000\.00
Santa Monica Office:
$168,000\.00 \- $269,000\.00
Other Office Locations:
$151,000\.00 \- $242,000\.00
GoodRx also offers additional compensation programs such as annual cash bonuses or commission, and annual equity grants for most positions as well as generous benefits. Our great benefits offerings include medical, dental, and vision insurance, 401(k) with a company match, an ESPP, unlimited vacation, 13 paid holidays, and 72 hours of sick leave. GoodRx also offers additional benefits like mental wellness and financial wellness programs, fertility benefits, generous parental leave, pet insurance, supplemental life insurance for you and your dependents, company\-paid short\-term and long\-term disability, and more!
We’re committed to growing and empowering a more inclusive community within our company and industry. That’s why we hire and cultivate diverse teams of the best and brightest from all backgrounds, experiences, and perspectives. We believe that true innovation happens when everyone has a seat at the table and the tools, resources, and opportunities to excel.
With that said, research shows that women and other underrepresented groups apply only if they meet 100% of the criteria. GoodRx is committed to leveling the playing field, and we encourage women, people of color, those in the LGBTQ\+ communities, individuals with disabilities, and Veterans to apply for positions even if they don’t necessarily check every box outlined in the job description. Please still get in touch \- we’d love to connect and see if you could be good for the role!
GoodRx is committed to providing reasonable accommodations for candidates with disabilities during our recruiting process. If you need any assistance or accommodations due to a disability, please reach out to us at accommodations@goodrx.com.
We prioritize candidate safety. Please be aware that all official communication will only be sent from @goodrx.com or goodrx@myworkday.com addresses.
GoodRx is America's healthcare marketplace. The company offers the most comprehensive and accurate resource for affordable prescription medications in the U.S., gathering pricing information from thousands of pharmacies coast to coast, as well as a tele\-health marketplace for online doctor visits and lab tests. Since 2011, Americans with and without health insurance have saved $60 billion using GoodRx and million consumers visit goodrx.com each month to find discounts and information related to their healthcare. GoodRx is the \#1 most downloaded medical app on the iOS and Android app stores. For more information, visit www.goodrx.com.</t>
        </is>
      </c>
    </row>
    <row r="34">
      <c r="A34" t="inlineStr">
        <is>
          <t>in-e93310ca45681c64</t>
        </is>
      </c>
      <c r="B34" t="inlineStr">
        <is>
          <t>Senior Data Engineer</t>
        </is>
      </c>
      <c r="C34" t="inlineStr">
        <is>
          <t>Socket</t>
        </is>
      </c>
      <c r="D34" t="inlineStr">
        <is>
          <t>indeed</t>
        </is>
      </c>
      <c r="E34">
        <f>HYPERLINK("https://www.indeed.com/viewjob?jk=e93310ca45681c64", "https://www.indeed.com/viewjob?jk=e93310ca45681c64")</f>
        <v/>
      </c>
      <c r="F34">
        <f>HYPERLINK("https://jobs.ashbyhq.com/socket/94c36482-8a2d-4037-9ee1-72c340e65aab?utm_source=Jm3lKpKBv9", "https://jobs.ashbyhq.com/socket/94c36482-8a2d-4037-9ee1-72c340e65aab?utm_source=Jm3lKpKBv9")</f>
        <v/>
      </c>
      <c r="G34" t="inlineStr">
        <is>
          <t>US</t>
        </is>
      </c>
      <c r="H34" s="3" t="n">
        <v>46033</v>
      </c>
      <c r="I34" t="inlineStr">
        <is>
          <t>**About Us**
Socket helps devs and security teams ship faster by cutting out security busywork. Thousands of orgs use Socket to safely find, audit, and manage open source code. Our customers — from Anthropic to xAI, and Figma to Vercel — love Socket (just check out their tweets to see for yourself!)
Founded by **Feross Aboukhadijeh**, a long\-time open source maintainer with software downloaded over a billion times a month, Socket has raised **$65M in funding** from top angels, operators, and security leaders.
**About the Role**
We're looking for a Data Engineer to join our Data Platform team and build the infrastructure that powers Socket's data ecosystem. You'll design and maintain systems that handle billions of records, enable real\-time analytics, and power the insights our customers rely on to secure their software supply chain.
This is a high\-impact role where you'll work across the stack\- from ingestion pipelines to analytics APIs \- ensuring data flows reliably and is accessible when teams need it.
**What You'll Do**
* Design and build scalable data pipelines that ingest, process, and transform high\-volume event streams and historical data
* Develop and maintain APIs that deliver analytics, trend reports, and drill\-down capabilities to internal teams and external customers
* Build robust infrastructure for data quality monitoring, ensuring accuracy and completeness across customer and artifact datasets
* Optimize data storage and query performance using systems like ClickHouse, Kafka, NATS, and PostgreSQL to support real\-time and batch use cases
* Implement usage tracking, auditing, and event processing systems that provide visibility into platform behavior
* Create reliable data ingestion systems for security scan results, SBOM data, and artifact metadata
* Build infrastructure for outbound integrations that deliver Socket data to customer systems
* Collaborate with product, security research, and engineering teams to understand data needs and deliver solutions that scale
**What You'll Bring**
* 3\+ years of experience building data pipelines and infrastructure in production environments
* Strong proficiency in Node.js and TypeScript for backend development
* Experience with streaming data platforms (e.g., Kafka, NATS, RabbitMQ, Kinesis) and event\-driven architectures
* Hands\-on experience with columnar databases and OLAP systems (ClickHouse, BigQuery, Snowflake, DuckDB, or similar)
* Solid understanding of data modeling, schema design, and query optimization
* Familiarity with cloud data lake technologies (Delta Lake, Iceberg, Parquet, etc.)
* Experience building REST APIs and data access layers for analytics use cases
* Comfort working with large\-scale distributed systems and debugging performance bottlenecks
* Strong ownership mindset \- you take responsibility for the systems you build and ensure they're reliable
* Clear communication skills; you can explain technical trade\-offs to both engineers and non\-technical stakeholders
**Nice to Have**
* Experience with time\-series data and real\-time analytics
* Familiarity with security or DevOps tooling ecosystems
* Background working with SBOM formats or supply chain security concepts
* Experience with data quality frameworks and observability tools
* Understanding of multi\-tenant architectures and data isolation patterns
We know how important clarity is when looking for a new role, so we've put together a read\-me about the Interview Process at Socket.
**Benefits:** Our benefits are crafted to support you and your family, so you can take care of what matters most and thrive in and outside of work. We offer:
* Market competitive salary bands
* Meaningful equity program
* Comprehensive health benefits for you and your family
* Flexible time\-off, holidays, and winter shutdown to rest \&amp; recharge
* Paid parental leave
* Remote\-first, with quarterly team off\-sites
**At Socket, we**
* **Pursue Excellence:** We set ourselves apart by consistently delivering work of exceptional quality and distinction.
* **Move with urgency and focus:** We prioritize swift, decisive action.
* **Think rigorously:** We care about being right and it often takes reasoning from first principles to get there. We value alternative perspectives and have constructive discussions.
* **Trust and amplify:** We overtrust, always assume good intent, and give specific feedback to help each other improve.
* **Feel a strong sense of ownership:** We wear many hats and feel a strong sense of overall ownership of the company and we're non\-territorial regarding our nominal domains.
* **Are customer obsessed:** We relentlessly prioritize the needs of our customers, striving to exceed their expectations and delight them at every interaction.</t>
        </is>
      </c>
    </row>
    <row r="35">
      <c r="A35" t="inlineStr">
        <is>
          <t>in-29d72f9e4c9e556f</t>
        </is>
      </c>
      <c r="B35" t="inlineStr">
        <is>
          <t>Senior Data Engineer (Remote)</t>
        </is>
      </c>
      <c r="C35" t="inlineStr">
        <is>
          <t>Raytheon</t>
        </is>
      </c>
      <c r="D35" t="inlineStr">
        <is>
          <t>indeed</t>
        </is>
      </c>
      <c r="E35">
        <f>HYPERLINK("https://www.indeed.com/viewjob?jk=29d72f9e4c9e556f", "https://www.indeed.com/viewjob?jk=29d72f9e4c9e556f")</f>
        <v/>
      </c>
      <c r="F35">
        <f>HYPERLINK("https://jsv3.recruitics.com/redirect?rx_cid=3426&amp;rx_jobId=01815411&amp;rx_url=https%3A%2F%2Fcareers.rtx.com%2Fglobal%2Fen%2Fjob%2F01815411%3Frx_a%3D0%26rx_c%3D%26rx_ch%3Djobp4p%26rx_group%3D122223%26rx_id%3Dee889bc2-efe3-11f0-b3f7-397590ca331d%26rx_job%3D01815411%26rx_medium%3Dcpc%26rx_r%3Dnone%26rx_source%3Dindeed%26rx_ts%3D20260113T000436Z%26rx_vp%3Dcpc", "https://jsv3.recruitics.com/redirect?rx_cid=3426&amp;rx_jobId=01815411&amp;rx_url=https%3A%2F%2Fcareers.rtx.com%2Fglobal%2Fen%2Fjob%2F01815411%3Frx_a%3D0%26rx_c%3D%26rx_ch%3Djobp4p%26rx_group%3D122223%26rx_id%3Dee889bc2-efe3-11f0-b3f7-397590ca331d%26rx_job%3D01815411%26rx_medium%3Dcpc%26rx_r%3Dnone%26rx_source%3Dindeed%26rx_ts%3D20260113T000436Z%26rx_vp%3Dcpc")</f>
        <v/>
      </c>
      <c r="G35" t="inlineStr">
        <is>
          <t>Farmington, CT, US</t>
        </is>
      </c>
      <c r="H35" s="3" t="n">
        <v>46033</v>
      </c>
      <c r="I35" t="inlineStr">
        <is>
          <t>**Date Posted:**
2026\-01\-12**Country:**
United States of America**Location:**
UT6: 4 Farm Springs 4 Farm Springs Road, Farmington, CT, 06032 USA**Position Role Type:**
Hybrid**U.S. Citizen, U.S. Person, or Immigration Status Requirements:**
This job requires a U.S. Person. A U.S. Person is a lawful permanent resident as defined in 8 U.S.C. 1101(a)(20\) or who is a protected individual as defined by 8 U.S.C. 1324b(a)(3\). U.S. citizens, U.S. nationals, U.S. permanent residents, or individuals granted refugee or asylee status in the U.S. are considered U.S. persons. For a complete definition of “U.S. Person” go here: https://www.ecfr.gov/current/title\-22/chapter\-I/subchapter\-M/part\-120/subpart\-C/section\-120\.62**Security Clearance:**
None/Not Required
RTX Corporation is an Aerospace and Defense company that provides advanced systems and services for commercial, military and government customers worldwide. It comprises three industry\-leading businesses – Collins Aerospace Systems, Pratt \&amp; Whitney, and Raytheon. Its 185,000 employees enable the company to operate at the edge of known science as they imagine and deliver solutions that push the boundaries in quantum physics, electric propulsion, directed energy, hypersonics, avionics and cybersecurity. The company, formed in 2020 through the combination of Raytheon Company and the United Technologies Corporation aerospace businesses, is headquartered in Arlington, VA.
The following position is to join our RTX **Enterprise Services** team:
**Position Overview:**
We are seeking a Senior Data Engineer to join RTX in the Enterprise Services Data organization, AI Foundations team. You will play an active role in bringing cutting edge AI, ML, and data capabilities to RTX. We provide capabilities to practitioners across the enterprise used to solve a vast variety of aerospace challenges through:
* Working with product leadership to maintain technical capability roadmaps
* Serving as technical stakeholders for RTX's AI platform
* Evaluating state of the art vendors and external capabilities to recommend for platform availability
* Building enablers, products, and services
**What You Will Do:**
* Design, build, and maintain scalable data pipelines that support batch and real\-time data processing across structured and unstructured data sources.
* Develop and optimize ETL/ELT workflows to ensure efficient data ingestion, transformation, and delivery into data warehouses, data lakes, or lakehouse environments.
* Collaborate closely with data architecture, analytics, ML engineering, and product teams to understand data requirements and translate them into reliable technical solutions.
* Implement data quality checks, data validation logic, and automated monitoring to ensure accuracy, completeness, and reliability of datasets.
* Work with cloud platforms (e.g., Azure and AWS) and distributed computing frameworks (e.g., Spark) to build high\-performance data systems.
* Design and maintain metadata, lineage, and documentation that provides transparency into the data lifecycle and supports governance \&amp; compliance needs.
* Optimize data storage, compute, and pipeline performance to reduce cost and increase efficiency.
* Implement security and access control standards for sensitive data in alignment with organizational policies and compliance regulations.
* Troubleshoot production data issues, perform root cause analysis, and drive permanent fixes rather than temporary workarounds.
* Continuously evaluate new tools, technologies, and patterns to improve data engineering capabilities and align with future scalability requirements.
**Qualifications You Must Have:**
* Bachelor’s degree in a STEM discipline with 5\+ years of professional experience in data engineering, software engineering, or a similar role, with a strong focus on building and maintaining robust data pipelines.
* 5\+ years in programming languages, particularly Python, for building and automating data pipelines and analytics data stores.
* Experience with Extract, Transform, Load (ETL) or Extract, Load, Transform (ELT) processes and tools like Matillion or other replication tool like HVR (Fivetran) or QLIK Replicate.
* 3\+ years relevant experience with cloud computing platforms (AWS and/or Azure.)
* Knowledge of data warehousing concepts, data modeling, and schema design.
* Understanding of data governance, lineage, quality frameworks, and metadata management.
* Must be authorized to work in the U.S. without sponsorship now or in the future. RTX will not offer sponsorship for this position.
* 25% travel required within USA.
**Qualifications We Prefer:**
* A flexible and patient mindset, interested in working on a variety of multi\-disciplinary challenges with varying stakeholders, partners, domains, and toolsets.
* Experience with building AI pipelines that bring together structured, semi\-structured and unstructured data. This includes pre\-processing with extraction, chunking, embedding and grounding strategies, semantic modeling, and getting the data ready for Models and Agentic solutions.
* Experience building products that use Large Language Models (LLMs) or LLM APIs.
* Hands\-on experience implementing production ready enterprise grade GenAI data solutions.
* Experience with Git, Github, or similar version control system, Jira, Confluence, and Agile development.
* Effective communication and collaboration, especially across development and operations and business stakeholders.
* Work with stakeholders to gather, prioritize, and document functional and technical needs before translating them into software solutions.
* Prioritize tasks and manage multiple streams of work efficiently.
**What We Offer:**
*Unique to our team:*
* A welcoming team that works together and supports one another.
* Flexible schedule (Core hours with optional 9/80, 4x10, or custom).
* A wide variety of technical opportunities in a cutting\-edge landscape.
**RTX Benefits Highlights:**
* Obtain professional certificates and degrees through the RTX employee scholar program.
* Comprehensive benefits package, including medical, dental, vision, life, short term disability, and long term disability benefits.
* Paid time off including holidays, sick time, and parental leave.
* 401(k) with matching.
* Rotational programs.
* Reward and recognition programs.
**Learn More \&amp; Apply Now!**
**Work Location:** Remote
*Please consider the following role type definition as you apply for this role:*
**Remote:** This position is currently designated as remote. However, the successful candidate will be required to work from one of the 50 U.S. states (excluding U.S. Territories). Employees who are working in Remote roles will work primarily offsite (from home). An employee may be expected to travel to the site location as needed.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107,500 USD \- 204,500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36">
      <c r="A36" t="inlineStr">
        <is>
          <t>in-248684575f6c0be1</t>
        </is>
      </c>
      <c r="B36" t="inlineStr">
        <is>
          <t>Advanced Analytics &amp; BI Engineer</t>
        </is>
      </c>
      <c r="C36" t="inlineStr">
        <is>
          <t>American Academy of Orthopaedic Surgeons</t>
        </is>
      </c>
      <c r="D36" t="inlineStr">
        <is>
          <t>indeed</t>
        </is>
      </c>
      <c r="E36">
        <f>HYPERLINK("https://www.indeed.com/viewjob?jk=248684575f6c0be1", "https://www.indeed.com/viewjob?jk=248684575f6c0be1")</f>
        <v/>
      </c>
      <c r="F36">
        <f>HYPERLINK("https://ht-jobs.net/indpxqg?s=inp", "https://ht-jobs.net/indpxqg?s=inp")</f>
        <v/>
      </c>
      <c r="G36" t="inlineStr">
        <is>
          <t>Rosemont, IL, US</t>
        </is>
      </c>
      <c r="H36" s="3" t="n">
        <v>46033</v>
      </c>
      <c r="I36" t="inlineStr">
        <is>
          <t>**You are ready to turn data into decisions that shape the future of healthcare. Join a purpose\-driven organization where your skills in AI, machine learning, and analytics will make a meaningful impact on the orthopaedic community. As an** **Advanced Analytics \&amp; BI Engineer****, you’ll play a pivotal role in transforming complex data into clear, actionable insights that guide strategic initiatives across Membership, Marketing, Education, and our Annual Meeting. Your work will spark innovation, elevate member experience, and help us deliver greater value to the professionals we serve.**
If this sounds like you, please read on!
In this role, you’ll lead the development and deployment of machine learning models and AI\-powered enhancements to Power BI dashboards. You’ll collaborate with stakeholders to solve high\-impact problems, uncover trends, and deliver intelligence that drives smarter decisions. Your ability to translate technical concepts into business value and align data systems with organizational goals will be essential to your success.
**Travel:**
* Up to 5 days per year
**Qualifications:**
**Required:**
* A strong foundation in AI/ML, data science, and analytics (Bachelor’s required, master’s preferred)
* 7\+ years of IT experience, including 5\+ years in Power BI and data visualization
* Hands\-on expertise in Python, R, SQL, and ML frameworks like Scikit\-Learn or TensorFlow
* Experience with A/B testing, customer segmentation, forecasting, and anomaly detection
* Ability to translate ambiguous problems into clear, data\-driven solutions
**Desired:**
* Experience with medical associations, Agile methodologies, and Microsoft Azure tools
Salary Range: $105,000\- $115,000, depending on qualifications and experience.
Ready to make an impact? Your next big opportunity starts here! Apply now and help us turn data into decisions that matter. Please share the following:
* Clearly communicate why you are the ideal candidate for this role, providing specific examples and experiences as proof points.
* Resumes must be accompanied by a cover letter with salary expectations to be considered.
**Please note:**
* This position is based in Rosemont, Illinois and is open to applicants who are able to commute at least twice per week to this office.
* Applicants must already be authorized to work in the United States on a full\-time basis. We are unable to sponsor or take over sponsorship of work visas.</t>
        </is>
      </c>
    </row>
    <row r="37">
      <c r="A37" t="inlineStr">
        <is>
          <t>in-19e08e4e33be9dcc</t>
        </is>
      </c>
      <c r="B37" t="inlineStr">
        <is>
          <t>Data Engineer II</t>
        </is>
      </c>
      <c r="C37" t="inlineStr">
        <is>
          <t>Continental Properties Company, Inc</t>
        </is>
      </c>
      <c r="D37" t="inlineStr">
        <is>
          <t>indeed</t>
        </is>
      </c>
      <c r="E37">
        <f>HYPERLINK("https://www.indeed.com/viewjob?jk=19e08e4e33be9dcc", "https://www.indeed.com/viewjob?jk=19e08e4e33be9dcc")</f>
        <v/>
      </c>
      <c r="F37">
        <f>HYPERLINK("https://recruiting2.ultipro.com/CON1051CONPC/JobBoard/4c5261a3-56a0-4867-9d86-1673f2d804c2/OpportunityDetail?opportunityId=ed3f7c80-e9c6-4cee-b2fe-e2d27dbee26e&amp;postingId=6f78eb60-5ae3-431a-b903-ff7b8defcdb7", "https://recruiting2.ultipro.com/CON1051CONPC/JobBoard/4c5261a3-56a0-4867-9d86-1673f2d804c2/OpportunityDetail?opportunityId=ed3f7c80-e9c6-4cee-b2fe-e2d27dbee26e&amp;postingId=6f78eb60-5ae3-431a-b903-ff7b8defcdb7")</f>
        <v/>
      </c>
      <c r="G37" t="inlineStr">
        <is>
          <t>Menomonee Falls, WI, US</t>
        </is>
      </c>
      <c r="H37" s="3" t="n">
        <v>46033</v>
      </c>
      <c r="I37" t="inlineStr">
        <is>
          <t>Continental Properties is looking for an action\-oriented, experienced Data Engineer II to join our Data Engineering and Analytics at our home office in Menomonee Falls, Wisconsin.  
Are you ready to transform data into actionable insights and drive innovation? As a Data Engineer II at Continental Properties, you’ll design, develop, and support data solutions that empower our teams and shape our business decisions. You’ll work with both structured and unstructured data, collaborating with business users, and leading technical initiatives that make a real difference.  
We are embracing a hybrid working environment and you can work a combination of in the office and remote. Initial onboarding may require more in\-office days, after which you’ll transition to our standard hybrid schedule.  
Please note: We are unable to provide visa sponsorship for this position. Candidates must be legally authorized to work in the United States without sponsorship now or in the future.  
Attributes That Drive Success  
You thrive in fast\-paced environments, adapting quickly and learning on the fly. You take the initiative, stay focused on what moves the business forward, and use ingenuity to drive results. You own your results with accountability and an openness to feedback, embracing every experience as an opportunity to grow. You relish the opportunity to lead from where you are by influencing others, building connections, and turning insight into impact.  
Essential Responsibilities:  
You’ll work with data from internal and external sources, using both cloud and on\-premises environments  
Develop and support automated processes to clean, organize, and transform data into products and insights  
Make key decisions on complex data issues and help shape technical approaches for projects  
You’ll design and develop data pipelines for warehousing, BI reporting, and analytics using tools like Matillion, DBT, Snowflake and Power BI  
Implement data quality and integrity checks, proactively identifying and resolving issues  
Collaborate with business users to understand analytics and reporting needs, and help identify the best data sources  
You’ll assist business users with technical tasks, including data extracts, report creation, SQL, and troubleshooting  
You’ll develop and maintain documentation for databases and Power BI datasets  
Skills for Success:  
You have a Bachelor’s or Master’s degree in Computer Science, Data Science, Finance, Statistics, Mathematics, or a related field  
You have 3–5 years of experience in a SQL\-based data engineering or analytics role.  
You’re skilled with data visualization tools (Power BI, Tableau, Qlik, or similar), databases (Microsoft SQL, MySQL, etc.), and other technical tools (Snowflake, Azure, Matillion, DBT, Python, R, REST API, AWS)  
You have experience developing complex queries, data modeling, and ETL processes in SQL, Python, R, or similar languages  
Why You'll Love Life at Continental:  
Our award\-winning culture fosters innovation and empowers our team members to lead. Here are some of the reasons that our team members continue to vote for us as a Top Workplace:  
Career Growth: You'll have the tools, training, and opportunities for a meaningful career with long\-term growth potential. We invest in your learning \&amp; development with paid professional memberships, certifications, and tuition reimbursement.  
Mental Health \&amp; Wellness: Your well\-being matters. We provide comprehensive mental health support including but not limited to 8\-free counseling sessions per year and access to additional wellness resources.  
Balance: We recognize that balance varies for everyone, and we support our team members with that in mind. Recharge with generous vacation time, 9\-paid holidays, and half\-days on Fridays during designated months.  
Community \&amp; Connection: Build relationships through informal gatherings, lunches, community and company events, volunteer opportunities, and a vibrant social culture. Learn more about recent Continental events here!  
Culture of Belonging: The Continental IDEA (Inclusion, Diversity, Equity, \&amp; Allies) is our commitment to evolving our culture where team members feel a sense of belongingness each day. Our You Belong Here Initiative and Business Resource Groups focus on fostering an inclusive and equitable work environment for all.  
Performance Incentives: Participate in our Building Above and Beyond (BAAB) incentive program that rewards team members annually based on company goals and achievements.  
Industry\-Leading Benefits: Enjoy a comprehensive benefits package, including Medical, Dental, and Vision Plans, flexible spending accounts, 401(k) with company match, and company\-paid life and disability insurance.  
Family Support: Support your growing family with 6\-weeks paid parental leave and with family\-forming \&amp; fertility resources (up to 12\-weeks leave for birth mothers).  
We are committed to equal employment opportunity regardless of race, color, ancestry, religion, sex, national origin, sexual orientation, age, citizenship, marital status, disability, gender, gender identity or expression, or veteran status. We are proud to be an equal opportunity workplace.  
We comply with the Americans with Disabilities Act (ADA), and all applicable state and local fair employment practices laws, and are committed to providing equal employment opportunities to qualified individuals with disabilities.  
For the benefit of our residents, the communities we serve, and our co\-workers, all applicants are required to pass a post\-offer criminal background check prior to joining the Continental team.  
We are committed to fair and equitable compensation practices. The posted salary range represents our good faith estimate of the base salary for this role at the time of posting. Final compensation is based on a variety of factors, including a candidate’s experience, skills, qualifications, and internal equity. This range does not include bonus potential or other forms of compensation and benefits.  
Salary Range: $100,000 \- $110,000  
Equal Opportunity Employer  
This employer is required to notify all applicants of their rights pursuant to federal employment laws. For further information, please review the Know Your Rights notice from the Department of Labor.</t>
        </is>
      </c>
    </row>
    <row r="38">
      <c r="A38" t="inlineStr">
        <is>
          <t>in-1c722542dcca6ce2</t>
        </is>
      </c>
      <c r="B38" t="inlineStr">
        <is>
          <t>Staff Data Engineer</t>
        </is>
      </c>
      <c r="C38" t="inlineStr">
        <is>
          <t>Choice Hotels</t>
        </is>
      </c>
      <c r="D38" t="inlineStr">
        <is>
          <t>indeed</t>
        </is>
      </c>
      <c r="E38">
        <f>HYPERLINK("https://www.indeed.com/viewjob?jk=1c722542dcca6ce2", "https://www.indeed.com/viewjob?jk=1c722542dcca6ce2")</f>
        <v/>
      </c>
      <c r="F38">
        <f>HYPERLINK("https://choicehotels.wd5.myworkdayjobs.com/en-US/External/job/Scottsdale-AZ---SkyTouch-Technology/Staff-Data-Engineer_R20987", "https://choicehotels.wd5.myworkdayjobs.com/en-US/External/job/Scottsdale-AZ---SkyTouch-Technology/Staff-Data-Engineer_R20987")</f>
        <v/>
      </c>
      <c r="G38" t="inlineStr">
        <is>
          <t>Scottsdale, AZ, US</t>
        </is>
      </c>
      <c r="H38" s="3" t="n">
        <v>46033</v>
      </c>
      <c r="I38" t="inlineStr">
        <is>
          <t>\*\* This role is not eligible for sponsorship AND is four days onsite hybrid at our N. Scottsdale office \*\*
Who are we looking for?
Choice Hotels has an exciting new opportunity as a Staff Data Engineer in the SkyTouch Technology division. SkyTouch Technology, is an independently operated division of Choice Hotels that provides the most widely used cloud\-based (SaaS) hotel property management system. As a key member of our SkyTouch Software Engineering \- Data, you will drive enterprise\-wide impact by shaping scalable, reliable data architectures and standards that enable teams to deliver trusted data, accelerate innovation, and support long\-term business strategy.
Are you a systems\-level data engineer who thinks beyond individual pipelines to shape enterprise\-wide data architecture and standards? Do you thrive on influencing technical direction and enabling multiple teams to succeed at scale? The \#SkysTheLimit when you \#MakeItYourChoice! We encourage you to apply today!
Your Responsibilities* Define and evolve the long\-term data architecture and technical standards across teams and platforms
* Design and oversee highly scalable, resilient, and cost\-efficient data systems using cloud technologies (e.g., AWS)
* Lead complex, cross\-domain data initiatives that span multiple teams, systems, and business functions
* Serve as a technical authority and escalation point for complex data engineering challenges and architectural decisions
* Establish best practices for data quality, reliability, observability, security, and governance across the organization
* Drive alignment on data modeling, integration patterns, and platform usage to reduce duplication and technical debt
* Partner with engineering, analytics, and business leaders to translate strategic goals into technical data solutions
* Mentor senior engineers and influence technical growth through design reviews, architecture forums, and technical guidance
* Identify systemic risks and opportunities within the data ecosystem and proactively propose improvements
* Balance near\-term delivery with long\-term platform health, scalability, and sustainability
Your Experience, Skills \&amp; Competencies* Bachelor's degree in related field Computer Science, Information Systems, Computer Engineering or equivalent experience
* Proficient in Microsoft Outlook, Excel, PowerPoint and Word
* Minimum of 8\+ years of experience in data engineering, software engineering, or platform engineering roles.
* Proven experience designing and evolving large\-scale, cloud\-based data platforms in AWS.
* Experience leading cross\-team, multi\-system data initiatives with long\-term architectural impact
* Demonstrated ownership of mission\-critical production data systems
* Experience influencing technical direction across teams without direct people management
* Expert\-level knowledge of cloud data architectures and AWS data services
* Advanced data modeling and data warehousing design expertise.
* Acts as a trusted technical authority, guiding architectural decisions, mentoring senior engineers, and influencing outcomes across teams.
* Strong programming skills (Python, SQL, and/or Spark)
* Deep understanding of distributed systems, performance tuning, and scalability
* Infrastructure\-as\-code, CI/CD, and automation expertise.
* Ability to design scalable, fault\-tolerant, and cost\-efficient data architectures
* Strong understanding of distributed systems, data partitioning, and performance tuning
* Expertise in data quality, observability, and reliability practices
* Knowledge of data governance, security, and compliance best practices
* Strong debugging and root\-cause analysis skills across data pipelines and cloud infrastructure.
* Designing for reliability, observability, fault tolerance, and cost efficiency at scale
* Implementing organization\-wide standards for data quality, security, and governance
* Identifying and reducing technical debt across data platforms
* Demonstrates key competencies to include managing complexity, valuing differences, and cultivating innovation
Your Team
This is an individual contributor role that will report to the Manager of Software Engineering \- Data. You will have 14 peer teammates and collaborate with cross functional departments on a regular basis.
\*\*This role is not eligible for sponsorship\*\*  
Choice prioritizes our associate wellbeing by offering a comprehensive benefits program that is both competitive and flexible to help you achieve your wellbeing goals \- here are just a few:* Competitive compensation and benefits, including medical, dental, and vision coverage
* Leave and paid time\-off for holidays, vacation, personal, family, volunteer, sick, jury duty, bereavement, military, and religious observance
* Financial benefits for retirement and health savings
* Employee recognition programs
* Discounts at Choice hotels worldwide
About Choice
Choice Hotels International, Inc. (NYSE: CHH), is one of the largest lodging franchisors in the world. With 7,500 hotels in 45\+ countries and territories, we offer a range of high\-quality lodging options in the upper upscale, upper midscale, midscale, extended stay, and economy segments. We’re the hotel company for those who choose to bet on themselves — the striver, the dreamer, the entrepreneur — because that’s who we are, too.
At Choice, we are united by the simple belief that tomorrow will be *even* better than today — for associates, our company, and our franchisees. At our worldwide corporate headquarters in North Bethesda, Maryland, at our technology center in Scottsdale, Arizona, and through our associates around the globe, every voice is heard and every idea is listened to, no matter what area of the company they come from. We are united in supporting the entrepreneurial dreams of our thousands of franchise owners, which propels us forward — giving our work at Choice a purpose larger than our business.*Our corporate office locations:*
North Bethesda, MD — Located at Pike \&amp; Rose, our worldwide headquarters is less than 15 miles from Washington, D.C., one block away from the North Bethesda Metro station, with easy access to I\-495, complimentary parking, electronic charging stations, restaurants and retail.
Scottsdale, AZ — Located at the northwest corner of Loop 101, the Scottsdale office is home to our technology, eCommerce and customer service organizations, with easy access to complimentary parking, electronic charging stations, restaurants and retail.
Minneapolis, MN — Select roles are based in our Minneapolis office on Highway 394, near the intersection with Highway 100, only five minutes from downtown.
Field/Remote — Select roles designated as field/remote will require associates to work from a home office, connecting virtually with Choice team members and leadership on Zoom, with possible required travel depending on the role.
Choice’s Cultural Values
Welcome and Respect Everyone \| Be Bold \| Be Quick \| Listen \| Be Curious \| Show Integrity
Choice’s Leadership Principles
Act with Intention \| Lead with Authenticity \| Grow \&amp; Deliver</t>
        </is>
      </c>
    </row>
    <row r="39">
      <c r="A39" t="inlineStr">
        <is>
          <t>in-69918399bcc09c0c</t>
        </is>
      </c>
      <c r="B39" t="inlineStr">
        <is>
          <t>Senior Data Engineer</t>
        </is>
      </c>
      <c r="C39" t="inlineStr">
        <is>
          <t>Choice Hotels</t>
        </is>
      </c>
      <c r="D39" t="inlineStr">
        <is>
          <t>indeed</t>
        </is>
      </c>
      <c r="E39">
        <f>HYPERLINK("https://www.indeed.com/viewjob?jk=69918399bcc09c0c", "https://www.indeed.com/viewjob?jk=69918399bcc09c0c")</f>
        <v/>
      </c>
      <c r="F39">
        <f>HYPERLINK("https://choicehotels.wd5.myworkdayjobs.com/en-US/External/job/Scottsdale-AZ---SkyTouch-Technology/Senior-Software-Engineer_R20913", "https://choicehotels.wd5.myworkdayjobs.com/en-US/External/job/Scottsdale-AZ---SkyTouch-Technology/Senior-Software-Engineer_R20913")</f>
        <v/>
      </c>
      <c r="G39" t="inlineStr">
        <is>
          <t>Scottsdale, AZ, US</t>
        </is>
      </c>
      <c r="H39" s="3" t="n">
        <v>46033</v>
      </c>
      <c r="I39" t="inlineStr">
        <is>
          <t>\*\* This role is not eligible for sponsorship AND is four days onsite hybrid at our N. Scottsdale office \*\*
Who are we looking for?
Choice Hotels has an exciting new opportunity as a Senior Data Engineer in the SkyTouch Technology division. SkyTouch Technology, is an independently operated division of Choice Hotels that provides the most widely used cloud\-based (SaaS) hotel property management system. As a key member of our SkyTouch Software Engineering \- Data, you will drive the design and reliability of our data ecosystem, ensuring high\-quality, scalable data is always available to power analytics, reporting, and innovation.
Are you a successful Senior Data Engineer that takes end\-to\-end ownership of data systems, balancing technical excellence with business needs? Do you proactively communicate, design scalable and reliable solutions, and ensure data quality, performance, and operational stability? The \#SkysTheLimit when you \#MakeItYourChoice! We encourage you to apply today!
Your Responsibilities* Design, build, and maintain scalable, secure, and reliable data pipelines using AWS services such as S3, Glue, Lambda, Redshift, EMR, and Athena.
* Architect and optimize data ingestion, transformation, and storage solutions for both batch and real\-time data processing
* Lead the development of data models and schemas that support analytics, reporting, and machine learning use cases
* Ensure data quality, reliability, and performance through monitoring, alerting, and automated validation frameworks
* Optimize cost and performance of AWS data solutions through efficient resource usage and tuning
* Collaborate with other data engineers, analysts, and product teams to translate business requirements into technical data solutions
* Establish and enforce best practices for data governance, security, and compliance, including IAM, encryption, and access controls
* Mentor and provide technical guidance to junior and mid\-level data engineers
* Participate in architectural and code reviews, technical decision\-making, and long\-term data platform strategy
Your Experience, Skills \&amp; Competencies* Bachelor's degree in related field Computer Science, Information Systems, Computer Engineering or equivalent experience
* Proficient in Microsoft Outlook, Excel, PowerPoint and Word
* Minimum of 5\+ years of experience building and maintaining production data pipelines, with at least 2–3 years of hands\-on experience using AWS data services (e.g., S3, Glue, Redshift, EMR, Athena, Lambda, Kinesis) and how to architect them together
* Strong programming skills in Python SQL, and/or Spark, with experience building production\-grade data pipeline
* Data modeling expertise for analytical and operational use cases (star/snowflake schemas, dimensional modeling)
* Experience with batch and streaming data processing frameworks
* Ability to design scalable, fault\-tolerant, and cost\-efficient data architectures
* Strong understanding of distributed systems, data partitioning, and performance tuning
* Expertise in data quality, observability, and reliability practices
* Knowledge of data governance, security, and compliance best practices
* Strong debugging and root\-cause analysis skills across data pipelines and cloud infrastructure
* Demonstrates key competencies to include managing complexity, valuing differences, and cultivating innovation
Your Team
This is an individual contributor role that will report to the Manager of Software Engineering \- Data. You will have 14 peer teammates and collaborate with cross functional departments on a regular basis.
\*\*This role is not eligible for sponsorship\*\*  
Choice prioritizes our associate wellbeing by offering a comprehensive benefits program that is both competitive and flexible to help you achieve your wellbeing goals \- here are just a few:* Competitive compensation and benefits, including medical, dental, and vision coverage
* Leave and paid time\-off for holidays, vacation, personal, family, volunteer, sick, jury duty, bereavement, military, and religious observance
* Financial benefits for retirement and health savings
* Employee recognition programs
* Discounts at Choice hotels worldwide
About Choice
Choice Hotels International, Inc. (NYSE: CHH), is one of the largest lodging franchisors in the world. With 7,500 hotels in 45\+ countries and territories, we offer a range of high\-quality lodging options in the upper upscale, upper midscale, midscale, extended stay, and economy segments. We’re the hotel company for those who choose to bet on themselves — the striver, the dreamer, the entrepreneur — because that’s who we are, too.
At Choice, we are united by the simple belief that tomorrow will be *even* better than today — for associates, our company, and our franchisees. At our worldwide corporate headquarters in North Bethesda, Maryland, at our technology center in Scottsdale, Arizona, and through our associates around the globe, every voice is heard and every idea is listened to, no matter what area of the company they come from. We are united in supporting the entrepreneurial dreams of our thousands of franchise owners, which propels us forward — giving our work at Choice a purpose larger than our business.*Our corporate office locations:*
North Bethesda, MD — Located at Pike \&amp; Rose, our worldwide headquarters is less than 15 miles from Washington, D.C., one block away from the North Bethesda Metro station, with easy access to I\-495, complimentary parking, electronic charging stations, restaurants and retail.
Scottsdale, AZ — Located at the northwest corner of Loop 101, the Scottsdale office is home to our technology, eCommerce and customer service organizations, with easy access to complimentary parking, electronic charging stations, restaurants and retail.
Minneapolis, MN — Select roles are based in our Minneapolis office on Highway 394, near the intersection with Highway 100, only five minutes from downtown.
Field/Remote — Select roles designated as field/remote will require associates to work from a home office, connecting virtually with Choice team members and leadership on Zoom, with possible required travel depending on the role.
Choice’s Cultural Values
Welcome and Respect Everyone \| Be Bold \| Be Quick \| Listen \| Be Curious \| Show Integrity
Choice’s Leadership Principles
Act with Intention \| Lead with Authenticity \| Grow \&amp; Deliver</t>
        </is>
      </c>
    </row>
    <row r="40">
      <c r="A40" t="inlineStr">
        <is>
          <t>in-d12721886cb5c8ad</t>
        </is>
      </c>
      <c r="B40" t="inlineStr">
        <is>
          <t>Data Engineer</t>
        </is>
      </c>
      <c r="C40" t="inlineStr">
        <is>
          <t>CGI</t>
        </is>
      </c>
      <c r="D40" t="inlineStr">
        <is>
          <t>indeed</t>
        </is>
      </c>
      <c r="E40">
        <f>HYPERLINK("https://www.indeed.com/viewjob?jk=d12721886cb5c8ad", "https://www.indeed.com/viewjob?jk=d12721886cb5c8ad")</f>
        <v/>
      </c>
      <c r="F40">
        <f>HYPERLINK("https://click.appcast.io/t/Ri8BH_21NmBo5bZ774p-Tj4no_RZ8q7BtLkgQjDfEzw=", "https://click.appcast.io/t/Ri8BH_21NmBo5bZ774p-Tj4no_RZ8q7BtLkgQjDfEzw=")</f>
        <v/>
      </c>
      <c r="G40" t="inlineStr">
        <is>
          <t>Fairfax, VA, US</t>
        </is>
      </c>
      <c r="H40" s="3" t="n">
        <v>46033</v>
      </c>
      <c r="I40" t="inlineStr">
        <is>
          <t>**Position Description:**
-------------------------
CGI Federal is seeking a Data Engineer to design, build, and manage data pipelines and systems. You will help clients leverage large datasets to gain insights and improve decision\-making.  
This position is performed at the client site in Arlington, VA or Washington, DC; however, a hybrid working model is acceptable at the client's discretion."
**Your future duties and responsibilities:**
--------------------------------------------
* Design and implement data pipelines to support business analytics.
* Work with data architects to define and maintain data models.
* Optimize and tune data workflows for performance and scalability.
* Ensure data quality and integrity throughout the data lifecycle.
* Collaborate with stakeholders to define data requirements and solutions.
* Azure experience is preferred including Databricks and PowerBI
**Required qualifications to be successful in this role:**
----------------------------------------------------------
Required qualifications to be successful in this role:  
* Bachelor's degree in Computer Science, Engineering, or related field.
* 04 years of experience in data engineering or data management.
* 1\-2 years experience with PowerBI surrounding capacities, deployment pipelines, and direct query vs dataflows
* Proficiency in SQL and experience with data modeling.
* Familiarity with cloud platforms (AWS, Azure, etc.) for data engineering. Preferably Azure.
* Strong problem\-solving and debugging skills.
Desired qualifications/non\-essential skills required:  
* Experience with big data technologies (Hadoop, Spark).
* Familiarity with data warehousing concepts.
CGI is required by law in some jurisdictions to include a reasonable estimate of the compensation range for this role. The determination of this range includes various factors not limited to skill set, level, experience, relevant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for this role in the U.S. is $58,000\.00 \- $136,200\.00\.  
CGI Federal's benefits are offered to eligible professionals on their first day of employment to include:
.Competitive compensation  
.Comprehensive insurance options  
.Matching contributions through the 401(k) plan and the share purchase plan  
.Paid time off for vacation, holidays, and sick time  
.Paid parental leave  
.Learning opportunities and tuition assistance  
.Wellness and Well\-being programs  
\#CGIFederalJob  
\#LI\-KK4  
**Skills:**
-----------
* Data Modeling
* Azure DevOps
**What you can expect from us:**
--------------------------------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t>
        </is>
      </c>
    </row>
    <row r="41">
      <c r="A41" t="inlineStr">
        <is>
          <t>in-6c1f999ae8116861</t>
        </is>
      </c>
      <c r="B41" t="inlineStr">
        <is>
          <t>Azure Data Engineer with Java Experience</t>
        </is>
      </c>
      <c r="C41" t="inlineStr">
        <is>
          <t>NTT DATA</t>
        </is>
      </c>
      <c r="D41" t="inlineStr">
        <is>
          <t>indeed</t>
        </is>
      </c>
      <c r="E41">
        <f>HYPERLINK("https://www.indeed.com/viewjob?jk=6c1f999ae8116861", "https://www.indeed.com/viewjob?jk=6c1f999ae8116861")</f>
        <v/>
      </c>
      <c r="F41">
        <f>HYPERLINK("https://click.appcast.io/t/nKTBa8QizCRxnVGUMjAztfZY6OcmkQ86h60cwV98pTI=", "https://click.appcast.io/t/nKTBa8QizCRxnVGUMjAztfZY6OcmkQ86h60cwV98pTI=")</f>
        <v/>
      </c>
      <c r="G41" t="inlineStr">
        <is>
          <t>Nashville, TN, US</t>
        </is>
      </c>
      <c r="H41" s="3" t="n">
        <v>46033</v>
      </c>
      <c r="I41" t="inlineStr">
        <is>
          <t>Company Overview: Req ID: 345459 NTT DATA strives to hire exceptional, innovative and passionate individuals who want to grow with us. If you want to be part of an inclusive, adaptable, and forward\-thinking organization, apply now. We are currently seeking a Azure Data Engineer with Java Experience to join our team in Nashville, Tennessee (US\-TN), United States (US).  
Job Description: Job Title: Azure Data Engineer with Java experience
* Location: Nashville, TN (On\-site at one of NTT DATA's flagship data delivery centers)
* Overview: NTT DATA is seeking a skilled Azure Data Engineer to join our Data Village team. This role involves working on\-site in Nashville as part of a dynamic team focused on delivering cutting\-edge data solutions. The ideal candidate will have 4\-7 years of experience in data engineering, with expertise in Azure Cloud, Azure Functions, SQL/PLSQL, Python, and Power BI.
Key Responsibilities:
* Data Engineering: Utilize your expertise in Azure data services (Azure functions, Azure Data Factory, Azure Infrastructure, API based extraction) to build and maintain robust data solutions using SQL/PLSQL (Oracle), Python, and Power BI with strong knowledge of the SDLC are required. Build and manage dozens of data pipelines to source and transform data based on business requirements. Java experience is preferred but not required.
* Financial Data Analysis: Apply your knowledge in financial data analysis, risk, and compliance data management to support our financial services customers.
* Innovation and Learning: Quickly learn new technologies by applying your current skills, staying ahead of industry trends and advancements. Self\-identify the need for new skills to be developed and adopt new technologies into your skill set in a month's time.
* Client Collaboration: Work closely with financial services clients to build modern data solutions that transform how they leverage data for key business decisions, investment portfolio performance analysis, and risk and compliance management. Manage multiple stakeholder groups and their requirements.
* Team Collaboration: Collaborate within a Pod of 4\+ data engineers, working towards common objectives in a consultative fashion with clients.
* Data Movement and Transformation: Use Azure Data Factory, Azure Functions and SQL (PL/SQL as well) for data movement, streaming, and transformation services, ensuring efficient and reliable data workflows.
* Industry Leadership: Work with a client that is leading the industry in using data to drive business decision optimization and investment management strategies.
Requirements:
* Experience: 4\-7 years of experience in data engineering.
* Technical Skills: Proficiency Azure data services (Azure functions, Azure Data Factory, Azure Infrastructure, API based extraction). Proficiency in the following areas:
* Data Warehousing: Strong knowledge of data warehousing concepts.
* Python: Advanced skills in Python programming for data engineering and data pipelines.
* Data Integration: Proficiency in integrating data from various sources using API and file\-based extraction.
* Data Platforms: Strong knowledge of relational databases and data warehouse/data lakes.
* Data Security: Expertise in securing data in transit and in rest.
* Data Pipelines: Experience in building and managing data pipelines using Azure Data Factory.
* Azure: Experience Azure data services such as Azure Data Factory, Azure Functions, Azure Data Lake storage.
* GitHub: Proficiency in using GitHub for version control.
* Java: Adequate level experience in Java
* Power BI: Adequate level experience in Power BI
* Domain Expertise: Nice to have experience in financial data analysis, risk, and compliance data management.
* Learning Agility: Ability to quickly learn new technologies by applying current skills.
* Adaptability: Ability to adapt to new technologies quickly and efficiently.
About NTT DATA:  
NTT DATA is a $30 billion trusted global innovator of business and technology services. We serve 75% of the Fortune Global 100 and are committed to helping clients innovate, optimize and transform for long term success.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one of the leading providers of digital and AI infrastructure in the world. NTT DATA is a part of NTT Group, which invests over $3\.6 billion each year in R\&amp;D to help organizations and society move confidently and sustainably into the digital future. Visit us at us.nttdata.com  
NTT DATA endeavors to make https://us.nttdata.com accessible to any and all users. If you would like to contact us regarding the accessibility of our website or need assistance completing the application process, please contact us at https://us.nttdata.com/en/contact\-us. 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t>
        </is>
      </c>
    </row>
    <row r="42">
      <c r="A42" t="inlineStr">
        <is>
          <t>in-7070aaf85c388de3</t>
        </is>
      </c>
      <c r="B42" t="inlineStr">
        <is>
          <t>Sr Data Engineer - Power BI Admin - Remote</t>
        </is>
      </c>
      <c r="C42" t="inlineStr">
        <is>
          <t>Optum</t>
        </is>
      </c>
      <c r="D42" t="inlineStr">
        <is>
          <t>indeed</t>
        </is>
      </c>
      <c r="E42">
        <f>HYPERLINK("https://www.indeed.com/viewjob?jk=7070aaf85c388de3", "https://www.indeed.com/viewjob?jk=7070aaf85c388de3")</f>
        <v/>
      </c>
      <c r="F42">
        <f>HYPERLINK("https://uhg.taleo.net/careersection/10000/jobdetail.ftl?job=2332760&amp;lang=en", "https://uhg.taleo.net/careersection/10000/jobdetail.ftl?job=2332760&amp;lang=en")</f>
        <v/>
      </c>
      <c r="G42" t="inlineStr">
        <is>
          <t>La Crosse, WI, US</t>
        </is>
      </c>
      <c r="H42" s="3" t="n">
        <v>46033</v>
      </c>
      <c r="I42" t="inlineStr">
        <is>
          <t>Optum Tech is a global leader in health care innovation. Our teams develop cutting\-edge solutions that help people live healthier lives and help make the health system work better for everyone. From advanced data analytics and AI to cybersecurity, we use innovative approaches to solve some of health care's most complex challenges. Your contributions here have the potential to change lives. Ready to build the next breakthrough? Join us to start **Caring. Connecting. Growing together.**
We are looking for an experienced Power BI Administrator with data engineering background to lead the administration of enterprise BI platforms and support advanced analytics initiatives. This role combines deep expertise in Power BI environment management with data engineering skills to ensure secure, scalable, and high\-performing BI solutions. The ideal candidate will manage Power BI Service and Report Server environments and enforce governance standards across the organization.
You'll enjoy the flexibility to work remotely \* from anywhere within the U.S. as you take on some tough challenges. For all hires in the Minneapolis or Washington, D.C. area, you will be required to work in the office a minimum of four days per week.
 **Primary Responsibilities:**
* Power BI Administration:
	+ Administer Power BI Report Server (PBIRS) and/or Power BI Service environments
	+ Manage workspace governance, security models, roles, and user access
	+ Deploy, upgrade, and configure Power BI Gateways, data source connections, and capacity settings
	+ Monitor server performance, refresh schedules, and usage analytics
	+ Troubleshoot performance issues related to Power BI datasets, gateways, and refresh failures
	+ Ensure compliance with organizational security and audit policies
* Data Engineering Responsibilities:
	+ Design, build, and maintain ETL/ELT pipelines to support analytics and reporting
	+ Develop data integration solutions using SQL, Python, Spark, Azure Data Factory, Databricks, or similar tools
	+ Create and maintain data ingestion frameworks from cloud, on\-prem, and third\-party apps
	+ Implement data quality checks, monitoring, and validation processes
	+ Work with database administrators to optimize performance and storage
	+ Document data lineage, transformations, and metadata for enterprise governance
* Infrastructure \&amp; Governance:
	+ Collaborate with security teams to establish policies, access controls, and audit logs
	+ Maintain disaster recovery (DR), backup strategies, and environment patching schedules
	+ Participate in data governance processes and metadata management
	+ Ensure adherence to best practices for enterprise BI architecture and data lifecycle management
You'll be rewarded and recognized for your performance in an environment that will challenge you and give you clear direction on what it takes to succeed in your role as well as provide development for other roles you may be interested in.
 **Required Qualifications:**
* 7\+ years of experience in Data Engineering, BI Platform Management, or related roles
* Deep experience administering Power BI Report Server, Power BI Service, Premium/PPU, Gateways, and Capacity Nodes
* Experience with cloud platforms (Azure preferred; AWS/GCP optional)
* Expertise in SQL (T\-SQL, PL/SQL, or equivalent)
* Hands\-on experience developing Power BI datasets, dataflows, and optimized models (DAX preferred)
* Knowledge of data warehousing concepts, star schema design, and BI best practices
* Familiarity with version control (Git) and DevOps practices for BI deployments
* Solid troubleshooting, performance tuning, and problem\-solving skills
* If you are offered this position, you will be required to provide extensive personal information to obtain and maintain a suitability or determination of eligibility for a Confidential/Secret or Top Secret security clearance as a condition of your employment
United States Citizenship  
* **Preferred Qualifications:**
* Bachelor's degree in Computer Science, Information Systems, Engineering, or related field
* Experience building ETL/ELT workflows using tools like: Azure Data Factory, Databricks, Airflow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$91,700 to $163,700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row r="43">
      <c r="A43" t="inlineStr">
        <is>
          <t>in-2e815bfada69a9d7</t>
        </is>
      </c>
      <c r="B43" t="inlineStr">
        <is>
          <t>Data Engineer II (Databricks, AWS, Python)</t>
        </is>
      </c>
      <c r="C43" t="inlineStr">
        <is>
          <t>Travelers</t>
        </is>
      </c>
      <c r="D43" t="inlineStr">
        <is>
          <t>indeed</t>
        </is>
      </c>
      <c r="E43">
        <f>HYPERLINK("https://www.indeed.com/viewjob?jk=2e815bfada69a9d7", "https://www.indeed.com/viewjob?jk=2e815bfada69a9d7")</f>
        <v/>
      </c>
      <c r="F43">
        <f>HYPERLINK("https://travelersindex.contacthr.com/150596027", "https://travelersindex.contacthr.com/150596027")</f>
        <v/>
      </c>
      <c r="G43" t="inlineStr">
        <is>
          <t>Hartford, CT, US</t>
        </is>
      </c>
      <c r="H43" s="3" t="n">
        <v>46033</v>
      </c>
      <c r="I43" t="inlineStr">
        <is>
          <t>**Who Are We?**
Taking care of our customers, our communities and each other. That’s the Travelers Promise. By honoring this commitment, we have maintained our reputation as one of the best property casualty insurers in the industry for over 170 years. Join us to discover a culture that is rooted in innovation and thrives on collaboration. Imagine loving what you do and where you do it.
**Compensation Overview**
The annual base salary range provided for this position is a nationwide market range and represents a broad range of salaries for this role across the country. The actual salary for this position will be determined by a number of factors, including the scope, complexity and location of the role; the skills, education, training, credentials and experience of the candidate; and other conditions of employment. As part of our comprehensive compensation and benefits program, employees are also eligible for performance\-based cash incentive awards.
**Salary Range**
$126,500\.00 \- $208,700\.00**Target Openings**
1**What Is the Opportunity?**
Travelers Data Engineering team constructs pipelines that contextualize and provide easy access to data by the entire enterprise. As a Data Engineer, you will play a key role in growing and transforming our analytics landscape. In addition to your strong analytical mind, you will bring your inquisitive attitude and ability to translate stories found in data by leveraging a variety of data programming techniques. You will leverage your ability to design, build and deploy data solutions that capture, explore, transform, and utilize data to support Artificial Intelligence, Machine Learning and business intelligence/insights.**What Will You Do?**
* Build and operationalize complex data solutions, correct problems, apply transformations, and recommending data cleansing/quality solutions.
* Design complex data solutions
* Perform analysis of complex sources to determine value and use and recommend data to include in analytical processes.
* Incorporate core data management competencies including data governance, data security and data quality.
* Collaborate within and across teams to support delivery and educate end users on complex data products/analytic environment.
* Perform data and system analysis, assessment and resolution for complex defects and incidents and correct as appropriate.
* Test data movement, transformation code, and data components.
* Perform other duties as assigned.
**What Will Our Ideal Candidate Have?**
* Bachelor’s Degree in STEM related field or equivalent.
* Eight years of related experience.
* Required Qualifications:
	+ 4\+ years of professional data engineering experience
	+ Proficiency in Python programming
	+ Experience with data transformation processes including ETL methodologies
	+ Hands\-on experience with cloud platforms, specifically AWS
	+ Demonstrated ability to service in a technical leadership capacity
* Preferred Qualifications:
	+ Experience with PySpark for large\-scale data processing
	+ Proficiency with Databricks platform (4\+ years of experience preferred)
	+ Experience with Ab Initio data integration platform (alternative consideration)
	+ Experience with SSIS/SSRS (alternative consideration)
* Highly proficient use of tools, techniques, and manipulation including Cloud platforms, programming languages, and a full understanding of modern software engineering practices.
* The ability to deliver work at a steady, predictable pace to achieve commitments, deliver complete solutions but release them in small batches, and identify and negotiate important tradeoffs.
* Demonstrated track record of domain expertise including understanding technical concepts necessary and industry trends, and possess in\-depth knowledge of immediate systems worked on and some knowledge of adjacent systems.
* Strong problem solver who ensures systems are built with longevity and creates innovate ways to resolve issues.
* Strong written and verbal communication skills with the ability to work collaborate well with team members and business partners.
* Ability to lead team members and help create a safe environment for others to learn and grow as engineers. and a proven track record of self\-motivation in identifying opportunities and tracking team efforts.
**What is a Must Have?**
* Bachelor’s degree in computer science, related STEM field, or its equivalent in education and/or work experience.
* 4 additional years of data engineering experience.
**What Is in It for You?**
* **Health Insurance**: Employees and their eligible family members – including spouses, domestic partners, and children – are eligible for coverage from the first day of employment.
* **Retirement:** Travelers matches your 401(k) contributions dollar\-for\-dollar up to your first 5% of eligible pay, subject to an annual maximum. If you have student loan debt, you can enroll in the Paying it Forward Savings Program. When you make a payment toward your student loan, Travelers will make an annual contribution into your 401(k) account. You are also eligible for a Pension Plan that is 100% funded by Travelers.
* **Paid Time Off:** Start your career at Travelers with a minimum of 20 days Paid Time Off annually, plus nine paid company Holidays.
* **Wellness Program:** The Travelers wellness program is comprised of tools, discounts and resources that empower you to achieve your wellness goals and caregiving needs. In addition, our mental health program provides access to free professional counseling services, health coaching and other resources to support your daily life needs.
* **Volunteer Encouragement:** We have a deep commitment to the communities we serve and encourage our employees to get involved. Travelers has a Matching Gift and Volunteer Rewards program that enables you to give back to the charity of your choice.
**Employment Practices**
Travelers is an equal opportunity employer. We value the unique abilities and talents each individual brings to our organization and recognize that we benefit in numerous ways from our differences.
In accordance with local law, candidates seeking employment in Colorado are not required to disclose dates of attendance at or graduation from educational institutions.
If you are a candidate and have specific questions regarding the physical requirements of this role, please send us an email so we may assist you.
Travelers reserves the right to fill this position at a level above or below the level included in this posting.
To learn more about our comprehensive benefit programs please visit http://careers.travelers.com/life\-at\-travelers/benefits/.</t>
        </is>
      </c>
    </row>
    <row r="44">
      <c r="A44" t="inlineStr">
        <is>
          <t>in-4c947f6da845a160</t>
        </is>
      </c>
      <c r="B44" t="inlineStr">
        <is>
          <t>Associate Data Engineer (HYBRID - WORCESTER, MA)</t>
        </is>
      </c>
      <c r="C44" t="inlineStr">
        <is>
          <t>The Hanover Insurance Group</t>
        </is>
      </c>
      <c r="D44" t="inlineStr">
        <is>
          <t>indeed</t>
        </is>
      </c>
      <c r="E44">
        <f>HYPERLINK("https://www.indeed.com/viewjob?jk=4c947f6da845a160", "https://www.indeed.com/viewjob?jk=4c947f6da845a160")</f>
        <v/>
      </c>
      <c r="F44">
        <f>HYPERLINK("https://jobs.dayforcehcm.com/en-US/thg/ALLCAREERS/jobs/42502", "https://jobs.dayforcehcm.com/en-US/thg/ALLCAREERS/jobs/42502")</f>
        <v/>
      </c>
      <c r="G44" t="inlineStr">
        <is>
          <t>Worcester, MA, US</t>
        </is>
      </c>
      <c r="H44" s="3" t="n">
        <v>46033</v>
      </c>
      <c r="I44" t="inlineStr">
        <is>
          <t>For more than 170 years, The Hanover has been committed to delivering on our promises and being there when it matters the most. We live our values every day, demonstrating we CARE through our values, Sustainability initiatives and inclusive corporate culture.
Our Personal Lines State Management team is currently seeking an Associate Data Engineer in our Worcester, MA location. This is a full time, exempt role. Position is eligible for Hybrid/Flex work arrangement.
**POSITION OVERVIEW:**  
Data engineering is the aspect of data science that focuses on practical applications of data collection and analysis. This role primarily will become proficient with all internal \&amp; external data produced and consumed by The Hanover Group. The engineer will understand where the data is, basic data models and architecture, how to access and obtain data, and how to manipulate and work with data to produce output – which may be reports, datasets, or self\-service reports.
**IN THIS ROLE, YOU WILL:**  
* Under supervision, performs work that is varied and that may be somewhat difficult in nature.
* Learning the structure of the organization and begin the process of understanding, accessing, and obtaining data for business partner requests.
* Keep up\-to\-date with the latest technology trends.
* Implement new data pipelines and models as needed for specific models or analysis.
* Documents the development and the design of the solutions built.
**Key Measures of Success:**  
* Data profiling
* Report \&amp; data generation
* Some relational data modeling design
* Data management and documentation
**WHAT YOU NEED TO APPLY:****EXPERIENCE:**  
Typically has 0\-2 years related experience and a bachelor’s degree or equivalent. Work under the supervision of a more experienced data engineer.
**SKILLS:**  
**Technical skills:** ETL (Azure Data Factory, SSIS, etc.) Some Data Modeling, SQL, Data Management, and Documentation.
**Analytical Skills:** Inquisitive and curious. Data engineers work with large amounts of data: facts, figures, and number crunching. You will need to see through the data and analyze it to find conclusions.
**COMMUNICATION SKILLS:** Data engineers are often called to present their findings or translate the data into an understandable document. You will need to write and speak clearly, easily communicating complex ideas.
**CRITICAL THINKING:** Data engineers must look at the numbers, trends, and data and come to new conclusions based on the findings.
**ATTENTION TO DETAIL:** Data is precise. Data engineers must make sure they are vigilant in their analysis to come to correct conclusions.
**MATH SKILLS:** Data engineers need math skills to estimate numerical data.
No Insurance knowledge required
This job posting provides cursory examples of some of the job duties associated with this position. The examples provided are not complete, and the position may entail other essential and job\-related functions and responsibilities that employees will be required to perform.
**CAREER DEVELOPMENT:**  
It’s not just a job, it’s a career, and we are here to support you every step of the way. We want you to be successful and fulfilled. Through on\-the\-job experiences, personalized coaching and our robust learning and development programs, we encourage you – at every level – to grow and develop.
**BENEFITS:**  
We offer comprehensive benefits to help you be healthy, build financial security, and balance work and home life. At The Hanover, you’ll enjoy what you do and have the support you need to succeed.
**Benefits include:**  
* Medical, dental, vision, life, and disability insurance
* 401K with a company match
* Tuition reimbursement
* PTO
* Company paid holidays
* Flexible work arrangements
* Cultural Awareness Day in support of IDE
* On\-site medical/wellness center (Worcester only)
* Click here for the full list of Benefits
**EEO statement:**  
The Hanover values diversity in the workplace and among our customers. The company provides equal opportunity for employment and promotion to all qualified employees and applicants on the basis of experience, training, education, and ability to do the available work without regard to race, religion, color, age, sex/gender, sexual orientation, national origin, gender identity, disability, marital status, veteran status, genetic information, ancestry or any other status protected by law.
Furthermore, The Hanover Insurance Group is committed to providing an equal opportunity workplace that is free of discrimination and harassment based on national origin, race, color, religion, gender, ancestry, age, sexual orientation, gender identity, disability, marital status, veteran status, genetic information or any other status protected by law.”
As an equal opportunity employer, Hanover does not discriminate against qualified individuals with disabilities. Individuals with disabilities who wish to request a reasonable accommodation to participate in the job application or interview process, or to perform essential job functions, should contact us at: HRServices@hanover.com and include the link of the job posting in which you are interested.
**Privacy Policy:**  
To view our privacy policy and online privacy statement, click here.
**Applicants who are California residents:** To see the types of information we may collect from applicants and employees and how we use it, please click here.
**Compensation:**  
The target hiring range for this role may vary based on geographic location and other factors, including merit or performance, demonstrated proficiency, skills for the role, education, travel requirements, and experience. Additional compensation may include an annual bonus (which could take the form of a general bonus, sales incentive, or short\-term incentive), long\-term incentive or spot recognition awards. The posted range reflects our ability to hire at different position titles and levels depending on background and experience.</t>
        </is>
      </c>
    </row>
    <row r="45">
      <c r="A45" t="inlineStr">
        <is>
          <t>in-fe6f67e27a672d25</t>
        </is>
      </c>
      <c r="B45" t="inlineStr">
        <is>
          <t>Staff Data Engineer</t>
        </is>
      </c>
      <c r="C45" t="inlineStr">
        <is>
          <t>Market America Inc</t>
        </is>
      </c>
      <c r="D45" t="inlineStr">
        <is>
          <t>indeed</t>
        </is>
      </c>
      <c r="E45">
        <f>HYPERLINK("https://www.indeed.com/viewjob?jk=fe6f67e27a672d25", "https://www.indeed.com/viewjob?jk=fe6f67e27a672d25")</f>
        <v/>
      </c>
      <c r="F45">
        <f>HYPERLINK("https://marketamerica.hrmdirect.com/employment/view.php?req=3611102&amp;jbsrc=1014&amp;location=2a6954cc-95ee-2926-6368-e71a46d761fb", "https://marketamerica.hrmdirect.com/employment/view.php?req=3611102&amp;jbsrc=1014&amp;location=2a6954cc-95ee-2926-6368-e71a46d761fb")</f>
        <v/>
      </c>
      <c r="G45" t="inlineStr">
        <is>
          <t>Miami Beach, FL, US</t>
        </is>
      </c>
      <c r="H45" s="3" t="n">
        <v>46033</v>
      </c>
      <c r="I45" t="inlineStr">
        <is>
          <t>Market America, a product brokerage and Internet marketing company that specializes in One\-to\-One Marketing, is seeking an experienced **Staff Data Engineer**
for our IT team.
As a senior member of the Data Engineering team, you will have an important role in helping millions of customers on our SHOP.COM and Market America Worldwide multi\-country and multi\-language global eCommerce websites intelligently find what they want within different categories, merchant offers, products and taxonomy.
We have thousands of 3rd party affiliates / feeds which goes through ETL and data ingestion pipelines before ingesting into our search systems. We have multiple orchestration pipelines supporting various types of data for products, store offers, analytics, customer behavioral profiles, segments, logs and much more.
If you are passionate about data engineering in processing millions of data, ETL processes for products, stores, customers, analytics, this is highly visible role that will provide you the opportunity to make a huge impact in our business and a difference to millions of customers worldwide. Data engineering team processes large amounts of data that we import and collect. The team works to enrich content, pricing integration, taxonomy assignments and algorithms, category classifier nodes and machine learning integration within the pipeline.
**Key Responsibilities:**
* Must have minimum of 10\-12 years of hands\-on development experience implementing batch and events driven applications using Java, Kafka, Spark, Scala, PySpark and Python
* Experience with Apache Kafka and Connectors, Java, Springboot in building event driven services, Python in building ML pipelines
* Develop data pipelines responsible for ingesting large amounts of different kinds of data from various sources
* Help evolve data architecture and work on Next Generation real time pipeline algorithms and architecture in addition to supporting and maintaining current pipelines and legacy systems
* Write code and develop worker node for business logic, ETL and orchestration processes
* Develop algorithms for better attribution rules and category classifiers
* Work with stakeholders throughout the organization to identify opportunities for leveraging company data to drive search, discovery, and recommendations.
* Work closely with architects, engineers, data analysts, data scientists, contractors/consultants and project managers in assessing project requirements, design, develop and support data ingestions and API services
* Work with Data Scientists in building feature engineering pipelines and integrating machine learning models during content enrichment process
* Able to influence on priorities working with various partners including engineers, project management office and leadership
* Mentor junior team members, define architecture, code review, hands\-on development and deliver the work in sprint cycle
* Participate in design discussions with Architects and other team members for the design of new systems and re\-engineering of components of existing systems
* Wear Architect hat when required to bring new ideas to the table, thought leadership and forward thinking
* Take holistic approach to building solutions by thinking big picture and overall solution
* Work on moving away from legacy systems into next generation architecture
* Take complete ownership from requirements, solution design, development, production launch and post launch production support. Participate in code reviews and regular on\-call rotations.
* Desire to apply best solution in the industry, apply correct design patterns during development and learn best practices and data engineering tools and technologies
**Required Skills \&amp; Experience:**
* BS or MS in Computer Science (or related field) with 10\+ years of hands\-on software development experience working in large\-scale data processing pipelines
* Must have skills are Apache Spark, Scala and PySpark with 2\-4 years of experience building production grade batch pipelines that handle large volumes of data.
* Must have at least 4\+ years of experience in Java and API / Microservices
* Must have at least 2\+ years of experience in Python
* 2\+ years of experience in understanding and writing complex SQL and stored procedures for processing raw data, ETL, data validation, using databases such as SQL Server, Redis and other NoSQL DBs
* Knowledge of Big data technologies, Hadoop, HDFS
* Expertise with building events driven pipelines with Kafka, Java / Spark, Apache Flink
* Expertise with Amazon AWS stack such as EMR, EC2, S3
* Experience working with APIs to collect and ingest data as well build the APIs for business logic
* Experience working with setting up, maintaining, and debugging production systems and infrastructure
* Experience in building fault\-tolerant and resilient system
* Experience in building worker nodes, knowledge of REST principles and data engineering design patterns
* In\-depth knowledge of Java, Springboot, Spark, Scala, PySpark, Python, Orchestration tools, ESB, SQL, Stored procedures, Docker, RESTful web services, Kubernetes, CI/CD, Observability techniques, Kafka, Release processes, caching strategies, versioning, B\&amp;D, BitBucket / Git and AWS Cloud Eco\-system, NoSQL Databases, Hazelcast
* Strong software development, architecture diagramming, problem\-solving and debugging skills
* Phenomenal communication and influencing skills
**Nice to Have:**
* + Exposure to Machine Learning (ML), LLM models, using AI during coding, build with AI
	+ Knowledge of Elastic APM, ELK stack and search technologies such as Elasticsearch / Solr
	+ Nice to have some experience in workflow orchestration tools such as Air Flow or Apache NiFi
Market America offers competitive salary and generous benefits, including health, dental, vision, life, short and long\-term disability insurance, a 401(k) retirement plan with company match, and an on\-site health clinic.  
Qualified candidates should apply online. This position will work remotely based from our Miami FL offices. Sorry, we are NOT able to sponsor for this position.  
Market America is proud to be an equal opportunity employer.
Market America \| SHOP.COM is changing the way people shop and changing the economic paradigm so anyone can become financially independent by creating their own economy and converting their spending into earning with the Shopping Annuity®.
ABOUT MARKET AMERICA, INC. \&amp; SHOP.COM
Market America Worldwide \| SHOP.COM is a global e\-commerce and digital marketing company that specializes in one\-to\-one marketing and is the creator of the Shopping Annuity . Its mission is to provide a robust business system for entrepreneurs, while providing consumers a better way to shop. Headquartered in Greensboro, North Carolina, and with eight sites around the globe, including the U.S., Market America Worldwide was founded in 1992 by Founder, Chairman \&amp; CEO JR Ridinger. Through the company's primary, award\-winning shopping website, SHOP.COM, consumers have access to millions of products, including Market America Worldwide exclusive brands and thousands of top retail brands. Further, SHOP.COM ranks 19th in Newsweek magazine's 2021 Best Online Shops, No. 52 in Digital Commerce 360's (formerly Internet Retailer) 2021 Top 1,000 Online Marketplaces, No. 79 in Digital Commerce 360's 2021 Top 1,000 Online Retailers and No. 11 in the 2021 Digital Commerce 360 Primary Merchandise Category Top 500\. The company is also a two\-time winner of the Better Business Bureau's Torch Award for Marketplace Ethics and was ranked No. 15 in The Business North Carolina Top 125 Private Companies for 2021\. By combining Market America Worldwide's entrepreneurial business model with SHOP.COM's powerful comparative shopping engine, Cashback program, Hot Deals, ShopBuddy®, Express Pay checkout, social shopping integration and countless other features, the company has become the ultimate online shopping destination.
For more information about Market America Worldwide: MarketAmerica.com
For more information on SHOP.COM, please visit: SHOP.COM</t>
        </is>
      </c>
    </row>
    <row r="46">
      <c r="A46" t="inlineStr">
        <is>
          <t>in-a96e3c776f5bfbc0</t>
        </is>
      </c>
      <c r="B46" t="inlineStr">
        <is>
          <t>Senior Data Engineer (Bank Tech)</t>
        </is>
      </c>
      <c r="C46" t="inlineStr">
        <is>
          <t>Information Technology Senior Management Forum</t>
        </is>
      </c>
      <c r="D46" t="inlineStr">
        <is>
          <t>indeed</t>
        </is>
      </c>
      <c r="E46">
        <f>HYPERLINK("https://www.indeed.com/viewjob?jk=a96e3c776f5bfbc0", "https://www.indeed.com/viewjob?jk=a96e3c776f5bfbc0")</f>
        <v/>
      </c>
      <c r="F46">
        <f>HYPERLINK("https://jobs.itsmfleaders.org/job/wd4xzl/senior-data-engineer-(bank-tech)/mclean/va", "https://jobs.itsmfleaders.org/job/wd4xzl/senior-data-engineer-(bank-tech)/mclean/va")</f>
        <v/>
      </c>
      <c r="G46" t="inlineStr">
        <is>
          <t>McLean, VA, US</t>
        </is>
      </c>
      <c r="H46" s="3" t="n">
        <v>46030</v>
      </c>
      <c r="I46" t="inlineStr">
        <is>
          <t>Posted Date
1/09/2026
Description
Senior Data Engineer (Bank Tech)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Bank Tech is seeking Full Stack Software Engineers who are passionate about marrying data with emerging technologies. As a Capital One Lead Software Engineer, you’ll have the opportunity to be on the forefront of driving a major transformation within Capital One.
We're not just supporting a bank; we're redefining the tech foundation for a financial giant. As Bank Tech, we are leading the charge to become the first bank to build an internal, integrated, and fully modernized core banking platform. If you're passionate about modular, resilient, cloud\-native, and secure engineering, you'll find your challenge here. We're building common capabilities and cutting\-edge, real\-time technology solutions that power critical lines of business including our Retail Bank, Small Business Bank, Commercial Bank, and Capital One Shopping.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or another type of work authorization).*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Data Engineer  
Richmond, VA: $147,100 \- $167,900 for Senior Data Engineer  
Wilmington, DE: $147,100 \- $167,900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Data Engineer (Bank Tech)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Bank Tech is seeking Full Stack Software Engineers who are passionate about marrying data with emerging technologies. As a Capital One Lead Software Engineer, you’ll have the opportunity to be on the forefront of driving a major transformation within Capital One.
We're not just supporting a bank; we're redefining the tech foundation for a financial giant. As Bank Tech, we are leading the charge to become the first bank to build an internal, integrated, and fully modernized core banking platform. If you're passionate about modular, resilient, cloud\-native, and secure engineering, you'll find your challenge here. We're building common capabilities and cutting\-edge, real\-time technology solutions that power critical lines of business including our Retail Bank, Small Business Bank, Commercial Bank, and Capital One Shopping.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or another type of work authorization).*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Data Engineer  
Richmond, VA: $147,100 \- $167,900 for Senior Data Engineer  
Wilmington, DE: $147,100 \- $167,900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161,800\.00 \- 184,600\.00 Annual
Type
Full\-time</t>
        </is>
      </c>
    </row>
    <row r="47">
      <c r="A47" t="inlineStr">
        <is>
          <t>in-8c944b259d18b007</t>
        </is>
      </c>
      <c r="B47" t="inlineStr">
        <is>
          <t>Senior Data Engineer</t>
        </is>
      </c>
      <c r="C47" t="inlineStr">
        <is>
          <t>Information Technology Senior Management Forum</t>
        </is>
      </c>
      <c r="D47" t="inlineStr">
        <is>
          <t>indeed</t>
        </is>
      </c>
      <c r="E47">
        <f>HYPERLINK("https://www.indeed.com/viewjob?jk=8c944b259d18b007", "https://www.indeed.com/viewjob?jk=8c944b259d18b007")</f>
        <v/>
      </c>
      <c r="F47">
        <f>HYPERLINK("https://jobs.itsmfleaders.org/job/6ndqfd/senior-data-engineer/mclean/va", "https://jobs.itsmfleaders.org/job/6ndqfd/senior-data-engineer/mclean/va")</f>
        <v/>
      </c>
      <c r="G47" t="inlineStr">
        <is>
          <t>McLean, VA, US</t>
        </is>
      </c>
      <c r="H47" s="3" t="n">
        <v>46030</v>
      </c>
      <c r="I47" t="inlineStr">
        <is>
          <t>Posted Date
1/09/2026
Description
Senior Data Engineer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Python and SQL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data pipeline development including Python, SQL
* 2\+ years of experience with a public cloud (AWS, Microsoft Azure, Google Cloud)
* 3\+ years of experience utilizing a business intelligence visualization tool
* 3\+ years experience with Distributed data/computing tools (MapReduce, Hadoop, Hive, EMR, Kafka, Spark, Gurobi, or MySQL)
* 2\+ years experience working on real\-time data and streaming applications
* 2\+ years of data warehousing experience (Redshift or Snowflake)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Data Engineer  
Richmond, VA: $147,100 \- $167,900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Data Engineer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Python and SQL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data pipeline development including Python, SQL
* 2\+ years of experience with a public cloud (AWS, Microsoft Azure, Google Cloud)
* 3\+ years of experience utilizing a business intelligence visualization tool
* 3\+ years experience with Distributed data/computing tools (MapReduce, Hadoop, Hive, EMR, Kafka, Spark, Gurobi, or MySQL)
* 2\+ years experience working on real\-time data and streaming applications
* 2\+ years of data warehousing experience (Redshift or Snowflake)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Data Engineer  
Richmond, VA: $147,100 \- $167,900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161,800\.00 \- 184,600\.00 Annual
Type
Full\-time</t>
        </is>
      </c>
    </row>
    <row r="48">
      <c r="A48" t="inlineStr">
        <is>
          <t>in-3dfa946b1548dcdd</t>
        </is>
      </c>
      <c r="B48" t="inlineStr">
        <is>
          <t>Full Stack Cloud &amp; Data Engineer</t>
        </is>
      </c>
      <c r="C48" t="inlineStr">
        <is>
          <t>ShyftOff</t>
        </is>
      </c>
      <c r="D48" t="inlineStr">
        <is>
          <t>indeed</t>
        </is>
      </c>
      <c r="E48">
        <f>HYPERLINK("https://www.indeed.com/viewjob?jk=3dfa946b1548dcdd", "https://www.indeed.com/viewjob?jk=3dfa946b1548dcdd")</f>
        <v/>
      </c>
      <c r="F48">
        <f>HYPERLINK("https://shyftoff.breezy.hr/p/39d57b28dd8b-full-stack-cloud-data-engineer?source=indeed", "https://shyftoff.breezy.hr/p/39d57b28dd8b-full-stack-cloud-data-engineer?source=indeed")</f>
        <v/>
      </c>
      <c r="G48" t="inlineStr">
        <is>
          <t>Austin, TX, US</t>
        </is>
      </c>
      <c r="H48" s="3" t="n">
        <v>46022</v>
      </c>
      <c r="I48" t="inlineStr">
        <is>
          <t>**About ShyftOff Corp:**
ShyftOff's flexible, on\-demand contact center platform matches businesses with top CX talent, scaling their contact center operations to meet demand. We're revolutionizing the traditional model by staffing on\-demand with top US talent, minus the HR overhead.
**Position Summary:**
We're hiring our next engineer — someone who's obsessed with data, **p****assionate about systems that**: 1\. ***work*** 2\. ***are performant*** and 3\. ***are clean*** (in that order!), and eager to design, build, and optimize data pipelines that power product growth.
In this role, you'll own the entire data product ecosystem — from how data flows through the platform to how it's surfaced for decision\-making. You'll play a key role in designing data systems, enabling data\-informed insights, and ensuring our platform scales efficiently.
**This role is onsite in Tampa, FL**
### **Duties and Responsibilities:**
* Build and maintain scalable data models, cloud infrastructure, and E2E pipelines, that power ShyftOff's platform.
* Design, implement, and optimize workflows using Airflow for ETL/ELT processes.
* Develop and maintain PostgreSQL databases.
* Write clean, maintainable Python code (with a focus on Pandas for data manipulation).
* Partner cross\-functionally with Sales, Marketing, and Operations to drive data\-informed decisions.
* Manage integrations between internal systems, ensuring smooth data flow across the business.
* Maintain, monitor, and troubleshoot production data systems hosted in AWS (RDS, S3, ECS, Lambda) and GCP (BigQuery, Looker Studio).
* Own the data lifecycle—from schema design and ingestion through transformation, validation, and reporting.
* Champion reliability, scalability, monitoring, and performance across the data platform.
* Contribute ideas, explore new tools/technologies, and take pride in building something foundational.
### **Experience and Qualifications:**
**Essential:**
* 4\+ years of professional experience in **Data Engineering** or a related backend engineering field.
* Strong command of **PostgreSQL** (schema design, optimization, complex queries).
* Proficient in **Python** and experience creating and maintaining **Airflow** DAGs.
* Hands\-on experience with **AWS Cloud Services** (S3, ECS, RDS, DynamoDB).
* Proven ability to design, build, troubleshoot, and maintain robust **ETL/ELT pipelines**.
* Strong understanding of software engineering principles, data modeling, and distributed systems.
* Excellent communication skills and ability to collaborate effectively with non\-technical teams.
* Thrives in fast\-paced startup environments where **speed and ownership** matter.
**Desirable:**
* **AWS Certification** (Solutions Architect, Data Engineer, or equivalent).
* Prior startup experience or experience as an early technical team member.
* Strong GitHub presence or portfolio of open\-source contributions.
### **What Sets You Apart:**
* You're a true data enthusiast —you love clean systems, structured databases, and elegant architecture.
* You balance vision and execution: you can architect scalable systems *and* roll up your sleeves to build them.
* You like to work iteratively \&amp; quickly on new concepts.
* You care deeply about shipping reliable, high\-impact code that drives business value.
* You move fast and communicate clearly—helping the team stay aligned and productive.
* You thrive in a collaborative environment and believe great systems are built through shared context and trust.
* You're excited about the opportunity to help shape the future of ShyftOff's data ecosystem.
### **Benefits:**
* Competitive salary and equity
* Health and wellness benefits
* Professional development opportunities
* High\-impact role with visibility across the company
* The chance to help shape the technical culture and data infrastructure of a growing startup
**Equal Opportunity Employer:**
ShyftOff Corp values diversity and does not discriminate on the basis of race, religion, color, national origin, gender, sexual orientation, age, marital status, veteran status, or disability status.</t>
        </is>
      </c>
    </row>
    <row r="49">
      <c r="A49" t="inlineStr">
        <is>
          <t>in-8bc87ac3f2e3a1af</t>
        </is>
      </c>
      <c r="B49" t="inlineStr">
        <is>
          <t>Full Stack Cloud &amp; Data Engineer</t>
        </is>
      </c>
      <c r="C49" t="inlineStr">
        <is>
          <t>ShyftOff</t>
        </is>
      </c>
      <c r="D49" t="inlineStr">
        <is>
          <t>indeed</t>
        </is>
      </c>
      <c r="E49">
        <f>HYPERLINK("https://www.indeed.com/viewjob?jk=8bc87ac3f2e3a1af", "https://www.indeed.com/viewjob?jk=8bc87ac3f2e3a1af")</f>
        <v/>
      </c>
      <c r="F49">
        <f>HYPERLINK("https://shyftoff.breezy.hr/p/39d57b28dd8b-full-stack-cloud-data-engineer?source=indeed", "https://shyftoff.breezy.hr/p/39d57b28dd8b-full-stack-cloud-data-engineer?source=indeed")</f>
        <v/>
      </c>
      <c r="G49" t="inlineStr">
        <is>
          <t>Nashville, TN, US</t>
        </is>
      </c>
      <c r="H49" s="3" t="n">
        <v>46022</v>
      </c>
      <c r="I49" t="inlineStr">
        <is>
          <t>**About ShyftOff Corp:**
ShyftOff's flexible, on\-demand contact center platform matches businesses with top CX talent, scaling their contact center operations to meet demand. We're revolutionizing the traditional model by staffing on\-demand with top US talent, minus the HR overhead.
**Position Summary:**
We're hiring our next engineer — someone who's obsessed with data, **p****assionate about systems that**: 1\. ***work*** 2\. ***are performant*** and 3\. ***are clean*** (in that order!), and eager to design, build, and optimize data pipelines that power product growth.
In this role, you'll own the entire data product ecosystem — from how data flows through the platform to how it's surfaced for decision\-making. You'll play a key role in designing data systems, enabling data\-informed insights, and ensuring our platform scales efficiently.
**This role is onsite in Tampa, FL**
### **Duties and Responsibilities:**
* Build and maintain scalable data models, cloud infrastructure, and E2E pipelines, that power ShyftOff's platform.
* Design, implement, and optimize workflows using Airflow for ETL/ELT processes.
* Develop and maintain PostgreSQL databases.
* Write clean, maintainable Python code (with a focus on Pandas for data manipulation).
* Partner cross\-functionally with Sales, Marketing, and Operations to drive data\-informed decisions.
* Manage integrations between internal systems, ensuring smooth data flow across the business.
* Maintain, monitor, and troubleshoot production data systems hosted in AWS (RDS, S3, ECS, Lambda) and GCP (BigQuery, Looker Studio).
* Own the data lifecycle—from schema design and ingestion through transformation, validation, and reporting.
* Champion reliability, scalability, monitoring, and performance across the data platform.
* Contribute ideas, explore new tools/technologies, and take pride in building something foundational.
### **Experience and Qualifications:**
**Essential:**
* 4\+ years of professional experience in **Data Engineering** or a related backend engineering field.
* Strong command of **PostgreSQL** (schema design, optimization, complex queries).
* Proficient in **Python** and experience creating and maintaining **Airflow** DAGs.
* Hands\-on experience with **AWS Cloud Services** (S3, ECS, RDS, DynamoDB).
* Proven ability to design, build, troubleshoot, and maintain robust **ETL/ELT pipelines**.
* Strong understanding of software engineering principles, data modeling, and distributed systems.
* Excellent communication skills and ability to collaborate effectively with non\-technical teams.
* Thrives in fast\-paced startup environments where **speed and ownership** matter.
**Desirable:**
* **AWS Certification** (Solutions Architect, Data Engineer, or equivalent).
* Prior startup experience or experience as an early technical team member.
* Strong GitHub presence or portfolio of open\-source contributions.
### **What Sets You Apart:**
* You're a true data enthusiast —you love clean systems, structured databases, and elegant architecture.
* You balance vision and execution: you can architect scalable systems *and* roll up your sleeves to build them.
* You like to work iteratively \&amp; quickly on new concepts.
* You care deeply about shipping reliable, high\-impact code that drives business value.
* You move fast and communicate clearly—helping the team stay aligned and productive.
* You thrive in a collaborative environment and believe great systems are built through shared context and trust.
* You're excited about the opportunity to help shape the future of ShyftOff's data ecosystem.
### **Benefits:**
* Competitive salary and equity
* Health and wellness benefits
* Professional development opportunities
* High\-impact role with visibility across the company
* The chance to help shape the technical culture and data infrastructure of a growing startup
**Equal Opportunity Employer:**
ShyftOff Corp values diversity and does not discriminate on the basis of race, religion, color, national origin, gender, sexual orientation, age, marital status, veteran status, or disability status.</t>
        </is>
      </c>
    </row>
    <row r="50">
      <c r="A50" t="inlineStr">
        <is>
          <t>in-64e2a3a3882e4fcb</t>
        </is>
      </c>
      <c r="B50" t="inlineStr">
        <is>
          <t>Full Stack Cloud &amp; Data Engineer</t>
        </is>
      </c>
      <c r="C50" t="inlineStr">
        <is>
          <t>ShyftOff</t>
        </is>
      </c>
      <c r="D50" t="inlineStr">
        <is>
          <t>indeed</t>
        </is>
      </c>
      <c r="E50">
        <f>HYPERLINK("https://www.indeed.com/viewjob?jk=64e2a3a3882e4fcb", "https://www.indeed.com/viewjob?jk=64e2a3a3882e4fcb")</f>
        <v/>
      </c>
      <c r="F50">
        <f>HYPERLINK("https://shyftoff.breezy.hr/p/39d57b28dd8b-full-stack-cloud-data-engineer?source=indeed", "https://shyftoff.breezy.hr/p/39d57b28dd8b-full-stack-cloud-data-engineer?source=indeed")</f>
        <v/>
      </c>
      <c r="G50" t="inlineStr">
        <is>
          <t>Tampa, FL, US</t>
        </is>
      </c>
      <c r="H50" s="3" t="n">
        <v>46022</v>
      </c>
      <c r="I50" t="inlineStr">
        <is>
          <t>**About ShyftOff Corp:**
ShyftOff's flexible, on\-demand contact center platform matches businesses with top CX talent, scaling their contact center operations to meet demand. We're revolutionizing the traditional model by staffing on\-demand with top US talent, minus the HR overhead.
**Position Summary:**
We're hiring our next engineer — someone who's obsessed with data, **p****assionate about systems that**: 1\. ***work*** 2\. ***are performant*** and 3\. ***are clean*** (in that order!), and eager to design, build, and optimize data pipelines that power product growth.
In this role, you'll own the entire data product ecosystem — from how data flows through the platform to how it's surfaced for decision\-making. You'll play a key role in designing data systems, enabling data\-informed insights, and ensuring our platform scales efficiently.
**This role is onsite in Tampa, FL**
### **Duties and Responsibilities:**
* Build and maintain scalable data models, cloud infrastructure, and E2E pipelines, that power ShyftOff's platform.
* Design, implement, and optimize workflows using Airflow for ETL/ELT processes.
* Develop and maintain PostgreSQL databases.
* Write clean, maintainable Python code (with a focus on Pandas for data manipulation).
* Partner cross\-functionally with Sales, Marketing, and Operations to drive data\-informed decisions.
* Manage integrations between internal systems, ensuring smooth data flow across the business.
* Maintain, monitor, and troubleshoot production data systems hosted in AWS (RDS, S3, ECS, Lambda) and GCP (BigQuery, Looker Studio).
* Own the data lifecycle—from schema design and ingestion through transformation, validation, and reporting.
* Champion reliability, scalability, monitoring, and performance across the data platform.
* Contribute ideas, explore new tools/technologies, and take pride in building something foundational.
### **Experience and Qualifications:**
**Essential:**
* 4\+ years of professional experience in **Data Engineering** or a related backend engineering field.
* Strong command of **PostgreSQL** (schema design, optimization, complex queries).
* Proficient in **Python** and experience creating and maintaining **Airflow** DAGs.
* Hands\-on experience with **AWS Cloud Services** (S3, ECS, RDS, DynamoDB).
* Proven ability to design, build, troubleshoot, and maintain robust **ETL/ELT pipelines**.
* Strong understanding of software engineering principles, data modeling, and distributed systems.
* Excellent communication skills and ability to collaborate effectively with non\-technical teams.
* Thrives in fast\-paced startup environments where **speed and ownership** matter.
**Desirable:**
* **AWS Certification** (Solutions Architect, Data Engineer, or equivalent).
* Prior startup experience or experience as an early technical team member.
* Strong GitHub presence or portfolio of open\-source contributions.
### **What Sets You Apart:**
* You're a true data enthusiast —you love clean systems, structured databases, and elegant architecture.
* You balance vision and execution: you can architect scalable systems *and* roll up your sleeves to build them.
* You like to work iteratively \&amp; quickly on new concepts.
* You care deeply about shipping reliable, high\-impact code that drives business value.
* You move fast and communicate clearly—helping the team stay aligned and productive.
* You thrive in a collaborative environment and believe great systems are built through shared context and trust.
* You're excited about the opportunity to help shape the future of ShyftOff's data ecosystem.
### **Benefits:**
* Competitive salary and equity
* Health and wellness benefits
* Professional development opportunities
* High\-impact role with visibility across the company
* The chance to help shape the technical culture and data infrastructure of a growing startup
**Equal Opportunity Employer:**
ShyftOff Corp values diversity and does not discriminate on the basis of race, religion, color, national origin, gender, sexual orientation, age, marital status, veteran status, or disability status.</t>
        </is>
      </c>
    </row>
    <row r="51">
      <c r="A51" t="inlineStr">
        <is>
          <t>in-a6ddf1d51f300b5d</t>
        </is>
      </c>
      <c r="B51" t="inlineStr">
        <is>
          <t>Full Stack Cloud &amp; Data Engineer</t>
        </is>
      </c>
      <c r="C51" t="inlineStr">
        <is>
          <t>ShyftOff</t>
        </is>
      </c>
      <c r="D51" t="inlineStr">
        <is>
          <t>indeed</t>
        </is>
      </c>
      <c r="E51">
        <f>HYPERLINK("https://www.indeed.com/viewjob?jk=a6ddf1d51f300b5d", "https://www.indeed.com/viewjob?jk=a6ddf1d51f300b5d")</f>
        <v/>
      </c>
      <c r="F51">
        <f>HYPERLINK("https://shyftoff.breezy.hr/p/39d57b28dd8b-full-stack-cloud-data-engineer?source=indeed", "https://shyftoff.breezy.hr/p/39d57b28dd8b-full-stack-cloud-data-engineer?source=indeed")</f>
        <v/>
      </c>
      <c r="G51" t="inlineStr">
        <is>
          <t>Atlanta, GA, US</t>
        </is>
      </c>
      <c r="H51" s="3" t="n">
        <v>46022</v>
      </c>
      <c r="I51" t="inlineStr">
        <is>
          <t>**About ShyftOff Corp:**
ShyftOff's flexible, on\-demand contact center platform matches businesses with top CX talent, scaling their contact center operations to meet demand. We're revolutionizing the traditional model by staffing on\-demand with top US talent, minus the HR overhead.
**Position Summary:**
We're hiring our next engineer — someone who's obsessed with data, **p****assionate about systems that**: 1\. ***work*** 2\. ***are performant*** and 3\. ***are clean*** (in that order!), and eager to design, build, and optimize data pipelines that power product growth.
In this role, you'll own the entire data product ecosystem — from how data flows through the platform to how it's surfaced for decision\-making. You'll play a key role in designing data systems, enabling data\-informed insights, and ensuring our platform scales efficiently.
**This role is onsite in Tampa, FL**
### **Duties and Responsibilities:**
* Build and maintain scalable data models, cloud infrastructure, and E2E pipelines, that power ShyftOff's platform.
* Design, implement, and optimize workflows using Airflow for ETL/ELT processes.
* Develop and maintain PostgreSQL databases.
* Write clean, maintainable Python code (with a focus on Pandas for data manipulation).
* Partner cross\-functionally with Sales, Marketing, and Operations to drive data\-informed decisions.
* Manage integrations between internal systems, ensuring smooth data flow across the business.
* Maintain, monitor, and troubleshoot production data systems hosted in AWS (RDS, S3, ECS, Lambda) and GCP (BigQuery, Looker Studio).
* Own the data lifecycle—from schema design and ingestion through transformation, validation, and reporting.
* Champion reliability, scalability, monitoring, and performance across the data platform.
* Contribute ideas, explore new tools/technologies, and take pride in building something foundational.
### **Experience and Qualifications:**
**Essential:**
* 4\+ years of professional experience in **Data Engineering** or a related backend engineering field.
* Strong command of **PostgreSQL** (schema design, optimization, complex queries).
* Proficient in **Python** and experience creating and maintaining **Airflow** DAGs.
* Hands\-on experience with **AWS Cloud Services** (S3, ECS, RDS, DynamoDB).
* Proven ability to design, build, troubleshoot, and maintain robust **ETL/ELT pipelines**.
* Strong understanding of software engineering principles, data modeling, and distributed systems.
* Excellent communication skills and ability to collaborate effectively with non\-technical teams.
* Thrives in fast\-paced startup environments where **speed and ownership** matter.
**Desirable:**
* **AWS Certification** (Solutions Architect, Data Engineer, or equivalent).
* Prior startup experience or experience as an early technical team member.
* Strong GitHub presence or portfolio of open\-source contributions.
### **What Sets You Apart:**
* You're a true data enthusiast —you love clean systems, structured databases, and elegant architecture.
* You balance vision and execution: you can architect scalable systems *and* roll up your sleeves to build them.
* You like to work iteratively \&amp; quickly on new concepts.
* You care deeply about shipping reliable, high\-impact code that drives business value.
* You move fast and communicate clearly—helping the team stay aligned and productive.
* You thrive in a collaborative environment and believe great systems are built through shared context and trust.
* You're excited about the opportunity to help shape the future of ShyftOff's data ecosystem.
### **Benefits:**
* Competitive salary and equity
* Health and wellness benefits
* Professional development opportunities
* High\-impact role with visibility across the company
* The chance to help shape the technical culture and data infrastructure of a growing startup
**Equal Opportunity Employer:**
ShyftOff Corp values diversity and does not discriminate on the basis of race, religion, color, national origin, gender, sexual orientation, age, marital status, veteran status, or disability status.</t>
        </is>
      </c>
    </row>
    <row r="52">
      <c r="A52" t="inlineStr">
        <is>
          <t>in-f73a16ff969f4101</t>
        </is>
      </c>
      <c r="B52" t="inlineStr">
        <is>
          <t>Full Stack Cloud &amp; Data Engineer</t>
        </is>
      </c>
      <c r="C52" t="inlineStr">
        <is>
          <t>ShyftOff</t>
        </is>
      </c>
      <c r="D52" t="inlineStr">
        <is>
          <t>indeed</t>
        </is>
      </c>
      <c r="E52">
        <f>HYPERLINK("https://www.indeed.com/viewjob?jk=f73a16ff969f4101", "https://www.indeed.com/viewjob?jk=f73a16ff969f4101")</f>
        <v/>
      </c>
      <c r="F52">
        <f>HYPERLINK("https://shyftoff.breezy.hr/p/39d57b28dd8b-full-stack-cloud-data-engineer?source=indeed", "https://shyftoff.breezy.hr/p/39d57b28dd8b-full-stack-cloud-data-engineer?source=indeed")</f>
        <v/>
      </c>
      <c r="G52" t="inlineStr">
        <is>
          <t>Raleigh, NC, US</t>
        </is>
      </c>
      <c r="H52" s="3" t="n">
        <v>46022</v>
      </c>
      <c r="I52" t="inlineStr">
        <is>
          <t>**About ShyftOff Corp:**
ShyftOff's flexible, on\-demand contact center platform matches businesses with top CX talent, scaling their contact center operations to meet demand. We're revolutionizing the traditional model by staffing on\-demand with top US talent, minus the HR overhead.
**Position Summary:**
We're hiring our next engineer — someone who's obsessed with data, **p****assionate about systems that**: 1\. ***work*** 2\. ***are performant*** and 3\. ***are clean*** (in that order!), and eager to design, build, and optimize data pipelines that power product growth.
In this role, you'll own the entire data product ecosystem — from how data flows through the platform to how it's surfaced for decision\-making. You'll play a key role in designing data systems, enabling data\-informed insights, and ensuring our platform scales efficiently.
**This role is onsite in Tampa, FL**
### **Duties and Responsibilities:**
* Build and maintain scalable data models, cloud infrastructure, and E2E pipelines, that power ShyftOff's platform.
* Design, implement, and optimize workflows using Airflow for ETL/ELT processes.
* Develop and maintain PostgreSQL databases.
* Write clean, maintainable Python code (with a focus on Pandas for data manipulation).
* Partner cross\-functionally with Sales, Marketing, and Operations to drive data\-informed decisions.
* Manage integrations between internal systems, ensuring smooth data flow across the business.
* Maintain, monitor, and troubleshoot production data systems hosted in AWS (RDS, S3, ECS, Lambda) and GCP (BigQuery, Looker Studio).
* Own the data lifecycle—from schema design and ingestion through transformation, validation, and reporting.
* Champion reliability, scalability, monitoring, and performance across the data platform.
* Contribute ideas, explore new tools/technologies, and take pride in building something foundational.
### **Experience and Qualifications:**
**Essential:**
* 4\+ years of professional experience in **Data Engineering** or a related backend engineering field.
* Strong command of **PostgreSQL** (schema design, optimization, complex queries).
* Proficient in **Python** and experience creating and maintaining **Airflow** DAGs.
* Hands\-on experience with **AWS Cloud Services** (S3, ECS, RDS, DynamoDB).
* Proven ability to design, build, troubleshoot, and maintain robust **ETL/ELT pipelines**.
* Strong understanding of software engineering principles, data modeling, and distributed systems.
* Excellent communication skills and ability to collaborate effectively with non\-technical teams.
* Thrives in fast\-paced startup environments where **speed and ownership** matter.
**Desirable:**
* **AWS Certification** (Solutions Architect, Data Engineer, or equivalent).
* Prior startup experience or experience as an early technical team member.
* Strong GitHub presence or portfolio of open\-source contributions.
### **What Sets You Apart:**
* You're a true data enthusiast —you love clean systems, structured databases, and elegant architecture.
* You balance vision and execution: you can architect scalable systems *and* roll up your sleeves to build them.
* You like to work iteratively \&amp; quickly on new concepts.
* You care deeply about shipping reliable, high\-impact code that drives business value.
* You move fast and communicate clearly—helping the team stay aligned and productive.
* You thrive in a collaborative environment and believe great systems are built through shared context and trust.
* You're excited about the opportunity to help shape the future of ShyftOff's data ecosystem.
### **Benefits:**
* Competitive salary and equity
* Health and wellness benefits
* Professional development opportunities
* High\-impact role with visibility across the company
* The chance to help shape the technical culture and data infrastructure of a growing startup
**Equal Opportunity Employer:**
ShyftOff Corp values diversity and does not discriminate on the basis of race, religion, color, national origin, gender, sexual orientation, age, marital status, veteran status, or disability status.</t>
        </is>
      </c>
    </row>
    <row r="53">
      <c r="A53" t="inlineStr">
        <is>
          <t>in-e74f5f965d432dd9</t>
        </is>
      </c>
      <c r="B53" t="inlineStr">
        <is>
          <t>Senior Data Engineer</t>
        </is>
      </c>
      <c r="C53" t="inlineStr">
        <is>
          <t>Epsilon</t>
        </is>
      </c>
      <c r="D53" t="inlineStr">
        <is>
          <t>indeed</t>
        </is>
      </c>
      <c r="E53">
        <f>HYPERLINK("https://www.indeed.com/viewjob?jk=e74f5f965d432dd9", "https://www.indeed.com/viewjob?jk=e74f5f965d432dd9")</f>
        <v/>
      </c>
      <c r="F53">
        <f>HYPERLINK("https://careers.publicisgroupe.com/epsilon/jobs/119882?lang=en-us", "https://careers.publicisgroupe.com/epsilon/jobs/119882?lang=en-us")</f>
        <v/>
      </c>
      <c r="G53" t="inlineStr">
        <is>
          <t>Chicago, IL, US</t>
        </is>
      </c>
      <c r="H53" s="3" t="n">
        <v>45937</v>
      </c>
      <c r="I53" t="inlineStr">
        <is>
          <t>**Overview**  
**How You'll Make an Impact**  
As a Senior Software Engineer on Publicis's Data Warehouse projects, you will design, build, and optimize large\-scale data solutions that power our industry\-leading digital marketing strategies. Collaborating with the Engineering Manager, you'll work closely with global engineering teams, delivery teams, and clients to deliver solutions that drive measurable business results.  
This role is ideal for engineers who want to work at the intersection of data analytics, cloud technology, and personalized solutions. You will work with petabyte\-scale data, leverage frameworks such as Spark, Databricks, and Airflow, and directly influence how global brands engage with millions of consumers. At Publicis, you will solve complex data challenges, transform raw data into insights that drive business impact, and help shape the future of digital marketing in a collaborative environment.  
**What You'll Achieve**  
* Grow into a technical leader, mentoring engineers and influencing architecture.
* Build expertise in data engineering using Spark, Databricks, Airflow, and cloud resources.
* Strengthen your knowledge of the digital marketing domain while contributing to Publicis's success.
* Develop skills in data governance, performance optimization, and disaster recovery.
* Propose and implement innovative frameworks and best practices for our teams.
**Who You Are**  
* 5\-8 years of data engineering experience with strong ETL/ELT design and optimization skills.
* Expertise in big data processing using Apache Spark (preferably Databricks), SQL (basic \&amp; advanced), and Python.
* Experience building scalable pipelines and working with large datasets (terabytes to petabytes).
* Knowledge of CI/CD practices, Git workflows, and test\-driven development.
* Proficiency with workflow orchestration tools (preferably Airflow).
* Strong communication skills with experience in global, cross\-cultural teams.
* Hands\-on experience with PostgreSQL, SparkSQL, Hive, or AWS Glue.
* Familiarity with digital marketing technologies and consumer data ecosystems.
* Proven ability to mentor engineers and lead solution design discussions.
* Nice to have : Knowledge of cloud platforms and infrastructure\-as\-code tools (e.g., Terraform).
Click here to view how Epsilon transforms marketing with 1 View, 1 Vision, 1 Voice.
Base Salary: $80,250 \- $124,000  
Actual compensation within the range will be dependent upon, but not limited to the individual's skills, experience, qualifications, location and application employment laws. The salary pay range is subject to change and may be modified at any time.  
**Additional Information**  
**When You Join Us, We'll Create Something EPIC Together**
Epsilon is a global data, technology and services company that powers the marketing and advertising ecosystem. For decades, we've provided marketers from the world's leading brands the data, technology and services they need to engage consumers with 1 View, 1 Vision and 1 Voice. 1 View of their universe of potential buyers. 1 Vision for engaging each individual. And 1 Voice to harmonize engagement across paid, owned and earned channels.
Epsilon's comprehensive portfolio of capabilities across our suite of digital media, messaging and loyalty solutions bridge the divide between marketing and advertising technology. We process 400\+ billion consumer actions each day using advanced AI and hold many patents of proprietary technology, including real\-time modeling languages and consumer privacy advancements. Thanks to the work of every employee, Epsilon has been consistently recognized as industry\-leading by Forrester, Adweek and the MRC. Epsilon is a global company with more than 9,000 employees around the world.
Our pillars aren't just words. They're how we show up every day.  
* **People centricity:** We focus on employee well\-being in an environment where colleagues truly care about each other.
* **Collaboration:** We work together, support one another, and collectively achieve goals.
* **Growth:** There are endless opportunities for growth through learning, development and career advancement.
* **Innovation:** We drive progress through cutting\-edge solutions and forward\-thinking approaches.
* **Flexibility:** We've created a balance between work and personal life, and we encourage adaptability to solve problems creatively.
Our values guide us to create value for our clients, our people and consumers.  
* Act with integrity
* Work together to win together
* Innovate with purpose
* Respect all voices
* Empower with accountability
These pillars and values are our foundation\-shaping our culture, guiding our decisions, and uniting us in common purpose.  
**Because You Matter**  
As an Epsilon employee, you deserve perks and benefits that put you, your family and your finances first. Our benefits encompass a wide range of offerings, including but not limited to the following:
* **Time to Recharge:** Flexible time off (FTO), 15 paid holidays
* **Time to Recover:** Paid sick time
* **Family Well\-Being:** Parental/new child leave, childcare \&amp; elder care assistance, adoption assistance
* **Extra Perks:** Comprehensive health coverage, 401(k), tuition assistance, commuter benefits, professional development, employee recognition, charitable donation matching, health coaching and counseling
Epsilon benefits are subject to eligibility requirements and other terms.
**Epsilon is an Equal Opportunity Employer.** Epsilon's policy is not to discriminate against any applicant or employee based on actual or perceived race, age, sex or gender (including pregnancy), marital status, national origin, ancestry, citizenship status, mental or physical disability, religion, creed, color, sexual orientation, gender identity or expression (including transgender status), veteran status, genetic information, or any other characteristic protected by applicable federal, state or local law. Epsilon also prohibits harassment of applicants and employees based on any of these protected categories. Epsilon will provide accommodations to applicants needing accommodations to complete the application process. Please reach out to LeaveofAbsence@epsilon.com to request an accommodation.
**For San Francisco Bay and Los Angeles Areas:** Epsilon will consider for employment qualified applicants with criminal histories in a manner consistent with the City of Los Angeles' Fair Chance Initiative for Hiring Ordinance and San Francisco Police Code Sections 4901\-4919, commonly referred to as the San Francisco Fair Chance Ordinance. Applicants with criminal histories are welcome to apply.
\#LI\-ME1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7"/>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li-4313819229</t>
        </is>
      </c>
      <c r="B2" t="inlineStr">
        <is>
          <t>Data Engineer, Analytics</t>
        </is>
      </c>
      <c r="C2" t="inlineStr">
        <is>
          <t>OpenAI</t>
        </is>
      </c>
      <c r="D2" t="inlineStr">
        <is>
          <t>linkedin</t>
        </is>
      </c>
      <c r="E2" t="inlineStr"/>
      <c r="F2" t="inlineStr"/>
      <c r="G2" t="inlineStr">
        <is>
          <t>San Francisco, CA</t>
        </is>
      </c>
      <c r="H2" t="inlineStr"/>
      <c r="I2" t="inlineStr">
        <is>
          <t>**About The Team**
 The Applied team works across research, engineering, product, and design to bring OpenAI’s technology to consumers and businesses.
 We seek to learn from deployment and distribute the benefits of AI, while ensuring that this powerful tool is used responsibly and safely. Safety is more important to us than unfettered growth.
**About The Role**
 We're seeking a Data Engineer to take the lead in building our data pipelines and core tables for OpenAI. These pipelines are crucial for powering analyses, safety systems that guide business decisions, product growth, and prevent bad actors. If you're passionate about working with data and are eager to create solutions with significant impact, we'd love to hear from you. This role also provides the opportunity to collaborate closely with the researchers behind ChatGPT and help them train new models to deliver to users. As we continue our rapid growth, we value data\-driven insights, and your contributions will play a pivotal role in our trajectory. Join us in shaping the future of OpenAI!
**In This Role, You Will**
* Design, build and manage our data pipelines, ensuring all user event data is seamlessly integrated into our data warehouse.
* Develop canonical datasets to track key product metrics including user growth, engagement, and revenue.
* Work collaboratively with various teams, including, Infrastructure, Data Science, Product, Marketing, Finance, and Research to understand their data needs and provide solutions.
* Implement robust and fault\-tolerant systems for data ingestion and processing.
* Participate in data architecture and engineering decisions, bringing your strong experience and knowledge to bear.
* Ensure the security, integrity, and compliance of data according to industry and company standards.
**You Might Thrive In This Role If You**
* Have 3\+ years of experience as a data engineer and 8\+ years of any software engineering experience(including data engineering).
* Proficiency in at least one programming language commonly used within Data Engineering, such as Python, Scala, or Java.
* Experience with distributed processing technologies and frameworks, such as Hadoop, Flink and distributed storage systems (e.g., HDFS, S3\).
* Expertise with any of ETL schedulers such as Airflow, Dagster, Prefect or similar frameworks.
* Solid understanding of Spark and ability to write, debug and optimize Spark code.
 This role is exclusively based in our San Francisco HQ. We offer relocation assistance to new employees.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$255K \- $405K</t>
        </is>
      </c>
    </row>
    <row r="3">
      <c r="A3" t="inlineStr">
        <is>
          <t>li-4360752735</t>
        </is>
      </c>
      <c r="B3" t="inlineStr">
        <is>
          <t>Data Engineer (Remote)</t>
        </is>
      </c>
      <c r="C3" t="inlineStr">
        <is>
          <t>Evio</t>
        </is>
      </c>
      <c r="D3" t="inlineStr">
        <is>
          <t>linkedin</t>
        </is>
      </c>
      <c r="E3" t="inlineStr"/>
      <c r="F3" t="inlineStr"/>
      <c r="G3" t="inlineStr"/>
      <c r="H3" t="inlineStr"/>
      <c r="I3" t="inlineStr">
        <is>
          <t>**Evio Overview**
 Evio is a highly unique pharmacy solutions company that was founded by and works closely with health plans to implement transformative (to cost, quality, access and experience) initiatives primarily focused on specialty and other high\-cost medication solutions.
 In 2020, a group of five amazing Blue Cross Blue Shield health plans that in total serve more than 20 million members recognized that the way medications get to patients needs significant reform—rapidly rising costs and massive system complexities are detrimental to patients and the entire industry. In 2025, Wellmark joined as Evio's first non\-founding investor and sixth owner health plan. Each company made, and continues to make, significant investments to establish Evio as an independent entity to lead this transformation.
 Evio has
 **advanced analytics and contracting capabilities at scale** 
 , and a
 **suite of digital tools** 
 , to power our high\-cost medication solutions. Our solutions act as a self\-reinforcing “flywheel” where each element strengthens and feeds into the next, and support an “Only Evio can do that,” mindset and prioritization.
 Evio is also a company that has invested heavily in and been highly intentional about people, team and culture. We believe we have created a very special place to work and encourage candidates to observe and ask us about our culture and decide for themselves.
**Evio's Values**
* Empathy – The people our business serves always come first. We care for our teammates and put ourselves in the shoes of our health plan customers and the patients and clinicians our solutions benefit.
* Diversity – We are committed to fostering a culture where everyone belongs and is valued for their background, experience and insights – one that encourages diversity of ideas, and is a nurturing, trusting, and accepting place for all.
* Adventure – We are flexible, thrive in ambiguity, fail fast, and pivot quickly to get to a better answer. We celebrate wins and pivots with equal intensity.
* Relentless – Guided by evidence and data, we are creative, curious, and unwavering in our pursuit of challenging the status quo and each other.
* Transparency – Just as we seek to bring transparency to the pharmacy supply chain, authenticity and integrity are core to the way we communicate.
* Excellence – We strive to raise the bar in all we do by hiring and developing exceptional talent and holding ourselves and our thinking to the highest standard.
**About The Role**
 We are seeking an experienced
 **Data Engineer** 
 with expertise in an AWS cloud native environment to design, develop, and maintain our data infrastructure and systems necessary for efficient data processing, storage, and analysis. This role will work closely with our product management and data analytics teams to create and manage effective data ETL processes on our application and analytics platforms.
**Key Responsibilities**
 Data Architecture and Design:
* Design and implement scalable data architectures using AWS cloud services, including data lakes, data warehouses, bulk data ingestion, and transaction processing.
* Collaborate with stakeholders and other cross\-functional teams, to comprehend data requirements and align data models with business needs for optimal data utilization.
* Assemble large, complex data sets that meet functional business requirements.
**ETL And Data Processing**
* Support the development and implementation of ETL processes to ingest, clean, and transform data from various sources into our application data platforms.
* Identify, design, and implement internal process improvements to automate manual processes and optimize data delivery.
**AWS Cloud Services And Database Administration**
* Leverage AWS services, such as AWS Glue, AWS Lambda, AWS Step Functions, Redshift, Aurora, Amazon S3, MWAA\-Airflow to build and optimize data workflows and process pipelines.
* Administer AWS databases effectively, within Amazon RDS, RedShift, Aurora, and PostgreSQL.
* Stay current with AWS services and recommend suitable tools for specific data engineering tasks.
**Performance Optimization**
* Monitor and optimize data pipelines and data storage for performance, cost, and reliability.
* Implement caching mechanisms and data partitioning strategies to enhance query efficiency and reduce data processing times.
**Software Development**
* Develop and support the internal applications using Python, SQL, and Stored Procedures.
**Technical Leadership And Collaboration**
* Technical leadership experience within a Data Engineering team, providing technical guidance, mentoring, and fostering a collaborative and innovative environment.
* Assist in establishing and managing the data security process.
* Experience in supporting and working with cross\-functional teams in a dynamic environment.
**Data Security And Compliance**
* Implement and enforce data security measures, ensuring compliance with relevant data regulations and industry’s best practices.
* Maintain data governance standards and access controls to protect sensitive data.
**Continuous Improvement**
* Drive the adoption of best practices, automation, and modern data engineering techniques to improve the efficiency and reliability of data processes.
* Identify opportunities for process optimization and drive initiatives to enhance the data engineering ecosystem.
* Conduct root cause analysis on internal and external data and processes to answer specific business questions and identify opportunities for improvement.
**The skills and experience you bring to this role include:**
* Bachelor’s degree in computer science, Informatics, Information Systems, or another quantitative field.
* Strong Software development skills and prior experience using Python, SQL, and Stored Procedures, AWS Glue, Lambda, Step Functions, MWAA\-Airflow.
* 10\+ years of experience in data engineering or a similar role with demonstrated technical leadership experience.
* Advanced working SQL knowledge and experience working with relational databases, query authoring (SQL), writing views, stored procedures and triggers in an AWS Cloud Environment with RedShift, Aurora, PostgreSQL or similar RDBMS.
* Strong database administration skills in AWS cloud databases, RedShift, RDS Aurora PostgreSQL.
* Experience with healthcare data (HL7, Medical Claims, Rx Claims) or similar healthcare data is required.
* Excellent communication and organizational skills.
**Compensation**
 Anticipated annual base pay range: $120,000 \- $150,000 plus additional variable compensation.
 At Evio, we’re committed to building a competitive compensation package to honor the value our teammates bring as well as attract and retain top talent that is aligned with our culture, mission, and values. Compensation includes base pay (range shown) and could include other variable compensation opportunities depending on job seniority, location, and date of hire.
 Please note that the base pay information shown is a general guideline for the job responsibilities and qualifications listed. Salary decisions are based on candidate experience, and market and business considerations.
**How We Take Care Of You**
* Great Health Insurance \- The company pays 100% of medical, dental, and vision premiums for teammates, and 50% for dependents.
* 401K Match \- Evio matches 100% of teammate contribution up to 5% of salary, subject to IRS limits. 401K is administered through Guideline.
* Time Off \- We have a flexible vacation policy for teammates to unplug and recharge when you need it. There is no minimum or maximum amount of vacation allowed per year, and there is no payment in consideration for unused vacation. Vacation is to be used at your discretion, with approval of leadership.
* Parental Leave \- Generous paid leave for new parents (includes birth and non\-birth parents).
 Evio values a diverse workplace and is committed to supporting and celebrating the diversity that each teammate brings to the table. We are proud to provide equal employment opportunities to all teammates and applicants for employment and prohibit discrimination and harassment of any type without regard to race, color, religion, age, sex, national origin, disability status, medical condition, genetic information, protected veteran status, sexual orientation, gender identity or expression, or any other characteristic protected by federal, state or local laws.</t>
        </is>
      </c>
    </row>
    <row r="4">
      <c r="A4" t="inlineStr">
        <is>
          <t>li-4361242785</t>
        </is>
      </c>
      <c r="B4" t="inlineStr">
        <is>
          <t>Data Engineer</t>
        </is>
      </c>
      <c r="C4" t="inlineStr">
        <is>
          <t>Air Apps</t>
        </is>
      </c>
      <c r="D4" t="inlineStr">
        <is>
          <t>linkedin</t>
        </is>
      </c>
      <c r="E4" t="inlineStr"/>
      <c r="F4" t="inlineStr"/>
      <c r="G4" t="inlineStr">
        <is>
          <t>San Francisco, CA</t>
        </is>
      </c>
      <c r="H4" t="inlineStr"/>
      <c r="I4" t="inlineStr">
        <is>
          <t>**About Air Apps**
 At Air Apps, we believe in thinking bigger—and moving faster. We’re a family\-founded company on a mission to create the world’s first AI\-powered Personal \&amp; Entrepreneurial Resource Planner (PRP), and we need your passion and ambition to help us change how people plan, work, and live. Born in Lisbon, Portugal in 2018—and now with offices in both Lisbon and San Francisco—we’ve remained self\-funded while reaching over 100 million downloads worldwide.
 Our long\-term focus drives us to challenge the status quo every day, pushing the boundaries of AI\-driven solutions that truly make a difference. Here, you’ll be a creative force, shaping products that empower people across the globe.
 Join us on this journey to redefine resource management—and change lives along the way.
****The Role****
 As a
 **Data Engineer** 
 at Air Apps, you will be responsible for
 **designing, building, and optimizing data pipelines, data warehouses, and data lakes** 
 to ensure efficient data processing and analytics. You will work closely with data analysts, scientists, and software engineers to create scalable and reliable data infrastructure that supports business intelligence and machine learning initiatives.
 This role requires
 **expertise in data architecture, ETL processes, and cloud\-based data solutions** 
 to handle large volumes of structured and unstructured data.
**Responsibilities**
* Design, build, and maintain scalable data pipelines and ETL workflows to support analytics and reporting.
* Develop and optimize data warehouses and data lakes using cloud platforms such as AWS, Google Cloud, or Azure.
* Implement real\-time and batch data processing solutions for various business needs.
* Work with structured and unstructured data, ensuring proper data modeling and storage strategies.
* Ensure data reliability, consistency, and scalability through best practices in architecture and engineering.
* Collaborate with data analysts, scientists, and software engineers to enable efficient data access and analysis.
* Automate data ingestion, transformation, and validation processes to improve data quality.
* Monitor and optimize query performance and data processing efficiency.
* Implement security, compliance, and governance standards for data storage and access control.
* Stay up to date with emerging data engineering trends, tools, and technologies.
**Requirements**
* Around 4\+ years of experience in data engineering, software engineering, or database management.
* Proficiency in SQL, Python, or Scala for data processing and automation.
* Hands\-on experience with cloud\-based data solutions (AWS Redshift, Google BigQuery, Azure Synapse, Snowflake).
* Experience building ETL pipelines with tools such as Apache Airflow, dbt, Talend, or Fivetran.
* Strong understanding of data modeling, schema design, and database optimization.
* Experience with big data frameworks (Apache Spark, Hadoop, Kafka, Flink) is a plus.
* Familiarity with orchestration tools, containerization (Docker, Kubernetes), and CI/CD workflows.
* Knowledge of data security, governance, and compliance (GDPR, CCPA, SOC 2\).
* Strong problem\-solving and debugging skills with the ability to handle large\-scale data challenges.
* Experience working in fast\-paced, data\-driven environments with cross\-functional teams.
****What benefits are we offering?****
* Apple hardware ecosystem for work.
* Annual Bonus.
* Medical Insurance (including vision \&amp; dental).
* Disability insurance \- short and long\-term.
* 401k up to 4% contribution.
* Air Conference – an opportunity to meet the team, collaborate, and grow together.
* Transportation budget
* Free meals at the hub
* Gym membership
****Diversity \&amp; Inclusion****
 At Air Apps, we are committed to fostering a diverse, inclusive, and equitable workplace. We enthusiastically welcome applicants from all backgrounds, experiences, and perspectives. We celebrate diversity in all its forms and believe that varied voices and experiences make us stronger.
****Application Disclaimer****
 At Air Apps, we value transparency and integrity in our hiring process. Applicants must submit their own work without any AI\-generated assistance. Any use of AI in application materials, assessments, or interviews will result in disqualification.
 Compensation Range: $111K \- $196K</t>
        </is>
      </c>
    </row>
    <row r="5">
      <c r="A5" t="inlineStr">
        <is>
          <t>li-4345366837</t>
        </is>
      </c>
      <c r="B5" t="inlineStr">
        <is>
          <t>Data Engineer – Corporate Technology Data Engineering &amp; Analytics</t>
        </is>
      </c>
      <c r="C5" t="inlineStr">
        <is>
          <t>MassMutual</t>
        </is>
      </c>
      <c r="D5" t="inlineStr">
        <is>
          <t>linkedin</t>
        </is>
      </c>
      <c r="E5" t="inlineStr"/>
      <c r="F5" t="inlineStr"/>
      <c r="G5" t="inlineStr">
        <is>
          <t>New York, NY</t>
        </is>
      </c>
      <c r="H5" t="inlineStr"/>
      <c r="I5" t="inlineStr">
        <is>
          <t>**The Opportunity** 
 Join our dynamic team as a Data Engineer – Corporate Technology Data Engineering \&amp; Analytics, where you'll play a pivotal role in driving the execution of our data and technology strategy. This role is crucial in driving digital transformation and operational efficiency across Investment Management. As part of this role, you will engage in building data solutions including streaming and batch pipelines, data marts \&amp; data warehouse. You will be responsible for establishing robust data collection and processing pipelines to fulfill Investment Management business requirements.
**The Team** 
 You’ll be an integral part of our esteemed Corporate Technology Team, focused on Data Engineering \&amp; Analytics. Our team operates on a global scale, driving innovation and excellence across diverse areas of expertise. As a Data Engineer, you'll play a critical role in high impact Corporate Technology Investment Initiatives, ensuring alignment with organizational objectives and driving impactful outcomes. This is an opportunity to collaborate closely with Corporate Technology Data and Analytics team and Investment management business stakeholders. Our team thrives on collaboration, innovation, and a shared commitment to excellence. Together, we're shaping the future of technology within our organization and making a lasting impact on a global scale. Join us and be part of a dynamic team where your contributions will be valued and your potential unleashed.
**The Impact:** 
* Design, build, and measure complex ELT jobs to process disparate data sources and form a high integrity, high quality, clean data asset.
* Executes and provides feedback for data modeling policies, procedure, processes, and standards.
* Assists with capturing and documenting system flow and other pertinent technical information about data, database design, and systems.
* Develop comprehensive data quality standards and implement effective tools to ensure data accuracy and reliability.
* Collaborate with various Investment Management departments to gain a better understanding of new data patterns.
* Collaborate with Data Analysts, Data Architects, and BI developers to ensure design and development of scalable data solutions aligning with business goals.
* Translate high\-level business requirements into detailed technical specs.
**The Minimum Qualifications** 
* Bachelor’s degree in Computer Science, Engineering, Information Systems or related technical field.
* 8\+ years of experience with data analytics, data modeling, and database design.
* 5\+ years experience with ELT methodologies and tools.
* 5\+ years experience in designing, developing, tuning and troubleshooting SQL.
* 3\+ years of coding and scripting (Python, Java, Scala) and design experience.
* 2\+ years of experience with Spark framework.
**The Ideal Qualifications** 
* Knowledge of Informatica Power center and Informatica IDMC.
* Knowledge of distributed, column\- orientated technology to create high\-performant database technologies like \- Vertica, Snowflake.
* Strong data analysis skills for extracting insights from financial data
* Proficiency in reporting tools (e.g., Power BI, Tableau).
* Domain knowledge of Investment Management operations including Security Masters, Securities Trade and Recon Operations, Reference data management, Pricing.
* Familiarity with regulatory requirements and compliance standards in the investment management industry.
* Experience with IBOR’s such as Blackrock Alladin, CRD, Eagle STAR (ABOR), Eagle Pace, and Eagle DataMart.
* Familiarity with investment data platforms such as GoldenSource, FINBOURNE, NeoXam, RIMES, and JPM Fusion.
* Strong analytical and problem\-solving abilities.
* Exceptional communication and interpersonal skills.
* Ability to influence and motivate teams without direct authority.
* Excellent time management and organizational skills, with the ability to prioritize multiple initiatives.
 MassMutual is an equal employment opportunity employer. We welcome all persons to apply.
 If you need an accommodation to complete the application process, please contact us and share the specifics of the assistance you need.
 California residents: For detailed information about your rights under the California Consumer Privacy Act (CCPA), please visit our California Consumer Privacy Act Disclosures page.</t>
        </is>
      </c>
    </row>
    <row r="6">
      <c r="A6" t="inlineStr">
        <is>
          <t>li-4317203984</t>
        </is>
      </c>
      <c r="B6" t="inlineStr">
        <is>
          <t>Data Engineer</t>
        </is>
      </c>
      <c r="C6" t="inlineStr">
        <is>
          <t>Carrot</t>
        </is>
      </c>
      <c r="D6" t="inlineStr">
        <is>
          <t>linkedin</t>
        </is>
      </c>
      <c r="E6" t="inlineStr"/>
      <c r="F6" t="inlineStr"/>
      <c r="G6" t="inlineStr"/>
      <c r="H6" t="inlineStr"/>
      <c r="I6" t="inlineStr">
        <is>
          <t>**About Carrot:** 
 Carrot is a global, comprehensive fertility and family care platform, supporting members and their families through many of life's most memorable moments. Trusted by many of the world’s leading multinational employers, health plans, and health systems, Carrot’s proven clinical program delivers exceptional outcomes and experiences for members and industry\-leading cost\-savings for employers. Its award\-winning products serve all populations, from preconception care through pregnancy, IVF, male factor infertility, adoption, gestational carrier care, and menopause. Carrot offers localized support in over 170 countries and 25 languages. With a comprehensive program that prioritizes clinical excellence and human\-centered care, Carrot supports members and their families through many of the most meaningful moments of their lives. Learn more at get\-carrot.com.
 Role overview
 The Data Engineer helps evolve the reliability and scalability of Carrot’s modern data platform across analytics, reporting, and business intelligence. They build and maintain robust, automated data pipelines and partner with cross\-functional stakeholders to deliver secure, compliant, high\-quality data solutions.
 This role is hands\-on across the data lifecycle—contributing to resilient ETL/ELT pipelines, real\-time and batch integrations, and workflow orchestration—while steadily improving automation, cost efficiency, and documentation quality.
 You will improve the reliability and scalability of Carrot’s data platform, reduce manual operational risk through automation, and enable stakeholders with secure, high\-quality data—while growing your scope toward deeper ownership and technical leadership over time.
 Key responsibilities
 * Data pipeline development and operations: Build, test, deploy, monitor, and iterate on scalable ETL/ELT pipelines using platforms such as dbt and Fivetran; contribute to standard workflows (e.g., member engagement, finance/billing reports) and support ad hoc reporting needs.
* Warehouse and lake stewardship: Contribute to the design and continuous improvement of Snowflake and related cloud data platforms (AWS/GCP), including source integrations, performance tuning, and cost optimizations.
* Workflow orchestration and integrations: Develop auditable orchestration flows with tools like Prefect or Airflow; integrate with services such as S3, SFTP, APIs, and Files.com: Next\-Generation MFT, SFTP \&amp; File Sharing ; implement robust alerting, retries, and monitoring.
* Infrastructure optimization: Identify opportunities to improve pipeline speed, reliability, and cost; help refactor legacy processes, reduce manual steps, and document changes for scale and reuse.
* Partner\- and stakeholder\-facing deliverables: Support automated data integrations and exports (e.g., eligibility feeds, payroll/tax/billing files) with finance, product, legal, and commercial teams; help enforce data specs and secure handling of sensitive information.
* Change management and auditability: Follow best practices for Git/GitHub, code reviews, testing, Jira workflows, audit\-trail documentation, and exception logging; uphold InfoSec and compliance standards across the data lifecycle.
* Analytics enablement: Help design modular, well\-documented data models and marts (dbt/Snowflake) that enable BI and data science use cases (e.g., segmentation, provider matching, engagement analytics).
* Incident participation and support: Participate in on\-call or escalation routines for high\-impact data incidents; assist with root\-cause analysis, remediation, and clear stakeholder communications.
* Process automation: Codify business rules and automate recurring cycles (e.g., monthly finance handoffs, audit logs) to reduce manual intervention and operational risk.
* Data security and governance: Implement privacy\-conscious practices such as masking and de\-identification; contribute to safe, compliant access across the stack and external data exchanges.
 Minimum qualifications
 * Proficiency with Snowflake, dbt, and Python for data modeling, transformations, and pipeline development in production environments.
* Strong SQL skills for complex querying and performance optimization across large datasets.
* Experience building and maintaining automated ETL/ELT pipelines using orchestration tools such as Prefect or Airflow, including alerting, dependency management, and retries.
* Hands\-on exposure to cloud data platforms (e.g., Snowflake, AWS S3/Redshift, Google Cloud) and integrating new data sources at scale.
* Understanding of secure external data flows via SFTP, Files.com: Next\-Generation MFT, SFTP \&amp; File Sharing, and APIs, with attention to reliability and compliance requirements.
* Comfort with Git/GitHub and Jira for version control, code reviews, and operational transparency in a team setting.
* Track record of automating manual workflows and creating reusable components that reduce operational overhead.
* Collaborative, dependable working style with adaptability in dynamic environments and clear communication with technical and non\-technical partners.
 Preferred qualifications
 * Experience in fast\-paced or growth environments delivering data solutions under shifting priorities and timelines.
* Background enabling BI and data science teams via scalable integrations, data marts, and documentation that supports multi\-tenant reporting or advanced analytics.
* Familiarity with batch and event\-driven paradigms, including near\-real\-time pipelines using Snowflake, dbt, and Python.
* Experience automating operational, financial, or compliance\-driven workflows in cloud data environments.
* Exposure to audit, privacy, and compliance frameworks (e.g., SOC, HIPAA, GDPR, ISO, SOX) and role\-based access controls in regulated or healthtech contexts.
**Compensation:** 
 Carrot offers a comprehensive Total Rewards package designed to support our employees in all aspects of their lives both inside and outside of work. This includes health and wellness benefits, retirement savings plans, short\- and long\-term incentives, parental leave, family\-forming assistance, and a competitive compensation package. The starting base salary for this position will range from $104,000\.00 to $130,000\.00\. Actual compensation may differ from the listed base salary based on your specific skills and experience. 
 Fraud and Security Notice: Please note that all communication regarding job opportunities at Carrot will come exclusively from an @get\-carrot.com email address. If you receive messages from any other domain, please disregard them and report the incident to: securityreporting@get\-carrot.com
**Why Carrot?** 
 Carrot has received national and international recognition for its pioneering work, including Fast Company's Most Innovative Companies and World Changing Ideas, Inc. Power Partners, and Modern Healthcare’s Innovators. Carrot’s global workforce has been acknowledged with several accolades, including Fortune’s Best Workplaces in Healthcare, Great Place to Work, and Age\-Friendly Employer certifications. Carrot is regularly featured in media reporting on issues related to the future of work, women in leadership, and healthcare innovation, including MSNBC, The Economist, Bloomberg, The Wall Street Journal, CNBC, National Public Radio, Harvard Business Review, and more. Learn more at carrotfertility.com.</t>
        </is>
      </c>
    </row>
    <row r="7">
      <c r="A7" t="inlineStr">
        <is>
          <t>li-4321099635</t>
        </is>
      </c>
      <c r="B7" t="inlineStr">
        <is>
          <t>Data Engineer I/II (Remote - US)</t>
        </is>
      </c>
      <c r="C7" t="inlineStr">
        <is>
          <t>BNSF Railway</t>
        </is>
      </c>
      <c r="D7" t="inlineStr">
        <is>
          <t>linkedin</t>
        </is>
      </c>
      <c r="E7" t="inlineStr"/>
      <c r="F7" t="inlineStr"/>
      <c r="G7" t="inlineStr"/>
      <c r="H7" t="inlineStr"/>
      <c r="I7" t="inlineStr">
        <is>
          <t>**be part of a team that values safety, inclusion, and excellence**
 we are one of the largest U.S. railroads transporting the nation’s freight across 28 western states and 3 Canadian provinces. as a member of our team, you will play a role in supporting the movement of essential products and materials that help feed, clothe, supply, and power communities throughout America and the world.
**bnsf \| tech:** 
 innovating and transforming the future of freight rail
**bnsf \| tech** 
 is the technology division making BNSF the preeminent freight and mobility company in north america.
**are you ready to drive change?**
 if you are passionate about making a difference and eager to advance your career in a dynamic and supportive environment, we want you on our team! join us in reshaping the future of freight rail and discover a fulfilling career where your contributions matter.
 we are committed to a culture where all employees are included, belong, and have equal opportunity to achieve their full potential. Come make a difference with us!
**Learn More About BNSF And Our Benefits**
**Job Location:** 
 Remote US
**Anticipated Start Date:** 
 01/01/2026
 The US base salary range for this full\-time position is provided below:
**Salary Range:** 
 $93,750\-$175,000
 The range represents the amount bnsf \| tech reasonably expects to pay for the position based on the level, scope, and responsibilities of the role.  Individual compensation and level of position offered is determined by the hiring location and additional factors including but not limited to job\-related skills, experience, and relevant education or training. In addition to base pay and bonus eligibility, BNSF offers a comprehensive benefits package.
**This is a full\-time remote** 
 position. Employees may work from anywhere within the contiguous 48 states of the United States
**Travel is up to 20%.** 
 Employees will be required to occasionally travel to our corporate headquarters in Fort Worth, TX for in person meetings. Travel expenses for business needs will be covered by BNSF
 This position is open to candidates who are currently authorized to work in the United States. We are also open to sponsoring H\-1B transfers, TN nonimmigrant status, and STEM OPT candidates with at least 2 years of remaining eligibility.
 Apply early as this job may be removed or filled prior to the closing date, which is approximately seven (7\) days after the posting date.
**data \&amp; ai:** 
 lead our charge into the future as an ai company by transforming our data assets into a real time enterprise.
**Key Responsibilities May Include**
**Design and implement** 
 data streaming solutions to process real\-time data efficiently.
**Develop and maintain** 
 robust data pipelines for both real time and batch processing including data extraction, transformation and ETL processes to ensure seamless data flow across systems.
**Create and manage** 
 large scale data warehouses to ensure efficient data access and retrieval in support of business intelligence and analytics needs.
**Develop** 
 certified datasets by integrating data from diverse data sources to ensure data accuracy, consistency and reliability.
**Collaborate** 
 with data scientists, analysts, and other stakeholders to understand data requirements and deliver effective data solutions.
**Optimize** 
 data workflows, monitor data pipelines and troubleshoot issues to ensure high performance, reliable and scalable data flows.
**Ensure** 
 data security and compliance with industry standards and regulations.
**Stay current** 
 with industry trends and advancements in data engineering, data science and machine learning
**Write** 
 efficient and well documented code ensuring unit tests documentation for all data solutions.
**Implement** 
 data engineering solutions into data platforms or production systems by leading the solution design, development, testing, and monitoring
*The duties and responsibilities in this posting are representative categories to be used in deciding whether to apply for this position. This is not an exhaustive list of the position’s duties.*
 At BNSF Railway, we encourage individuals from all backgrounds to apply, showcasing their skills, experiences and development. We provide resources and tools to help you reach your full potential, fostering a supportive and inclusive environment.
**Basic Qualifications**
* Authorized to work in the US.
* Minimum of 2 years of experience in software engineering, data engineering, database management, or relevant experience.
* Proficiency in programming languages such as Python, SQL, Java
* Strong understanding of data warehousing concepts including dimensional modeling and star schema.
* Experience with ETL processes and tools including cloud based solutions
* Familiarity with database management systems (e.g., SQL, NoSQL) and modern lakehouse technologies (eg. Apache Iceberg, Delta Lake, Apache Trino)
* Experience with data streaming technologies (e.g., Apache Kafka, AWS Kinesis, Apache Flink and Apache Spark)
* Experience in data engineering, with a focus on data streaming, data pipelines, data orchestration tools, datamart creation, and certified datasets
* Excellent problem\-solving skills and attention to detail
* Strong communication and collaboration skills
* Intellectual curiosity and ability to thrive in a team environment that is constantly changing
* Demonstrated ability to learn new technical concepts and to adapt to new technologies quickly
* Ability to communicate in a clear, concise, professional oral or written manner, to be understood by technical and non\-technical colleagues
**Preferred Qualifications**
* Able to work now and in the future without BNSF’s assistance (whether monetary, through sponsorship, or otherwise) in obtaining, maintaining, or extending employment authorization (including H\-1B, STEM OPT/CPT, or TN nonimmigrant status).
* Bachelor's degree in Computer Science, Information Technology or a related field
* Experience in DevSecOps standards, source control systems and tools like Jenkins, GitHub
* Prior experience with Data Engineering tools and architectures
* Experience in Rail, Shipping, Airline, Logistics, Warehousing, Supply Chain, or other Transportation industries or experience in a High\-Tech industry
* Experience working in an Agile environment (Scrum, Kanban, SAFe)
* Experience with cloud platforms
* Proficiency in using Jupyter for collaborative data analysis
* Experience with open\-source technologies and tools
* Have knowledge of geospatial data transformation and spatial libraries
**At BNSF, you will have access to a comprehensive and competitive benefits package including:**
* An industry\-leading 401(k) and renowned Railroad Retirement program.
* A range of robust health care options for you and your dependents (including domestic partners), including medical, dental, vision, telemedicine, mental health, cancer support, and high\-quality care network options.
* Health care spending accounts (HSA) with employer contributions, as well as life and disability insurance, provided at no cost.
* Family benefits including parental, pediatric and family building support, adoption and surrogacy reimbursement, and dependent care spending account (with employer match).
* Access to discounts on travel, gym memberships, counseling services and wellness support.
* Annual bonus (Incentive Compensation Program)
* Generous leave / time off policies.
* For more information, visit Benefits.
 Please be aware of potential fraud that can occur when searching for new career opportunities. Please review our FAQ for more information and awareness.
 All positions require pre\-employment background verification.
 BNSF Railway is an Equal Opportunity Employer, all qualified applicants receive consideration for employment without regard to race, color, religion, sex, sexual orientation, gender identity, national origin, disability or protected veteran status.</t>
        </is>
      </c>
    </row>
    <row r="8">
      <c r="A8" t="inlineStr">
        <is>
          <t>li-4316165804</t>
        </is>
      </c>
      <c r="B8" t="inlineStr">
        <is>
          <t>Data Engineer — Analytics Infrastructure (Foundational Hire)</t>
        </is>
      </c>
      <c r="C8" t="inlineStr">
        <is>
          <t>Vast.ai</t>
        </is>
      </c>
      <c r="D8" t="inlineStr">
        <is>
          <t>linkedin</t>
        </is>
      </c>
      <c r="E8" t="inlineStr"/>
      <c r="F8" t="inlineStr"/>
      <c r="G8" t="inlineStr">
        <is>
          <t>Los Angeles, CA</t>
        </is>
      </c>
      <c r="H8" t="inlineStr"/>
      <c r="I8" t="inlineStr">
        <is>
          <t>**About Us**
**Vision: To make life substrate independent through Vast Artificial Intelligence**
**Mission: To organize, optimize, and orient the world's computation**
 Vast.ai’s cloud powers AI projects and businesses all over the world. We are democratizing and decentralizing AI computing—reshaping our future for the benefit of humanity.
 We are a growing and highly motivated team dedicated to an ambitious technical plan. Our structure is flat, our ambitions are out‑sized, and leadership is earned by shipping excellence.
 We seek a data engineer with strong intrinsic drive, a true passion for uncovering insights from data, and a mix of analytical, programming, and communication skills.
**LOCATION:** 
 On‑site at our office in Westwood, Los Angeles
**TYPE:** 
 Full‑time
* On‑site
* Immediate start preferred REPORTS TO: Operations (partnering closely with Engineering)
**About the Role**
 This is a foundational role: you’ll own the 0→1 build of our data platform—ingestion, modeling, governance, and self‑serve analytics in QuickSight—for Marketing, Sales, Accounting, and leadership. We’re hiring a Data Engineer to build and own the end‑to‑end data platform at Vast.ai.
 This is a hands‑on role for a builder who can move fast: designing schemas, implementing ELT/ETL, hardening data quality, and enabling secure, governed access to data across the company.
**Full\-time**
**On\-site** 
 at our LA office
 What You’ll Do
* Own the data pipeline: design, build, and operate batch/streaming ingestion from product, billing, CRM, support, and marketing/ad platforms into a central warehouse.
* Model the data: create clean, well‑documented staging and business marts (dimensional/star schemas) that map to the needs of Marketing, Sales, Accounting/Finance, and Operations.
* Enable: publish certified datasets with row‑/column‑level security, manage refresh SLAs, and make it easy for teams to self‑serve.
* Collaborate cross‑functionally: intake requirements, translate them into data contracts and models, and partner with Engineering on event/telemetry capture.
* Document \&amp; scale: maintain clear docs, lineage, and a pragmatic data catalog so others can discover and trust the data.
**Tech Stack**
 Our current environment includes PostgreSQL, Python, SQL, and QuickSight. You’ll lead the next step‑function in maturity using a pragmatic, AWS‑centric stack such as:
* AWS: S3, Glue/Athena or Redshift, Lambda/Step Functions, IAM/KMS
* Orchestration \&amp; Modeling: Airflow or Dagster; dbt (or equivalent SQL modeling)
* Data Quality \&amp; Observability: built‑in checks or tools like Great Expectations
* Source Connectivity: APIs/webhooks; optionally Airbyte/Fivetran for managed connectors
* Versioning/Infra: Git/GitHub Actions; Terraform (nice to have)
* Marketing attribution: Segment io, Posthog, others
*(We’re flexible on exact tools—strong fundamentals matter most.)*
**Qualifications**
**Must‑have**
* 3\+ years (typically 3–6\) in a Data Engineering role building production ELT/ETL on a cloud platform (AWS strongly preferred).
* Expert SQL and solid Python for data processing/automation.
* Proven experience designing data models (staging, marts, star schemas) and standing up a warehouse/lakehouse.
* Orchestration, scheduling, and operational ownership (SLAs, alerting, runbooks).
* Experience enabling a BI layer (ideally QuickSight) with secure, governed datasets.
* Strong collaboration and communication; able to gather requirements from non‑technical stakeholders and translate to data contracts.
**Nice‑to‑have**
* Marketing/Sales/RevOps data (CRM, ads, attribution), Accounting/Finance integrations, or product telemetry/event pipelines.
* Stream processing (Kafka/Kinesis), CDC, or near‑real‑time ingestion.
* Data privacy/security best practices (e.g., CPRA), partitioning/performance tuning, and cost management on AWS.
 90‑Day Outcomes
* Inventory \&amp; architecture: clear map of sources, proposed target architecture, and a prioritized backlog aligned with Ops/Engineering.
* First pipelines live: automated ingestion \+ core staging tables with data quality checks and alerts.
* Business marts: at least two curated domains live (e.g., Marketing \&amp; Sales) powering certified QuickSight datasets for stakeholders.
* Runbook \&amp; docs: onboarding‑ready documentation, lineage, and incident playbooks.
 Interview Process (≈ 1 week)
* 15 min — Initial screening (virtual)
* 45 min — Architecture deep‑dive into our data environment and target platform (virtual)
* 2 hours — On‑site practical: build/modify a small ETL \+ modeling exercise; discuss trade‑offs, quality, and ops
**Annual Salary Range**
 $140,000 – $190,000 \+ equity \+ benefits
**Benefits**
* Comprehensive health, dental, vision, and life insurance
* 401(k) with company match
* Meaningful early\-stage equity
* Onsite meals, snacks, and close collaboration with founders/tech leaders
* Ambitious, fast\-paced startup culture where initiative is rewarded</t>
        </is>
      </c>
    </row>
    <row r="9">
      <c r="A9" t="inlineStr">
        <is>
          <t>li-4352644070</t>
        </is>
      </c>
      <c r="B9" t="inlineStr">
        <is>
          <t>Senior Analytics Engineer</t>
        </is>
      </c>
      <c r="C9" t="inlineStr">
        <is>
          <t>LOOP</t>
        </is>
      </c>
      <c r="D9" t="inlineStr">
        <is>
          <t>linkedin</t>
        </is>
      </c>
      <c r="E9" t="inlineStr"/>
      <c r="F9" t="inlineStr"/>
      <c r="G9" t="inlineStr">
        <is>
          <t>Austin, Texas Metropolitan Area</t>
        </is>
      </c>
      <c r="H9" t="inlineStr"/>
      <c r="I9" t="inlineStr">
        <is>
          <t>**About the Opportunity:** 
 We’re partnering with a client on a Senior Analytics Engineer role supporting a large\-scale enterprise data modernization initiative.
 This role sits at the intersection of data engineering and analytics, focused on building analytics\-ready data models in a modern Databricks lakehouse to support enterprise reporting, forecasting, and operational insights.
 Austin, TX; Hybrid
**What You’ll Do:** 
* Build and optimize Silver/Gold data models in Databricks using SQL, Spark, and Delta Lake
* Translate business and analytical requirements into scalable, governed data transformations
* Develop enterprise data models across CRM and operational systems (Salesforce experience strongly preferred)
* Partner with data engineering and BI teams to support semantic layers, KPIs, and downstream reporting
* Drive data quality, performance optimization, and documentation standards
**What We’re Looking For:** 
* 5\+ years of analytics engineering or data modeling experience in Databricks
* 3\+ years of Salesforce experience
* Strong SQL and PySpark skills with modern lakehouse and dimensional modeling experience
* Ability to bridge business context with technical execution in an enterprise environment</t>
        </is>
      </c>
    </row>
    <row r="10">
      <c r="A10" t="inlineStr">
        <is>
          <t>li-4345358934</t>
        </is>
      </c>
      <c r="B10" t="inlineStr">
        <is>
          <t>Data Engineer</t>
        </is>
      </c>
      <c r="C10" t="inlineStr">
        <is>
          <t>AARATECH</t>
        </is>
      </c>
      <c r="D10" t="inlineStr">
        <is>
          <t>linkedin</t>
        </is>
      </c>
      <c r="E10" t="inlineStr"/>
      <c r="F10" t="inlineStr"/>
      <c r="G10" t="inlineStr"/>
      <c r="H10" t="inlineStr"/>
      <c r="I10" t="inlineStr">
        <is>
          <t>**Location:** 
 United States (Remote / On\-site – based on client needs)
**Employment Type:** 
 Full\-time (Contract or Contract\-to\-Hire)
**Experience Level:** 
 Entry\-level (0–2 years)
**Company:** 
 Aaratech Inc
 🛑
 **Eligibility:** 
 Open to U.S. Citizens and Green Card holders only. We do not offer visa sponsorship.
 🔍
 **About Aaratech Inc** 
 Aaratech Inc is a specialized IT consulting and staffing company focused on placing talented individuals across data, cloud, and software disciplines. We work with top U.S. enterprises to deliver long\-term roles, competitive compensation, and opportunities to grow in modern data environments.
 🎯
 **Position Overview** 
 We are seeking a
 **Junior Data Analyst** 
 with 0–2 years of experience to support data analysis, reporting, and dashboard development for enterprise clients. This role is ideal for early\-career candidates who want to gain hands\-on experience working with real\-world datasets, analytical tools, and business teams. You will collaborate with senior analysts and data engineers to deliver clean, reliable insights that support business decisions.
 🛠️
 **Key Responsibilities** 
* Assist in analyzing datasets to identify trends and insights
* Support the creation of dashboards and reports using Power BI, Tableau, or Excel
* Write basic SQL queries for data extraction and validation
* Clean, organize, and prepare datasets for analysis
* Document findings and prepare simple data summaries for business teams
* Collaborate with senior analysts on KPIs, metrics, and data requirements
* Help with data quality checks and troubleshoot data discrepancies
* Maintain documentation for reports, dashboards, and data processes
 ✅
 **Required Skills \&amp; Experience** 
* 0–2 years of experience in Data Analysis or a related field
* Basic proficiency in SQL
* Hands\-on experience with Excel (pivot tables, formulas, charts)
* Familiarity with any BI tool (Power BI, Tableau, or Looker)
* Understanding of data cleaning, validation, and analytical concepts
* Knowledge of Python (optional but preferred) for basic data manipulation
* Strong attention to detail and analytical thinking
* Good communication skills and willingness to learn
 ⭐
 **Nice to Have** 
* Exposure to data visualization tools or dashboard building
* Familiarity with data models or basic statistics
* Internship or academic projects related to data analysis
* Experience with Google Analytics, Power Query, or data cleansing tools
* Understanding of cloud platforms (AWS/GCP/Azure) at a basic level</t>
        </is>
      </c>
    </row>
    <row r="11">
      <c r="A11" t="inlineStr">
        <is>
          <t>li-4360752574</t>
        </is>
      </c>
      <c r="B11" t="inlineStr">
        <is>
          <t>Data Engineer</t>
        </is>
      </c>
      <c r="C11" t="inlineStr">
        <is>
          <t>Calyptus</t>
        </is>
      </c>
      <c r="D11" t="inlineStr">
        <is>
          <t>linkedin</t>
        </is>
      </c>
      <c r="E11" t="inlineStr"/>
      <c r="F11" t="inlineStr"/>
      <c r="G11" t="inlineStr">
        <is>
          <t>New York, United States</t>
        </is>
      </c>
      <c r="H11" t="inlineStr"/>
      <c r="I11" t="inlineStr">
        <is>
          <t>**Want to put your job search on autopilot? Join our platform, complete a 6\-minute AI screening interview, and get auto\-applied to 100s of high\-paying roles.** 
**Sign up now at https://app.calyptus.co/auth/candidate/sign\-up and let the opportunities come to you.** 
 \_\_\_\_\_\_\_\_\_\_\_\_\_\_\_\_\_\_\_\_\_\_\_\_\_\_\_\_\_\_\_\_\_\_\_\_\_\_\_\_\_\_\_\_\_\_\_\_\_\_\_\_\_\_\_\_\_\_\_\_
**Responsibilities** 
* Build reliable pipelines to ingest on\-chain data into ClickHouse (or similar OLAP systems)
* Interact with Solana full nodes or RPC infrastructure to extract raw blockchain data
* Design and maintain dashboards to visualize key metrics
* Maintain data accuracy, uptime, and performance of analytics services
* Extract and process validator performance metrics and staking rewards data
**Requirements** 
* Deep familiarity with ClickHouse, Grafana, or equivalent data/visualization stacks
* 3\+ years of experience with Python and shell scripting
* 2\+ years of experience with Rust
* Experience with blockchain indexers or off\-chain data APIs
* Bonus: Understanding of Solana's account model, transaction structure, and program architecture
 \_\_\_\_\_\_\_\_\_\_\_\_\_\_\_\_\_\_\_\_\_\_\_\_\_\_\_\_\_\_\_\_\_\_\_\_\_\_\_\_\_\_\_\_\_\_\_\_\_\_\_\_\_\_\_\_\_\_\_\_
**Want to put your job search on autopilot? Join our platform, complete a 6\-minute AI screening interview, and get auto\-applied to 100s of high\-paying roles.** 
**Sign up now at https://app.calyptus.co/auth/candidate/sign\-up and let the opportunities come to you.**</t>
        </is>
      </c>
    </row>
    <row r="12">
      <c r="A12" t="inlineStr">
        <is>
          <t>li-4351872899</t>
        </is>
      </c>
      <c r="B12" t="inlineStr">
        <is>
          <t>Analytics and BI Engineer</t>
        </is>
      </c>
      <c r="C12" t="inlineStr">
        <is>
          <t>Acuity Analytics</t>
        </is>
      </c>
      <c r="D12" t="inlineStr">
        <is>
          <t>linkedin</t>
        </is>
      </c>
      <c r="E12" t="inlineStr"/>
      <c r="F12" t="inlineStr"/>
      <c r="G12" t="inlineStr"/>
      <c r="H12" t="inlineStr"/>
      <c r="I12" t="inlineStr">
        <is>
          <t>Essential skills
* Bachelor’s degree in computer science, Engineering, or a related field
* Overall, 7 years of experience working in the software development, engineering, and analytics field
* 2\+ years of hands\-on experience developing applications with Streamlit and Python.
* Excellent Python and SQL proficiency
* Experience integrating applications with cloud data warehouses and REST APIs.
* Experience with dimensional data models and data shaping techniques.
* Strong UI/UX design skills, including wireframe creation and user flow development.
* Working experience of snowflake for data integrations
 Good\-to\-Have
* Familiarity with HTML, CSS, and JavaScript for UI enhancements is a plus.
* Understanding software development best practices, version control (Git), and CI/CD.
 Key Responsibilities
* Design, develop, and maintain interactive web applications using Streamlit and Python.
* Build and optimize live dashboards, reports, and data apps on Streamlit platform.
* Integrate applications with cloud data warehouses (Snowflake) and APIs for dynamic data handling.
* Translate business requirements into functional, visually appealing applications and dashboards.
* Collaborate with cross\-functional teams to gather requirements, create wireframes, and develop intuitive user interfaces.
* Implement authentication, access control, and security best practices in all applications.
* Optimize application performance, responsiveness, and user experience.
* Provide technical support, troubleshooting, and performance optimization for deployed solutions.
* Document codebase, workflows, and deployment processes.
* Contribute to Agile development processes, including sprint planning and delivery.
 Key Metrics
* Python, SQL, Streamlit, Snowflake
* Data Lakehouse principles
* UI/UX exposure</t>
        </is>
      </c>
    </row>
    <row r="13">
      <c r="A13" t="inlineStr">
        <is>
          <t>li-4351848873</t>
        </is>
      </c>
      <c r="B13" t="inlineStr">
        <is>
          <t>Data Engineer</t>
        </is>
      </c>
      <c r="C13" t="inlineStr">
        <is>
          <t>AARATECH</t>
        </is>
      </c>
      <c r="D13" t="inlineStr">
        <is>
          <t>linkedin</t>
        </is>
      </c>
      <c r="E13" t="inlineStr"/>
      <c r="F13" t="inlineStr"/>
      <c r="G13" t="inlineStr"/>
      <c r="H13" t="inlineStr"/>
      <c r="I13" t="inlineStr">
        <is>
          <t>Job Title: Data Engineer – Retail / E\-Commerce
 🏢 Company: Aaratech Inc
 🛑 Eligibility: Only U.S. Citizens and Green Card holders are eligible.
 Please note that we do not offer visa sponsorship.
 Job Summary:
 Aaratech Inc. is seeking a results\-driven
 **Data Engineer – Retail / E\-Commerce** 
 to support customer, sales, and product data platforms. The role focuses on building scalable pipelines that enable real\-time and batch analytics for business growth.
 Key Responsibilities:
 🔹 Data Pipeline Development
 Develop and maintain data pipelines for sales, customer, and product data.
 Integrate data from e\-commerce platforms and marketing systems.
 🔹 Data Modeling
 Design data models to support analytics and BI reporting.
 Optimize performance and scalability.
 🔹 Data Quality
 Ensure data accuracy, completeness, and consistency.
 Implement monitoring and error\-handling processes.
 🔹 Collaboration
 Work closely with data analysts, product, and marketing teams.
 🔹 Tools \&amp; Technologies
 Use SQL, Python, ETL tools, and cloud data platforms.
 Qualifications:
 ✅ Bachelor’s degree in Computer Science, Engineering, or related field
 ✅ Minimum 2 years of Data Engineering experience
 ✅ Strong SQL and Python skills
 ✅ Experience with data pipelines and analytics platforms
 ✅ Retail or e\-commerce data experience preferred
 ✅ Strong problem\-solving skills</t>
        </is>
      </c>
    </row>
    <row r="14">
      <c r="A14" t="inlineStr">
        <is>
          <t>li-4332548976</t>
        </is>
      </c>
      <c r="B14" t="inlineStr">
        <is>
          <t>Data Engineer</t>
        </is>
      </c>
      <c r="C14" t="inlineStr">
        <is>
          <t>AARATECH</t>
        </is>
      </c>
      <c r="D14" t="inlineStr">
        <is>
          <t>linkedin</t>
        </is>
      </c>
      <c r="E14" t="inlineStr"/>
      <c r="F14" t="inlineStr"/>
      <c r="G14" t="inlineStr"/>
      <c r="H14" t="inlineStr"/>
      <c r="I14" t="inlineStr">
        <is>
          <t>Job Title: Data Engineer – Retail / E\-Commerce
 🏢 Company: Aaratech Inc
 🛑 Eligibility: Only U.S. Citizens and Green Card holders are eligible.
 Please note that we do not offer visa sponsorship.
 Job Summary:
 Aaratech Inc. is seeking a results\-driven
 **Data Engineer – Retail / E\-Commerce** 
 to support customer, sales, and product data platforms. The role focuses on building scalable pipelines that enable real\-time and batch analytics for business growth.
 Key Responsibilities:
 🔹 Data Pipeline Development
 Develop and maintain data pipelines for sales, customer, and product data.
 Integrate data from e\-commerce platforms and marketing systems.
 🔹 Data Modeling
 Design data models to support analytics and BI reporting.
 Optimize performance and scalability.
 🔹 Data Quality
 Ensure data accuracy, completeness, and consistency.
 Implement monitoring and error\-handling processes.
 🔹 Collaboration
 Work closely with data analysts, product, and marketing teams.
 🔹 Tools \&amp; Technologies
 Use SQL, Python, ETL tools, and cloud data platforms.
 Qualifications:
 ✅ Bachelor’s degree in Computer Science, Engineering, or related field
 ✅ Minimum 2 years of Data Engineering experience
 ✅ Strong SQL and Python skills
 ✅ Experience with data pipelines and analytics platforms
 ✅ Retail or e\-commerce data experience preferred
 ✅ Strong problem\-solving skills</t>
        </is>
      </c>
    </row>
    <row r="15">
      <c r="A15" t="inlineStr">
        <is>
          <t>li-4345398957</t>
        </is>
      </c>
      <c r="B15" t="inlineStr">
        <is>
          <t>Data Engineer</t>
        </is>
      </c>
      <c r="C15" t="inlineStr">
        <is>
          <t>AARATECH</t>
        </is>
      </c>
      <c r="D15" t="inlineStr">
        <is>
          <t>linkedin</t>
        </is>
      </c>
      <c r="E15" t="inlineStr"/>
      <c r="F15" t="inlineStr"/>
      <c r="G15" t="inlineStr"/>
      <c r="H15" t="inlineStr"/>
      <c r="I15" t="inlineStr">
        <is>
          <t>Job Title: Data Engineer – Healthcare
 🏢 Company: Aaratech Inc
 🛑 Eligibility: Only U.S. Citizens and Green Card holders are eligible.
 Please note that we do not offer visa sponsorship.
 Job Summary:
 Aaratech Inc. is seeking a skilled and detail\-oriented
 **Data Engineer – Healthcare** 
 to design, build, and maintain data pipelines that support healthcare analytics and reporting. The ideal candidate will work with large healthcare datasets to ensure data reliability, scalability, and availability for analytics and decision\-making.
 Key Responsibilities:
 🔹 Data Pipeline Development
 Design, build, and maintain scalable ETL/ELT pipelines for healthcare data.
 Integrate data from multiple internal and external sources.
 🔹 Data Engineering \&amp; Storage
 Develop and manage data warehouses and data lakes.
 Optimize data models for performance and analytics use cases.
 🔹 Data Quality \&amp; Reliability
 Ensure data accuracy, consistency, and integrity across systems.
 Implement monitoring and validation checks.
 🔹 Collaboration
 Work with data analysts, business teams, and IT stakeholders.
 Support analytics and reporting requirements.
 🔹 Tools \&amp; Technologies
 Use SQL, Python, cloud platforms, and ETL tools.
 Qualifications:
 ✅ Bachelor’s degree in Computer Science, Engineering, or related field
 ✅ Minimum 2 years of Data Engineering experience
 ✅ Strong SQL and Python skills
 ✅ Experience with data pipelines and data warehouses
 ✅ Knowledge of healthcare data is a plus
 ✅ Strong problem\-solving and communication skills</t>
        </is>
      </c>
    </row>
    <row r="16">
      <c r="A16" t="inlineStr">
        <is>
          <t>li-4351868983</t>
        </is>
      </c>
      <c r="B16" t="inlineStr">
        <is>
          <t>Data Engineer</t>
        </is>
      </c>
      <c r="C16" t="inlineStr">
        <is>
          <t>AARATECH</t>
        </is>
      </c>
      <c r="D16" t="inlineStr">
        <is>
          <t>linkedin</t>
        </is>
      </c>
      <c r="E16" t="inlineStr"/>
      <c r="F16" t="inlineStr"/>
      <c r="G16" t="inlineStr"/>
      <c r="H16" t="inlineStr"/>
      <c r="I16" t="inlineStr">
        <is>
          <t>Job Title: Data Engineer – CRM / Salesforce
 🏢 Company: Aaratech Inc
 🛑 Eligibility: Only U.S. Citizens and Green Card holders are eligible.
 Please note that we do not offer visa sponsorship.
 Job Summary:
 Aaratech Inc. is seeking a skilled
 **Data Engineer – CRM / Salesforce** 
 to support customer and sales data integration initiatives. The ideal candidate will ensure reliable data pipelines and data models for CRM analytics and reporting.
 Key Responsibilities:
 🔹 Data Integration
 Build and maintain pipelines to extract and load CRM/Salesforce data.
 Integrate CRM data with enterprise data platforms.
 🔹 Data Engineering
 Design data models to support sales and marketing analytics.
 Optimize data pipelines for performance.
 🔹 Data Quality
 Ensure CRM data accuracy and consistency.
 Support data validation and governance processes.
 🔹 Collaboration
 Work with sales, marketing, and analytics teams.
 🔹 Tools \&amp; Technologies
 Use SQL, Python, ETL tools, Salesforce connectors, and cloud platforms.
 Qualifications:
 ✅ Bachelor’s degree in Computer Science, Engineering, or related field
 ✅ 2\+ years of Data Engineering experience
 ✅ Strong SQL and Python skills
 ✅ Experience with CRM or Salesforce data preferred
 ✅ Strong analytical and communication skills</t>
        </is>
      </c>
    </row>
    <row r="17">
      <c r="A17" t="inlineStr">
        <is>
          <t>li-4203570041</t>
        </is>
      </c>
      <c r="B17" t="inlineStr">
        <is>
          <t>Data Engineer</t>
        </is>
      </c>
      <c r="C17" t="inlineStr">
        <is>
          <t>Medpace</t>
        </is>
      </c>
      <c r="D17" t="inlineStr">
        <is>
          <t>linkedin</t>
        </is>
      </c>
      <c r="E17" t="inlineStr"/>
      <c r="F17" t="inlineStr"/>
      <c r="G17" t="inlineStr">
        <is>
          <t>Cincinnati, OH</t>
        </is>
      </c>
      <c r="H17" t="inlineStr"/>
      <c r="I17" t="inlineStr">
        <is>
          <t>Our corporate activities are growing rapidly, and we are currently seeking a full\-time, office\-based Data Engineer to join our Information Technology team. This position will work on a team to accomplish tasks and projects that are instrumental to the company’s success. If you want an exciting career where you use your previous expertise and can develop and grow your career even further, then this is the opportunity for you.
**Responsibilities**
* Utilize skills in development areas including data warehousing, business intelligence, and databases (Snowflake, ANSI SQL, SQL Server, T\-SQL);
* Support programming/software development using Extract, Transform, and Load (ETL) and Extract, Load and Transform (ELT) tools, (dbt, Azure Data Factory, SSIS);
* Design, develop, enhance and support business intelligence systems primarily using Microsoft Power BI;
* Collect, analyze and document user requirements;
* Participate in software validation process through development, review, and/or execution of test plan/cases/scripts;
* Create software applications by following software development lifecycle process, which includes requirements gathering, design, development, testing, release, and maintenance;
* Communicate with team members regarding projects, development, tools, and procedures; and
* Provide end\-user support including setup, installation, and maintenance for applications
**Qualifications**
* Bachelor's Degree in Computer Science, Data Science, or a related field;
* 3\+ years of experience in Data Engineering;
* Knowledge of developing dimensional data models and awareness of the advantages and limitations of Star Schema and Snowflake schema designs;
* Solid ETL development, reporting knowledge based off intricate understanding of business process and measures;
* Knowledge of Snowflake cloud data warehouse, Fivetran data integration and dbt transformations is preferred;
* Knowledge of Python is preferred;
* Knowledge of REST API;
* Basic knowledge of SQL Server databases is required;
* Knowledge of C\#, Azure development is a bonus; and
* Excellent analytical, written and oral communication skills.
**Medpace Overview**
 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5,000 people across 40\+ countries.
**Why Medpace?**
 People. Purpose. Passion. Make a Difference Tomorrow. Join Us Today.
 The work we’ve done over the past 30\+ years has positively impacted the lives of countless patients and families who face hundreds of diseases across all key therapeutic areas. The work we do today will improve the lives of people living with illness and disease in the future.
**Cincinnati Perks**
* Cincinnati Campus Overview
* Flexible work environment
* Competitive PTO packages, starting at 20\+ days
* Competitive compensation and benefits package
* Company\-sponsored employee appreciation events
* Employee health and wellness initiatives
* Community involvement with local nonprofit organizations
* Discounts on local sports games, fitness gyms and attractions
* Modern, ecofriendly campus with an on\-site fitness center
* Structured career paths with opportunities for professional growth
* Discounted tuition for UC online programs
**Awards**
* Named a Top Workplace in 2024 by The Cincinnati Enquirer
* Recognized by Forbes as one of America's Most Successful Midsize Companies in 2021, 2022, 2023 and 2024
* Continually recognized with CRO Leadership Awards from Life Science Leader magazine based on expertise, quality, capabilities, reliability, and compatibility
**What To Expect Next**
 A Medpace team member will review your qualifications and, if interested, you will be contacted with details for next steps.</t>
        </is>
      </c>
    </row>
    <row r="18">
      <c r="A18" t="inlineStr">
        <is>
          <t>li-4352534190</t>
        </is>
      </c>
      <c r="B18" t="inlineStr">
        <is>
          <t>Data Engineer</t>
        </is>
      </c>
      <c r="C18" t="inlineStr">
        <is>
          <t>Hyra</t>
        </is>
      </c>
      <c r="D18" t="inlineStr">
        <is>
          <t>linkedin</t>
        </is>
      </c>
      <c r="E18" t="inlineStr"/>
      <c r="F18" t="inlineStr"/>
      <c r="G18" t="inlineStr"/>
      <c r="H18" t="inlineStr"/>
      <c r="I18" t="inlineStr">
        <is>
          <t>Analytics Engineer \| Type: Remote \| Salary: $131,750 \- $178,250 annual
 Boeing is hiring a Analytics Engineer. This role enhances the Boeing Test \&amp; Evaluation cyber test capability by partnering with business functions to deliver high\-impact dashboards and metrics. The selected candidate will manage end\-to\-end data workflows, from gathering requirements to designing robust transformation pipelines.
 What you'll be doing
 • Collaborate with business partners to define KPIs and translate needs into technical data solutions
 • Design, build, and maintain scalable ETL/ELT pipelines to transform raw data into reliable datasets
 • Develop and maintain dashboards and visualizations using BI tools such as Power BI or Tableau
 • Build and optimize data models and semantic layers to power self\-service analytics
 • Monitor data quality, resolve pipeline errors, and enforce governance and documentation standards
 What we're looking for
 • Bachelor of Science degree in Engineering, Computer Science, Data Science, or a related field
 • Three or more years of experience in data engineering, analytics engineering, or business intelligence
 • Strong SQL expertise with the ability to write optimized queries for large datasets
 • Experience with ETL/ELT workflows and data transformation orchestration frameworks
 • Proven ability to work cross\-functionally with stakeholders to deliver actionable data products
 What Boeing offers
 • Competitive annual salary and performance\-based incentives
 • Comprehensive health, dental, and vision insurance plans
 • Robust retirement savings programs and 401(k) matching
 • Opportunities for professional growth within a global aerospace leader
 Apply now to be considered for this opportunity.</t>
        </is>
      </c>
    </row>
    <row r="19">
      <c r="A19" t="inlineStr">
        <is>
          <t>li-4361102322</t>
        </is>
      </c>
      <c r="B19" t="inlineStr">
        <is>
          <t>Data Engineer</t>
        </is>
      </c>
      <c r="C19" t="inlineStr">
        <is>
          <t>Best Job Tool</t>
        </is>
      </c>
      <c r="D19" t="inlineStr">
        <is>
          <t>linkedin</t>
        </is>
      </c>
      <c r="E19" t="inlineStr"/>
      <c r="F19" t="inlineStr"/>
      <c r="G19" t="inlineStr"/>
      <c r="H19" t="inlineStr"/>
      <c r="I19" t="inlineStr">
        <is>
          <t>**About The Company**
 Capital One is a leading diversified bank that offers a broad array of financial products and services to consumers, small businesses, and commercial clients. Renowned for its innovative approach to banking and technology\-driven solutions, Capital One prides itself on delivering exceptional customer experiences through digital transformation and data\-driven strategies. With a strong commitment to fostering an inclusive and collaborative work environment, the company continuously invests in cutting\-edge technology and talent to stay ahead in the competitive financial landscape. Capital One’s mission is to help customers succeed financially by providing accessible, efficient, and innovative financial solutions that meet their evolving needs.
**About The Role**
 We are seeking a highly skilled Senior Data Engineer with expertise in Python, AWS, and APIs to join our dynamic team at Capital One. In this role, you will be instrumental in developing and maintaining sophisticated data pipelines that support critical financial reporting and regulatory compliance. You will work on Hydra, a pivotal data transformation platform that underpins capital and liquidity reporting within our Finance Technology division. This position offers an exciting opportunity to be at the forefront of technological transformation, leveraging your skills to solve complex business problems in a fast\-paced, collaborative, and inclusive environment. As a senior member of the team, you will collaborate with cross\-functional teams to design scalable solutions, implement best practices, and contribute to the ongoing innovation of our data infrastructure, ultimately helping millions of Americans achieve financial empowerment.
**Qualifications**
 The ideal candidate will possess a bachelor’s degree in Computer Science, Data Science, Engineering, or a related field. A minimum of three years of professional application development experience is required, with at least one year specializing in big data technologies. Candidates should demonstrate proficiency in Python and SQL, with additional experience in Scala, PySpark, and cloud\-based data warehousing solutions such as Snowflake or Redshift. Hands\-on experience with AWS services, distributed computing tools like Hadoop, Spark, Kafka, and NoSQL databases such as MongoDB or Cassandra is essential. Familiarity with UNIX/Linux environments, shell scripting, and Agile engineering practices is also necessary. Preferred qualifications include over five years of relevant experience, deep knowledge of real\-time data streaming, and a strong understanding of data governance and security standards.
**Responsibilities**
* Collaborate with Agile teams to design, develop, test, and deploy end\-to\-end technical solutions that address complex business requirements.
* Build and optimize scalable, reliable data pipelines using Python, AWS services, and APIs to support regulatory and liquidity reporting needs.
* Work closely with data scientists, product managers, and other stakeholders to understand data requirements and translate them into technical specifications.
* Implement data quality checks, conduct code reviews, and perform unit testing to ensure robustness, performance, and security of data solutions.
* Maintain and enhance Hydra, our core data transformation platform, ensuring it meets evolving regulatory standards and business demands.
* Stay current with emerging technologies and industry best practices, sharing knowledge and mentoring junior team members.
* Participate in troubleshooting, performance tuning, and documentation of data pipelines and infrastructure.
* Ensure compliance with data governance policies, security protocols, and audit requirements across all data initiatives.
**Benefits**
 Capital One offers a comprehensive benefits package designed to support your health, financial well\-being, and work\-life balance. Eligible employees can access health insurance plans, dental and vision coverage, and wellness programs. The company also provides competitive retirement plans, paid time off, and parental leave. In addition, employees have opportunities for professional development through training programs, mentorship, and participation in industry conferences. Capital One fosters a flexible work environment with options for remote work and flexible scheduling, ensuring employees can maintain a healthy work\-life balance. The company also promotes a culture of inclusion and diversity, providing resources and support networks to help all employees thrive.
 Equal Opportunity
 Capital One is an equal opportunity employer committed to fostering an inclusive environment where all employees and applicants are treated with fairness and respect. We do not discriminate based on race, color, religion, sex, national origin, age, disability, veteran status, or any other protected characteristic under applicable law. We are dedicated to creating a workplace that reflects the diverse communities we serve and encourage individuals from all backgrounds to apply. Capital One complies with all applicable federal, state, and local laws regarding equal employment opportunity and non\-discrimination. We also support a drug\-free workplace and uphold policies that promote safety, integrity, and fairness across our organization.</t>
        </is>
      </c>
    </row>
    <row r="20">
      <c r="A20" t="inlineStr">
        <is>
          <t>li-4345376777</t>
        </is>
      </c>
      <c r="B20" t="inlineStr">
        <is>
          <t>Data Engineer – Corporate Technology Data Engineering &amp; Analytics</t>
        </is>
      </c>
      <c r="C20" t="inlineStr">
        <is>
          <t>MassMutual</t>
        </is>
      </c>
      <c r="D20" t="inlineStr">
        <is>
          <t>linkedin</t>
        </is>
      </c>
      <c r="E20" t="inlineStr"/>
      <c r="F20" t="inlineStr"/>
      <c r="G20" t="inlineStr">
        <is>
          <t>Springfield, MA</t>
        </is>
      </c>
      <c r="H20" t="inlineStr"/>
      <c r="I20" t="inlineStr">
        <is>
          <t>**The Opportunity** 
 Join our dynamic team as a Data Engineer – Corporate Technology Data Engineering \&amp; Analytics, where you'll play a pivotal role in driving the execution of our data and technology strategy. This role is crucial in driving digital transformation and operational efficiency across Investment Management. As part of this role, you will engage in building data solutions including streaming and batch pipelines, data marts \&amp; data warehouse. You will be responsible for establishing robust data collection and processing pipelines to fulfill Investment Management business requirements.
**The Team** 
 You’ll be an integral part of our esteemed Corporate Technology Team, focused on Data Engineering \&amp; Analytics. Our team operates on a global scale, driving innovation and excellence across diverse areas of expertise. As a Data Engineer, you'll play a critical role in high impact Corporate Technology Investment Initiatives, ensuring alignment with organizational objectives and driving impactful outcomes. This is an opportunity to collaborate closely with Corporate Technology Data and Analytics team and Investment management business stakeholders. Our team thrives on collaboration, innovation, and a shared commitment to excellence. Together, we're shaping the future of technology within our organization and making a lasting impact on a global scale. Join us and be part of a dynamic team where your contributions will be valued and your potential unleashed.
**The Impact:** 
* Design, build, and measure complex ELT jobs to process disparate data sources and form a high integrity, high quality, clean data asset.
* Executes and provides feedback for data modeling policies, procedure, processes, and standards.
* Assists with capturing and documenting system flow and other pertinent technical information about data, database design, and systems.
* Develop comprehensive data quality standards and implement effective tools to ensure data accuracy and reliability.
* Collaborate with various Investment Management departments to gain a better understanding of new data patterns.
* Collaborate with Data Analysts, Data Architects, and BI developers to ensure design and development of scalable data solutions aligning with business goals.
* Translate high\-level business requirements into detailed technical specs.
**The Minimum Qualifications** 
* Bachelor’s degree in Computer Science, Engineering, Information Systems or related technical field.
* 8\+ years of experience with data analytics, data modeling, and database design.
* 5\+ years experience with ELT methodologies and tools.
* 5\+ years experience in designing, developing, tuning and troubleshooting SQL.
* 3\+ years of coding and scripting (Python, Java, Scala) and design experience.
* 2\+ years of experience with Spark framework.
**The Ideal Qualifications** 
* Knowledge of Informatica Power center and Informatica IDMC.
* Knowledge of distributed, column\- orientated technology to create high\-performant database technologies like \- Vertica, Snowflake.
* Strong data analysis skills for extracting insights from financial data
* Proficiency in reporting tools (e.g., Power BI, Tableau).
* Domain knowledge of Investment Management operations including Security Masters, Securities Trade and Recon Operations, Reference data management, Pricing.
* Familiarity with regulatory requirements and compliance standards in the investment management industry.
* Experience with IBOR’s such as Blackrock Alladin, CRD, Eagle STAR (ABOR), Eagle Pace, and Eagle DataMart.
* Familiarity with investment data platforms such as GoldenSource, FINBOURNE, NeoXam, RIMES, and JPM Fusion.
* Strong analytical and problem\-solving abilities.
* Exceptional communication and interpersonal skills.
* Ability to influence and motivate teams without direct authority.
* Excellent time management and organizational skills, with the ability to prioritize multiple initiatives.
 MassMutual is an equal employment opportunity employer. We welcome all persons to apply.
 If you need an accommodation to complete the application process, please contact us and share the specifics of the assistance you need.
 California residents: For detailed information about your rights under the California Consumer Privacy Act (CCPA), please visit our California Consumer Privacy Act Disclosures page.</t>
        </is>
      </c>
    </row>
    <row r="21">
      <c r="A21" t="inlineStr">
        <is>
          <t>li-4338045068</t>
        </is>
      </c>
      <c r="B21" t="inlineStr">
        <is>
          <t>Senior Data Engineer, Data Lake &amp; Governance</t>
        </is>
      </c>
      <c r="C21" t="inlineStr">
        <is>
          <t>Gridware</t>
        </is>
      </c>
      <c r="D21" t="inlineStr">
        <is>
          <t>linkedin</t>
        </is>
      </c>
      <c r="E21" t="inlineStr"/>
      <c r="F21" t="inlineStr"/>
      <c r="G21" t="inlineStr">
        <is>
          <t>San Francisco, CA</t>
        </is>
      </c>
      <c r="H21" t="inlineStr"/>
      <c r="I21" t="inlineStr">
        <is>
          <t>**About Gridware** 
 Gridware is a San Francisco\-based technology company dedicated to protecting and enhancing the electrical grid. We pioneered a groundbreaking new class of grid management called active grid response (AGR), focused on monitoring the electrical, physical, and environmental aspects of the grid that affect reliability and safety. Gridware’s advanced Active Grid Response platform uses high\-precision sensors to detect potential issues early, enabling proactive maintenance and fault mitigation. This comprehensive approach helps improve safety, reduce outages, and ensure the grid operates efficiently. The company is backed by climate\-tech and Silicon Valley investors. For more information, please visit 
 www.Gridware.io
 .
 Role Description
 As a Senior Data Engineer at Gridware, you’ll design and scale the data infrastructure that powers our real\-time grid monitoring platform. You’ll build high\-performance pipelines that transform massive streams of sensor and telemetry data into actionable insights \- helping detect faults, predict failures, and strengthen the grid that powers entire communities.
**Responsibilities** 
* Deploy and manage Unity Catalog to standardize data governance, lineage, and access control across data domains.
* Design, develop, and maintain scalable data pipelines and architectures.
* Implement data ingestion, transformation, and storage solutions.
* Ensure data quality and integrity across various data sources and destinations.
* Collaborate with software engineers, data scientists, analysts, and other stakeholders to meet data requirements.
* Optimize and tune data workflows for performance and efficiency.
* Monitor, troubleshoot, and resolve issues in data pipelines and related systems.
* Document data processes, architecture, and workflow procedures.﻿﻿
**Required Skills** 
* 5\+ years of professional experience in data engineering or related roles, building and scaling real\-time data infrastructure
* Experience designing and maintaining data lakes and lakehouse architectures with governance and access controls
* Strong in Python and SQL, with deep experience in relational, time\-series, and streaming databases
* Hands\-on with modern data stacks \- Spark, Kafka, Databricks, Grafana, and other cloud\-native tools
* Skilled in data modeling, ETL/ELT pipelines, and real\-time streaming architectures for production systems
* Familiar with CI/CD, version control, and data governance/security best practices
**Bonus Skills** 
* Experience with real\-time data processing and streaming analytics frameworks
* Familiarity with IoT and embedded systems, including sensor data pipelines and edge computing
* Hands\-on with Docker, Kubernetes, and Protobuf in production environments
* Exposure to machine learning workflows and real\-time monitoring for IoT and time\-series data
* Comfortable operating in a high\-growth startup environment, adapting quickly across domains
 This describes the ideal candidate; many of us have picked up this expertise along the way. Even if you meet only part of this list, we encourage you to apply!
**Benefits** 
 Health, Dental \&amp; Vision (Gold and Platinum with some providers plans fully covered) 
 Paid parental leave 
 Alternating day off (every other Monday)
 “Off the Grid”, a two week per year paid break for all employees. 
 Commuter allowance 
 Company\-paid training</t>
        </is>
      </c>
    </row>
    <row r="22">
      <c r="A22" t="inlineStr">
        <is>
          <t>li-4334499204</t>
        </is>
      </c>
      <c r="B22" t="inlineStr">
        <is>
          <t>Data Engineer</t>
        </is>
      </c>
      <c r="C22" t="inlineStr">
        <is>
          <t>DMA - DuCharme, McMillen &amp; Associates, Inc.</t>
        </is>
      </c>
      <c r="D22" t="inlineStr">
        <is>
          <t>linkedin</t>
        </is>
      </c>
      <c r="E22" t="inlineStr"/>
      <c r="F22" t="inlineStr"/>
      <c r="G22" t="inlineStr">
        <is>
          <t>Fort Wayne, IN</t>
        </is>
      </c>
      <c r="H22" t="inlineStr"/>
      <c r="I22" t="inlineStr">
        <is>
          <t>As an employee\-owned company, DMA prioritizes employees. Low turnover rates and tenured teams are living proof:
* 2025 Great Places to Work Certified
* Employee stock ownership program eligibility begins on day one of employment (ESOP contribution is targeted at 6% of your annual compensation)
* Company paid parental leave
* Generous time off package
* Multiple benefit plans, eligibility begins on day one of employment
* Culturally focused on work/life balance, mental health, and the overall wellness of our employees
 This is a hybrid position with an expectation to be in our Fort Wayne, IN office a minimum of two days per week. This position does not qualify for relocation assistance. Must be authorized to work in the U.S. without the need for employment\-based visa sponsorship now or in the future. This position does not qualify for employment\-based sponsorship.
**Position Summary**
 The Data Analyst will be primarily responsible for creating and maintaining DMA’s infrastructure and systems that enable the collection, storage, and processing of data. This role is essential for ensuring data is accessible, reliable, and optimized for analysis and decision\-making.
**Essential Duties And Responsibilities**
* Design, build, and maintain robust data pipelines and ETL processes to ingest, transform, and deliver data from various sources.
* Mine data from primary and secondary sources, then reorganize said data in a format that can be easily read by either human or machine
* Use statistical tools to interpret data sets, pay particular attention to trends and patterns that could be valuable for diagnostic and predictive analytics efforts
* Collaborate with programmers and engineers to improve efficiency and data organization; improve performance through data structure and query optimization
* Ensure data integrity, quality, and security across all systems and platforms
* Work with departments to provide insight and identify opportunities, improvements, recommend system modifications, and develop policies for data governance
* Integrate structured and unstructured data from internal and external sources.
* Monitor and troubleshoot data workflows, resolving issues proactively
* Design, implement, and maintain critical data systems from ETL/ELT, Data Warehouse, BI Tools, and everything in between
* Maintain documentation for data architecture, processes, and standards
* Collaborate with data scientists, analysts, and product teams to support data needs.
* Analyze requirements from the business and provide solutions or guidance for solutions
* Work with senior data analyst to establish data governance
**Non\-Essential Duties And Responsibilities**
* Perform other duties as assigned
**Education And Qualifications**
* Bachelor’s degree in computer science, information systems, engineering, or related field.
* 2 to 5 years’ experience as a data engineering role
* Familiarity with professional programming preferred
* Familiarity with relevant business domains
* Ability to analyze large datasets and write comprehensive reports
* Experience in data models and reporting packages
* Experience working with data and data analytics development, preferably within the Microsoft data platform
* Ability to understand business needs and translate them into technical solutions
* Works effectively with analysts, stakeholders, and IT teams to deliver data solutions that drive business value
* Proficiency in SQL and experience with relational and non\-relational databases
* Proficient with ELT/ETL and Data Warehousing development
* Knowledge of relational databases and object\-relational mapping concepts
* Commitment to data quality, governance, and compliance
* Understanding of data modeling, normalization, and schema design
* Excellent organizational skills: ability to handle multiple projects
* An analytical mind and inclination for problem\-solving
* Strong verbal and written communication skills
 The Company is an equal employment opportunity employer and is committed to providing equal employment opportunities to its applicants and employees. The Company does not discriminate in employment opportunities or practices on the basis of race, color, religion, gender, national origin, citizenship, age, disability, veteran status, genetic information, or any other category covered by applicable federal, state, or local law. This equal employment opportunity policy applies to all employment policies, procedures, and practices, including but not limited to hiring, promotion, compensation, training, benefits, work assignments, discipline, termination, and all other terms and conditions of employment.
 It is DMA's policy to make reasonable accommodations for qualified individuals with disabilities. If you have a disability and either need assistance applying online or need to request an accommodation during any part of the application process, please contact our Human Resources team at HRDepartment@dmainc.com or 800\-309\-2110 and choosing selection 6\.</t>
        </is>
      </c>
    </row>
    <row r="23">
      <c r="A23" t="inlineStr">
        <is>
          <t>li-4321300211</t>
        </is>
      </c>
      <c r="B23" t="inlineStr">
        <is>
          <t>Sr/Staff Data Engineer (Remote - US)</t>
        </is>
      </c>
      <c r="C23" t="inlineStr">
        <is>
          <t>BNSF Railway</t>
        </is>
      </c>
      <c r="D23" t="inlineStr">
        <is>
          <t>linkedin</t>
        </is>
      </c>
      <c r="E23" t="inlineStr"/>
      <c r="F23" t="inlineStr"/>
      <c r="G23" t="inlineStr"/>
      <c r="H23" t="inlineStr"/>
      <c r="I23" t="inlineStr">
        <is>
          <t>**be part of a team that values safety, inclusion, and excellence**
 we are one of the largest U.S. railroads transporting the nation’s freight across 28 western states and 3 Canadian provinces. as a member of our team, you will play a role in supporting the movement of essential products and materials that help feed, clothe, supply, and power communities throughout America and the world.
**bnsf \| tech:** 
 innovating and transforming the future of freight rail
**bnsf \| tech** 
 is the technology division making BNSF the preeminent freight and mobility company in north america.
**are you ready to drive change?**
 if you are passionate about making a difference and eager to advance your career in a dynamic and supportive environment, we want you on our team! join us in reshaping the future of freight rail and discover a fulfilling career where your contributions matter.
 we are committed to a culture where all employees are included, belong, and have equal opportunity to achieve their full potential. Come make a difference with us!
**Learn More About BNSF And Our Benefits**
**Job Location:** 
 Remote US
**Anticipated Start Date:** 
 01/01/2026
 The US base salary range for this full\-time position is provided below:
**Salary Range:** 
 $165,000\-$300,000
 The range represents the amount bnsf \| tech reasonably expects to pay for the position based on the level, scope, and responsibilities of the role.  Individual compensation and level of position offered is determined by the hiring location and additional factors including but not limited to job\-related skills, experience, and relevant education or training. In addition to base pay and bonus eligibility, BNSF offers a comprehensive benefits package.
**This is a full\-time remote** 
 position. Employees may work from anywhere within the contiguous 48 states of the United States
**Travel is up to 20%.** 
 Employees will be required to occasionally travel to our corporate headquarters in Fort Worth, TX for in person meetings. Travel expenses for business needs will be covered by BNSF
 This position is open to candidates who are currently authorized to work in the United States. We are also open to sponsoring H\-1B transfers, TN nonimmigrant status, and STEM OPT candidates with at least 2 years of remaining eligibility.
 Apply early as this job may be removed or filled prior to the closing date, which is approximately seven (7\) days after the posting date.
**data \&amp; ai:** 
 lead our charge into the future as an ai company by transforming our data assets into a real time enterprise.
**Key Responsibilities May Include**
**Design and implement** 
 data streaming solutions to process real\-time data efficiently.
**Develop and maintain** 
 robust data pipelines for both real time and batch processing including data extraction, transformation and ETL processes to ensure seamless data flow across systems.
**Create and manage** 
 large scale data warehouses to ensure efficient data access and retrieval in support of business intelligence and analytics needs.
**Develop** 
 certified datasets by integrating data from diverse data sources to ensure data accuracy, consistency and reliability.
**Collaborate** 
 with data scientists, analysts, and other stakeholders to understand data requirements and deliver effective data solutions.
**Optimize** 
 data workflows, monitor data pipelines and troubleshoot issues to ensure high performance, reliable and scalable data flows.
**Ensure** 
 data security and compliance with industry standards and regulations.
**Stay current** 
 with industry trends and advancements in data engineering, data science and machine learning
**Write** 
 efficient and well documented code ensuring unit tests documentation for all data solutions.
**Implement** 
 data engineering solutions into data platforms or production systems by leading the solution design, development, testing, and monitoring
*The duties and responsibilities in this posting are representative categories to be used in deciding whether to apply for this position. This is not an exhaustive list of the position’s duties.*
 At BNSF Railway, we encourage individuals from all backgrounds to apply, showcasing their skills, experiences and development. We provide resources and tools to help you reach your full potential, fostering a supportive and inclusive environment.
**Basic Qualifications**
* Minimum 6 years experience in software engineering, data engineering, database management or relevant experience
* Proficiency in programming languages such as Python, SQL, Java
* Strong understanding of data warehousing concepts including dimensional modeling and star schema.
* Experience with ETL processes and tools including cloud based solutions
* Familiarity with database management systems (e.g., SQL, NoSQL) and modern lakehouse technologies (eg. Apache Iceberg, Delta Lake, Apache Trino)
* Experience with data streaming technologies (e.g., Apache Kafka, AWS Kinesis, Apache Flink and Apache Spark)
* Experience in data engineering, with a focus on data streaming, data pipelines, data orchestration tools, datamart creation, and certified datasets
* Experience in DevSecOps standards, source control systems and tools like Jenkins, GitHub
* Excellent problem\-solving skills and attention to detail
* Strong communication and collaboration skills
* Intellectual curiosity and ability to thrive in a team environment that is constantly changing
* Demonstrated ability to learn new technical concepts and to adapt to new technologies quickly
* Ability to communicate in a clear, concise, professional oral or written manner, to be understood by technical and non\-technical colleagues
**Preferred Qualifications**
* Bachelor's degree or higher in Computer Science, Information Technology or a related field
* Prior experience with Data Engineering tools and architectures
* Experience in Rail, Shipping, Airline, Logistics, Warehousing, Supply Chain, or other Transportation industries or experience in a High\-Tech industry
* Experience working in an Agile environment (Scrum, Kanban, SAFe)
* Experience with cloud platforms
* Proficiency in using Jupyter for collaborative data analysis
* Experience with open\-source technologies and tools
* Have knowledge of geospatial data transformation and spatial libraries
**At BNSF, you will have access to a comprehensive and competitive benefits package including:**
* An industry\-leading 401(k) and renowned Railroad Retirement program.
* A range of robust health care options for you and your dependents (including domestic partners), including medical, dental, vision, telemedicine, mental health, cancer support, and high\-quality care network options.
* Health care spending accounts (HSA) with employer contributions, as well as life and disability insurance, provided at no cost.
* Family benefits including parental, pediatric and family building support, adoption and surrogacy reimbursement, and dependent care spending account (with employer match).
* Access to discounts on travel, gym memberships, counseling services and wellness support.
* Annual bonus (Incentive Compensation Program)
* Generous leave / time off policies.
* For more information, visit Benefits.
 Please be aware of potential fraud that can occur when searching for new career opportunities. Please review our FAQ for more information and awareness.
 All positions require pre\-employment background verification.
 BNSF Railway is an Equal Opportunity Employer, all qualified applicants receive consideration for employment without regard to race, color, religion, sex, sexual orientation, gender identity, national origin, disability or protected veteran status.</t>
        </is>
      </c>
    </row>
    <row r="24">
      <c r="A24" t="inlineStr">
        <is>
          <t>li-4352730333</t>
        </is>
      </c>
      <c r="B24" t="inlineStr">
        <is>
          <t>Senior Data Engineer</t>
        </is>
      </c>
      <c r="C24" t="inlineStr">
        <is>
          <t>Amtex Systems Inc</t>
        </is>
      </c>
      <c r="D24" t="inlineStr">
        <is>
          <t>linkedin</t>
        </is>
      </c>
      <c r="E24" t="inlineStr"/>
      <c r="F24" t="inlineStr"/>
      <c r="G24" t="inlineStr">
        <is>
          <t>Boston, MA</t>
        </is>
      </c>
      <c r="H24" t="inlineStr"/>
      <c r="I24" t="inlineStr">
        <is>
          <t>We’re looking for a senior Data Engineering leader with deep expertise in Snowflake, DBT, SQL \&amp; Python to build scalable, secure, enterprise\-grade data platforms in the cloud.</t>
        </is>
      </c>
    </row>
    <row r="25">
      <c r="A25" t="inlineStr">
        <is>
          <t>li-4345339090</t>
        </is>
      </c>
      <c r="B25" t="inlineStr">
        <is>
          <t>Data Engineer</t>
        </is>
      </c>
      <c r="C25" t="inlineStr">
        <is>
          <t>Insight Global</t>
        </is>
      </c>
      <c r="D25" t="inlineStr">
        <is>
          <t>linkedin</t>
        </is>
      </c>
      <c r="E25" t="inlineStr"/>
      <c r="F25" t="inlineStr"/>
      <c r="G25" t="inlineStr">
        <is>
          <t>New York, NY</t>
        </is>
      </c>
      <c r="H25" t="inlineStr"/>
      <c r="I25" t="inlineStr">
        <is>
          <t>**JOB DESCRIPTION** 
 A top financial service client is seeking an Associate to join the Investment Infrastructure and Technology team. The role is focused on designing, building, and optimizing core technology infrastructure that powers applications and tools used by front\-office professionals, executives, and other internal business units. Key areas include data warehouse, database management, application development, reporting systems, and ad\-hoc initiatives that support business operations. The position offers significant opportunities to apply modern technologies and innovative solutions to drive operational efficiency. The candidate will contribute to system integration efforts and data pipeline development, enabling seamless connectivity between enterprise systems and the data warehouse. The candidate will develop and maintain reports and dashboards related to the firm’s investment portfolio, and act as a technical liaison across all departments and affiliated business partners. The ideal candidate has an entrepreneurial personality with a strong ownership mentality, technical background, and the ability to handle multiple, ongoing projects Responsibilities include:
 • Manage Snowflake infrastructure for efficient data warehousing, including real\-time change data capture (CDC) to support data and reporting needs
 • Design and implement internal application and automation solutions, including LLM enabled agents, to streamline workflows across investment verticals and operational teams
 • Develop and maintain internal dashboards and reporting tools that support data\-driven decision\-making by senior leadership
 • Design and integrate pipelines into the data warehouse for reporting and analytics • Contribute to the creation and enforcement of standardized, systematic processes and best practices
 • Collaborate cross\-functionally with Portfolio Analytics, Originations, Underwriting, Investor Relations, Operations, Finance, and Marketing teams on data requests and special projects
**REQUIRED SKILLS AND EXPERIENCE** 
 \- 2\-5 years of relevant professional experience in investment management, financial operations, or related industries (Fixed Income or Alternatives preferred)
 \- Bachelor’s or Master’s degree in Computer Science with a data engineering background.
 \- Proficient in SQL and Python, with experience using libraries such as pandas for data wrangling and practical experience integrating and consuming APIs
 \- Strong familiarity with Snowflake, SQL Server, PowerBI or Tableau, and AI tools and concepts
 \- Background in financial services
 \- Strong interpersonal and communication skills
**NICE TO HAVE SKILLS AND EXPERIENCE** 
 \- Experience working at firms specializing in private credit, private equity, and junior capital investments.
 \- Direct experience developing applications or tools with AI</t>
        </is>
      </c>
    </row>
    <row r="26">
      <c r="A26" t="inlineStr">
        <is>
          <t>li-4335091246</t>
        </is>
      </c>
      <c r="B26" t="inlineStr">
        <is>
          <t>Data Engineer 2</t>
        </is>
      </c>
      <c r="C26" t="inlineStr">
        <is>
          <t>Garmin</t>
        </is>
      </c>
      <c r="D26" t="inlineStr">
        <is>
          <t>linkedin</t>
        </is>
      </c>
      <c r="E26" t="inlineStr"/>
      <c r="F26" t="inlineStr"/>
      <c r="G26" t="inlineStr">
        <is>
          <t>Olathe, KS</t>
        </is>
      </c>
      <c r="H26" t="inlineStr"/>
      <c r="I26" t="inlineStr">
        <is>
          <t>**Overview**
 We are seeking a full\-time
 **Data Engineer 2** 
 in our Olathe, KS location. In this role, you will be responsible for contributing to data development and operational stability of the Big Data ecosystems.
**Essential Functions**
* Provide technical input to feature development plans and concept documents
* Contribute to design and implementation of data pipelines to support data analysis and modeling
* Collaborate with data scientists to design and implement document parsing processes to support information retrieval solutions
* Collaborate with data scientists to design and implement data collection processes
* Understand production and operations issues as they relate to engineering
* Exemplify Garmin's Mission Statement/Quality Policy and proactively improve image/culture
* Develop scalable, extensible solution architectures leveraging contemporary big\-data technologies in an evolving operational framework
* Partner with team lead to identify technical requirements and alternatives to accomplish projects
* Participate in design, code, test, maintenance, enhance and decommission phases throughout software life cycle to contribute technical expertise and to identify issues
* Participate in and help guide research POCs, including design, coding, and performance and efficacy measurement
* Develop solutions to complex problems which require the regular use of ingenuity/creativity and provide innovation within area of expertise
* Demonstrate broad understanding of Garmin's business model, including Engineering, Operations, Finance, Sales and Marketing
* Contribute to and triages major incident troubleshooting involving multiple disciplines
* Apply technical expertise and analysis to initiatives and provide input to broader technology solutions outside of discipline
* Provide 24x7 on call support
**Basic Qualifications**
* Bachelor’s Degree in Computer Science, Information Technology, Management Information Systems, Business or related field AND a minimum of 2 years relevant experience
* Excellent academics with demonstrated ability to apply learned knowledge
* Experience using Hadoop and various components
* Experience tuning and optimizing ETL jobs to perform at scale
* Experience writing complex queries combining data from disparate systems
* Able to implement new technologies effectively and consistently demonstrates quality/effectiveness in work documentation and organization
* Strong/effective verbal, written and interpersonal communication skills in a small team setting
**Desired Qualifications**
* Previous experience working in a team environment
* JAVA or high level object oriented programming experience
* Experience with real\-time streaming technologies such as Kafka
*Garmin International is an equal opportunity employer. Qualified applicants will receive consideration for employment without regard to race, religion, color, national origin, citizenship, sex, sexual orientation, gender identity, veteran’s status, age or disability.*
*This position is eligible for Garmin's benefit program. Details can be found here: Garmin Benefits*</t>
        </is>
      </c>
    </row>
    <row r="27">
      <c r="A27" t="inlineStr">
        <is>
          <t>li-4306828449</t>
        </is>
      </c>
      <c r="B27" t="inlineStr">
        <is>
          <t>Senior Staff IT Data Engineer</t>
        </is>
      </c>
      <c r="C27" t="inlineStr">
        <is>
          <t>Palo Alto Networks</t>
        </is>
      </c>
      <c r="D27" t="inlineStr">
        <is>
          <t>linkedin</t>
        </is>
      </c>
      <c r="E27" t="inlineStr"/>
      <c r="F27" t="inlineStr"/>
      <c r="G27" t="inlineStr">
        <is>
          <t>Santa Clara, CA</t>
        </is>
      </c>
      <c r="H27" t="inlineStr"/>
      <c r="I27" t="inlineStr">
        <is>
          <t>**Our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shaping the future of cybersecurity as we are.
**Who We Are**
 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
 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
 At Palo Alto Networks, we believe in the power of collaboration and value in\-person interactions. This is why our employees generally work full time from our office with flexibility offered where needed. This setup fosters casual conversations, problem\-solving, and trusted relationships. Our goal is to create an environment where we all win with precision.
**Job Description**
**Your Career**
 Our Data \&amp; Analytics group is responsible for working with various business owners/stakeholders from Sales, Marketing, People, GCS, Infosec, Operations, and Finance to solve complex business problems which will have a direct impact on the metrics defined to showcase the progress of Palo Alto Networks. We leverage the latest technologies from the Cloud \&amp; Big Data ecosystem to improve business outcomes and create through prototyping, Proof\-of\-Concept projects and application development. We are looking for a Senior Staff IT Data Engineer with extensive experience in Data engineering, SQL, Cloud engineering and business intelligence (BI) tools. The ideal candidate will be responsible for designing, implementing, and maintaining scalable data transformations and analytical solutions that support our business objectives. This role requires a strong understanding of data engineering principles, as well as the ability to collaborate with cross\-functional teams to deliver high\-quality data solutions.
**This is an in office role in our HQ (Santa Clara, CA)**
**Your Impact**
* Design, develop, and maintain data pipelines to extract, transform, and load (ETL) data from various sources into our data warehouse or data lake environment
* Aptitude for proactively identifying and implementing GenAI\-driven solutions to achieve measurable improvements in the reliability and performance of data pipelines or to optimize key processes like data quality validation and root cause analysis for data issues, is a nice\-to\-have
* Collaborate with stakeholders to gather requirements and translate business needs into technical solutions
* Optimize and tune existing data pipelines for performance, reliability, and scalability
* Implement data quality and governance processes to ensure data accuracy, consistency, and compliance with regulatory standards
* Work closely with the BI team to design and develop dashboards, reports, and analytical tools that provide actionable insights to stakeholders
* Mentor junior members of the team and provide guidance on best practices for data engineering and BI development
**Qualifications**
**Your Experience**
* Bachelor's degree in Computer Science, Engineering, or a related field
* 5\+ years of experience in data engineering, with a focus on building and maintaining data pipelines and analytical solutions
* Demonstrated readiness to leverage GenAI tools to enhance efficiency within the typical stages of the data engineering lifecycle, for example by generating complex SQL queries, creating initial Python/Spark script structures, or auto\-generating pipeline documentation, is a nice\-to\-have
* Expertise in SQL programming and database management systems
* Hands\-on experience with ETL tools and technologies (e.g. Apache Spark, Apache Airflow)
* Familiarity with cloud platforms such as Google Cloud Platform (GCP), and experience with relevant services (e.g. GCP Dataflow, GCP DataProc, Biq Query, Procedures, Cloud Composer etc).
* Experience with Big data tools like Spark, Kafka, etc
* Experience with object\-oriented/object function scripting languages: Python/Scala, etc
* Experience working SFDC Data Objects (Opportunity, Quote, Accounts, Subscriptions, Entitlements) would be highly desired
* Experience with BI tools and visualization platforms (e.g. Tableau) is a plus
* Strong analytical and problem\-solving skills, with the ability to analyze complex data sets and derive actionable insights
* Excellent communication and interpersonal skills, with the ability to collaborate effectively with cross\-functional teams
**Additional Information**
**The Team**
 Working at a high\-tech cybersecurity company within Information Technology is a once\-in\-a\-lifetime opportunity. You’ll join the brightest minds in technology, creating, building, and supporting tools and enabling our global teams on the front line of defense against cyberattacks.
 We’re connected by one mission but driven by the impact of that mission and what it means to protect our way of life in the digital age. Join a dynamic and fast\-paced team of people who feel excited by the prospect of a challenge and feel a thrill at resolving technical gaps that inhibit productivity.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$145000/YR \- $235500/YR.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t>
        </is>
      </c>
    </row>
    <row r="28">
      <c r="A28" t="inlineStr">
        <is>
          <t>li-4360791460</t>
        </is>
      </c>
      <c r="B28" t="inlineStr">
        <is>
          <t>Data Engineer Senior 1, 2</t>
        </is>
      </c>
      <c r="C28" t="inlineStr">
        <is>
          <t>Salt River Project</t>
        </is>
      </c>
      <c r="D28" t="inlineStr">
        <is>
          <t>linkedin</t>
        </is>
      </c>
      <c r="E28" t="inlineStr"/>
      <c r="F28" t="inlineStr"/>
      <c r="G28" t="inlineStr">
        <is>
          <t>Tempe, AZ</t>
        </is>
      </c>
      <c r="H28" t="inlineStr"/>
      <c r="I28" t="inlineStr">
        <is>
          <t>**Requisition ID** 
 : 19600
**Join us in building a better future for Arizona!**
 SRP is one of the largest public power and water utilities in the U.S. providing electricity to approximately one million customers in the greater metropolitan Phoenix area. Since its founding in 1903, SRP has fostered a culture of stewardship and customer service consistently ranking as an industry leader in customer service according to J.D. Power and named one of Arizona's best employers by Forbes. SRP continues to adapt to its changing business environment by seeking innovative ways to reimagine utility service and the provision of critical resources essential to the life and economy of Arizona.
**Why Work at SRP**
 At SRP, we foster an inclusive work environment and believe everyone should have a fair chance to work, regardless of who they are. That’s why we value teams with diverse perspectives, experiences, and backgrounds to help SRP deliver on its mission of providing reliable, affordable and sustainable water and power.
**Benefits**
 SRP's success is rooted in our employees' happiness, health, and safety. That's why we offer a comprehensive benefits package to meet the needs of our employees and enhance their well\-being. In addition to competitive pay and performance incentives, eligible employees can take advantage of the following benefits:
* Pension Plan (at no cost to the employee)
* 401(k) plan with employer matching
* Available your first day: Medical, vision, dental, and life insurance
* Over 200\+ hours of PTO (includes vacation days, holidays, floating holidays, and sick leave)
* Parental leave (up to 4 weeks) and adoption assistance
* Wellness programs (including access to a recreation and fitness facility)
* Short and long\-term disability plans
* Tuition assistance for both undergraduate and graduate programs
* 10 Employee Resource Groups for career development, community service, and networking
**Summary**
 The Generation Applications team is dedicated to empowering the Power Generation organization with actionable, data\-driven insights. The team analyzes data, creates efficient data models, builds complex data pipelines, and delivers high impact dashboards and data visualizations.
 As an Analytics Developer/Data Engineer on this team, you will work on dashboards, interactive visualizations, data pipelines, and reports. The successful candidate will utilize their experience with all Business Intelligence (BI) domains from translating requirements to sourcing, profiling, and modeling data, to ETL and dashboard development. This role will work closely with business partners to develop and implement analytical data models and dashboards. To excel in this role, the candidate will have strong communication skills to complement their technical ones.
 You will work alongside Application Developers, Business Representatives, Data Engineers, Business Analysts, Engineers, and Power Plant personnel.
**What You'll Do**
* Define and develop dashboards including business metrics and performance indicators that drive action and insights (PowerBI experience required).
* Build and maintain ETL pipelines utilizing data migration services (SSIS), languages, and tools that connect various data sources (Snowflake, SQL, Oracle).
* Apply query, data exploration and transformation, basic statistical methods and visualization techniques to create business insights or improve data quality.
* Write, implement, and schedule ETL and other operational packages and scripts using SSIS and SQL.
* Collaborate with operational/IT business leads to recognize and help adopt best practices in data delivery, analysis, integrity, and validation.
* Ability to analyze and design physical databases and their definitions.
* Design, test, build, and manage complex, high\-performing multi\-user analytic solutions.
* Coordinate technical interactions between Power Generation personnel and other information technology teams.
* Visit Power Generation power plants to support customers.
* Participate in on\-call rotation for 24/7 support needs.
**What It Takes To Succeed**
 The successful candidate will possess these capabilities:
* Advanced proficiency with PowerBI
* Strong proficiency with T\-SQL in a SQL Server environment
* Experience coding ETL processes in SSIS
* Expertise in modern database technologies, data integration, reporting
* Solid understanding of data warehousing concepts and data
* Strong critical thinking, problem solving, organization and analytical skills
* Demonstrated ability to communicate and present analysis or technical concepts to a non\-technical audience in a clear and understandable manner
**Desired Technical Skills**
* Development/Query languages: SQL (T\-SQL, Python)
* Platforms/Tools: PowerBI, Snowflake, Dataiku, SQL Server, Oracle, SSIS, SSRS
* Knowledge of SAP and Maximo is preferred
* Visual studio experience preferred
**Experience**
* For a Level 1 (Associate), a minimum of no previous years of experience to two years related experience is required (if no degree, four\-six years of relevant experience or equivalent combination of education and related experience totaling four\-six years).
* For a Level 2 (Journey), a minimum of two years of experience to four years related experience is required (if no degree, six\-eight years of relevant experience or equivalent combination of education and related experience totaling six\-eight years).
* For a Level 3 (Senior), a minimum of five years of related experience is required (if no degree, nine years of relevant experience or equivalent combination of education and related experience totaling nine years).
**Education**
 A bachelor's degree relevant to the assignment from an accredited institution is preferred.
**Hybrid Workplace**
 SRP currently offers a hybrid workplace, which allows employees whose jobs can be performed remotely, and who have sufficient technical capability, to telework up to three days per week. Although teleworking is available, all employees must live and work in Arizona.
**Drug/Alcohol Policy Statement**
 To promote the safety and well\-being of our employees, customers, and the communities we serve, SRP is committed to maintaining a drug/alcohol free work environment. Although marijuana may now be legal in Arizona, except as otherwise specified under Arizona law, SRP considers it to be an illegal drug for the purpose of our drug/alcohol policy because marijuana remains illegal at the federal level. Any candidate found to be impaired during the hiring process or who has the presence of an illegal drug or unauthorized substance in their system during the pre\-employment drug/alcohol test may be disqualified from further consideration in the hiring process.
**Equal Opportunity Employer Statement**
 Salt River Project (SRP) is committed to equal employment opportunity regardless of race, color, religion, sex (including pregnancy), gender identity, sexual orientation, national origin, age, disability, genetic information, military status, or any other protected status under applicable federal, state or local law.
**Work Authorization**
 All candidates must be legally authorized to work in the United States.
 Currently, SRP does not sponsor H1B visas, OPT, or other employment\-related visa's.</t>
        </is>
      </c>
    </row>
    <row r="29">
      <c r="A29" t="inlineStr">
        <is>
          <t>li-4333629532</t>
        </is>
      </c>
      <c r="B29" t="inlineStr">
        <is>
          <t>Senior Data Engineer</t>
        </is>
      </c>
      <c r="C29" t="inlineStr">
        <is>
          <t>Hippocratic AI</t>
        </is>
      </c>
      <c r="D29" t="inlineStr">
        <is>
          <t>linkedin</t>
        </is>
      </c>
      <c r="E29" t="inlineStr"/>
      <c r="F29" t="inlineStr"/>
      <c r="G29" t="inlineStr">
        <is>
          <t>Palo Alto, CA</t>
        </is>
      </c>
      <c r="H29" t="inlineStr"/>
      <c r="I29" t="inlineStr">
        <is>
          <t>**About Us**
 Hippocratic AI is the leading generative AI company in healthcare. We have the only system that can have safe, autonomous, clinical conversations with patients. We have trained our own LLMs as part of our Polaris constellation, resulting in a system with over 99\.9% accuracy.
**Why Join Our Team**
**Reinvent healthcare with AI that puts safety first.** 
 We’re building the world’s first healthcare‑only, safety‑focused LLM — a breakthrough platform designed to transform patient outcomes at a global scale. This is category creation.
**Work with the people shaping the future.** 
 Hippocratic AI was co‑founded by CEO Munjal Shah and a team of physicians, hospital leaders, AI pioneers, and researchers from institutions like El Camino Health, Johns Hopkins, Washington University in St. Louis, Stanford, Google, Meta, Microsoft, and NVIDIA.
**Backed by the world’s leading healthcare and AI investors.** 
 We recently raised a $126M Series C at a $3\.5B valuation, led by Avenir Growth, bringing total funding to $404M with participation from CapitalG, General Catalyst, a16z, Kleiner Perkins, Premji Invest, UHS, Cincinnati Children’s, WellSpan Health, John Doerr, Rick Klausner, and others.
**Build alongside the best in healthcare and AI.** 
 Join experts who’ve spent their careers improving care, advancing science, and building world‑changing technologies — ensuring our platform is powerful, trusted, and truly transformative.
**Location Requirement**
 We believe the best ideas happen together. To support fast collaboration and a strong team culture, this role is expected to be in our Palo Alto office five days a week, unless otherwise specified.
**About The Role**
 At Hippocratic AI, data is the backbone of everything we build — from our voice\-based generative healthcare agents to the systems that ensure their clinical safety and reliability.
 We’re looking for data engineers who thrive at the intersection of data systems, security, and scalability to design the infrastructure that powers safe AI deployment across healthcare environments.
 As part of the Data Infrastructure team, you’ll design, operate, and scale systems that collect, transform, and serve data for model training, evaluation, and operational analytics. You’ll work closely with ML, AI, and product teams to ensure our data is trustworthy, compliant, and high\-quality — forming the foundation for real\-world, patient\-facing AI systems.
 This is an opportunity to build data systems for a new class of AI products — where correctness, traceability, and privacy aren’t optional, they’re mission\-critical.
 What You'll Do
* Build \&amp; operate data platforms and pipelines (batch/stream) that feed training, RAG, evaluation, and analytics using tools like Prefect, dbt, Airflow, Spark, and cloud data warehouses (Snowflake/BigQuery/Redshift).
* Own data governance and access control: implement HIPAA\-grade permissioning, lineage, audit logging, and DLP; manage IAM, roles, and policy\-as\-code.
* Ensure reliability, observability, and cost efficiency across storage (S3/GCS), warehouses, and ETL/ELT—SLAs/SLOs, data quality checks, monitoring, and disaster recovery.
* Enable self\-service analytics via curated models and semantic layers; mentor engineers on best practices in schema design, SQL performance, and data lifecycle. Partner with ML/Research to provision high\-quality datasets, feature stores, and labeling/eval corpora with reproducibility (versioning, metadata, data contracts).
 What You Bring
**Must\-Have:**
* 5\+ years of software or data engineering experience, with 3\+ years building data infrastructure, ETL/ELT pipelines, or distributed data systems.
* Deep experience with Python and at least one cloud data platform (Snowflake, DataBricks, BigQuery, Redshift, or equivalent).
* Familiarity with orchestration tools (Airflow, prefect, dbt) and infrastructure\-as\-code (Terraform, CloudFormation).
* Strong understanding of data security, access control, and compliance frameworks (HIPAA, SOC 2, GDPR, or similar).
* Proficiency with SQL and experience optimizing query performance and storage design.
* Excellent problem\-solving and collaboration skills — able to work across engineering, ML, and clinical teams.
* Comfortable navigating trade\-offs between performance, cost, and maintainability in complex systems.
**Nice\-to\-Have:**
* Experience supporting ML pipelines, feature stores, or model training datasets.
* Familiarity with real\-time streaming systems (Kafka, Kinesis) or large\-scale unstructured data storage (S3, GCS).
* Background in data reliability engineering, data quality monitoring, or governance automation.
* Experience in healthcare, safety\-critical systems, or regulated environments.
 If you’re passionate about
 **building data systems that power safe, real\-world AI** 
 , we’d love to hear from you. Join
 **Hippocratic AI** 
 and help lay the foundation for
 **clinically safe, data\-driven healthcare agents** 
 that make a measurable impact on patient outcomes.
*Please be aware of recruitment scams impersonating Hippocratic AI. All recruiting communication will come from @* 
*hippocraticai.com* 
*email addresses. We will never request payment or sensitive personal information during the hiring process.*</t>
        </is>
      </c>
    </row>
    <row r="30">
      <c r="A30" t="inlineStr">
        <is>
          <t>li-4313398309</t>
        </is>
      </c>
      <c r="B30" t="inlineStr">
        <is>
          <t>Senior Data Engineer</t>
        </is>
      </c>
      <c r="C30" t="inlineStr">
        <is>
          <t>Kin Insurance</t>
        </is>
      </c>
      <c r="D30" t="inlineStr">
        <is>
          <t>linkedin</t>
        </is>
      </c>
      <c r="E30" t="inlineStr"/>
      <c r="F30" t="inlineStr"/>
      <c r="G30" t="inlineStr"/>
      <c r="H30" t="inlineStr"/>
      <c r="I30" t="inlineStr">
        <is>
          <t>Kin is redesigning insurance to be smarter, faster, and centered on the customer. We use intelligent pricing, offer seamless bundling, and make every step (from purchasing, servicing to claims) simple and friction\-free, especially in the places traditional insurers often ignore.
 We Empower People To Protect What Matters Most, Starting With Their Homes And Expanding To All They Value, In a World Where Climate Risks, Rising Costs, And Outdated Systems Leave Too Many Behind. Our Approach Has Fostered Amazing Growth, Attracted Marquee Investors, And Earned Us Accolades, Including Being Named To
* Built In Chicago's Best Places to Work, Midsize Companies (2021\-2025\).
* Forbes' America's Best Startup Employers (2021\- 2024, Ranked \#37 in 2024\).
* Inc. 5000 Fastest\-Growing Private Companies.
* Forbes’ Fintech 50\.
 Simply put, our people are what make us great – we need forward\-thinking, inspired game\-changers like you to join us in our mission.
**So What’s the Role?**
 As a Senior Data Engineer, you will play a pivotal role in ensuring the quality, integrity, and security of Kin’s data assets. You’ll be responsible for building out a data lakehouse for enterprise reporting, which will involve the design and development of production\-ready data pipelines, modeling raw data for downstream reporting, and quality assurance of the data warehouse.
**What You’ll Do**
 You’ll work on a cross\-functional project team with members from AppEng, DataEng, BI, and Kin’s business to design solutions for effective reporting. You’ll implement data validation standards and QA procedures to ensure effective data lifecycle and management practices. This involves:
* Designing and developing scalable data pipelines and models for downstream analytics and reporting
* Leading and collaborating with a cross\-functional project team to implement data validation, QA standards, and effective data lifecycle management
* Optimizing pipeline performance, cost, and data quality in a large\-scale data environment
* Migrating data warehouse (DBT, Redshift) architecture to Lakehouse (e.g: S3, Glue, Databricks, Unity catalog) architecture
* Mentoring data engineers and promoting best practices in software engineering, documentation, and metadata management
* Ensuring data security and compliance with regulations (e.g., GDPR, CCPA, GLBA) through robust pipeline design and access monitoring
* Translating ambiguous business requirements into technical solutions using marketing domain knowledge
**The Skills To Succeed**
* 4\+ years of hands\-on data engineering experience related to:
+ Data structures and cloud platform environments and best practices (AWS strongly preferred, Azure, or GCP)
+ ETL performance tuning and cost optimization
+ Data lake and lakehouse patterns including open table formats (e.g. Iceberg, Hudi, Delta)
* Proficiency in Python (Pandas, NumPy, etc.) and SQL for advanced data processing and querying
* Expertise in distributed data processing/storage (e.g., Apache Spark, Kafka, Hadoop, or similar)
* Excellent communication skills and ability to explain complex concepts clearly and concisely
* Detail\-oriented with strong data intuition and a passion for data quality
* Proven ability to model data and build production\-ready ETL pipelines handling TBs of data.
* Great time management and prioritization skills
**You should join us if…**
* You want to work on cutting\-edge data solutions in a high\-impact, regulated industry
* You enjoy collaborating with talented teams to solve complex problems and drive business outcomes
* You want to learn from and mentor team members in a dynamic, growth\-oriented environment with opportunities to innovate
* You value making a real world impact on people’s lives through the use of data and technology
* You’re outcome oriented, as well collaborative. Taking ownership and prioritizing key outcomes is important, but so is taking an emotionally intelligent approach to working with others.
**You probably shouldn’t apply if…**
* You are uncomfortable with ambiguity or unclear requirements. We solve a lot of new problems where requirements are not well defined.
* You would rather avoid start\-up environments where processes may not be well\-defined. Change is a way of life at Kin. We’re still establishing some of our processes and evolving how we manage data.
* You see perfection as the only option. We move fast, and we make mistakes. We learn and grow through experimentation and mistakes. While we hold ourselves to high standards, we don’t demand perfection.
* You keep to yourself. We have a collaborative culture where we solve problems together, learn from, and support each other. You’re part of a team here at Kin.
**Oh, and don’t worry, we’ve got you covered!**
 We offer a comprehensive benefits program, allowing you to choose the benefits that are best for you and your family including: Medical, Dental, Vision, Life Insurance and Disability Insurance options, Employee Assistance Program, as well as elective voluntary benefits such as accident insurance, hospital indemnity, critical illness, legal assistance and pet insurance. Kinfolk become eligible for benefits on the first day of the month following their start date.
 In addition to these benefits, we also are excited to offer the following:
* Competitive salary and company equity through Restricted Stock Units (RSUs), granted as part of our standard compensation package and based on role and level.
* 401K with company match of up to 4% of eligible earnings
* Flexible PTO for exempt employees (employees typically take 15\-20 days annually), along with 8 company\-observed holidays
* A paid parental leave program that provides 100% salary continuation of up to 14 weeks for birthing parents and 8 weeks for non birthing parents
* Continuing education and professional development opportunities
*For Sales Agents and Customer Service Agents: These roles sit in any of the following 30 states: AL, AZ, CO, FL, ID, IL, IN, KS, KY, MA, MD, ME, MI, MO, MT, NC, NE, NM, NV, NY, OH, OK, PA, SC, TN, TX, UT, VT, VA, WA, and WI.*
*For all other positions, these roles can sit in any of the following 40 states: AL, AR, AZ, CA (exempt only), CO, CT, FL, GA, ID, IL, IN, IA, KS, KY, MA, ME, MD, MI, MN, MO, MT, NC, NE, NJ, NM, NV, NY, OH, OK, OR, PA, SC, SD, TN, TX, UT, VT, VA, WA, and WI. Please only apply if you are able to live and work full\-time in one of the states listed above.*
*State locations and specifics are subject to change as our hiring requirements shift.*
**About Kin**
 Kin is the only pure\-play, direct\-to\-consumer digital insurer focused on the growing home insurance market. We make policies convenient and affordable through a technology platform that delivers a seamless user experience, customized options for coverage, and fast, high\-quality claims service. Kin is a fully licensed carrier that offers coverage through its reciprocal exchanges which are owned by its policyholders. To learn more, visit www.kin.com.
**EEOC Statement**
 Kin is proud to be an Equal Employment Opportunity and Affirmative Action Employer. We don't just accept difference – we honor it, nurture it, and celebrate it. We don’t discriminate based 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t>
        </is>
      </c>
    </row>
    <row r="31">
      <c r="A31" t="inlineStr">
        <is>
          <t>li-4360743255</t>
        </is>
      </c>
      <c r="B31" t="inlineStr">
        <is>
          <t>Azure Data Engineer</t>
        </is>
      </c>
      <c r="C31" t="inlineStr">
        <is>
          <t>Quantum World Technologies Inc.</t>
        </is>
      </c>
      <c r="D31" t="inlineStr">
        <is>
          <t>linkedin</t>
        </is>
      </c>
      <c r="E31" t="inlineStr"/>
      <c r="F31" t="inlineStr"/>
      <c r="G31" t="inlineStr">
        <is>
          <t>Dallas, TX</t>
        </is>
      </c>
      <c r="H31" t="inlineStr"/>
      <c r="I31" t="inlineStr">
        <is>
          <t>**Azure Data Engineer** 
**Dallas TX, Onsite,** 
**Interviews will be in\-person** 
**7 Years \- 10 Years profile** 
**Full Time Role** 
**Job Description** 
**Job Summary** 
* Seeking a Specialist with 7\+ years of experience in designing and implementing data engineering solutions using Python and Azure Data Factory within the Azure Data Factory ADF skill family
**Job Description** 
* Design, develop and maintain scalable data pipelines and ETL processes using Python and Azure Data Factory
* Collaborate with source data application teams and product owners to understand data requirements and deliver analytics solutions
* Utilize Azure Data Factory and Azure Data Lake for data ingestion storage and processing
* Implement data migration and transformation workflows leveraging Azure cloud services
* Ensure data quality performance tuning and optimization of data pipelines
* Support continuous integration and continuous deployment, CICD pipelines for data engineering projects
* Apply best practices for data governance privacy and security within Azure environments
* Stay updated with emerging Azure technologies and recommend improvements to existing data solutions
**Roles and Responsibilities** 
* Lead the design and implementation of batch and streaming data pipelines using Azure Data Factory and related Azure services
* Provide technical leadership and mentorship to team members on Python programming and Azure Data Factory best practices
* Collaborate with DevOps teams to manage deployment monitoring and support of data engineering solutions
* Troubleshoot and resolve data pipeline issues ensuring high availability and reliability
* Participate in architectural discussions and contribute to the development of coding standards and security guidelines
* Engage with cross\-functional teams to align data engineering efforts with business objectives
* Drive automation of data workflows and improve operational efficiency
* Support production environments and provide timely incident response and root cause analysis
**Skills** 
**Mandatory Skills :** 
 Python, Azure Data Factory
**Good to Have Skills :** 
 Azure Data Lake</t>
        </is>
      </c>
    </row>
    <row r="32">
      <c r="A32" t="inlineStr">
        <is>
          <t>li-4361173094</t>
        </is>
      </c>
      <c r="B32" t="inlineStr">
        <is>
          <t>Senior Data Engineer, Engineering &amp; Operations</t>
        </is>
      </c>
      <c r="C32" t="inlineStr">
        <is>
          <t>NBCUniversal</t>
        </is>
      </c>
      <c r="D32" t="inlineStr">
        <is>
          <t>linkedin</t>
        </is>
      </c>
      <c r="E32" t="inlineStr"/>
      <c r="F32" t="inlineStr"/>
      <c r="G32" t="inlineStr">
        <is>
          <t>New York, NY</t>
        </is>
      </c>
      <c r="H32" t="inlineStr"/>
      <c r="I32" t="inlineStr">
        <is>
          <t>NBCUniversal is one of the world's leading media and entertainment companies. We create world\-class content, which we distribute across our portfolio of film, television, and streaming, and bring to life through our global theme park destinations, consumer products, and experiences. We own and operate leading entertainment and news brands, including NBC, NBC News, NBC Sports, Telemundo, NBC Local Stations, Bravo, and Peacock, our premium ad\-supported streaming service. We produce and distribute premier filmed entertainment and programming through our powerhouse film and television studios, including Universal Pictures, DreamWorks Animation, and Focus Features, and the four global television studios under the Universal Studio Group banner, and operate industry\-leading theme parks and experiences around the world through Universal Destinations \&amp; Experiences, including Universal Orlando Resort, home to Universal Epic Universe, and Universal Studios Hollywood. NBCUniversal is a subsidiary of Comcast Corporation. Visit www.nbcuniversal.com for more information.
 Our impact is rooted in improving the communities where our employees, customers, and audiences live and work. We have a rich tradition of giving back and ensuring our employees have the opportunity to serve their communities. We champion an inclusive culture and strive to attract and develop a talented workforce to create and deliver a wide range of content reflecting our world.
**Job Description**
 NBCUniversal Advertising Products \&amp; Solutions (AP\&amp;S) is responsible for the product development and project management of NBCUniversal’s full advertising technology suite. From sales support to campaign execution, delivery, and billing, our division services both internal and external customers in support of NBCUniversal’s $7B\+ annual advertising business. Together, we’re building the platform that powers the future of advertising at NBCU.
 We are seeking a Senior Data Engineer, Engineering \&amp; Operations to lead the Engineering \&amp; Automation pillar. Reporting to the Sr. Director of Engineering \&amp; Operations, you will lead the engineering and operational excellence behind our data collaboration ecosystem. You will be instrumental in designing and implementing scalable data architectures and driving automation through AI agents and self\-service tooling, translating prototypes into robust production solutions.
**Duties and Responsibilities**
 The person in this role will:
* Architecture Leadership: Define partner onboarding and clean room architecture patterns across Snowflake, LiveRamp, and Databricks that are secure, scalable, and repeatable.
* Infrastructure Setup \&amp; Library Deployment: Configure and manage partner\-specific clean room environments; deploy and manage Python\-based libraries within the platform ecosystem.
* MLOps Integration: Establish and maintain MLOps practices, including model serving, monitoring, and pipeline orchestration for AI/ML features deployed within the platform ecosystem.
* Security \&amp; RBAC: Own design and enforcement of granular RBAC policies and least\-privilege service accounts.
* Partner Onboarding: Serve as the technical lead for onboarding new partners, implementing privacy\-preserving controls (e.g., aggregation thresholds and anonymization techniques).
* Pipeline \&amp; Data Product Ownership: Design, build, and operate scalable ELT pipelines using Snowpark and/or PySpark and advanced SQL to provision Gold datasets.
* Identity Resolution: Implement and evolve identity resolution logic mapping internal data to 3P identifiers (including LUIDs, RampIDs, TransUnion IDs), ensuring privacy\-safe practices.
* Scalable Architecture: Design and operate scalable data architectures across Snowflake and Databricks supporting batch and near real\-time processing patterns.
* Data Quality by Design: Build robust automated checks (e.g., Great Expectations or custom SQL assertions) and define quality standards to detect schema drift, null rate spikes, and volume anomalies.
* FinOps \&amp; Operational Excellence: Lead performance optimization across platforms (query tuning, caching, incremental processing) and define and implement query tagging and chargeback models for accurate cost attribution.
* Operational Maturity: Establish monitoring, alerting, runbooks, and standard operating procedures to improve platform reliability and reduce incident time\-to\-resolution.
* Testing \&amp; Validation: Validate that output data adheres to privacy and business requirements, and define test strategies for partner\-facing releases.
* Technical Escalation: Serve as the escalation point for diagnosing connection failures, data discrepancies, or latency issues with partner technical teams.
* Agentic Workflows \&amp; Platform Enablement: Design and build internal AI agents (using frameworks like LangChain, Snowflake Cortex) and mentor other engineers through code reviews, design discussions, and operational best practices.
**Qualifications**
* Education: Bachelor’s degree or higher in Computer Science, Information Systems, Software, Electrical or Electronics Engineering.
* Technical Experience: 5\+ years of Data Engineering experience, with deep proficiency in advanced SQL and Python. 3\+ years of hands\-on experience with cloud data platforms, specifically Snowflake or Databricks.
* Proven experience building and operating scalable ELT pipelines using orchestration tools (e.g., Airflow, dbt).
* Strong track record designing production\-grade systems (observability, reliability, performance tuning, incident response).
* Specialized Skills: Clean Room Knowledge: Exposure to Data Clean Room concepts and Clean Room platforms like LiveRamp, Snowflake or Databricks.
* AI/LLM Experience: Experience building applications with LLMs, RAG, Vector Databases, or frameworks like LangChain/LlamaIndex.
* Leadership: Ability to mentor other engineers through code reviews, design discussions, and operational best practices.
* Certifications Preferred: SnowPro Core Certification OR Databricks Certified Data Engineer Associate.
* Certifications Highly Preferred: SnowPro Advanced: Data Engineer OR Databricks Certified Data Engineer Professional.
**Additional Requirements:**
**Fully Remote** 
 : This position has been designated as fully remote, meaning that the position is expected to contribute from a non\-NBCUniversal worksite, most commonly an employee’s residence.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$140,000 \- $180,000 (bonus eligible)
**Additional Information**
 As part of our selection process, external candidates may be required to attend an in\-person interview with an NBCUniversal employee at one of our locations prior to a hiring decision.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If you are a qualified individual with a disability or a disabled veteran, you have the right to request a reasonable accommodation if you are unable or limited in your ability to use or access nbcunicareers.com as a result of your disability. You can request reasonable accommodations by emailing AccessibilitySupport@nbcuni.com.
 For LA County and City Residents Only: NBCUniversal will consider for employment qualified applicants with criminal histories, or arrest or conviction records, in a manner consistent with relevant legal requirements, including the City of Los Angeles' Fair Chance Initiative For Hiring Ordinance, the Los Angeles County Fair Chance Ordinance for Employers, and the California Fair Chance Act, where applicable.</t>
        </is>
      </c>
    </row>
    <row r="33">
      <c r="A33" t="inlineStr">
        <is>
          <t>li-4295610415</t>
        </is>
      </c>
      <c r="B33" t="inlineStr">
        <is>
          <t>Lead Data Engineer</t>
        </is>
      </c>
      <c r="C33" t="inlineStr">
        <is>
          <t>Allergan Aesthetics, an AbbVie Company</t>
        </is>
      </c>
      <c r="D33" t="inlineStr">
        <is>
          <t>linkedin</t>
        </is>
      </c>
      <c r="E33" t="inlineStr"/>
      <c r="F33" t="inlineStr"/>
      <c r="G33" t="inlineStr">
        <is>
          <t>Irvine, CA</t>
        </is>
      </c>
      <c r="H33" t="inlineStr"/>
      <c r="I33" t="inlineStr">
        <is>
          <t>**Company Description**
 At Allergan Aesthetics, an AbbVie company, we develop, manufacture, and market a portfolio of leading aesthetics brands and products. Our aesthetics portfolio includes facial injectables, body contouring, plastics, skin care, and more. Our goal is to consistently provide our customers with innovation, education, exceptional service, and a commitment to excellence, all with a personal touch. For more information, visit https://global.allerganaesthetics.com/. Follow Allergan Aesthetics on LinkedIn.
 Allergan Aesthetics \| An AbbVie Company
**Job Description**
 As the Lead Data Engineer,you will report to the
 Engineer Manager (Data Services) and continuously collaborate closely with key stakeholders across the business to solve critical technical challenges.
**Key Responsibilities:**
 Take ownership for achieving objectives and key results for your team, oversee \&amp; own technical solutions, communicate schedule, status, and milestones
 Collaborate with cross functional partners (Product Managers, Data Scientists, Machine Learning Engineers, Software Engineers, and Business teams) to build data products
 Communicate effectively with both technical and non\-technical stakeholders. Translate technical concepts into clear, accessible terms.
 Develop, optimize, and maintain complex ETL processes for data movement and transformation
 Review code and provide technical guidance to ensure adherence to high\-quality standards and best practices in data engineering
 Develop APIs and microservices to expose and integrate data products with software systems
 Implement monitoring, logging, and alerting systems to proactively identify and resolve issues
 Ensure data quality, security, and compliance with relevant regulations and standards
 Stay current with industry trends, emerging technologies, and best practices in data engineering. Foster a culture of continuous learning and skill development within the team
**Qualifications**
**Required Experience \&amp; Skills**
* BS, MS, or PhD in Computer Science, Mathematics, Statistics, Engineering, Operations Research, or a related quantitative field
* 7\+ years of experience as a Data Engineer or Software Engineer developing and maintaining data pipelines, infrastructure and architecture
* Strong programming skills in Python with a solid understanding of core computer science principles
* Knowledge of relational and dimensional data modeling for building data products.
* Experience with data quality checks and data monitoring solutions.
* Experience orchestrating complex workflows and data pipelines using Airflow or similar tools
* Proficiency with Git, CI/CD pipelines, Docker, and Kubernetes
* Experience architecting solutions on AWS or equivalent public cloud platforms
* Experience developing data APIs, microservices, and event\-driven systems to integrate data products
* Strong interpersonal and verbal communication skills
* Proven leadership experience with the ability to mentor and guide a team
**Preferred Experience \&amp; Skills:**
* Familiarity with data mesh concepts.
* Domain knowledge in recommender systems, fraud detection, personalization, and marketing science.
* Understanding of vector databases, knowledge graphs, and other advanced data organization techniques.
* Hands\-on experience with tools such as Snowflake, Postgres, DynamoDB, Kafka, Fivetran, dbt, Airflow, Docker, Kubernetes, SageMaker, Datadog, PagerDuty, data observability tools, and data governance tools.
 Additional Information
 Applicable only to applicants applying to a position in any location with pay disclosure requirements under state or local law:
* The compensation range described below is the range of possible base pay compensation that the Company believes in good faith it will pay for this role at the time of this posting based on the job grade for this position. Individual compensation paid within this range will depend on many factors including geographic location, and we may ultimately pay more or less than the posted range. This range may be modified in the future.
* We offer a comprehensive package of benefits including paid time off (vacation, holidays, sick), medical/dental/vision insurance and 401(k) to eligible employees.
* This job is eligible to participate in our short\-term incentive programs.
* This job is eligible to participate in our long\-term incentive programs
 Note: No amount of pay is considered to be wages or compensation until such amount is earned, vested, and determinable. The amount and availability of any bonus, commission, incentive, benefits, or any other form of compensation and benefits that are allocable to a particular employee remains in the Company's sole and absolute discretion unless and until paid and may be modified at the Company’s sole and absolute discretion, consistent with applicable law.
 AbbVie is an equal opportunity employer and is committed to operating with integrity, driving innovation, transforming lives and serving our community.  Equal Opportunity Employer/Veterans/Disabled.
 US \&amp; Puerto Rico only \- to learn more, visit https://www.abbvie.com/join\-us/equal\-employment\-opportunity\-employer.html
 US \&amp; Puerto Rico applicants seeking a reasonable accommodation, click here to learn more:
 https://www.abbvie.com/join\-us/reasonable\-accommodations.html</t>
        </is>
      </c>
    </row>
    <row r="34">
      <c r="A34" t="inlineStr">
        <is>
          <t>li-4282841810</t>
        </is>
      </c>
      <c r="B34" t="inlineStr">
        <is>
          <t>Databricks Data Engineer - Senior - Consulting - Location Open</t>
        </is>
      </c>
      <c r="C34" t="inlineStr">
        <is>
          <t>EY</t>
        </is>
      </c>
      <c r="D34" t="inlineStr">
        <is>
          <t>linkedin</t>
        </is>
      </c>
      <c r="E34" t="inlineStr"/>
      <c r="F34" t="inlineStr"/>
      <c r="G34" t="inlineStr">
        <is>
          <t>Iselin, NJ</t>
        </is>
      </c>
      <c r="H34" t="inlineStr"/>
      <c r="I34"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35">
      <c r="A35" t="inlineStr">
        <is>
          <t>li-4282842616</t>
        </is>
      </c>
      <c r="B35" t="inlineStr">
        <is>
          <t>Databricks Data Engineer - Senior - Consulting - Location Open</t>
        </is>
      </c>
      <c r="C35" t="inlineStr">
        <is>
          <t>EY</t>
        </is>
      </c>
      <c r="D35" t="inlineStr">
        <is>
          <t>linkedin</t>
        </is>
      </c>
      <c r="E35" t="inlineStr"/>
      <c r="F35" t="inlineStr"/>
      <c r="G35" t="inlineStr">
        <is>
          <t>Austin, TX</t>
        </is>
      </c>
      <c r="H35" t="inlineStr"/>
      <c r="I35"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36">
      <c r="A36" t="inlineStr">
        <is>
          <t>li-4316023588</t>
        </is>
      </c>
      <c r="B36" t="inlineStr">
        <is>
          <t>Data Engineer, Senior</t>
        </is>
      </c>
      <c r="C36" t="inlineStr">
        <is>
          <t>Booz Allen Hamilton</t>
        </is>
      </c>
      <c r="D36" t="inlineStr">
        <is>
          <t>linkedin</t>
        </is>
      </c>
      <c r="E36" t="inlineStr"/>
      <c r="F36" t="inlineStr"/>
      <c r="G36" t="inlineStr">
        <is>
          <t>Springfield, VA</t>
        </is>
      </c>
      <c r="H36" t="inlineStr"/>
      <c r="I36" t="inlineStr">
        <is>
          <t>**Job Number: R0228260**
 Data Engineer, Senior
**The Opportunity:**
 Ever\-expanding technology like IoT, machine learning, and artificial intelligence means that there’s more structured and unstructured data available today than ever before. As a data engineer, you know that organizing data can yield pivotal insights when it’s gathered from disparate sources. We need an experienced data engineer like you to help our clients find answers in their data to impact important missions from fraud detection to cancer research, to national intelligence.
 As a data engineer at Booz Allen, you’ll help build advanced technology solutions and implement data engineering activities on some of the most mission\-driven projects in the industry. You’ll deploy and develop pipelines and platforms that organize and make disparate data meaningful.
 Here, you’ll work with and guide a multi\-disciplinary team of analysts, data engineers, developers, and data consumers in a fast\-paced, agile environment. You’ll use your experience in analytical exploration and data examination while you manage the assessment, design, building, and maintenance of scalable platforms for your clients.
 Work with us to use data for good.
 Join us. The world can’t wait.
**You Have:**
* 5\+ years of experience in application development
* 5\+ years of experience designing, developing, operationalizing, and maintaining complex data applications at enterprise scale
* 3\+ years of experience creating software for retrieving, parsing, and processing structured and unstructured data
* 3\+ years of experience building scalable ETL/ELT workflows for reporting and analytics
* Experience creating solutions within a collaborative, cross\-functional team environment
* Ability to develop scripts and programs for converting various types of data into usable formats, and support project team to scale, monitor, and operate data platforms
* TS/SCI clearance
* Bachelor’s degree
**Nice If You Have:**
* Experience with Python, SQL, Scala, or Java
* Experience with UNIX or Linux, including basic commands and Shell scripting
* Experience with a public cloud, including AWS, Microsoft Azure, or Google Cloud
* Experience with distributed data or computing tools, including Spark, Databricks, Hadoop, Hive, AWS EMR, or Kafka
* Experience working on real\-time data and streaming applications
* Experience with NoSQL implementation, including MongoDB or Cassandra
* Experience with data warehousing using AWS Redshift, MySQL, or Snowflake
* Experience with Agile engineering practices
* TS/SCI clearance with a polygraph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37">
      <c r="A37" t="inlineStr">
        <is>
          <t>li-4282846260</t>
        </is>
      </c>
      <c r="B37" t="inlineStr">
        <is>
          <t>Databricks Data Engineer - Senior - Consulting - Location Open</t>
        </is>
      </c>
      <c r="C37" t="inlineStr">
        <is>
          <t>EY</t>
        </is>
      </c>
      <c r="D37" t="inlineStr">
        <is>
          <t>linkedin</t>
        </is>
      </c>
      <c r="E37" t="inlineStr"/>
      <c r="F37" t="inlineStr"/>
      <c r="G37" t="inlineStr">
        <is>
          <t>Westlake Village, CA</t>
        </is>
      </c>
      <c r="H37" t="inlineStr"/>
      <c r="I37"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38">
      <c r="A38" t="inlineStr">
        <is>
          <t>li-4321584774</t>
        </is>
      </c>
      <c r="B38" t="inlineStr">
        <is>
          <t>Data Engineer ( Bigdata with AWS &amp; Snowflake)</t>
        </is>
      </c>
      <c r="C38" t="inlineStr">
        <is>
          <t>Tata Consultancy Services</t>
        </is>
      </c>
      <c r="D38" t="inlineStr">
        <is>
          <t>linkedin</t>
        </is>
      </c>
      <c r="E38" t="inlineStr"/>
      <c r="F38" t="inlineStr"/>
      <c r="G38" t="inlineStr">
        <is>
          <t>Bethesda, MD</t>
        </is>
      </c>
      <c r="H38" t="inlineStr"/>
      <c r="I38" t="inlineStr">
        <is>
          <t>**Job Description**
* Involved in the Study of the business logic and coordinate with the client to gather the requirements.
* Experience with Hive, Nifi, Airflow, Snowflake and Kafka
* Experience in Cloud environments, particularly AWS \- EC2, S3, Lambda
* Experience in Unit testing, integration testing for Spark scripts
* Scripting with Bash, CSH, Shell, or Python
* Designing and implementing large\-scale ingest systems in a Big Data environment
* Optimizing all stages of the data life cycle, from initial planning, to ingest, through final display and beyond
* Designing and implementing data extraction, cleansing, transformation, loading, and replication/distribution capabilities
* Developing custom solutions/code to ingest and exploit new and existing data sources
* Working with Sponsor development teams to improve application performance
* Providing support to maintain, optimize, troubleshoot, and configure the AWS/spark/Hadoop environment as needed
* Collaborating with team\-mates, other service providers, vendors, and users to develop new and more efficient method
* Experience with CI/CD pipelines, unit tests, integration, and regression testing
* Significant experience with Airflow
* Strong ability to manage competing priorities and communication to multiple stakeholders
* Bachelor’s degree in computer science, Computer Engineering, or a related discipline with experience in software design and development.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
 Salary Range\-$100,000\-$130,000 a year</t>
        </is>
      </c>
    </row>
    <row r="39">
      <c r="A39" t="inlineStr">
        <is>
          <t>li-4282846255</t>
        </is>
      </c>
      <c r="B39" t="inlineStr">
        <is>
          <t>Databricks Data Engineer - Senior - Consulting - Location Open</t>
        </is>
      </c>
      <c r="C39" t="inlineStr">
        <is>
          <t>EY</t>
        </is>
      </c>
      <c r="D39" t="inlineStr">
        <is>
          <t>linkedin</t>
        </is>
      </c>
      <c r="E39" t="inlineStr"/>
      <c r="F39" t="inlineStr"/>
      <c r="G39" t="inlineStr">
        <is>
          <t>Hoboken, NJ</t>
        </is>
      </c>
      <c r="H39" t="inlineStr"/>
      <c r="I39"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40">
      <c r="A40" t="inlineStr">
        <is>
          <t>li-4282843521</t>
        </is>
      </c>
      <c r="B40" t="inlineStr">
        <is>
          <t>Databricks Data Engineer - Manager - Consulting - Location Open</t>
        </is>
      </c>
      <c r="C40" t="inlineStr">
        <is>
          <t>EY</t>
        </is>
      </c>
      <c r="D40" t="inlineStr">
        <is>
          <t>linkedin</t>
        </is>
      </c>
      <c r="E40" t="inlineStr"/>
      <c r="F40" t="inlineStr"/>
      <c r="G40" t="inlineStr">
        <is>
          <t>Sacramento, CA</t>
        </is>
      </c>
      <c r="H40" t="inlineStr"/>
      <c r="I40"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41">
      <c r="A41" t="inlineStr">
        <is>
          <t>li-4282848081</t>
        </is>
      </c>
      <c r="B41" t="inlineStr">
        <is>
          <t>Databricks Data Engineer - Manager - Consulting - Location Open</t>
        </is>
      </c>
      <c r="C41" t="inlineStr">
        <is>
          <t>EY</t>
        </is>
      </c>
      <c r="D41" t="inlineStr">
        <is>
          <t>linkedin</t>
        </is>
      </c>
      <c r="E41" t="inlineStr"/>
      <c r="F41" t="inlineStr"/>
      <c r="G41" t="inlineStr">
        <is>
          <t>Miami, FL</t>
        </is>
      </c>
      <c r="H41" t="inlineStr"/>
      <c r="I41"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42">
      <c r="A42" t="inlineStr">
        <is>
          <t>li-4282849114</t>
        </is>
      </c>
      <c r="B42" t="inlineStr">
        <is>
          <t>Databricks Data Engineer - Senior - Consulting - Location Open</t>
        </is>
      </c>
      <c r="C42" t="inlineStr">
        <is>
          <t>EY</t>
        </is>
      </c>
      <c r="D42" t="inlineStr">
        <is>
          <t>linkedin</t>
        </is>
      </c>
      <c r="E42" t="inlineStr"/>
      <c r="F42" t="inlineStr"/>
      <c r="G42" t="inlineStr">
        <is>
          <t>Baton Rouge, LA</t>
        </is>
      </c>
      <c r="H42" t="inlineStr"/>
      <c r="I42"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43">
      <c r="A43" t="inlineStr">
        <is>
          <t>li-4282847166</t>
        </is>
      </c>
      <c r="B43" t="inlineStr">
        <is>
          <t>Databricks Data Engineer - Senior - Consulting - Location Open</t>
        </is>
      </c>
      <c r="C43" t="inlineStr">
        <is>
          <t>EY</t>
        </is>
      </c>
      <c r="D43" t="inlineStr">
        <is>
          <t>linkedin</t>
        </is>
      </c>
      <c r="E43" t="inlineStr"/>
      <c r="F43" t="inlineStr"/>
      <c r="G43" t="inlineStr">
        <is>
          <t>Albany, NY</t>
        </is>
      </c>
      <c r="H43" t="inlineStr"/>
      <c r="I43"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44">
      <c r="A44" t="inlineStr">
        <is>
          <t>li-4282845228</t>
        </is>
      </c>
      <c r="B44" t="inlineStr">
        <is>
          <t>Databricks Data Engineer - Manager - Consulting - Location Open</t>
        </is>
      </c>
      <c r="C44" t="inlineStr">
        <is>
          <t>EY</t>
        </is>
      </c>
      <c r="D44" t="inlineStr">
        <is>
          <t>linkedin</t>
        </is>
      </c>
      <c r="E44" t="inlineStr"/>
      <c r="F44" t="inlineStr"/>
      <c r="G44" t="inlineStr">
        <is>
          <t>New Brunswick, NJ</t>
        </is>
      </c>
      <c r="H44" t="inlineStr"/>
      <c r="I44"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45">
      <c r="A45" t="inlineStr">
        <is>
          <t>li-4282848086</t>
        </is>
      </c>
      <c r="B45" t="inlineStr">
        <is>
          <t>Databricks Data Engineer - Manager - Consulting - Location Open</t>
        </is>
      </c>
      <c r="C45" t="inlineStr">
        <is>
          <t>EY</t>
        </is>
      </c>
      <c r="D45" t="inlineStr">
        <is>
          <t>linkedin</t>
        </is>
      </c>
      <c r="E45" t="inlineStr"/>
      <c r="F45" t="inlineStr"/>
      <c r="G45" t="inlineStr">
        <is>
          <t>Richmond, VA</t>
        </is>
      </c>
      <c r="H45" t="inlineStr"/>
      <c r="I45"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46">
      <c r="A46" t="inlineStr">
        <is>
          <t>li-4282840892</t>
        </is>
      </c>
      <c r="B46" t="inlineStr">
        <is>
          <t>Databricks Data Engineer - Manager - Consulting - Location Open</t>
        </is>
      </c>
      <c r="C46" t="inlineStr">
        <is>
          <t>EY</t>
        </is>
      </c>
      <c r="D46" t="inlineStr">
        <is>
          <t>linkedin</t>
        </is>
      </c>
      <c r="E46" t="inlineStr"/>
      <c r="F46" t="inlineStr"/>
      <c r="G46" t="inlineStr">
        <is>
          <t>Secaucus, NJ</t>
        </is>
      </c>
      <c r="H46" t="inlineStr"/>
      <c r="I46"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47">
      <c r="A47" t="inlineStr">
        <is>
          <t>li-4282844224</t>
        </is>
      </c>
      <c r="B47" t="inlineStr">
        <is>
          <t>Databricks Data Engineer - Manager - Consulting - Location Open</t>
        </is>
      </c>
      <c r="C47" t="inlineStr">
        <is>
          <t>EY</t>
        </is>
      </c>
      <c r="D47" t="inlineStr">
        <is>
          <t>linkedin</t>
        </is>
      </c>
      <c r="E47" t="inlineStr"/>
      <c r="F47" t="inlineStr"/>
      <c r="G47" t="inlineStr">
        <is>
          <t>Austin, TX</t>
        </is>
      </c>
      <c r="H47" t="inlineStr"/>
      <c r="I47"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48">
      <c r="A48" t="inlineStr">
        <is>
          <t>li-4282849110</t>
        </is>
      </c>
      <c r="B48" t="inlineStr">
        <is>
          <t>Databricks Data Engineer - Senior - Consulting - Location Open</t>
        </is>
      </c>
      <c r="C48" t="inlineStr">
        <is>
          <t>EY</t>
        </is>
      </c>
      <c r="D48" t="inlineStr">
        <is>
          <t>linkedin</t>
        </is>
      </c>
      <c r="E48" t="inlineStr"/>
      <c r="F48" t="inlineStr"/>
      <c r="G48" t="inlineStr">
        <is>
          <t>Richmond, VA</t>
        </is>
      </c>
      <c r="H48" t="inlineStr"/>
      <c r="I48"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49">
      <c r="A49" t="inlineStr">
        <is>
          <t>li-4282844257</t>
        </is>
      </c>
      <c r="B49" t="inlineStr">
        <is>
          <t>Databricks Data Engineer - Senior - Consulting - Location Open</t>
        </is>
      </c>
      <c r="C49" t="inlineStr">
        <is>
          <t>EY</t>
        </is>
      </c>
      <c r="D49" t="inlineStr">
        <is>
          <t>linkedin</t>
        </is>
      </c>
      <c r="E49" t="inlineStr"/>
      <c r="F49" t="inlineStr"/>
      <c r="G49" t="inlineStr">
        <is>
          <t>Orlando, FL</t>
        </is>
      </c>
      <c r="H49" t="inlineStr"/>
      <c r="I49"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50">
      <c r="A50" t="inlineStr">
        <is>
          <t>li-4282848088</t>
        </is>
      </c>
      <c r="B50" t="inlineStr">
        <is>
          <t>Databricks Data Engineer - Manager - Consulting - Location Open</t>
        </is>
      </c>
      <c r="C50" t="inlineStr">
        <is>
          <t>EY</t>
        </is>
      </c>
      <c r="D50" t="inlineStr">
        <is>
          <t>linkedin</t>
        </is>
      </c>
      <c r="E50" t="inlineStr"/>
      <c r="F50" t="inlineStr"/>
      <c r="G50" t="inlineStr">
        <is>
          <t>Phoenix, AZ</t>
        </is>
      </c>
      <c r="H50" t="inlineStr"/>
      <c r="I50"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51">
      <c r="A51" t="inlineStr">
        <is>
          <t>li-4282843510</t>
        </is>
      </c>
      <c r="B51" t="inlineStr">
        <is>
          <t>Databricks Data Engineer - Manager - Consulting - Location Open</t>
        </is>
      </c>
      <c r="C51" t="inlineStr">
        <is>
          <t>EY</t>
        </is>
      </c>
      <c r="D51" t="inlineStr">
        <is>
          <t>linkedin</t>
        </is>
      </c>
      <c r="E51" t="inlineStr"/>
      <c r="F51" t="inlineStr"/>
      <c r="G51" t="inlineStr">
        <is>
          <t>Grand Rapids, MI</t>
        </is>
      </c>
      <c r="H51" t="inlineStr"/>
      <c r="I51"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52">
      <c r="A52" t="inlineStr">
        <is>
          <t>li-4282847126</t>
        </is>
      </c>
      <c r="B52" t="inlineStr">
        <is>
          <t>Databricks Data Engineer - Manager - Consulting - Location Open</t>
        </is>
      </c>
      <c r="C52" t="inlineStr">
        <is>
          <t>EY</t>
        </is>
      </c>
      <c r="D52" t="inlineStr">
        <is>
          <t>linkedin</t>
        </is>
      </c>
      <c r="E52" t="inlineStr"/>
      <c r="F52" t="inlineStr"/>
      <c r="G52" t="inlineStr">
        <is>
          <t>Greenville, SC</t>
        </is>
      </c>
      <c r="H52" t="inlineStr"/>
      <c r="I52"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53">
      <c r="A53" t="inlineStr">
        <is>
          <t>li-4282841776</t>
        </is>
      </c>
      <c r="B53" t="inlineStr">
        <is>
          <t>Databricks Data Engineer - Manager - Consulting - Location Open</t>
        </is>
      </c>
      <c r="C53" t="inlineStr">
        <is>
          <t>EY</t>
        </is>
      </c>
      <c r="D53" t="inlineStr">
        <is>
          <t>linkedin</t>
        </is>
      </c>
      <c r="E53" t="inlineStr"/>
      <c r="F53" t="inlineStr"/>
      <c r="G53" t="inlineStr">
        <is>
          <t>Albany, NY</t>
        </is>
      </c>
      <c r="H53" t="inlineStr"/>
      <c r="I53"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54">
      <c r="A54" t="inlineStr">
        <is>
          <t>li-4282841785</t>
        </is>
      </c>
      <c r="B54" t="inlineStr">
        <is>
          <t>Databricks Data Engineer - Manager - Consulting - Location Open</t>
        </is>
      </c>
      <c r="C54" t="inlineStr">
        <is>
          <t>EY</t>
        </is>
      </c>
      <c r="D54" t="inlineStr">
        <is>
          <t>linkedin</t>
        </is>
      </c>
      <c r="E54" t="inlineStr"/>
      <c r="F54" t="inlineStr"/>
      <c r="G54" t="inlineStr">
        <is>
          <t>Memphis, TN</t>
        </is>
      </c>
      <c r="H54" t="inlineStr"/>
      <c r="I54"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55">
      <c r="A55" t="inlineStr">
        <is>
          <t>li-4282846213</t>
        </is>
      </c>
      <c r="B55" t="inlineStr">
        <is>
          <t>Databricks Data Engineer - Manager - Consulting - Location Open</t>
        </is>
      </c>
      <c r="C55" t="inlineStr">
        <is>
          <t>EY</t>
        </is>
      </c>
      <c r="D55" t="inlineStr">
        <is>
          <t>linkedin</t>
        </is>
      </c>
      <c r="E55" t="inlineStr"/>
      <c r="F55" t="inlineStr"/>
      <c r="G55" t="inlineStr">
        <is>
          <t>Birmingham, AL</t>
        </is>
      </c>
      <c r="H55" t="inlineStr"/>
      <c r="I55"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56">
      <c r="A56" t="inlineStr">
        <is>
          <t>li-4282846225</t>
        </is>
      </c>
      <c r="B56" t="inlineStr">
        <is>
          <t>Databricks Data Engineer - Manager - Consulting - Location Open</t>
        </is>
      </c>
      <c r="C56" t="inlineStr">
        <is>
          <t>EY</t>
        </is>
      </c>
      <c r="D56" t="inlineStr">
        <is>
          <t>linkedin</t>
        </is>
      </c>
      <c r="E56" t="inlineStr"/>
      <c r="F56" t="inlineStr"/>
      <c r="G56" t="inlineStr">
        <is>
          <t>Tallahassee, FL</t>
        </is>
      </c>
      <c r="H56" t="inlineStr"/>
      <c r="I56"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57">
      <c r="A57" t="inlineStr">
        <is>
          <t>li-4282844248</t>
        </is>
      </c>
      <c r="B57" t="inlineStr">
        <is>
          <t>Databricks Data Engineer - Manager - Consulting - Location Open</t>
        </is>
      </c>
      <c r="C57" t="inlineStr">
        <is>
          <t>EY</t>
        </is>
      </c>
      <c r="D57" t="inlineStr">
        <is>
          <t>linkedin</t>
        </is>
      </c>
      <c r="E57" t="inlineStr"/>
      <c r="F57" t="inlineStr"/>
      <c r="G57" t="inlineStr">
        <is>
          <t>Irvine, CA</t>
        </is>
      </c>
      <c r="H57" t="inlineStr"/>
      <c r="I57"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58">
      <c r="A58" t="inlineStr">
        <is>
          <t>li-4282843515</t>
        </is>
      </c>
      <c r="B58" t="inlineStr">
        <is>
          <t>Databricks Data Engineer - Manager - Consulting - Location Open</t>
        </is>
      </c>
      <c r="C58" t="inlineStr">
        <is>
          <t>EY</t>
        </is>
      </c>
      <c r="D58" t="inlineStr">
        <is>
          <t>linkedin</t>
        </is>
      </c>
      <c r="E58" t="inlineStr"/>
      <c r="F58" t="inlineStr"/>
      <c r="G58" t="inlineStr">
        <is>
          <t>Akron, OH</t>
        </is>
      </c>
      <c r="H58" t="inlineStr"/>
      <c r="I58"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59">
      <c r="A59" t="inlineStr">
        <is>
          <t>li-4282844227</t>
        </is>
      </c>
      <c r="B59" t="inlineStr">
        <is>
          <t>Databricks Data Engineer - Manager - Consulting - Location Open</t>
        </is>
      </c>
      <c r="C59" t="inlineStr">
        <is>
          <t>EY</t>
        </is>
      </c>
      <c r="D59" t="inlineStr">
        <is>
          <t>linkedin</t>
        </is>
      </c>
      <c r="E59" t="inlineStr"/>
      <c r="F59" t="inlineStr"/>
      <c r="G59" t="inlineStr">
        <is>
          <t>Philadelphia, PA</t>
        </is>
      </c>
      <c r="H59" t="inlineStr"/>
      <c r="I59"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60">
      <c r="A60" t="inlineStr">
        <is>
          <t>li-4352596238</t>
        </is>
      </c>
      <c r="B60" t="inlineStr">
        <is>
          <t>Product Owner (Data Engineering &amp; Analytics)</t>
        </is>
      </c>
      <c r="C60" t="inlineStr">
        <is>
          <t>TechHuman</t>
        </is>
      </c>
      <c r="D60" t="inlineStr">
        <is>
          <t>linkedin</t>
        </is>
      </c>
      <c r="E60">
        <f>HYPERLINK("https://www.linkedin.com/jobs/view/4352596238", "https://www.linkedin.com/jobs/view/4352596238")</f>
        <v/>
      </c>
      <c r="F60" t="inlineStr"/>
      <c r="G60" t="inlineStr"/>
      <c r="H60" t="inlineStr"/>
      <c r="I60" t="inlineStr">
        <is>
          <t>We are seeking a motivated and experienced Data Product Owner / Project Manager to join our team. This role will partner closely with business stakeholders, data teams, and technology leaders to drive the delivery of data products and initiatives. The ideal candidate is a self\-starter who can lead implementations end to end, balance product ownership with project execution, and act as a strong ambassador between technical and non\-technical teams.
**Responsibilities:** 
* Lead and drive data\-focused initiatives, owning implementations from requirements gathering through delivery, without relying on centralized PMO resources for smaller projects.
* Act as a hybrid Product Owner and Project Manager, managing both short\- to mid\-term project cycles and long\-term product roadmaps.
* Serve as the primary liaison between internal business partners and technical teams, framing problems, leading discussions, and acting as a trusted ambassador for the data function.
* Gather, analyze, and translate business requirements into clear backlog items, roadmaps, and delivery plans.
* Oversee and coordinate ETL/ELT\-related initiatives, with a primary focus on ELT in hybrid cloud environments.
* Use SQL at a practical level to query databases, understand data relationships, and validate requirements and outputs.
* Standardize product and project management artifacts, including backlogs, roadmaps, templates, and customer engagement models.
* Track and report on KPIs such as cycle times, delivery efficiency, and team performance as part of a maturing product management function.
* Establish and manage OKR frameworks to support implementation, business analysis, and project management capabilities.
**Must\-Haves:** 
* Experience in Product Ownership and Project Management, with the ability to independently drive initiatives end to end.
* Strong background in data environments, including ETL and ELT concepts (hands\-on development not required).
* Experience supporting retail\-focused data use cases.
* Solid business analysis skills, including requirements elicitation and stakeholder management.
* Working knowledge of SQL at a slightly above basic level, with the ability to explore tables, columns, and data relationships.
* Experience working in hybrid cloud environments using major public cloud platforms.
* Ability to engage confidently with internal customers, lead conversations, and translate business needs into actionable plans.
**Nice\-to\-Haves:** 
* Experience with BI and reporting tools (e.g., DOMO or similar platforms).
* Familiarity with tools and platforms such as Informatica, Snowflake, and Excel.
* Exposure to data science concepts and analytics\-driven decision\-making.
* Experience helping organizations mature their product management practices, including backlog governance and roadmap standardization.
* Background working with both technically oriented and business\-focused stakeholders.</t>
        </is>
      </c>
    </row>
    <row r="61">
      <c r="A61" t="inlineStr">
        <is>
          <t>li-4352596299</t>
        </is>
      </c>
      <c r="B61" t="inlineStr">
        <is>
          <t>Data Engineer (L4) - Revenue Growth</t>
        </is>
      </c>
      <c r="C61" t="inlineStr">
        <is>
          <t>Netflix</t>
        </is>
      </c>
      <c r="D61" t="inlineStr">
        <is>
          <t>linkedin</t>
        </is>
      </c>
      <c r="E61">
        <f>HYPERLINK("https://www.linkedin.com/jobs/view/4352596299", "https://www.linkedin.com/jobs/view/4352596299")</f>
        <v/>
      </c>
      <c r="F61" t="inlineStr"/>
      <c r="G61" t="inlineStr"/>
      <c r="H61" t="inlineStr"/>
      <c r="I61"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**About The Role**
 The Membership \&amp; Finance Data Engineering team is at the heart of Netflix's financial and member data ecosystem. We build foundational datasets and data products that power critical business operations, financial reporting, and strategic analytics. As Netflix expands its business with new initiatives like Ads, Live events, and Bundles, the need for robust, scalable, and insightful revenue data has never been greater.
 The Revenue Growth Data Engineering team is part of the Membership and Finance Data Engineering team. It is the engine that powers insights into Netflix's financial growth. It optimizes all data related to incoming revenue streams, including subject areas such as billing, invoicing, revenue, tax, and member engagement and retention. This team’s work is foundational for financial assurance, forecasting, experimentation, and strategic decision\-making, which directly impact Netflix's growth trajectory.
 We are seeking a Data Engineer to join our Revenue Growth Data Engineering team at Netflix. In this role, you will design, build, and maintain scalable and reliable data pipelines and data products that power insights into revenue growth and member retention analysis, while contributing to foundational datasets and metrics critical to Netflix’s financial and business reporting.
 Your work will directly influence how financial and growth data is produced, trusted, and consumed by teams across Finance, Product, and Analytics. You will help ensure that our data is accurate, performant, intuitive, and easy to use, enabling better decisions and deeper insights into Netflix's growth drivers.
**What You’ll Do**
* Design, build, and maintain scalable and resilient data pipelines using Spark, Presto, and SQL, with a focus on revenue and member retention data.
* Develop high\-quality ETL workflows to ingest, transform, and aggregate data from multiple upstream sources.
* Partner closely with data analysts, finance partners, and product teams to understand business needs and deliver reliable, well\-modeled data products.
* Design and evolve data models that accurately represent financial entities, member behavior, and key growth metrics.
* Champion data quality and trust by implementing checks, validations, and monitoring to ensure accuracy and consistency in financial data.
* Monitor, troubleshoot, and optimize data workflows to improve performance, reliability, and maintainability.
* Contribute to improving our data engineering best practices, tooling, and documentation as the platform evolves.
**Who We’re Looking For**
* 3–4\+ years of experience building and maintaining data pipelines in a production environment.
* Hands\-on experience with distributed data processing technologies such as Spark and query engines like Presto.
* You strive to write elegant code, and you're comfortable with picking up new technologies
* Strong proficiency in at least one major programming language (e.g. Java, Scala, Python) and comfortable working with advanced SQL.
* Solid understanding of ETL design, data modeling, and data architecture fundamentals.
* Strong data intuition where you naturally question data, understand edge cases, and care about usability and correctness.
* A passion for data trustworthiness and building systems that produce accurate, consistent, and transparent financial data.
* Ability to collaborate effectively with cross\-functional partners and communicate technical concepts clearly.
* A mindset of ownership, curiosity, and continuous learning.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$170,000 \- $720,000\.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62">
      <c r="A62" t="inlineStr">
        <is>
          <t>li-4361107818</t>
        </is>
      </c>
      <c r="B62" t="inlineStr">
        <is>
          <t>Data Engineer</t>
        </is>
      </c>
      <c r="C62" t="inlineStr">
        <is>
          <t>Ford Motor Company</t>
        </is>
      </c>
      <c r="D62" t="inlineStr">
        <is>
          <t>linkedin</t>
        </is>
      </c>
      <c r="E62">
        <f>HYPERLINK("https://www.linkedin.com/jobs/view/4361107818", "https://www.linkedin.com/jobs/view/4361107818")</f>
        <v/>
      </c>
      <c r="F62">
        <f>HYPERLINK("https://efds.fa.em5.oraclecloud.com/hcmUI/CandidateExperience/en/job/55567/?utm_medium=jobboard&amp;utm_source=linkedin&amp;urlHash=A6yr", "https://efds.fa.em5.oraclecloud.com/hcmUI/CandidateExperience/en/job/55567/?utm_medium=jobboard&amp;utm_source=linkedin&amp;urlHash=A6yr")</f>
        <v/>
      </c>
      <c r="G62" t="inlineStr">
        <is>
          <t>Dearborn, MI</t>
        </is>
      </c>
      <c r="H62" t="inlineStr"/>
      <c r="I62" t="inlineStr">
        <is>
          <t>**Job Description**
 At Ford Motor Company, we believe freedom of movement drives human progress. We also believe in providing you with the freedom to define and realize your dreams. With our incredible plans for the future of mobility, we have an exciting opportunity for you to join our expanding area of Prognostics.
 Are you enthusiastic to mine raw data and realize its hidden value by building amazing, connected data solutions that benefit our customers? Would you love to accelerate our efforts in implementing advanced physics and ML Models in production?
 The Data Engineer role resides within the Ford’s Electric Vehicle organization. In this role, you will work on building scalable and robust data pipelines to process large volumes of connected vehicle data to support the Ford vehicle prognostic initiatives.
**Responsibilities**
**What you will do...**
* Develop exceptional analytical data products using both streaming and batch ingestion patterns on Google Cloud Platform with solid data warehouse principles.
* Build data pipelines to monitoring quality of data and performance of analytical models.
* Maintain the infrastructure of the data platform using terraform and continuously develop, evaluate, and deliver code using CI/CD.
* Collaborate with data analytics stakeholders to streamline the data acquisition, processing, and presentation process.
* Implement an enterprise data governance model and actively promote the concept of data \- protection, sharing, reuse, quality, and standards.
* Enhance and maintain the DevOps capabilities of the data platform.
* Continuously optimize and enhance existing data solutions (pipelines, products, infrastructure) for best performance, high security, low vulnerability, low costs, and high reliability.
* Work in an agile product team to deliver code frequently using Test Driven Development (TDD), continuous integration and continuous deployment (CI/CD).
* Promptly address code quality issues using SonarQube, Checkmarx, Fossa, and Cycode throughout the development lifecycle.
* Perform any necessary data mapping, data lineage activities and document information flows.
* Monitor the production pipelines and provide production support by addressing production issues as per SLAs.
* Provide analysis of connected vehicle data to support new product developments and production vehicle improvements.
* Provide visibility to data quality/vehicle/feature issues and work with the business owners to fix the issues.
* Demonstrate technical knowledge and communication skills with the ability to advocate for well\-designed solutions.
* Continuously enhance your domain knowledge of connected vehicle data, connected services and algorithms/models developed by data scientists within Ford.
* Stay current on the latest data engineering practices and contribute to the technical direction of the company while keeping a customer\-centric approach.
**Qualifications**
**You will have...**
* Master’s degree or foreign equivalent degree in Computer Science, Software Engineering, Information Systems, Data Engineering, or a related field, and 4 years of experience OR equivalent combination of education and experience (6\+ years with Bachelor's Degree).
* 4 years of professional experience in:
+ Data engineering, data product development and software product launches
+ At least three of the following languages: Java, Python, Spark, Scala, SQL
* 3 years of cloud data/software engineering experience building scalable, reliable, and cost\-effective production batch and streaming data pipelines using:
+ Data warehouses like Amazon Redshift, Microsoft Azure Synapse Analytics, Google BigQuery.
+ Workflow orchestration tools like Airflow.
+ Relational Database Management System like MySQL, PostgreSQL, and SQL Server.
+ Real\-Time data streaming platform like Apache Kafka, GCP Pub/Sub
+ Microservices architecture to deliver large\-scale real\-time data processing application.
+ REST APIs for compute, storage, operations, and security.
+ DevOps tools such as Tekton, GitHub Actions, Git, GitHub, Terraform, Docker.
+ Project management tools like Atlassian JIRA.
**Even better if you have...**
* Ph.D. or foreign equivalent degree in Computer Science, Software Engineering, Information System, Data Engineering, or a related field.
* 2 years of experience with ML Model Development and/or MLOps.
* Committed code to improve open\-source data/software engineering projects
* Experience architecting cloud infrastructure and handling application migrations/upgrades.
* GCP Professional Certifications.
* Demonstrated passion to mine raw data and realize its hidden value.
* Passion to experiment/implement state of the art data engineering methods/techniques.
* Experience working in an implementation team from concept to operations, providing deep technical subject matter expertise for successful deployment.
* Experience implementing methods for automation of all parts of the pipeline to minimize labor in development and production.
* Analytics skills to profile data, troubleshoot data pipeline/product issues.
* Ability to simplify, clearly communicate complex data/software ideas/problems and work with cross\-functional teams and all levels of management independently. You may not check every box, or your experience may look a little different from what we have outlined, but if you think you can bring value to Ford Motor Company, we encourage you to apply!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vision and prescription drug coverage
* Flexible family care days, paid parental leave, new parent ramp\-up programs, subsidized back\-up child care and more
* Family building benefits including adoption and surrogacy expense reimbursement, fertility treatments,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For more information on salary and benefits, click here: https://fordcareers.co/GSRSP2
 This position is a range of salary grades 6\-8 .
 Visa sponsorship is not available for this position.
 Candidates for positions with Ford Motor Company must be legally authorized to work in the United States. Verification of employment eligibility will be required at the time of hire.
 We are an Equal Opportunity Employer.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This position is hybrid. Candidates who are in commuting distance to a Ford hub location will be required to be onsite four or more days per week.</t>
        </is>
      </c>
    </row>
    <row r="63">
      <c r="A63" t="inlineStr">
        <is>
          <t>li-4361208069</t>
        </is>
      </c>
      <c r="B63" t="inlineStr">
        <is>
          <t>Senior Data Engineer</t>
        </is>
      </c>
      <c r="C63" t="inlineStr">
        <is>
          <t>Socket</t>
        </is>
      </c>
      <c r="D63" t="inlineStr">
        <is>
          <t>linkedin</t>
        </is>
      </c>
      <c r="E63">
        <f>HYPERLINK("https://www.linkedin.com/jobs/view/4361208069", "https://www.linkedin.com/jobs/view/4361208069")</f>
        <v/>
      </c>
      <c r="F63" t="inlineStr"/>
      <c r="G63" t="inlineStr"/>
      <c r="H63" t="inlineStr"/>
      <c r="I63" t="inlineStr">
        <is>
          <t>**About Us**
 Socket helps devs and security teams ship faster by cutting out security busywork. Thousands of orgs use Socket to safely find, audit, and manage open source code. Our customers — from Anthropic to xAI, and Figma to Vercel — love Socket (just check out their tweets to see for yourself!)
 Founded by
 **Feross Aboukhadijeh** 
 , a long\-time open source maintainer with software downloaded over a billion times a month, Socket has raised
 **$65M in funding** 
 from top angels, operators, and security leaders.
**About The Role**
 We're looking for a Data Engineer to join our Data Platform team and build the infrastructure that powers Socket's data ecosystem. You'll design and maintain systems that handle billions of records, enable real\-time analytics, and power the insights our customers rely on to secure their software supply chain.
 This is a high\-impact role where you'll work across the stack\- from ingestion pipelines to analytics APIs \- ensuring data flows reliably and is accessible when teams need it.
**What You'll Do**
* Design and build scalable data pipelines that ingest, process, and transform high\-volume event streams and historical data
* Develop and maintain APIs that deliver analytics, trend reports, and drill\-down capabilities to internal teams and external customers
* Build robust infrastructure for data quality monitoring, ensuring accuracy and completeness across customer and artifact datasets
* Optimize data storage and query performance using systems like ClickHouse, Kafka, NATS, and PostgreSQL to support real\-time and batch use cases
* Implement usage tracking, auditing, and event processing systems that provide visibility into platform behavior
* Create reliable data ingestion systems for security scan results, SBOM data, and artifact metadata
* Build infrastructure for outbound integrations that deliver Socket data to customer systems
* Collaborate with product, security research, and engineering teams to understand data needs and deliver solutions that scale
**What You'll Bring**
* 3\+ years of experience building data pipelines and infrastructure in production environments
* Strong proficiency in Node.js and TypeScript for backend development
* Experience with streaming data platforms (e.g., Kafka, NATS, RabbitMQ, Kinesis) and event\-driven architectures
* Hands\-on experience with columnar databases and OLAP systems (ClickHouse, BigQuery, Snowflake, DuckDB, or similar)
* Solid understanding of data modeling, schema design, and query optimization
* Familiarity with cloud data lake technologies (Delta Lake, Iceberg, Parquet, etc.)
* Experience building REST APIs and data access layers for analytics use cases
* Comfort working with large\-scale distributed systems and debugging performance bottlenecks
* Strong ownership mindset \- you take responsibility for the systems you build and ensure they're reliable
* Clear communication skills; you can explain technical trade\-offs to both engineers and non\-technical stakeholders
**Nice to Have**
* Experience with time\-series data and real\-time analytics
* Familiarity with security or DevOps tooling ecosystems
* Background working with SBOM formats or supply chain security concepts
* Experience with data quality frameworks and observability tools
* Understanding of multi\-tenant architectures and data isolation patterns
 We know how important clarity is when looking for a new role, so we've put together a read\-me about the Interview Process at Socket.
**Benefits:** 
 Our benefits are crafted to support you and your family, so you can take care of what matters most and thrive in and outside of work. We offer:
* Market competitive salary bands
* Meaningful equity program
* Comprehensive health benefits for you and your family
* Flexible time\-off, holidays, and winter shutdown to rest \&amp; recharge
* Paid parental leave
* Remote\-first, with quarterly team off\-sites
**At Socket, we**
* Pursue Excellence: We set ourselves apart by consistently delivering work of exceptional quality and distinction.
* Move with urgency and focus: We prioritize swift, decisive action.
* Think rigorously: We care about being right and it often takes reasoning from first principles to get there. We value alternative perspectives and have constructive discussions.
* Trust and amplify: We overtrust, always assume good intent, and give specific feedback to help each other improve.
* Feel a strong sense of ownership: We wear many hats and feel a strong sense of overall ownership of the company and we're non\-territorial regarding our nominal domains.
* Are customer obsessed: We relentlessly prioritize the needs of our customers, striving to exceed their expectations and delight them at every interaction.</t>
        </is>
      </c>
    </row>
    <row r="64">
      <c r="A64" t="inlineStr">
        <is>
          <t>li-4352695979</t>
        </is>
      </c>
      <c r="B64" t="inlineStr">
        <is>
          <t>Data Engineer I</t>
        </is>
      </c>
      <c r="C64" t="inlineStr">
        <is>
          <t>Milliman</t>
        </is>
      </c>
      <c r="D64" t="inlineStr">
        <is>
          <t>linkedin</t>
        </is>
      </c>
      <c r="E64">
        <f>HYPERLINK("https://www.linkedin.com/jobs/view/4352695979", "https://www.linkedin.com/jobs/view/4352695979")</f>
        <v/>
      </c>
      <c r="F64" t="inlineStr"/>
      <c r="G64" t="inlineStr">
        <is>
          <t>Chicago, IL</t>
        </is>
      </c>
      <c r="H64" t="inlineStr"/>
      <c r="I64" t="inlineStr">
        <is>
          <t>**Company Overview**
 Leading with our core values of Quality, Integrity, and Opportunity, MedInsight is one of the healthcare industry’s most trusted solutions for healthcare intelligence. Our company purpose is to empower easy, data\-driven decision\-making on important healthcare questions. Through our products, education, and services, MedInsight is making an impact on healthcare by helping to drive better outcomes for patients while reducing waste. Over 300 leading healthcare organizations have come to rely on MedInsight analytic solutions for healthcare cost and care management. MedInsight has been ranked \#1 for Payer Quality Analytics by clients for the last three years in the Best in KLAS report.
 MedInsight is a subsidiary of Milliman; a global, employee\-owned consultancy providing actuarial consulting, retirement funding and healthcare financing, enterprise risk management and regulatory compliance, data analytics and business transformation as well as a range of other consulting and technology solutions.
**Position Summary**
 We’re looking for a Data Engineer I to join our healthcare analytics platform team. In this role, you’ll help build and support scalable data pipelines that power data\-driven healthcare decisions for millions of members. You’ll work closely with experienced engineers in a collaborative, learning\-oriented environment where curiosity and growth are encouraged.
**Primary Responsibilities**
 Build \&amp; Maintain Data Pipelines
* Develop and maintain data pipelines using Spark SQL within a modern lakehouse architecture
* Support ETL/ELT processes for healthcare claims data (medical, pharmacy, eligibility)
* Write clear, well\-documented code and participate in peer code reviews
 Collaborate \&amp; Learn
* Partner with senior engineers to learn data architecture and design patterns
* Work with analysts and stakeholders to translate data needs into technical solutions
* Contribute to technical documentation and team knowledge sharing
* Participate in agile practices such as sprint planning, standups, and retrospectives
 Support Quality \&amp; Reliability
* Monitor pipeline performance and help troubleshoot data issues
* Assist with production support alongside senior team members
* Learn and apply quality, risk, and data validation standards
**Required Qualifications**
 Technical Foundation
* Bachelor’s degree in Computer Science, Engineering, Information Systems, or a related field — or equivalent practical experience
* 0–2 years of relevant experience in data engineering, software engineering, or a related technical role
* Working knowledge of SQL and relational databases
* Experience with Python or similar programming languages
* Familiarity with version control tools such as Git
**Ways of Working**
* Strong problem\-solving and analytical skills
* Care and attention to detail, especially with data accuracy
* Clear communication skills and a collaborative mindset
* Motivation to learn, grow, and build technical expertise
**Nice To Have (Not Required)**
* Exposure to Apache Spark or Spark SQL
* Experience with cloud platforms (Azure, AWS, or GCP)
* Familiarity with data warehousing or lakehouse concepts
* Experience working with healthcare data or other regulated industries
* Exposure to CI/CD pipelines, automated testing, or Databricks
* Interest in AI\-assisted development tools and modern engineering practices
**Technical Environment**
* Languages: Python, SQL, Spark SQL
* Data Platforms: Azure Databricks, Delta Lake
* Cloud \&amp; DevOps: Azure, Azure DevOps, Git, CI/CD pipelines
* Data Domains: Healthcare claims, risk adjustment, population health
**Location**
 This role can be located remotely within the United States. The expected application deadline for this job is February 28, 2026\.
**Compensation**
 The overall salary range for this role is $71,700 \- $131,905\.
**For Candidates Residing In**
* Alaska, California, Connecticut, Illinois, Maryland, Massachusetts, New Jersey, New York City,
 Pennsylvania, Virginia, Washington, or the District of Columbia the salary range is $82,455 \- $131,905\.
* All other locations the salary range is $71,700 \- 114,700\.
 A combination of factors will be considered, including, but not limited to, education, relevant work experience, qualifications, skills, certifications, etc.
**What makes this a great opportunity?**
* Work for a company that values your wellbeing and professional growth, offering a flexible work environment, generous benefits package, and investment in the development of your career
* Join an innovative, high growth company with a solid industry track recordand opportunities to grow your position within the organization
* Bring your expertise and ideas to directly impact and help build the next generation of MedInsight products and solutions
**Milliman Benefits**
 We offer a comprehensive benefits package designed to support employees’ health, financial security, and well\-being. Benefits include:
* Medical, Dental and Vision – Coverage for employees, dependents, and domestic partners.
* Employee Assistance Program (EAP) – Confidential support for personal and work\-related challenges.
* 401(k) Plan – Includes a company matching program and profit\-sharing contributions.
* Discretionary Bonus Program – Recognizing employee contributions.
* Flexible Spending Accounts (FSA) – Pre\-tax savings for dependent care, transportation, and eligible medical expenses.
* Paid Time Off (PTO) – Begins accruing on the first day of work. Full\-time employees accrue 15 days per year, and employees working less than full\-time accrue PTO on a prorated basis.
* Holidays – A minimum of 10 paid holidays per year.
* Family Building Benefits – Includes adoption and fertility assistance.
* Paid Parental Leave – Up to 12 weeks of paid leave for employees who meet eligibility criteria.
* Life Insurance \&amp; AD\&amp;D – 100% of premiums covered by Milliman.
* Short\-Term and Long\-Term Disability – Fully paid by Milliman.
**Equal Opportunity**
 All qualified applicants will receive consideration for employment without regard to race, color, religion, sex, sexual orientation, national origin, disability, or status as a protected veteran.</t>
        </is>
      </c>
    </row>
    <row r="65">
      <c r="A65" t="inlineStr">
        <is>
          <t>li-4352536081</t>
        </is>
      </c>
      <c r="B65" t="inlineStr">
        <is>
          <t>Data Engineer I</t>
        </is>
      </c>
      <c r="C65" t="inlineStr">
        <is>
          <t>Milliman</t>
        </is>
      </c>
      <c r="D65" t="inlineStr">
        <is>
          <t>linkedin</t>
        </is>
      </c>
      <c r="E65">
        <f>HYPERLINK("https://www.linkedin.com/jobs/view/4352536081", "https://www.linkedin.com/jobs/view/4352536081")</f>
        <v/>
      </c>
      <c r="F65" t="inlineStr"/>
      <c r="G65" t="inlineStr">
        <is>
          <t>Seattle, WA</t>
        </is>
      </c>
      <c r="H65" t="inlineStr"/>
      <c r="I65" t="inlineStr">
        <is>
          <t>**Company Overview**
 Leading with our core values of Quality, Integrity, and Opportunity, MedInsight is one of the healthcare industry’s most trusted solutions for healthcare intelligence. Our company purpose is to empower easy, data\-driven decision\-making on important healthcare questions. Through our products, education, and services, MedInsight is making an impact on healthcare by helping to drive better outcomes for patients while reducing waste. Over 300 leading healthcare organizations have come to rely on MedInsight analytic solutions for healthcare cost and care management. MedInsight has been ranked \#1 for Payer Quality Analytics by clients for the last three years in the Best in KLAS report.
 MedInsight is a subsidiary of Milliman; a global, employee\-owned consultancy providing actuarial consulting, retirement funding and healthcare financing, enterprise risk management and regulatory compliance, data analytics and business transformation as well as a range of other consulting and technology solutions.
**Position Summary**
 We’re looking for a Data Engineer I to join our healthcare analytics platform team. In this role, you’ll help build and support scalable data pipelines that power data\-driven healthcare decisions for millions of members. You’ll work closely with experienced engineers in a collaborative, learning\-oriented environment where curiosity and growth are encouraged.
**Primary Responsibilities**
 Build \&amp; Maintain Data Pipelines
* Develop and maintain data pipelines using Spark SQL within a modern lakehouse architecture
* Support ETL/ELT processes for healthcare claims data (medical, pharmacy, eligibility)
* Write clear, well\-documented code and participate in peer code reviews
 Collaborate \&amp; Learn
* Partner with senior engineers to learn data architecture and design patterns
* Work with analysts and stakeholders to translate data needs into technical solutions
* Contribute to technical documentation and team knowledge sharing
* Participate in agile practices such as sprint planning, standups, and retrospectives
 Support Quality \&amp; Reliability
* Monitor pipeline performance and help troubleshoot data issues
* Assist with production support alongside senior team members
* Learn and apply quality, risk, and data validation standards
**Required Qualifications**
 Technical Foundation
* Bachelor’s degree in Computer Science, Engineering, Information Systems, or a related field — or equivalent practical experience
* 0–2 years of relevant experience in data engineering, software engineering, or a related technical role
* Working knowledge of SQL and relational databases
* Experience with Python or similar programming languages
* Familiarity with version control tools such as Git
**Ways of Working**
* Strong problem\-solving and analytical skills
* Care and attention to detail, especially with data accuracy
* Clear communication skills and a collaborative mindset
* Motivation to learn, grow, and build technical expertise
**Nice To Have (Not Required)**
* Exposure to Apache Spark or Spark SQL
* Experience with cloud platforms (Azure, AWS, or GCP)
* Familiarity with data warehousing or lakehouse concepts
* Experience working with healthcare data or other regulated industries
* Exposure to CI/CD pipelines, automated testing, or Databricks
* Interest in AI\-assisted development tools and modern engineering practices
**Technical Environment**
* Languages: Python, SQL, Spark SQL
* Data Platforms: Azure Databricks, Delta Lake
* Cloud \&amp; DevOps: Azure, Azure DevOps, Git, CI/CD pipelines
* Data Domains: Healthcare claims, risk adjustment, population health
**Location**
 This role can be located remotely within the United States. The expected application deadline for this job is February 28, 2026\.
**Compensation**
 The overall salary range for this role is $71,700 \- $131,905\.
**For Candidates Residing In**
* Alaska, California, Connecticut, Illinois, Maryland, Massachusetts, New Jersey, New York City,
 Pennsylvania, Virginia, Washington, or the District of Columbia the salary range is $82,455 \- $131,905\.
* All other locations the salary range is $71,700 \- 114,700\.
 A combination of factors will be considered, including, but not limited to, education, relevant work experience, qualifications, skills, certifications, etc.
**What makes this a great opportunity?**
* Work for a company that values your wellbeing and professional growth, offering a flexible work environment, generous benefits package, and investment in the development of your career
* Join an innovative, high growth company with a solid industry track recordand opportunities to grow your position within the organization
* Bring your expertise and ideas to directly impact and help build the next generation of MedInsight products and solutions
**Milliman Benefits**
 We offer a comprehensive benefits package designed to support employees’ health, financial security, and well\-being. Benefits include:
* Medical, Dental and Vision – Coverage for employees, dependents, and domestic partners.
* Employee Assistance Program (EAP) – Confidential support for personal and work\-related challenges.
* 401(k) Plan – Includes a company matching program and profit\-sharing contributions.
* Discretionary Bonus Program – Recognizing employee contributions.
* Flexible Spending Accounts (FSA) – Pre\-tax savings for dependent care, transportation, and eligible medical expenses.
* Paid Time Off (PTO) – Begins accruing on the first day of work. Full\-time employees accrue 15 days per year, and employees working less than full\-time accrue PTO on a prorated basis.
* Holidays – A minimum of 10 paid holidays per year.
* Family Building Benefits – Includes adoption and fertility assistance.
* Paid Parental Leave – Up to 12 weeks of paid leave for employees who meet eligibility criteria.
* Life Insurance \&amp; AD\&amp;D – 100% of premiums covered by Milliman.
* Short\-Term and Long\-Term Disability – Fully paid by Milliman.
**Equal Opportunity**
 All qualified applicants will receive consideration for employment without regard to race, color, religion, sex, sexual orientation, national origin, disability, or status as a protected veteran.</t>
        </is>
      </c>
    </row>
    <row r="66">
      <c r="A66" t="inlineStr">
        <is>
          <t>li-4352566089</t>
        </is>
      </c>
      <c r="B66" t="inlineStr">
        <is>
          <t>Data Engineer I</t>
        </is>
      </c>
      <c r="C66" t="inlineStr">
        <is>
          <t>Milliman</t>
        </is>
      </c>
      <c r="D66" t="inlineStr">
        <is>
          <t>linkedin</t>
        </is>
      </c>
      <c r="E66">
        <f>HYPERLINK("https://www.linkedin.com/jobs/view/4352566089", "https://www.linkedin.com/jobs/view/4352566089")</f>
        <v/>
      </c>
      <c r="F66" t="inlineStr"/>
      <c r="G66" t="inlineStr">
        <is>
          <t>Wakefield, MA</t>
        </is>
      </c>
      <c r="H66" t="inlineStr"/>
      <c r="I66" t="inlineStr">
        <is>
          <t>**Company Overview**
 Leading with our core values of Quality, Integrity, and Opportunity, MedInsight is one of the healthcare industry’s most trusted solutions for healthcare intelligence. Our company purpose is to empower easy, data\-driven decision\-making on important healthcare questions. Through our products, education, and services, MedInsight is making an impact on healthcare by helping to drive better outcomes for patients while reducing waste. Over 300 leading healthcare organizations have come to rely on MedInsight analytic solutions for healthcare cost and care management. MedInsight has been ranked \#1 for Payer Quality Analytics by clients for the last three years in the Best in KLAS report.
 MedInsight is a subsidiary of Milliman; a global, employee\-owned consultancy providing actuarial consulting, retirement funding and healthcare financing, enterprise risk management and regulatory compliance, data analytics and business transformation as well as a range of other consulting and technology solutions.
**Position Summary**
 We’re looking for a Data Engineer I to join our healthcare analytics platform team. In this role, you’ll help build and support scalable data pipelines that power data\-driven healthcare decisions for millions of members. You’ll work closely with experienced engineers in a collaborative, learning\-oriented environment where curiosity and growth are encouraged.
**Primary Responsibilities**
 Build \&amp; Maintain Data Pipelines
* Develop and maintain data pipelines using Spark SQL within a modern lakehouse architecture
* Support ETL/ELT processes for healthcare claims data (medical, pharmacy, eligibility)
* Write clear, well\-documented code and participate in peer code reviews
 Collaborate \&amp; Learn
* Partner with senior engineers to learn data architecture and design patterns
* Work with analysts and stakeholders to translate data needs into technical solutions
* Contribute to technical documentation and team knowledge sharing
* Participate in agile practices such as sprint planning, standups, and retrospectives
 Support Quality \&amp; Reliability
* Monitor pipeline performance and help troubleshoot data issues
* Assist with production support alongside senior team members
* Learn and apply quality, risk, and data validation standards
**Required Qualifications**
 Technical Foundation
* Bachelor’s degree in Computer Science, Engineering, Information Systems, or a related field — or equivalent practical experience
* 0–2 years of relevant experience in data engineering, software engineering, or a related technical role
* Working knowledge of SQL and relational databases
* Experience with Python or similar programming languages
* Familiarity with version control tools such as Git
**Ways of Working**
* Strong problem\-solving and analytical skills
* Care and attention to detail, especially with data accuracy
* Clear communication skills and a collaborative mindset
* Motivation to learn, grow, and build technical expertise
**Nice To Have (Not Required)**
* Exposure to Apache Spark or Spark SQL
* Experience with cloud platforms (Azure, AWS, or GCP)
* Familiarity with data warehousing or lakehouse concepts
* Experience working with healthcare data or other regulated industries
* Exposure to CI/CD pipelines, automated testing, or Databricks
* Interest in AI\-assisted development tools and modern engineering practices
**Technical Environment**
* Languages: Python, SQL, Spark SQL
* Data Platforms: Azure Databricks, Delta Lake
* Cloud \&amp; DevOps: Azure, Azure DevOps, Git, CI/CD pipelines
* Data Domains: Healthcare claims, risk adjustment, population health
**Location**
 This role can be located remotely within the United States. The expected application deadline for this job is February 28, 2026\.
**Compensation**
 The overall salary range for this role is $71,700 \- $131,905\.
**For Candidates Residing In**
* Alaska, California, Connecticut, Illinois, Maryland, Massachusetts, New Jersey, New York City,
 Pennsylvania, Virginia, Washington, or the District of Columbia the salary range is $82,455 \- $131,905\.
* All other locations the salary range is $71,700 \- 114,700\.
 A combination of factors will be considered, including, but not limited to, education, relevant work experience, qualifications, skills, certifications, etc.
**What makes this a great opportunity?**
* Work for a company that values your wellbeing and professional growth, offering a flexible work environment, generous benefits package, and investment in the development of your career
* Join an innovative, high growth company with a solid industry track recordand opportunities to grow your position within the organization
* Bring your expertise and ideas to directly impact and help build the next generation of MedInsight products and solutions
**Milliman Benefits**
 We offer a comprehensive benefits package designed to support employees’ health, financial security, and well\-being. Benefits include:
* Medical, Dental and Vision – Coverage for employees, dependents, and domestic partners.
* Employee Assistance Program (EAP) – Confidential support for personal and work\-related challenges.
* 401(k) Plan – Includes a company matching program and profit\-sharing contributions.
* Discretionary Bonus Program – Recognizing employee contributions.
* Flexible Spending Accounts (FSA) – Pre\-tax savings for dependent care, transportation, and eligible medical expenses.
* Paid Time Off (PTO) – Begins accruing on the first day of work. Full\-time employees accrue 15 days per year, and employees working less than full\-time accrue PTO on a prorated basis.
* Holidays – A minimum of 10 paid holidays per year.
* Family Building Benefits – Includes adoption and fertility assistance.
* Paid Parental Leave – Up to 12 weeks of paid leave for employees who meet eligibility criteria.
* Life Insurance \&amp; AD\&amp;D – 100% of premiums covered by Milliman.
* Short\-Term and Long\-Term Disability – Fully paid by Milliman.
**Equal Opportunity**
 All qualified applicants will receive consideration for employment without regard to race, color, religion, sex, sexual orientation, national origin, disability, or status as a protected veteran.</t>
        </is>
      </c>
    </row>
    <row r="67">
      <c r="A67" t="inlineStr">
        <is>
          <t>li-4358196238</t>
        </is>
      </c>
      <c r="B67" t="inlineStr">
        <is>
          <t>Data Engineer</t>
        </is>
      </c>
      <c r="C67" t="inlineStr">
        <is>
          <t>Bespoke Technologies, Inc.</t>
        </is>
      </c>
      <c r="D67" t="inlineStr">
        <is>
          <t>linkedin</t>
        </is>
      </c>
      <c r="E67">
        <f>HYPERLINK("https://www.linkedin.com/jobs/view/4358196238", "https://www.linkedin.com/jobs/view/4358196238")</f>
        <v/>
      </c>
      <c r="F67" t="inlineStr"/>
      <c r="G67" t="inlineStr">
        <is>
          <t>McLean, VA</t>
        </is>
      </c>
      <c r="H67" t="inlineStr"/>
      <c r="I67" t="inlineStr">
        <is>
          <t>**BT\-166 – Data Engineer**
 Location: McLean (fully on\-site, no remote option)
* MUST HAVE A POLY CLEARANCE TO APPLY. Those who do not have a Poly clearance will not be considered.\*\*
 Bespoke Technologies is seeking a
 **Data Engineer** 
 who will provide highly technical and in\-depth data engineering support.
**Key Must Haves**
* The candidate MUST have experience with data engineering, to include designing and building data infrastructure, developing data pipelines, transforming and preparing data, ensuring data quality and security, and monitoring and optimizing systems.
* The candidate MUST have extensive experience with Python and AWS.
* Experience with SQL, multi\-data source queries with database technologies (PostgreSQL, MySQL, RDS, etc.), NiFi, Git, Elasticsearch, Kibana, Jupyter Notebooks, NLP, AI, and any data visualization tools (Tableau, Kibana, Qlik, etc.) are desired.
**Required Skills And Demonstrated Experience**
* Demonstrated experience with data engineering, to include designing and building data infrastructure, developing data pipelines, transforming/preparing data, ensuring data quality and security, and monitoring/optimizing systems.
* Demonstrated experience with data management and integration, including designing and operating robust data layers for application development across local and cloud or web data sources.
* Demonstrated work experience programming with Python
* Demonstrated experience building scalable ETL and ELT workflows for reporting and analytics.
* Demonstrated experience with general Linux computing and advanced bash scripting
* Demonstrated experience with SQL.
* Demonstrated experience constructing complex multi\-data source queries with database technologies such as PostgreSQL, MySQL, Neo4J or RDS
* Demonstrated experience processing data sources containing structured or unstructured data
* Demonstrated experience developing data pipelines with NiFi to bring data into a central environment
* Demonstrated experience delivering results to stakeholders through written documentation and oral briefings
* Demonstrated experience using code repositories such as Git
* Demonstrated experience using Elastic and Kibana technologies
* Demonstrated experience working with multiple stakeholders
* Demonstrated experience documenting such artifacts as code, Python packages and methodologies
* Demonstrated experience using Jupyter Notebooks
* Demonstrated experience with machine learning techniques including natural language processing
* Demonstrated experience explaining complex technical issues to more junior data scientists, in graphical, verbal, or written formats
* Demonstrated experience developing tested, reusable and reproducible work
* Work or educational background in one or more of the following areas: mathematics, statistics, hard sciences (e.g. Physics, Computational Biology, Astronomy, Neuroscience, etc.) computer science, data science, or business analytics
**Desired Skills And Demonstrated Experience**
* Demonstrated experience with cloud services, such as AWS, as well as cloud data technologies and architecture.
* Demonstrated experience using big data processing tools such as Apache Spark or Trino
* Demonstrated experience with machine learning algorithms
* Demonstrated experience with using container frameworks such as Docker or Kubernetes
* Demonstrated experience with using data visualizations tools such as Tableau, Kibana or Apache Superset
* Demonstrated experience creating learning objectives and creating teaching curriculum in technical or scientific fields</t>
        </is>
      </c>
    </row>
    <row r="68">
      <c r="A68" t="inlineStr">
        <is>
          <t>li-4352751048</t>
        </is>
      </c>
      <c r="B68" t="inlineStr">
        <is>
          <t>Analytics Engineer, Finance</t>
        </is>
      </c>
      <c r="C68" t="inlineStr">
        <is>
          <t>OpenAI</t>
        </is>
      </c>
      <c r="D68" t="inlineStr">
        <is>
          <t>linkedin</t>
        </is>
      </c>
      <c r="E68">
        <f>HYPERLINK("https://www.linkedin.com/jobs/view/4352751048", "https://www.linkedin.com/jobs/view/4352751048")</f>
        <v/>
      </c>
      <c r="F68" t="inlineStr"/>
      <c r="G68" t="inlineStr">
        <is>
          <t>San Francisco, CA</t>
        </is>
      </c>
      <c r="H68" t="inlineStr"/>
      <c r="I68" t="inlineStr">
        <is>
          <t>**About The Team**
 The Finance Data team is embedded within the CFO Org and is responsible for building internal data products that scale analytics across business teams and drive efficiencies in our daily operations. This team provides technical guidance on high\-impact, scalable projects across Finance, and is the subject\-matter expert in financial and transactional data that supports our Finance day\-to\-day operations.
**About The Role**
 As an Analytics Engineer, you will be setting the foundation to scale analytics across our business functions and impart best data practices for a rapidly growing organization. We aspire to build the Finance team of the future.
 In addition, you will work collaboratively with key stakeholders in Finance and other business teams to understand their pain points and take the lead in proposing viable, future\-proof solutions to resolve them. You will also autonomously lead your own projects that deliver business impact and help cultivate a mature data culture among Finance teams.
 We are looking for a seasoned engineer who has a proven track record of owning the entire data stack at high transaction volume companies, managing business critical ETL pipelines consumed by non\-technical teams. As a generalist “fixer”, you may be deployed across several different Finance domains (e.g. Tax datamart, ERP migration, Procurement automation). For this role we need someone who excels in dynamic environments, adapts quickly to changing needs, and confidently navigates ambiguous or evolving requirements. If you're energized by solving technical problems without a playbook and comfortable wearing multiple hats, this role is for you! To clarify, you will
 **not** 
 be responsible for training ML models and neither would we describe this role as ‘product analytics’.
 This role is based in San Francisco, CA. We use a hybrid work model of 3 days in the office per week and offer relocation assistance to new employees.
**In This Role, You Will**
* Understand the data needs of Finance teams, including Revenue, Tax, Procurement, Compute \&amp; Infrastructure Accounting, Strategic Finance, and translate that scope into technical requirements
* Facilitate the development of data products and tools to for stakeholders to self\-service and enable analytics to scale across the company
* Lead dimensional design \- define, own, and maintain business facing data marts
* Be a cross\-functional champion at upholding high data integrity standards and SLAs for the timely delivery of data
* Build and maintain insightful and reliable dashboards to track both operational and financial Metrics for the Executive team
* Contribute to the future roadmap of the Finance team from a data systems perspective
* Grow to be an expert in Finance Data and OpenAI’s data architecture
**You Might Thrive In This Role If You Have**
* 7\+ years of experience as an Analytics Engineer or in a similar role (Data Analyst or Data Engineer) with a proven track record in shipping canonical datasets
* Empathy towards non\-developer stakeholders and their day\-to\-day pain points
* Strong proficiency in SQL for data transformation, comfort in at least one functional/OOP language such as Python or R
* Familiarity with managing distributed data stores (e.g. S3, Trino, Hive, Spark), and experience building multi\-step ETL jobs coupled with orchestrating workflows (e.g. Airflow, Dagster)
* Experience in writing unit tests to validate data products and version control (e.g. GitHub, Stash)
* Expert at creating compelling data visualizations with dashboarding tools (e.g. Tableau, Looker or similar)
* Excellent communication skills and ability to present data\-driven narratives in both verbal and written form to a non\-technical audience
* Experience solving ambiguous problem statements in an early stage environment
**You could be an especially great fit if you have:**
* Prior experience leading the development of an internal production tool, serving hundreds of cross\-functional customers such as Billing Operations, Deal Desk or Go\-to\-Market teams
* Some frontend experience with React, TypeScript, Retool, Streamlit, or building web apps
* Good understanding of Spark and ability to write, debug, and optimize Spark jobs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t>
        </is>
      </c>
    </row>
    <row r="69">
      <c r="A69" t="inlineStr">
        <is>
          <t>li-4352750975</t>
        </is>
      </c>
      <c r="B69" t="inlineStr">
        <is>
          <t>Data Engineer I</t>
        </is>
      </c>
      <c r="C69" t="inlineStr">
        <is>
          <t>Milliman</t>
        </is>
      </c>
      <c r="D69" t="inlineStr">
        <is>
          <t>linkedin</t>
        </is>
      </c>
      <c r="E69">
        <f>HYPERLINK("https://www.linkedin.com/jobs/view/4352750975", "https://www.linkedin.com/jobs/view/4352750975")</f>
        <v/>
      </c>
      <c r="F69">
        <f>HYPERLINK("https://recruiting2.ultipro.com/MIL1017/JobBoard/f54234e9-dfde-b183-fd20-4fbdb19cba7a/OpportunityDetail?opportunityId=c5fa35be-2b8c-497e-8f40-3016572fa938&amp;source=LinkedIn&amp;utm_source=LINKEDIN&amp;urlHash=E4Cm", "https://recruiting2.ultipro.com/MIL1017/JobBoard/f54234e9-dfde-b183-fd20-4fbdb19cba7a/OpportunityDetail?opportunityId=c5fa35be-2b8c-497e-8f40-3016572fa938&amp;source=LinkedIn&amp;utm_source=LINKEDIN&amp;urlHash=E4Cm")</f>
        <v/>
      </c>
      <c r="G69" t="inlineStr">
        <is>
          <t>Atlanta, GA</t>
        </is>
      </c>
      <c r="H69" t="inlineStr"/>
      <c r="I69" t="inlineStr">
        <is>
          <t>**Company Overview**
 Leading with our core values of Quality, Integrity, and Opportunity, MedInsight is one of the healthcare industry’s most trusted solutions for healthcare intelligence. Our company purpose is to empower easy, data\-driven decision\-making on important healthcare questions. Through our products, education, and services, MedInsight is making an impact on healthcare by helping to drive better outcomes for patients while reducing waste. Over 300 leading healthcare organizations have come to rely on MedInsight analytic solutions for healthcare cost and care management. MedInsight has been ranked \#1 for Payer Quality Analytics by clients for the last three years in the Best in KLAS report.
 MedInsight is a subsidiary of Milliman; a global, employee\-owned consultancy providing actuarial consulting, retirement funding and healthcare financing, enterprise risk management and regulatory compliance, data analytics and business transformation as well as a range of other consulting and technology solutions.
**Position Summary**
 We’re looking for a Data Engineer I to join our healthcare analytics platform team. In this role, you’ll help build and support scalable data pipelines that power data\-driven healthcare decisions for millions of members. You’ll work closely with experienced engineers in a collaborative, learning\-oriented environment where curiosity and growth are encouraged.
**Primary Responsibilities**
 Build \&amp; Maintain Data Pipelines
* Develop and maintain data pipelines using Spark SQL within a modern lakehouse architecture
* Support ETL/ELT processes for healthcare claims data (medical, pharmacy, eligibility)
* Write clear, well\-documented code and participate in peer code reviews
 Collaborate \&amp; Learn
* Partner with senior engineers to learn data architecture and design patterns
* Work with analysts and stakeholders to translate data needs into technical solutions
* Contribute to technical documentation and team knowledge sharing
* Participate in agile practices such as sprint planning, standups, and retrospectives
 Support Quality \&amp; Reliability
* Monitor pipeline performance and help troubleshoot data issues
* Assist with production support alongside senior team members
* Learn and apply quality, risk, and data validation standards
**Required Qualifications**
 Technical Foundation
* Bachelor’s degree in Computer Science, Engineering, Information Systems, or a related field — or equivalent practical experience
* 0–2 years of relevant experience in data engineering, software engineering, or a related technical role
* Working knowledge of SQL and relational databases
* Experience with Python or similar programming languages
* Familiarity with version control tools such as Git
**Ways of Working**
* Strong problem\-solving and analytical skills
* Care and attention to detail, especially with data accuracy
* Clear communication skills and a collaborative mindset
* Motivation to learn, grow, and build technical expertise
**Nice To Have (Not Required)**
* Exposure to Apache Spark or Spark SQL
* Experience with cloud platforms (Azure, AWS, or GCP)
* Familiarity with data warehousing or lakehouse concepts
* Experience working with healthcare data or other regulated industries
* Exposure to CI/CD pipelines, automated testing, or Databricks
* Interest in AI\-assisted development tools and modern engineering practices
**Technical Environment**
* Languages: Python, SQL, Spark SQL
* Data Platforms: Azure Databricks, Delta Lake
* Cloud \&amp; DevOps: Azure, Azure DevOps, Git, CI/CD pipelines
* Data Domains: Healthcare claims, risk adjustment, population health
**Location**
 This role can be located remotely within the United States. The expected application deadline for this job is February 28, 2026\.
**Compensation**
 The overall salary range for this role is $71,700 \- $131,905\.
**For Candidates Residing In**
* Alaska, California, Connecticut, Illinois, Maryland, Massachusetts, New Jersey, New York City,
 Pennsylvania, Virginia, Washington, or the District of Columbia the salary range is $82,455 \- $131,905\.
* All other locations the salary range is $71,700 \- 114,700\.
 A combination of factors will be considered, including, but not limited to, education, relevant work experience, qualifications, skills, certifications, etc.
**What makes this a great opportunity?**
* Work for a company that values your wellbeing and professional growth, offering a flexible work environment, generous benefits package, and investment in the development of your career
* Join an innovative, high growth company with a solid industry track recordand opportunities to grow your position within the organization
* Bring your expertise and ideas to directly impact and help build the next generation of MedInsight products and solutions
**Milliman Benefits**
 We offer a comprehensive benefits package designed to support employees’ health, financial security, and well\-being. Benefits include:
* Medical, Dental and Vision – Coverage for employees, dependents, and domestic partners.
* Employee Assistance Program (EAP) – Confidential support for personal and work\-related challenges.
* 401(k) Plan – Includes a company matching program and profit\-sharing contributions.
* Discretionary Bonus Program – Recognizing employee contributions.
* Flexible Spending Accounts (FSA) – Pre\-tax savings for dependent care, transportation, and eligible medical expenses.
* Paid Time Off (PTO) – Begins accruing on the first day of work. Full\-time employees accrue 15 days per year, and employees working less than full\-time accrue PTO on a prorated basis.
* Holidays – A minimum of 10 paid holidays per year.
* Family Building Benefits – Includes adoption and fertility assistance.
* Paid Parental Leave – Up to 12 weeks of paid leave for employees who meet eligibility criteria.
* Life Insurance \&amp; AD\&amp;D – 100% of premiums covered by Milliman.
* Short\-Term and Long\-Term Disability – Fully paid by Milliman.
**Equal Opportunity**
 All qualified applicants will receive consideration for employment without regard to race, color, religion, sex, sexual orientation, national origin, disability, or status as a protected veteran.</t>
        </is>
      </c>
    </row>
    <row r="70">
      <c r="A70" t="inlineStr">
        <is>
          <t>li-4351106914</t>
        </is>
      </c>
      <c r="B70" t="inlineStr">
        <is>
          <t>Data Engineer</t>
        </is>
      </c>
      <c r="C70" t="inlineStr">
        <is>
          <t>Alignment Health</t>
        </is>
      </c>
      <c r="D70" t="inlineStr">
        <is>
          <t>linkedin</t>
        </is>
      </c>
      <c r="E70">
        <f>HYPERLINK("https://www.linkedin.com/jobs/view/4351106914", "https://www.linkedin.com/jobs/view/4351106914")</f>
        <v/>
      </c>
      <c r="F70" t="inlineStr"/>
      <c r="G70" t="inlineStr">
        <is>
          <t>Orange, CA</t>
        </is>
      </c>
      <c r="H70" t="inlineStr"/>
      <c r="I70" t="inlineStr">
        <is>
          <t>Alignment Health is breaking the mold in conventional health care, committed to serving seniors and those who need it most: the chronically ill and frail. It takes an entire team of passionate and caring people, united in our mission to put the senior first. We have built a team of talented and experienced people who are passionate about transforming the lives of the seniors we serve. In this fast\-growing company, you will find ample room for growth and innovation alongside the Alignment Health community. Working at Alignment Health provides an opportunity to do work that really matters, not only changing lives but saving them. Together.
 We are currently seeking a Data Engineer to be part of the Data Engineering team. This position will design and develop an ingestion process for big data processing.
**General Duties/Responsibilities (May Include But Are Not Limited To)**
* Translates business requirements into specifications that will be used to implement the Data ingestion process.
* Understands the requirements, development and delivery of data solutions and lead end to end delivery.
* Develops and implements data pipelines to support organizational initiatives.
* Builds and maintains ETL (Extract, Transform, Load) or ELT (Extract, Load, Transform) pipelines to move data from various sources into a usable format.
* Implements processes and tools to ensure data accuracy, consistency, and compliance with relevant policies and regulations.
* Works closely with data scientists, analysts, and other stakeholders to understand their data needs and provide them with the necessary data infrastructure and tools.
* Ensures data systems are efficient, scalable, and performant to meet the demands of data\-intensive applications.
* Creates functional and technical design documents and maintains documentation for all data processes created or modified.
**Minimum Requirements**
 To perform this job successfully, an individual must be able to perform each essential duty satisfactorily. The requirements listed below are representative of the knowledge, skill, and/or ability required. Reasonable accommodation may be made to enable individuals with disabilities to perform the essential functions.
* Minimum Experience:
* 5\+ years of experience building data ingestion processes and tools.
* 5\+ years of experience with DataBricks, Scala, Azure Data Factory (ADF) and SQL Server.
* 5\+ years’ database experience with MS SQL Server.
* 5\+ years of experience in healthcare industry with proven understanding of data terminology.
* Healthcare experience and clear understanding and working knowledge of HIPAA protocols.
* Experience with Microsoft’s Power\-BI/SSRS/SSAS/Azure Data Factory and other cloud based BI and reporting services is a plus.
* Education/Licensure:
* BS in Computer Science, IT or equivalent or 4 additional years of relevant experience.
* Microsoft Azure Certification is a plus.
* Specialized Skills:
* Excellent verbal and written communication skills.
* Ability to effectively present information and respond to questions from groups of managers and customers.
**Essential Physical Functions**
 The physical demands described here are representative of those that must be met by an employee to successfully perform the essential functions of this job. Reasonable accommodation may be made to enable individuals with disabilities to perform the essential functions.
* While performing the duties of this job, the employee is regularly required to talk or listen. The employee regularly is required to stand, walk, sit, use hand to finger, handle or feel objects, tools, or controls; and reach with hands and arms.
* The employee frequently lifts and/or moves up to 10 pounds. Specific vision abilities required by this job include close vision and the ability to adjust focus.
 Pay Range: $113,332\.00 \- $169,999\.00
 Pay range may be based on a number of factors including market location, education, responsibilities, experience, etc.
 Alignment Health is an Equal Opportunity/Affirmative Action Employer. All qualified applicants will receive consideration for employment without regard to race, color, religion, sex, national origin, disability, age, protected veteran status, gender identity, or sexual orientation.
* DISCLAIMER: Please beware of recruitment phishing scams affecting Alignment Health and other employers where individuals receive fraudulent employment\-related offers in exchange for money or other sensitive personal information. Please be advised that Alignment Health and its subsidiaries will never ask you for a credit card, send you a check, or ask you for any type of payment as part of consideration for employment with our company. If you feel that you have been the victim of a scam such as this, please report the incident to the Federal Trade Commission at https://reportfraud.ftc.gov/\#/. If you would like to verify the legitimacy of an email sent by or on behalf of Alignment Health’s talent acquisition team, please email careers@ahcusa.com.</t>
        </is>
      </c>
    </row>
    <row r="71">
      <c r="A71" t="inlineStr">
        <is>
          <t>li-4352506906</t>
        </is>
      </c>
      <c r="B71" t="inlineStr">
        <is>
          <t>Data Engineer I</t>
        </is>
      </c>
      <c r="C71" t="inlineStr">
        <is>
          <t>Milliman</t>
        </is>
      </c>
      <c r="D71" t="inlineStr">
        <is>
          <t>linkedin</t>
        </is>
      </c>
      <c r="E71">
        <f>HYPERLINK("https://www.linkedin.com/jobs/view/4352506906", "https://www.linkedin.com/jobs/view/4352506906")</f>
        <v/>
      </c>
      <c r="F71" t="inlineStr"/>
      <c r="G71" t="inlineStr">
        <is>
          <t>Boise, ID</t>
        </is>
      </c>
      <c r="H71" t="inlineStr"/>
      <c r="I71" t="inlineStr">
        <is>
          <t>**Company Overview**
 Leading with our core values of Quality, Integrity, and Opportunity, MedInsight is one of the healthcare industry’s most trusted solutions for healthcare intelligence. Our company purpose is to empower easy, data\-driven decision\-making on important healthcare questions. Through our products, education, and services, MedInsight is making an impact on healthcare by helping to drive better outcomes for patients while reducing waste. Over 300 leading healthcare organizations have come to rely on MedInsight analytic solutions for healthcare cost and care management. MedInsight has been ranked \#1 for Payer Quality Analytics by clients for the last three years in the Best in KLAS report.
 MedInsight is a subsidiary of Milliman; a global, employee\-owned consultancy providing actuarial consulting, retirement funding and healthcare financing, enterprise risk management and regulatory compliance, data analytics and business transformation as well as a range of other consulting and technology solutions.
**Position Summary**
 We’re looking for a Data Engineer I to join our healthcare analytics platform team. In this role, you’ll help build and support scalable data pipelines that power data\-driven healthcare decisions for millions of members. You’ll work closely with experienced engineers in a collaborative, learning\-oriented environment where curiosity and growth are encouraged.
**Primary Responsibilities**
 Build \&amp; Maintain Data Pipelines
* Develop and maintain data pipelines using Spark SQL within a modern lakehouse architecture
* Support ETL/ELT processes for healthcare claims data (medical, pharmacy, eligibility)
* Write clear, well\-documented code and participate in peer code reviews
 Collaborate \&amp; Learn
* Partner with senior engineers to learn data architecture and design patterns
* Work with analysts and stakeholders to translate data needs into technical solutions
* Contribute to technical documentation and team knowledge sharing
* Participate in agile practices such as sprint planning, standups, and retrospectives
 Support Quality \&amp; Reliability
* Monitor pipeline performance and help troubleshoot data issues
* Assist with production support alongside senior team members
* Learn and apply quality, risk, and data validation standards
**Required Qualifications**
 Technical Foundation
* Bachelor’s degree in Computer Science, Engineering, Information Systems, or a related field — or equivalent practical experience
* 0–2 years of relevant experience in data engineering, software engineering, or a related technical role
* Working knowledge of SQL and relational databases
* Experience with Python or similar programming languages
* Familiarity with version control tools such as Git
**Ways of Working**
* Strong problem\-solving and analytical skills
* Care and attention to detail, especially with data accuracy
* Clear communication skills and a collaborative mindset
* Motivation to learn, grow, and build technical expertise
**Nice To Have (Not Required)**
* Exposure to Apache Spark or Spark SQL
* Experience with cloud platforms (Azure, AWS, or GCP)
* Familiarity with data warehousing or lakehouse concepts
* Experience working with healthcare data or other regulated industries
* Exposure to CI/CD pipelines, automated testing, or Databricks
* Interest in AI\-assisted development tools and modern engineering practices
**Technical Environment**
* Languages: Python, SQL, Spark SQL
* Data Platforms: Azure Databricks, Delta Lake
* Cloud \&amp; DevOps: Azure, Azure DevOps, Git, CI/CD pipelines
* Data Domains: Healthcare claims, risk adjustment, population health
**Location**
 This role can be located remotely within the United States. The expected application deadline for this job is February 28, 2026\.
**Compensation**
 The overall salary range for this role is $71,700 \- $131,905\.
**For Candidates Residing In**
* Alaska, California, Connecticut, Illinois, Maryland, Massachusetts, New Jersey, New York City,
 Pennsylvania, Virginia, Washington, or the District of Columbia the salary range is $82,455 \- $131,905\.
* All other locations the salary range is $71,700 \- 114,700\.
 A combination of factors will be considered, including, but not limited to, education, relevant work experience, qualifications, skills, certifications, etc.
**What makes this a great opportunity?**
* Work for a company that values your wellbeing and professional growth, offering a flexible work environment, generous benefits package, and investment in the development of your career
* Join an innovative, high growth company with a solid industry track recordand opportunities to grow your position within the organization
* Bring your expertise and ideas to directly impact and help build the next generation of MedInsight products and solutions
**Milliman Benefits**
 We offer a comprehensive benefits package designed to support employees’ health, financial security, and well\-being. Benefits include:
* Medical, Dental and Vision – Coverage for employees, dependents, and domestic partners.
* Employee Assistance Program (EAP) – Confidential support for personal and work\-related challenges.
* 401(k) Plan – Includes a company matching program and profit\-sharing contributions.
* Discretionary Bonus Program – Recognizing employee contributions.
* Flexible Spending Accounts (FSA) – Pre\-tax savings for dependent care, transportation, and eligible medical expenses.
* Paid Time Off (PTO) – Begins accruing on the first day of work. Full\-time employees accrue 15 days per year, and employees working less than full\-time accrue PTO on a prorated basis.
* Holidays – A minimum of 10 paid holidays per year.
* Family Building Benefits – Includes adoption and fertility assistance.
* Paid Parental Leave – Up to 12 weeks of paid leave for employees who meet eligibility criteria.
* Life Insurance \&amp; AD\&amp;D – 100% of premiums covered by Milliman.
* Short\-Term and Long\-Term Disability – Fully paid by Milliman.
**Equal Opportunity**
 All qualified applicants will receive consideration for employment without regard to race, color, religion, sex, sexual orientation, national origin, disability, or status as a protected veteran.</t>
        </is>
      </c>
    </row>
    <row r="72">
      <c r="A72" t="inlineStr">
        <is>
          <t>li-4361187921</t>
        </is>
      </c>
      <c r="B72" t="inlineStr">
        <is>
          <t>Data and BI Engineer</t>
        </is>
      </c>
      <c r="C72" t="inlineStr">
        <is>
          <t>American Dining Creations</t>
        </is>
      </c>
      <c r="D72" t="inlineStr">
        <is>
          <t>linkedin</t>
        </is>
      </c>
      <c r="E72">
        <f>HYPERLINK("https://www.linkedin.com/jobs/view/4361187921", "https://www.linkedin.com/jobs/view/4361187921")</f>
        <v/>
      </c>
      <c r="F72">
        <f>HYPERLINK("https://olivia.paradox.ai/co/AmericanFoodVendingAmericanDiningCreations4/Job?job_id=PDX_AFVADC_3C20B466-5086-4F59-8A8B-B805B12C06B1_22551889&amp;trk=linkedin&amp;urlHash=5kz7", "https://olivia.paradox.ai/co/AmericanFoodVendingAmericanDiningCreations4/Job?job_id=PDX_AFVADC_3C20B466-5086-4F59-8A8B-B805B12C06B1_22551889&amp;trk=linkedin&amp;urlHash=5kz7")</f>
        <v/>
      </c>
      <c r="G72" t="inlineStr">
        <is>
          <t>New York, United States</t>
        </is>
      </c>
      <c r="H72" t="inlineStr"/>
      <c r="I72" t="inlineStr">
        <is>
          <t>**Pay:** 
 $110000 per year \- $120000 per year
* Must be a US Citizen.
**Summary**
 We are seeking a highly skilled and versatile Data \&amp; BI Engineer to join our data\-driven team. This role combines responsibilities across data engineering, ETL development, business intelligence and data analysis. The ideal candidate will have hands\-on experience with ETL pipelines, BI tools, cloud platforms, Python, and Snowflake, and will be responsible for designing, developing, and maintaining scalable data solutions that support analytics and business decision\-making. They will collaborate closely with cross\-functional teams to ensure the availability, reliability, and performance of our data systems and solutions.
**Responsibilities**
* Design, build, and optimize robust ETL pipelines to ingest, transform, and load data from diverse sources (Structured and Unstructured).
* Build and maintain integrations with internal and external data sources and APIs.
* Develop and maintain data models, schemas, and metadata for analytical and operational use.
* Implement data validation, testing, cleansing, and quality checks to ensure data integrity.
* Work with orchestration tools for workflow automation and monitoring data pipeline operation.
* Design and develop user\-friendly and intuitive visualizations/dashboards to communicate insights effectively using Power BI or similar BI tools.
* Collaborate with stakeholders to gather requirements and translate them into BI solutions.
* Monitor and troubleshoot BI and ETL processes to ensure performance and reliability.
* Provide insights through data visualization and performance metrics.
* Work with cloud platforms such as Azure for data storage and processing.
* Utilize Snowflake for data warehousing, Write complex SQL queries and stored procedures for data extraction, transformation, and loading processes.
* Implement CI/CD pipelines and version control using tools like Git or Azure DevOps.
* Document technical designs, workflows, and best practices to facilitate knowledge sharing and maintain system documentation
**Qualifications**
* 3\+ years of relevant experience with detailed knowledge of data warehouse technical architectures, infrastructure components, ETL tools, and BI/analytic tools
* 2\+ years of Experience with BI tools such as Power BI, Tableau, or QlikView.
* Hands\-on experience with Snowflake, including Snowpipe, Streams, Stored Procedures and various AI and ML features.
* Strong analytical skills with the ability to collect, organize, analyze, and disseminate significant amounts of information with attention to detail and accuracy.
* Strong understanding of database technologies, management systems, and data modeling techniques.
* Proficiency in Python.
* Strong SQL skills and experience with relational and cloud databases.
* Familiarity with cloud technology
* Familiarity with Agile/Scrum methodology
* Familiarity with AI/Machine Learning and Advanced analytics is plus
* Strong communication, problem solving and collaboration skills.
* Ability to manage multiple priorities simultaneously.
* Knowledge of data governance, security, and compliance best practices.
**Education**
* Bachelor’s or master’s degree in computer science, Information Systems, Business Analytics or related field.
**About Us**
 American Food \&amp; Vending began vending operations in Ithaca, NY, over eighty years ago and has become one of the largest privately held hospitality service partners in the United States.
 As a family\-owned boutique company, we have evolved into a dining and catering service provider. In 2012, the second and third family generations expanded the company nationally by adding our dining division, American Dining Creations. Today we provide service to guests in 24 states, over 50 cities, and employ more than 2,000 employees.
 American Food \&amp; Vending and American Dining Creations strongly focus on service, technology, partnerships, and hospitality, which is evident in everything we do. Our national ranking as one of the Top 50 Contract Management Companies highlights our commitment to excellence.
 We are a company of culinary enthusiasts. Our award\-winning chefs are always exploring innovative, creative, and on\-trend dining and refreshment solutions. As part of our combined services, we provide café dining, mobile ordering, catering, events, grab\-and\-go programs, vending and refreshment solutions, advanced micro markets, coffee services, pantry services, water filtration and purification.
 We are committed to enhancing the guest experience and partnering with our communities to provide outstanding service, innovation, sustainability, and customization.
**American Food \&amp; Vending Offers**
* Weekly Pay
* 401K with company match
* Employee Referral Bonus Program
* Employee Assistance Program
* Eligible employees offered Medical, Prescription, Dental, and Vision Plans
**American Food \&amp; Vending is an Equal Opportunity Employer.**
**Chat with Scout, our virtual hiring assistant to apply for this position right from your mobile device. Text JOB to 315\-803\-6049 to get started!**</t>
        </is>
      </c>
    </row>
    <row r="73">
      <c r="A73" t="inlineStr">
        <is>
          <t>li-4352706077</t>
        </is>
      </c>
      <c r="B73" t="inlineStr">
        <is>
          <t>Data Engineer I</t>
        </is>
      </c>
      <c r="C73" t="inlineStr">
        <is>
          <t>Milliman</t>
        </is>
      </c>
      <c r="D73" t="inlineStr">
        <is>
          <t>linkedin</t>
        </is>
      </c>
      <c r="E73">
        <f>HYPERLINK("https://www.linkedin.com/jobs/view/4352706077", "https://www.linkedin.com/jobs/view/4352706077")</f>
        <v/>
      </c>
      <c r="F73" t="inlineStr"/>
      <c r="G73" t="inlineStr">
        <is>
          <t>South Burlington, VT</t>
        </is>
      </c>
      <c r="H73" t="inlineStr"/>
      <c r="I73" t="inlineStr">
        <is>
          <t>**Company Overview**
 Leading with our core values of Quality, Integrity, and Opportunity, MedInsight is one of the healthcare industry’s most trusted solutions for healthcare intelligence. Our company purpose is to empower easy, data\-driven decision\-making on important healthcare questions. Through our products, education, and services, MedInsight is making an impact on healthcare by helping to drive better outcomes for patients while reducing waste. Over 300 leading healthcare organizations have come to rely on MedInsight analytic solutions for healthcare cost and care management. MedInsight has been ranked \#1 for Payer Quality Analytics by clients for the last three years in the Best in KLAS report.
 MedInsight is a subsidiary of Milliman; a global, employee\-owned consultancy providing actuarial consulting, retirement funding and healthcare financing, enterprise risk management and regulatory compliance, data analytics and business transformation as well as a range of other consulting and technology solutions.
**Position Summary**
 We’re looking for a Data Engineer I to join our healthcare analytics platform team. In this role, you’ll help build and support scalable data pipelines that power data\-driven healthcare decisions for millions of members. You’ll work closely with experienced engineers in a collaborative, learning\-oriented environment where curiosity and growth are encouraged.
**Primary Responsibilities**
 Build \&amp; Maintain Data Pipelines
* Develop and maintain data pipelines using Spark SQL within a modern lakehouse architecture
* Support ETL/ELT processes for healthcare claims data (medical, pharmacy, eligibility)
* Write clear, well\-documented code and participate in peer code reviews
 Collaborate \&amp; Learn
* Partner with senior engineers to learn data architecture and design patterns
* Work with analysts and stakeholders to translate data needs into technical solutions
* Contribute to technical documentation and team knowledge sharing
* Participate in agile practices such as sprint planning, standups, and retrospectives
 Support Quality \&amp; Reliability
* Monitor pipeline performance and help troubleshoot data issues
* Assist with production support alongside senior team members
* Learn and apply quality, risk, and data validation standards
**Required Qualifications**
 Technical Foundation
* Bachelor’s degree in Computer Science, Engineering, Information Systems, or a related field — or equivalent practical experience
* 0–2 years of relevant experience in data engineering, software engineering, or a related technical role
* Working knowledge of SQL and relational databases
* Experience with Python or similar programming languages
* Familiarity with version control tools such as Git
**Ways of Working**
* Strong problem\-solving and analytical skills
* Care and attention to detail, especially with data accuracy
* Clear communication skills and a collaborative mindset
* Motivation to learn, grow, and build technical expertise
**Nice To Have (Not Required)**
* Exposure to Apache Spark or Spark SQL
* Experience with cloud platforms (Azure, AWS, or GCP)
* Familiarity with data warehousing or lakehouse concepts
* Experience working with healthcare data or other regulated industries
* Exposure to CI/CD pipelines, automated testing, or Databricks
* Interest in AI\-assisted development tools and modern engineering practices
**Technical Environment**
* Languages: Python, SQL, Spark SQL
* Data Platforms: Azure Databricks, Delta Lake
* Cloud \&amp; DevOps: Azure, Azure DevOps, Git, CI/CD pipelines
* Data Domains: Healthcare claims, risk adjustment, population health
**Location**
 This role can be located remotely within the United States. The expected application deadline for this job is February 28, 2026\.
**Compensation**
 The overall salary range for this role is $71,700 \- $131,905\.
**For Candidates Residing In**
* Alaska, California, Connecticut, Illinois, Maryland, Massachusetts, New Jersey, New York City,
 Pennsylvania, Virginia, Washington, or the District of Columbia the salary range is $82,455 \- $131,905\.
* All other locations the salary range is $71,700 \- 114,700\.
 A combination of factors will be considered, including, but not limited to, education, relevant work experience, qualifications, skills, certifications, etc.
**What makes this a great opportunity?**
* Work for a company that values your wellbeing and professional growth, offering a flexible work environment, generous benefits package, and investment in the development of your career
* Join an innovative, high growth company with a solid industry track recordand opportunities to grow your position within the organization
* Bring your expertise and ideas to directly impact and help build the next generation of MedInsight products and solutions
**Milliman Benefits**
 We offer a comprehensive benefits package designed to support employees’ health, financial security, and well\-being. Benefits include:
* Medical, Dental and Vision – Coverage for employees, dependents, and domestic partners.
* Employee Assistance Program (EAP) – Confidential support for personal and work\-related challenges.
* 401(k) Plan – Includes a company matching program and profit\-sharing contributions.
* Discretionary Bonus Program – Recognizing employee contributions.
* Flexible Spending Accounts (FSA) – Pre\-tax savings for dependent care, transportation, and eligible medical expenses.
* Paid Time Off (PTO) – Begins accruing on the first day of work. Full\-time employees accrue 15 days per year, and employees working less than full\-time accrue PTO on a prorated basis.
* Holidays – A minimum of 10 paid holidays per year.
* Family Building Benefits – Includes adoption and fertility assistance.
* Paid Parental Leave – Up to 12 weeks of paid leave for employees who meet eligibility criteria.
* Life Insurance \&amp; AD\&amp;D – 100% of premiums covered by Milliman.
* Short\-Term and Long\-Term Disability – Fully paid by Milliman.
**Equal Opportunity**
 All qualified applicants will receive consideration for employment without regard to race, color, religion, sex, sexual orientation, national origin, disability, or status as a protected veteran.</t>
        </is>
      </c>
    </row>
    <row r="74">
      <c r="A74" t="inlineStr">
        <is>
          <t>li-4361158150</t>
        </is>
      </c>
      <c r="B74" t="inlineStr">
        <is>
          <t>Data Engineer</t>
        </is>
      </c>
      <c r="C74" t="inlineStr">
        <is>
          <t>Bikky</t>
        </is>
      </c>
      <c r="D74" t="inlineStr">
        <is>
          <t>linkedin</t>
        </is>
      </c>
      <c r="E74">
        <f>HYPERLINK("https://www.linkedin.com/jobs/view/4361158150", "https://www.linkedin.com/jobs/view/4361158150")</f>
        <v/>
      </c>
      <c r="F74">
        <f>HYPERLINK("https://jobs.gem.com/bikky/am9icG9zdDqpSxczYq6G7fsLhuyb72iK&amp;urlHash=VIgX", "https://jobs.gem.com/bikky/am9icG9zdDqpSxczYq6G7fsLhuyb72iK&amp;urlHash=VIgX")</f>
        <v/>
      </c>
      <c r="G74" t="inlineStr">
        <is>
          <t>New York, NY</t>
        </is>
      </c>
      <c r="H74" t="inlineStr"/>
      <c r="I74" t="inlineStr">
        <is>
          <t>**About Bikky** 
 Restaurants are the heart of our communities \- where we go to celebrate life’s memorable moments with those we love, and find comfort and familiarity in the world.
 But while the digital and data revolutions have transformed other parts of commerce and hospitality, restaurants haven’t had the same opportunity. The result has been an industry that’s \- on average \- had their profit margins shrink by 5x over the past 20 years.
 Bikky was founded on the belief that restaurants deserve the same access to data as the largest, most sophisticated businesses in the world. We believe that data can fundamentally transform the economic model of the entire restaurant industry \- producing better businesses, more jobs, and stronger communities.
 Bikky is based in New York City and has raised over $15 million in funding to date, most recently with a Series A in Q4 2023\. Our founding team has a long history of working together, with intensive personal and professional experience steeped in the restaurant industry and New York City startups. We’re proud to serve thousands of restaurant locations across the U.S., including major brands like Dave’s Hot Chicken, MOD Pizza, Long John Silver’s, and Eggs Up Grill.
**About the role** 
 As a Data Engineer at Bikky, you’ll work on the pipelines, data models, and aggregations at the core of our platform. Your role will span the full spectrum of data engineering and you’ll have the opportunity to contribute to every part of our systems. 
 On any given day you might:
* Build a new data model to support clear, intuitive, analyses
* Optimize a section of our pipeline to reduce costs and runtime
* Wrangle a new data source \- building an end\-to\-end ETL process to merge it into our core data models
* Improve the accuracy of our core identity graph \- we merge billions of events into hundreds of millions of consumer profiles, with many subtle tradeoffs along the way
* Track down a complex data quality issue and build supporting tools to prevent similar issues in the future
* Support the rest of the engineering team with investments in developer productivity. We want our product teams focused on delivering value \- not wrestling with infrastructure.
 We’re building the data stack for every restaurant and your work will shape its foundations. At Bikky, you’ll support an entire industry, not just a single stakeholder or company. 
**About you** 
 We’re building a high scale, multi\-tenant, data system that processes dozens of data sources. Data quality, performance, and developer productivity are significant focuses for us and we’re pushing the forefront of industry best practices. Solving our customer’s problems efficiently, clearly, and accurately is critical to our success. Simultaneously, we’re a lean team with big product ambitions and we need to be intentional in where we invest in our technical platform.
 To meet that challenge we’re looking for candidates with strong data engineering fundamentals, paired with a pragmatic mindset.
 The ideal candidate will have: 
* 5\+ years of experience
* Fluency in SQL; competency in Python
* Track record of building complex data systems at scale
* Excellent data modeling instincts
* Deep attention to detail and a love of wrangling messy data
* Experience with our stack (Snowflake, DBT, Dagster) is a plus but not required
 That said, we want to talk with exceptional candidates from any background. If you feel you’re a great fit for the role, please reach out even if you don’t meet all of the points above. 
**Why us** 
 At Bikky, you’ll work on challenging problems that matter to real businesses while tackling industry leading technical challenges. We work at the intersection of a unique set of constraints that you’ll help us solve. And you’ll do it in service of a deeply deserving customer base \- restaurant operators have been underserved by the technical community and deserve better tools.
 Along the way, you’ll work with our fully senior/staff level team. Your teammates have deep experience in their respective domains and we’re a low drama, high productivity team. Many of us are startup veterans and we feel we’re working at an “adult’s startup” \- all the benefits of being at an early stage company without the chaos.
**Perks and Benefits** 
* $150,000 \- $200,000 annual salary. Estimated salary range is inclusive of multiple levels and will be narrowed in the interview process.
* Generous equity compensation
* Top tier health insurance including medical, vision, and dental
* Ability to participate in a 401k
* Bikky offers a hybrid working environment. For candidates in New York City, we have an office where the team works 3\-4 times per week.
* Flexible vacation policy</t>
        </is>
      </c>
    </row>
    <row r="75">
      <c r="A75" t="inlineStr">
        <is>
          <t>li-4354423467</t>
        </is>
      </c>
      <c r="B75" t="inlineStr">
        <is>
          <t>Data Engineer II</t>
        </is>
      </c>
      <c r="C75" t="inlineStr">
        <is>
          <t>Catalyst Health Group</t>
        </is>
      </c>
      <c r="D75" t="inlineStr">
        <is>
          <t>linkedin</t>
        </is>
      </c>
      <c r="E75">
        <f>HYPERLINK("https://www.linkedin.com/jobs/view/4354423467", "https://www.linkedin.com/jobs/view/4354423467")</f>
        <v/>
      </c>
      <c r="F75" t="inlineStr"/>
      <c r="G75" t="inlineStr">
        <is>
          <t>Plano, TX</t>
        </is>
      </c>
      <c r="H75" t="inlineStr"/>
      <c r="I75" t="inlineStr">
        <is>
          <t>**Job Summary**
 The
 **Data Engineer** 
 will help our communities thrive by contributing to the growth of our modern data platform through the design and development of scalable data pipelines. In this role, you will collaborate with cross\-functional teams to deliver reliable, high\-quality data solutions that directly support patients, providers, and the business.
 While growing at an accelerated rate, we support the health journey of patients by authentically living our values:
 *Purpose Driven, Relationships Matter, Serve Others First, and Inspire Creativity.* 
 We have been recognized as a Top Workplace by The Dallas Morning News for five consecutive years. If you love serving others and would like to make a material difference in an industry\-transforming organization, we invite you to apply.
**Role and Responsibilities:**
* Design, build, and maintain scalable data pipelines (ETL/ELT) to support analytics, reporting, and operational needs.
* Collaborate with senior Data Engineers, BI developers, and analysts to develop robust, efficient, and well\-documented data solutions.
* Contribute to architecture discussions and data flow design, ensuring best practices for performance, quality, and scalability.
* Optimize SQL queries, data models, and ETL processes for performance and efficiency.
* Implement testing, monitoring, and error handling for production\-grade pipelines.
* Ensure data quality, lineage, and documentation across subject areas.
* Partner with business stakeholders to translate requirements into technical solutions.
* Work with cloud\-based data sources, including structured, semi\-structured, and unstructured data.
**Minimum Qualifications and Requirements** 
**:**
* Bachelor's Degree in Computer Science, Engineering, MIS, or related field.
* 3–5 years of experience as a Data Engineer, Database Developer, BI Developer, ETL/ELT Developer, or similar role.
* Strong SQL skills, including query optimization and data modeling (relational and/or dimensional).
* Hands\-on experience with ETL/ELT design and development (SSIS, ADF, dbt, Informatica or similar).
* Proficiency in at least one programming language (Python, C\#, Java, or Spark).
* Familiarity with modern data warehouse technologies (Snowflake, Azure Synapse, AWS Redshift, etc.).
* Experience with Agile methodologies and version control (Git).
* Demonstrated ability to troubleshoot SQL Server, Windows Server, and related environments.
* Familiarity with CI/CD practices for data pipelines (e.g., GitHub Actions, Azure DevOps).
* Awareness of data governance, privacy, and compliance best practices (HIPAA/PHI preferred).
**Preferred Experience** 
**:**
* Healthcare data experience (EHR, payer, claims, pharmacy, or other healthcare systems).
* Experience optimizing data pipelines for large\-scale or high\-performance environments.
* Familiarity with BI and visualization tools (Power BI, Tableau).
* Knowledge of containerization and orchestration tools (Docker, Kubernetes).
* Experience with data testing, monitoring, and validation frameworks.
* Relevant certifications (Azure, Microsoft, Snowflake, or other data engineering certifications); Microsoft Azure Data Engineer (DP\-203\) or Fabric Data Engineer (DP\-700\) strongly preferred.</t>
        </is>
      </c>
    </row>
    <row r="76">
      <c r="A76" t="inlineStr">
        <is>
          <t>li-4354463016</t>
        </is>
      </c>
      <c r="B76" t="inlineStr">
        <is>
          <t>Senior Data Engineer</t>
        </is>
      </c>
      <c r="C76" t="inlineStr">
        <is>
          <t>Revecore</t>
        </is>
      </c>
      <c r="D76" t="inlineStr">
        <is>
          <t>linkedin</t>
        </is>
      </c>
      <c r="E76">
        <f>HYPERLINK("https://www.linkedin.com/jobs/view/4354463016", "https://www.linkedin.com/jobs/view/4354463016")</f>
        <v/>
      </c>
      <c r="F76" t="inlineStr"/>
      <c r="G76" t="inlineStr"/>
      <c r="H76" t="inlineStr"/>
      <c r="I76" t="inlineStr">
        <is>
          <t>**About Revecore**
 Revecore is an innovative, technology\-driven company that is committed to helping our clients, our employees, our company, and our communities thrive.
 With a 20\+ year history, Revecore is the leading provider of revenue integrity and complex claims solutions for hospitals.
 We offer a dynamic and flexible work environment, full of opportunities for motivated, hands\-on team players. We strive each day to solve complex business problems and find new ways to enhance the efficiency, effectiveness, and quality of our services. If those attributes resonate with you, regardless of where you are located—we want you on our team!
 Purpose of this Role
 Revecore is embarking on re\-architecting and modernizing its core platform. The Data Technology at Revecore is empowering the business in unlocking new opportunities by integrating data and machine learning across our products and business functions. This team is composed of Data Engineering, Analytics Engineering, Data Science and Machine Learning (ML) Engineering specializations.
 The Senior Data Engineer will join the Technology function, solving complex data problems for the Revecore Data Platform. The ideal candidate is capable of contributing to platform, architecture, and automation best practices, while also diving deep into specific areas and finding the best path forward. You are expected to pave the path for the data teams around data ingestion, data pipelines and data operations. You will be responsible for building a modern data lakehouse platform that will transform Revecore and its capabilities.
 What You'll Do
* Own the implementation and quality of the data platforms, ensuring availability, reliability, resilience, and security while upholding consistent standards of engineering excellence.
* Continuously improve both the engineering practice and the quality of the domain’s data outputs.
* Design and develop scalable, maintainable, and reliable data pipelines to support business and analytics needs.
* Collaborate with other Data Engineers to understand requirements and build tooling and automation that enhance developer efficiency.
* Monitor data systems and performance, identifying opportunities to optimize warehouse and infrastructure costs.
* Stay current with industry trends and emerging technologies across the data platform ecosystem to drive innovation and modernization.
**Requirements**
* 5\+ years of experience designing and deploying data engineering solutions using Python, SQL, and modern orchestration/transformation frameworks (e.g., dbt, Airflow, Dagster, Prefect).
* Bachelor’s degree in Computer Science, Engineering, or a related field (or equivalent experience).
* Experience designing, building, and maintaining scalable, reliable data pipelines with containerized deployments on Kubernetes or Docker.
* Experience with modern data warehouses such as Snowflake, Redshift, or BigQuery.
* Proven ability to develop and support multi\-cloud data platforms on Azure and AWS, including data lakes (ADLS, S3\) and data warehouses (Synapse, Snowflake, Redshift); automate infrastructure using Terraform or CloudFormation.
* Expertise in pipeline optimization for performance, cost efficiency, and reliability using monitoring (Prometheus, Grafana), CI/CD (GitHub Actions, Jenkins), and data quality frameworks.
* Strong understanding of infrastructure as code, SDLC, and deployment automation.
* Proven ability to write clear documentation and promote best practices via knowledge sharing, code reviews, and technical guidance.
 Good\-to\-haves
* Demonstrated ability to bridge legacy systems with cloud\-native architectures for platform modernization.
* Strong data modeling skills, including dimensional modeling for cloud analytics.
* Familiarity with data cataloging, lineage, and governance tools for data discoverability and trust.
* Experience with real\-time/streaming data technologies (Kafka, Kinesis, Event Hubs) and event\-driven architectures.
 Revecore values a diverse workplace and strongly encourages women, people of color, LGBT individuals, people with disabilities, members of ethnic minorities, foreign\-born residents, and veterans to apply.
 Revecore is an equal opportunity employer. Applicants will not be discriminated against because of race, color, creed, sex, sexual orientation, gender identity or expression, age, religion, national origin, citizenship status, disability, ancestry, marital status, veteran status, medical condition, or any protected category prohibited by local, state or federal laws.
 Must reside in the United States within one of the states listed below:
 Alabama, Arkansas, Florida, Georgia, Indiana, Iowa, Kansas, Kentucky, Louisiana, Maine, Massachusetts Michigan, Minnesota, Mississippi Missouri, Nebraska, New Hampshire North Carolina, North Dakota, Ohio, Oklahoma, Pennsylvania, Rhode Island, South Carolina, South Dakota, Tennessee, Texas, Vermont, Virginia, West Virginia, and Wisconsin.</t>
        </is>
      </c>
    </row>
    <row r="77">
      <c r="A77" t="inlineStr">
        <is>
          <t>li-4361266043</t>
        </is>
      </c>
      <c r="B77" t="inlineStr">
        <is>
          <t>Jr. Data Engineer</t>
        </is>
      </c>
      <c r="C77" t="inlineStr">
        <is>
          <t>ExecutivePlacements.com</t>
        </is>
      </c>
      <c r="D77" t="inlineStr">
        <is>
          <t>linkedin</t>
        </is>
      </c>
      <c r="E77">
        <f>HYPERLINK("https://www.linkedin.com/jobs/view/4361266043", "https://www.linkedin.com/jobs/view/4361266043")</f>
        <v/>
      </c>
      <c r="F77">
        <f>HYPERLINK("https://www.executiveplacements.com/JF/Jr-Data-Engineer-jobs-in-Irvine-California-8b8b3f813a3c.asp?sid=linkedin&amp;urlHash=h2np", "https://www.executiveplacements.com/JF/Jr-Data-Engineer-jobs-in-Irvine-California-8b8b3f813a3c.asp?sid=linkedin&amp;urlHash=h2np")</f>
        <v/>
      </c>
      <c r="G77" t="inlineStr">
        <is>
          <t>Irvine, CA</t>
        </is>
      </c>
      <c r="H77" t="inlineStr"/>
      <c r="I77" t="inlineStr">
        <is>
          <t>**This role is hybrid onsite in Irvine, CA. We are unable to provide relocation assistance at this time.**
 Join the dynamic Habit Burger team, part of Yum! Brands, in building industry\-leading technology that enhances the experience of both restaurant staff and guests. As a Jr Data Engineer, youll play a hands\-on role in developing and maintaining data systems that support our mobile app, website, restaurant operations, and integrations with third\-party delivery services like DoorDash, Grubhub, and UberEats.
**Key Responsibilities**
* Develop and maintain stored procedures, triggers, and other database objects.
* Participate in report development and system integrations.
* Conduct database testing and debugging.
* Engage in code reviews and documentation of database architecture and processes.
* Implement and maintain database security protocols.
* Ensure data integrity, security, and quality.
* Monitor and optimize database performance.
* Manage multiple tasks including high\-priority requests and ongoing projects.
* Collaborate with developers, stakeholders, and end\-users to gather requirements and deliver solutions.
* Design, develop, and manage scalable and reliable data pipelines.
**Required Qualifications**
* Bachelors degree in Computer Science or equivalent experience.
* years of experience in database design, development, and maintenance.
* Proficiency in MSSQL (T\-SQL, Stored Procedures) or equivalent.
* Working knowledge of database management systems (, Oracle, MySQL, Microsoft SQL Server).
* Familiarity with data modeling, normalization, and database design principles.
* Understanding of performance tuning, indexing, and query optimization.
* Prior exposure to ETL processes and tools (experience with any ETL tool is a plus).
* Comfortable working in IDEs such as Visual Studio and Snowflake.
* Experience with data visualization tools (DOMO preferred; Power BI and Tableau desirable).
**Preferred Qualifications**
* Knowledge of SSIS, SSRS, and SSAS
* Programming experience in Python
* Awareness of data privacy laws and compliance.
* Strong analytical and problem\-solving skills.
* Excellent communication and collaboration abilities.
* Eagerness to learn and a strong work ethic.
**Benefits**
* Up to weeks of vacation annually, plus sick days.
* Hybrid work schedule with year\-round Flex Day Fridays.
* Up to paid holidays \+ floating holiday.
* Recharge Days to unplug and reenergize.
* Competitive bonus program.
* Recognition\-based culture.
**Family Benefits**
* Comprehensive medical, dental, and vision coverage (including % preventative care from Day ).
* Prescription drug benefits.
* Healthcare and dependent care flexible spending accounts.
* Employee Assistance Program for employees and dependents.
* Generous parental leave.
* Onsite childcare through Bright Horizons.
**Additional Perks**
* (k) plan with % company match.
* Up to paid volunteer days annually.
* Access to LinkedIn Learning.
 Salary Range:$ to $ hourly\+ bonus eligibility.
 **This is the expected salary range for this position. Ultimately, in determining pay, we'll consider the successful candidates location, experience, and other job\-related factors.**
 At Yum! Brands and at The Habit Restaurants, LLC, one of our core values is to Believe in ALL People. This means seeing the value in everyone and unlocking their full potential to be their best self. The Habit Restaurants, LLC is proud to be an equal opportunity employer and is committed to equity, inclusion, and belonging for all dimensions of diversity. We do not discriminate based on race, color, religion, sex, sexual orientation, gender identity, national origin, veteran status, disability status, age, or any other protected characteristic. We are committed to working with and providing reasonable accommodation to applicants with disabilities or special needs.
 US Job Seekers/Employees \-to view the Know Your Rights poster and supplement and the Pay Transparency Policy Statement.
 Employment eligibility to work with Yum! in the is required as the company will not pursue visa sponsorship for this position.</t>
        </is>
      </c>
    </row>
    <row r="78">
      <c r="A78" t="inlineStr">
        <is>
          <t>li-4354783177</t>
        </is>
      </c>
      <c r="B78" t="inlineStr">
        <is>
          <t>Data Engineer</t>
        </is>
      </c>
      <c r="C78" t="inlineStr">
        <is>
          <t>Scion Staffing</t>
        </is>
      </c>
      <c r="D78" t="inlineStr">
        <is>
          <t>linkedin</t>
        </is>
      </c>
      <c r="E78">
        <f>HYPERLINK("https://www.linkedin.com/jobs/view/4354783177", "https://www.linkedin.com/jobs/view/4354783177")</f>
        <v/>
      </c>
      <c r="F78" t="inlineStr"/>
      <c r="G78" t="inlineStr">
        <is>
          <t>Columbus, OH</t>
        </is>
      </c>
      <c r="H78" t="inlineStr"/>
      <c r="I78" t="inlineStr">
        <is>
          <t>**Scion Technology** 
 has been engaged to conduct a search for an experienced
 **Data Engineer** 
 for our client, the leading manufacturer of strength and conditioning equipment in Columbus, OH!
 **This is a full\-time, direct hire position based onsite in Columbus.**
**Position Overview**
 As a Data Engineer, you will serve as the backbone of the backend data architecture, owning key components of the Google Cloud environment. You'll design, develop and maintain efficient data pipelines that support reporting, analysis and AI initiatives. Collaborating closely with analytics and development teams, you'll ensure data integrity, accessibility, and usability to empower strategic decision\-making.
**PERKS**
* Competitive annual salary up to $130k annually (depending on experience) \+ bonus
* Comprehensive benefits including 20\-25 days PTO, 401(k) and access to a diversified investment program tied to company growth
* Play a pivotal role in developing a centralized data lake that transforms how departments leverage data
* Work on high\-impact projects, optimize data processes and contribute to a company poised for rapid growth
**Responsibilities**
* Design, develop and maintain scalable, reliable data pipelines, addressing quality and transformation issues.
* Ingest data from multiple sources into the data lake using GCP services like BigQuery, Cloud Functions, and Cloud Scheduler.
* Collaborate with teams to understand business needs and prepare optimized datasets for reporting and analysis.
* Lead technical initiatives, including building SDKs, automating workflows, and improving data infrastructure.
**Qualifications**
* 2\-5 years of experience in data engineering, with strong SQL and Python skills.
* Proven ability to design, build, and optimize data pipelines in cloud environments, especially GCP.
* Experience working with diverse data sources, APIs, and large\-scale data environments.
* Excellent problem\-solving, communication, and independent working skills, with a focus on data security.
**Compensation \&amp; Benefits**
 This full\-time position offers an annual base salary up to $130k, commensurate with experience. The organization provides a robust benefits package that includes comprehensive medical, dental, and vision coverage in addition to paid time off.
**About Our Firm**
**Scion Staffing** 
 is a national award\-winning staffing firm! Since 2006, we have had the pleasure of successfully placing thousands of talented professionals with amazing career opportunities. Through our innovative team building and recruiting solutions, we bridge the gap in executive leadership searches, direct hire recruiting, interim leadership placement, and temporary professional staffing. We are proud to be part of the
 **Forbes lists of the Best Recruitment Firms** 
 and the
 **Best Executive Search Firms in America** 
 . Additionally, Scion has been recognized as a
 **ClearlyRated Best of Staffing** 
 firm as well as a top recruitment firm by
 **The Business Times** 
 . Additional information about our firm can also be found online.
 Scion Staffing, Inc. is an equal opportunity employer and service provider and does not discriminate based on race, religion, gender, gender identity, national origin, citizenship status, sexual orientation, disability, political affiliation or belief, or any other protected class. We are committed to the principles of Equal Opportunity Employment and are dedicated to making employment decisions based on merit and value, for ourselves, our client companies, and the candidates we represent. For opportunities located in a region that have enacted fair chance, arrest or conviction\-based employment ordinances, Scion Staffing proactively follows the enacted guidance and considers for employment all qualified applications with arrest and conviction records. We engage in socially conscious business practices and believe that diverse, inclusive, and non\-biased talent and recruitment processes are foundational to the success of Scion as well as every client organization with whom we partner.</t>
        </is>
      </c>
    </row>
    <row r="79">
      <c r="A79" t="inlineStr">
        <is>
          <t>li-4352516104</t>
        </is>
      </c>
      <c r="B79" t="inlineStr">
        <is>
          <t>Data Engineer I</t>
        </is>
      </c>
      <c r="C79" t="inlineStr">
        <is>
          <t>Milliman</t>
        </is>
      </c>
      <c r="D79" t="inlineStr">
        <is>
          <t>linkedin</t>
        </is>
      </c>
      <c r="E79">
        <f>HYPERLINK("https://www.linkedin.com/jobs/view/4352516104", "https://www.linkedin.com/jobs/view/4352516104")</f>
        <v/>
      </c>
      <c r="F79">
        <f>HYPERLINK("https://recruiting2.ultipro.com/MIL1017/JobBoard/f54234e9-dfde-b183-fd20-4fbdb19cba7a/OpportunityDetail?opportunityId=c5fa35be-2b8c-497e-8f40-3016572fa938&amp;source=LinkedIn&amp;utm_source=LINKEDIN&amp;urlHash=E4Cm", "https://recruiting2.ultipro.com/MIL1017/JobBoard/f54234e9-dfde-b183-fd20-4fbdb19cba7a/OpportunityDetail?opportunityId=c5fa35be-2b8c-497e-8f40-3016572fa938&amp;source=LinkedIn&amp;utm_source=LINKEDIN&amp;urlHash=E4Cm")</f>
        <v/>
      </c>
      <c r="G79" t="inlineStr">
        <is>
          <t>Appleton, WI</t>
        </is>
      </c>
      <c r="H79" t="inlineStr"/>
      <c r="I79" t="inlineStr">
        <is>
          <t>**Company Overview**
 Leading with our core values of Quality, Integrity, and Opportunity, MedInsight is one of the healthcare industry’s most trusted solutions for healthcare intelligence. Our company purpose is to empower easy, data\-driven decision\-making on important healthcare questions. Through our products, education, and services, MedInsight is making an impact on healthcare by helping to drive better outcomes for patients while reducing waste. Over 300 leading healthcare organizations have come to rely on MedInsight analytic solutions for healthcare cost and care management. MedInsight has been ranked \#1 for Payer Quality Analytics by clients for the last three years in the Best in KLAS report.
 MedInsight is a subsidiary of Milliman; a global, employee\-owned consultancy providing actuarial consulting, retirement funding and healthcare financing, enterprise risk management and regulatory compliance, data analytics and business transformation as well as a range of other consulting and technology solutions.
**Position Summary**
 We’re looking for a Data Engineer I to join our healthcare analytics platform team. In this role, you’ll help build and support scalable data pipelines that power data\-driven healthcare decisions for millions of members. You’ll work closely with experienced engineers in a collaborative, learning\-oriented environment where curiosity and growth are encouraged.
**Primary Responsibilities**
 Build \&amp; Maintain Data Pipelines
* Develop and maintain data pipelines using Spark SQL within a modern lakehouse architecture
* Support ETL/ELT processes for healthcare claims data (medical, pharmacy, eligibility)
* Write clear, well\-documented code and participate in peer code reviews
 Collaborate \&amp; Learn
* Partner with senior engineers to learn data architecture and design patterns
* Work with analysts and stakeholders to translate data needs into technical solutions
* Contribute to technical documentation and team knowledge sharing
* Participate in agile practices such as sprint planning, standups, and retrospectives
 Support Quality \&amp; Reliability
* Monitor pipeline performance and help troubleshoot data issues
* Assist with production support alongside senior team members
* Learn and apply quality, risk, and data validation standards
**Required Qualifications**
 Technical Foundation
* Bachelor’s degree in Computer Science, Engineering, Information Systems, or a related field — or equivalent practical experience
* 0–2 years of relevant experience in data engineering, software engineering, or a related technical role
* Working knowledge of SQL and relational databases
* Experience with Python or similar programming languages
* Familiarity with version control tools such as Git
**Ways of Working**
* Strong problem\-solving and analytical skills
* Care and attention to detail, especially with data accuracy
* Clear communication skills and a collaborative mindset
* Motivation to learn, grow, and build technical expertise
**Nice To Have (Not Required)**
* Exposure to Apache Spark or Spark SQL
* Experience with cloud platforms (Azure, AWS, or GCP)
* Familiarity with data warehousing or lakehouse concepts
* Experience working with healthcare data or other regulated industries
* Exposure to CI/CD pipelines, automated testing, or Databricks
* Interest in AI\-assisted development tools and modern engineering practices
**Technical Environment**
* Languages: Python, SQL, Spark SQL
* Data Platforms: Azure Databricks, Delta Lake
* Cloud \&amp; DevOps: Azure, Azure DevOps, Git, CI/CD pipelines
* Data Domains: Healthcare claims, risk adjustment, population health
**Location**
 This role can be located remotely within the United States. The expected application deadline for this job is February 28, 2026\.
**Compensation**
 The overall salary range for this role is $71,700 \- $131,905\.
**For Candidates Residing In**
* Alaska, California, Connecticut, Illinois, Maryland, Massachusetts, New Jersey, New York City,
 Pennsylvania, Virginia, Washington, or the District of Columbia the salary range is $82,455 \- $131,905\.
* All other locations the salary range is $71,700 \- 114,700\.
 A combination of factors will be considered, including, but not limited to, education, relevant work experience, qualifications, skills, certifications, etc.
**What makes this a great opportunity?**
* Work for a company that values your wellbeing and professional growth, offering a flexible work environment, generous benefits package, and investment in the development of your career
* Join an innovative, high growth company with a solid industry track recordand opportunities to grow your position within the organization
* Bring your expertise and ideas to directly impact and help build the next generation of MedInsight products and solutions
**Milliman Benefits**
 We offer a comprehensive benefits package designed to support employees’ health, financial security, and well\-being. Benefits include:
* Medical, Dental and Vision – Coverage for employees, dependents, and domestic partners.
* Employee Assistance Program (EAP) – Confidential support for personal and work\-related challenges.
* 401(k) Plan – Includes a company matching program and profit\-sharing contributions.
* Discretionary Bonus Program – Recognizing employee contributions.
* Flexible Spending Accounts (FSA) – Pre\-tax savings for dependent care, transportation, and eligible medical expenses.
* Paid Time Off (PTO) – Begins accruing on the first day of work. Full\-time employees accrue 15 days per year, and employees working less than full\-time accrue PTO on a prorated basis.
* Holidays – A minimum of 10 paid holidays per year.
* Family Building Benefits – Includes adoption and fertility assistance.
* Paid Parental Leave – Up to 12 weeks of paid leave for employees who meet eligibility criteria.
* Life Insurance \&amp; AD\&amp;D – 100% of premiums covered by Milliman.
* Short\-Term and Long\-Term Disability – Fully paid by Milliman.
**Equal Opportunity**
 All qualified applicants will receive consideration for employment without regard to race, color, religion, sex, sexual orientation, national origin, disability, or status as a protected veteran.</t>
        </is>
      </c>
    </row>
    <row r="80">
      <c r="A80" t="inlineStr">
        <is>
          <t>li-4361265172</t>
        </is>
      </c>
      <c r="B80" t="inlineStr">
        <is>
          <t>Data Engineer</t>
        </is>
      </c>
      <c r="C80" t="inlineStr">
        <is>
          <t>Solventum</t>
        </is>
      </c>
      <c r="D80" t="inlineStr">
        <is>
          <t>linkedin</t>
        </is>
      </c>
      <c r="E80">
        <f>HYPERLINK("https://www.linkedin.com/jobs/view/4361265172", "https://www.linkedin.com/jobs/view/4361265172")</f>
        <v/>
      </c>
      <c r="F80" t="inlineStr"/>
      <c r="G80" t="inlineStr">
        <is>
          <t>Albany, NY</t>
        </is>
      </c>
      <c r="H80" t="inlineStr"/>
      <c r="I80" t="inlineStr">
        <is>
          <t>Thank you for your interest in joining Solventum. Solventum is a new healthcare company with a long legacy of solving big challenges that improve lives and help healthcare professionals perform at their best. At Solventum, people are at the heart of every innovation we pursue. Guided by empathy, insight, and clinical intelligence, we collaborate with the best minds in healthcare to address our customers’ toughest challenges. While we continue updating the Solventum Careers Page and applicant materials, some documents may still reflect legacy branding. Please note that all listed roles are Solventum positions, and our Privacy Policy: https://www.solventum.com/en\-us/home/legal/website\-privacy\-statement/applicant\-privacy/ applies to any personal information you submit. As it was with 3M, at Solventum all qualified applicants will receive consideration for employment without regard to their race, color, religion, sex, sexual orientation, gender identity, national origin, disability, or status as a protected veteran.
**Job Description**
**Data Engineer** 
**(Solventum)**
**3M Health Care is now Solventum**
**At Solventum, we enable better, smarter, safer healthcare to improve lives. As a new company with a long legacy of creating breakthrough solutions for our customers’ toughest challenges, we pioneer game\-changing innovations at the intersection of health, material and data science that change patients' lives for the better while enabling healthcare professionals to perform at their best. Because people, and their wellbeing, are at the heart of every scientific advancement we pursue.**
**We partner closely with the brightest minds in healthcare to ensure that every solution we create melds the latest technology with compassion and empathy. Because at Solventum, we never stop solving for you.**
**The Impact You’ll Make in this Role**
 As a Data Engineer For The HIS Data Governance Team, You Will Have The Opportunity To Tap Into Your Curiosity And Collaborate With Some Of The Most Innovative And Diverse People Around The World. Here, You Will Make An Impact By
* Supporting Creating de\-identified data sets (structured and unstructured) to support Solventum HIS product development globally. Working closely with other teams to deliver our data driven products.
* Implementing…Working closely with Privacy and other businesses in the organization to enable cross\-business collaboration.
* Collaborating…Working across HIS development teams to establish SOPs for Retention, Destruction, De\-Identification, and other Data Governance policies
**Your Skills And Expertise**
 To set you up for success in this role from day one, Solventum requires (at a minimum) the following qualifications:
* Bachelor’s Degree or higher AND a minimum of (2\+) years of experience in Software Development
*OR*
* High School Diploma/GED from AND a minimum of (6\+) years of experience in Software Development
 AND
* (2\+) years combined Data Engineering Experience with MS SQL, MySQL, PostgreSQL, etc.
 Additional qualifications that could help you succeed even further in this role include:
* (2\+) years Software Development in the Cloud
* (2\+) Data Governance experience
* Experience with GitHub
* Strong skills in requirements gathering and documentation
* Proficient in Microsoft 365 Tools (Teams, SharePoint, Excel, Word, Outlook)
* Familiarity with Jira and Confluence for project tracking and documentation
* Experience with project management methodologies
* Solid knowledge of healthcare and clinical data
**Work location:**
* Remote
**Travel: May include up to 10% domestic**
**Must be legally authorized to work in country of employment without sponsorship for employment visa status (e.g., H1B status).**
**Supporting Your Well\-being**
 Solventum offers many programs to help you live your best life – both physically and financially. To ensure competitive pay and benefits, Solventum regularly benchmarks with other companies that are comparable in size and scope.
 Onboarding Requirement: To improve the onboarding experience, you will have an opportunity to meet with your manager and other new employees as part of the Solventum new employee orientation. As a result, new employees hired for this position will be required to travel to a designated company location for on\-site onboarding during their initial days of employment. Travel arrangements and related expenses will be coordinated and paid for by the company in accordance with its travel policy. Applies to new hires with a start date of October 1st 2025 or later.
 Applicable to US Applicants Only:The expected compensation range for this position is $90,525 \- $117,150, which includes base pay plus variable incentive pay, if eligible. This range represents a good faith estimate for this position. The specific compensation offered to a candidate may vary based on factors including, but not limited to, the candidate’s relevant knowledge, training, skills, work location, and/or experience. In addition, this position may be eligible for a range of benefits (e.g., Medical, Dental \&amp; Vision, Health Savings Accounts, Health Care \&amp; Dependent Care Flexible Spending Accounts, Disability Benefits, Life Insurance, Voluntary Benefits, Paid Absences and Retirement Benefits, etc.). Additional information is available at: https://www.solventum.com/en\-us/home/our\-company/careers/\#Total\-Rewards
 Responsibilities of this position include that corporate policies, procedures and security standards are complied with while performing assigned duties.
 Solventum is committed to maintaining the highest standards of integrity and professionalism in our recruitment process. Applicants must remain alert to fraudulent job postings and recruitment schemes that falsely claim to represent Solventum and seek to exploit job seekers.
 Please note that all email communications from Solventum regarding job opportunities with the company will be from an email with a domain of
 **@solventum.com** 
 . Be wary of unsolicited emails or messages regarding Solventum job opportunities from emails with other email domains.
 Please note, Solventum does not expect candidates in this position to perform work in the unincorporated areas of Los Angeles County.
 Solventum is an equal opportunity employer. Solventum will not discriminate against any applicant for employment on the basis of race, color, religion, sex, sexual orientation, gender identity, national origin, age, disability, or veteran status.
**Please note: your application may not be considered if you do not provide your education and work history, either by: 1\) uploading a resume, or 2\) entering the information into the application fields directly.**
**Solventum Global Terms of Use and Privacy Statement**
 Carefully read these Terms of Use before using this website. Your access to and use of this website and application for a job at Solventum are conditioned on your acceptance and compliance with these terms.
 Please access the linked document by clicking here, select the country where you are applying for employment, and review. Before submitting your application you will be asked to confirm your agreement with the
 terms.</t>
        </is>
      </c>
    </row>
    <row r="81">
      <c r="A81" t="inlineStr">
        <is>
          <t>li-4361198126</t>
        </is>
      </c>
      <c r="B81" t="inlineStr">
        <is>
          <t>Data Engineer - REMOTE</t>
        </is>
      </c>
      <c r="C81" t="inlineStr">
        <is>
          <t>Jobgether</t>
        </is>
      </c>
      <c r="D81" t="inlineStr">
        <is>
          <t>linkedin</t>
        </is>
      </c>
      <c r="E81">
        <f>HYPERLINK("https://www.linkedin.com/jobs/view/4361198126", "https://www.linkedin.com/jobs/view/4361198126")</f>
        <v/>
      </c>
      <c r="F81">
        <f>HYPERLINK("https://jobs.lever.co/jobgether/2cff7576-7806-46d8-b9a9-0cf44ea4f547/apply?source=LinkedIn&amp;urlHash=fvey", "https://jobs.lever.co/jobgether/2cff7576-7806-46d8-b9a9-0cf44ea4f547/apply?source=LinkedIn&amp;urlHash=fvey")</f>
        <v/>
      </c>
      <c r="G81" t="inlineStr"/>
      <c r="H81" t="inlineStr"/>
      <c r="I81" t="inlineStr">
        <is>
          <t>This position is posted by Jobgether on behalf of a partner company. We are currently looking for a Data Engineer \- REMOTE. In this role, you will design and implement scalable data solutions that empower the business to make data\-driven decisions. You will play a crucial role in developing data pipelines and working with cutting\-edge technologies on cloud platforms. This position offers an exciting opportunity to contribute to our client’s operational improvement by leveraging comprehensive data insights that enhance customer experiences. Collaborating with various teams, you will ensure high\-quality data management practices are upheld, ultimately driving impactful results for the organization. Join us to be part of a dynamic team focused on innovation and customer satisfaction.
**Accountabilities**
* Design, build, and optimize ETL/ELT workflows using Databricks, SQL, and Python/PySpark.
* Develop and maintain robust, scalable, and efficient data pipelines for processing large datasets.
* Work on cloud platforms (Azure, AWS) to build and manage data lakes and scalable architectures.
* Utilize cloud services like Azure Data Factory and AWS Glue for data processing.
* Use Databricks for big data processing and analytics.
* Leverage Apache Spark for distributed computing and data transformations.
* Create and manage SQL\-based data solutions ensuring scalability and performance.
* Develop and enforce data quality checks and validations.
* Collaborate with cross\-functional teams to deliver impactful data solutions.
* Leverage CI/CD pipelines to streamline development and deployment of workflows.
* Maintain clear documentation for data workflows and optimize data systems.
**Requirements**
* Bachelor’s or Master’s degree in Computer Science, Information Technology, or related field.
* 3–6 years of experience in Data Engineering or related roles.
* Hands\-on experience with big data processing frameworks and data lakes.
* Proficiency in Python, SQL, and PySpark for data manipulation.
* Experience with Databricks and Apache Spark.
* Knowledge of cloud platforms like Azure and AWS.
* Familiarity with ETL tools (Alteryx is a plus).
* Strong understanding of distributed systems and big data technologies.
* Basic understanding of DevOps principles and CI/CD pipelines.
* Hands\-on experience with Git, Jenkins, or Azure DevOps.
**Benefits**
* Flexible remote working conditions.
* Opportunities for professional growth and training.
* Collaborative and inclusive company culture.
* Access to modern technologies and tools.
* Health and wellness benefits.
* Work\-life balance.
* Participation in innovative projects.
* Dynamic and fast\-paced working environment.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82">
      <c r="A82" t="inlineStr">
        <is>
          <t>li-4361218601</t>
        </is>
      </c>
      <c r="B82" t="inlineStr">
        <is>
          <t>Data Engineer II</t>
        </is>
      </c>
      <c r="C82" t="inlineStr">
        <is>
          <t>ExecutivePlacements.com</t>
        </is>
      </c>
      <c r="D82" t="inlineStr">
        <is>
          <t>linkedin</t>
        </is>
      </c>
      <c r="E82">
        <f>HYPERLINK("https://www.linkedin.com/jobs/view/4361218601", "https://www.linkedin.com/jobs/view/4361218601")</f>
        <v/>
      </c>
      <c r="F82">
        <f>HYPERLINK("https://www.executiveplacements.com/JF/Data-Engineer-II-jobs-in-Irvine-California-0b1b2f5ca49a.asp?sid=linkedin&amp;urlHash=Fsf_", "https://www.executiveplacements.com/JF/Data-Engineer-II-jobs-in-Irvine-California-0b1b2f5ca49a.asp?sid=linkedin&amp;urlHash=Fsf_")</f>
        <v/>
      </c>
      <c r="G82" t="inlineStr">
        <is>
          <t>Irvine, CA</t>
        </is>
      </c>
      <c r="H82" t="inlineStr"/>
      <c r="I82" t="inlineStr">
        <is>
          <t>**Description**
 We are
 **the makers of possible**
 BD is one of the largest global medical technology companies in the world. Advancing the world of health is our Purpose, and its no small feat. It takes the imagination and passion of all of usfrom design and engineering to the manufacturing and marketing of our billions of MedTech products per yearto look at the impossible and find transformative solutions that turn dreams into possibilities.
 We believe that the human element, across our global teams, is what allows us to continually evolve. Join us and discover an environment in which youll be supported to learn, grow and become your best self. Become a
 **maker of possible** 
 with us.
**Job Overview**
 We are seeking a skilled Data Engineer to design and implement cloud\-based analytical solutions. The ideal candidate will build scalable data pipelines, optimize data delivery, and maintain modern data warehouse architectures.
**Key Responsibilities**
* Design and implement Data Warehouse solutions using Cloud Services
* Create data models and build highly scalable cloud\-based analytical solutions
* Design, build, and maintain modern Data Warehouse schematics, Data Pipelines, and Data Streams
* Develop ETL code for integrating large datasets from various sources into Cloud platforms
* Automate ETL processes and optimize data delivery
* Re\-design Data Warehouse architectures for greater scalability
* Design and implement audit processes for data ingestion and access
**Required Qualifications**
* 4\+ years of experience building processes supporting data transformations, data structures, dependencies, and workload management
* Advanced experience with MATLAB
* Advanced experience with Python
* Advanced SQL and ETL experience working with relational databases
* Strong analytical skills related to working with structured and unstructured datasets
* Experience building and optimizing 'Big Data' pipelines, architectures, and datasets
* Working knowledge of at least one of the following: AWS Redshift, Azure Synapse, Snowflake, AWS or Azure Cloud Services, Postgres
* Good knowledge of at least one ETL tool: Informatica, Matillion, Pentaho, or SSIS
**Preferred Qualifications**
* Experience with data pipeline and workflow management tools such as Azkaban, Luigi, or Airflow
* Knowledge of Clinical data or Medical Device products
* Experience with multiple cloud platforms (AWS, Azure, GCP)
* Experience with real\-time data processing and streaming technologies
 This position offers the opportunity to work with cutting\-edge cloud technologies while building scalable data solutions that drive business insights.
 At BD, we prioritize on\-site collaboration because we believe it fosters creativity, innovation, and effective problem\-solving, which are essential in the fast\-paced healthcare industry. For most roles, we require a minimum of 4 days of in\-office presence per week to maintain our culture of excellence and ensure smooth operations, while also recognizing the importance of flexibility and work\-life balance. Remote or field\-based positions will have different workplace arrangements which will be indicated in the job posting.
 For certain roles at BD, employment is contingent upon the Companys receipt of sufficient proof that you are fully vaccinated against COVID\-19\. In some locations, testing for COVID\-19 may be available and/or required. Consistent with BDs Workplace Accommodations Policy, requests for accommodation will be considered pursuant to applicable law.
**Why Join Us?**
 A career at BD means being part of a team that values your opinions and contributions and that encourages you to bring your authentic self to work. Its also a place where we help each other be great, we do whats right, we hold each other accountable, and learn and improve every day.
 To find purpose in the possibilities, we need people who can see the bigger picture, who understand the human story that underpins everything we do. We welcome people with the imagination and drive to help us reinvent the future of health.</t>
        </is>
      </c>
    </row>
    <row r="83">
      <c r="A83" t="inlineStr">
        <is>
          <t>li-4361274087</t>
        </is>
      </c>
      <c r="B83" t="inlineStr">
        <is>
          <t>Data Analytics Engineer</t>
        </is>
      </c>
      <c r="C83" t="inlineStr">
        <is>
          <t>ExecutivePlacements.com</t>
        </is>
      </c>
      <c r="D83" t="inlineStr">
        <is>
          <t>linkedin</t>
        </is>
      </c>
      <c r="E83">
        <f>HYPERLINK("https://www.linkedin.com/jobs/view/4361274087", "https://www.linkedin.com/jobs/view/4361274087")</f>
        <v/>
      </c>
      <c r="F83" t="inlineStr"/>
      <c r="G83" t="inlineStr">
        <is>
          <t>Columbus, OH</t>
        </is>
      </c>
      <c r="H83" t="inlineStr"/>
      <c r="I83" t="inlineStr">
        <is>
          <t>**Description**
 If you are passionate about data engineering and want an opportunity to work with the latest technologies, then Modeling Data Solutions has the position for you.
 Modeling Data Solutions is seeking an experienced data analytics engineer to join its personal lines property team. This is an exciting opportunity to join the US Data Science Infrastructure department helping to support creating cutting edge pricing programs. You will play a critical role in designing and developing the data solutions needed for research and development as well as providing front line data support in launching new products into market. You will collaborate with multiple stakeholders including data scientists and product analysts to gather requirements, design, and implement robust data solutions.
* This is a ranged posting, level offered will be based on skills and experience at manager discretion.\*\*
* This role may have in\-office requirements depending on candidate location.\*\*
**Responsibilities**
* Design, develop, and optimize data pipelines and ETL processes to ensure high\-quality data is available for analysis.
* Analyze complex datasets to identify trends, patterns, and actionable insights that drive business performance.
* Implement data quality checks and governance best practices to ensure data accuracy and reliability.
* Utilize python, Spark, and SQL queries to extract, transform, and analyze data from various sources.
* Work closely with cross\-functional teams to understand their analytical needs and provide tailored solutions that meet business objectives.
* Stay current with industry trends, emerging tools, and best practices in data analytics and engineering to continuously enhance analytical capabilities.
**Qualifications**
* Strong written and oral communication skills required
* Bachelor\`s Degree in Computer Science, Computer Engineering, or related discipline preferred
* Master\`s in same or related disciplines strongly preferred
* 3\-5 years experience in coding for data management, data warehousing, or other data environments, including, but not limited to, working in Python, SQL, ETL, Spark, Snowflake.
**About Us**
**Pay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**Benefits**
 We value your hard work, integrity and commitment to make things better, and we put people first by offering you benefits that support your life and well\-being. To learn more about our benefit offerings please visit: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**Need help finding the right job?**</t>
        </is>
      </c>
    </row>
    <row r="84">
      <c r="A84" t="inlineStr">
        <is>
          <t>li-4354411656</t>
        </is>
      </c>
      <c r="B84" t="inlineStr">
        <is>
          <t>Data Engineer</t>
        </is>
      </c>
      <c r="C84" t="inlineStr">
        <is>
          <t>Quote.com</t>
        </is>
      </c>
      <c r="D84" t="inlineStr">
        <is>
          <t>linkedin</t>
        </is>
      </c>
      <c r="E84">
        <f>HYPERLINK("https://www.linkedin.com/jobs/view/4354411656", "https://www.linkedin.com/jobs/view/4354411656")</f>
        <v/>
      </c>
      <c r="F84" t="inlineStr"/>
      <c r="G84" t="inlineStr">
        <is>
          <t>Tampa, FL</t>
        </is>
      </c>
      <c r="H84" t="inlineStr"/>
      <c r="I84" t="inlineStr">
        <is>
          <t>**Location:** 
 Remote (US Only)
**Department:** 
 Data Analytics
**Job Summary** 
 At Quote.com, we're a tech\-enabled omnichannel performance marketing organization that delivers high\-quality, mission\-critical demand at scale to industry\-leading partners. We serve customers across multiple market verticals including Auto, Health, Home, and Life Insurance, providing significant value to consumers through an independent, third\-party comparison\-shopping experience.
 We're seeking a
**mid\-level Data Engineer** 
 focused on building pipelines, maintaining data quality, supporting analytics partners, and contributing to platform improvements. You’ll work with modern tools such as BigQuery, dbt, Python, and Looker to help the business scale data operations and improve visibility into revenue, performance, and user behavior.
 If you're passionate about data engineering, performance optimization, and measurable business impact, we'd love to hear from you.
**Key Responsibilities** 
* Core Pipeline Work
* Build and maintain ETL/ELT pipelines using GCP (BigQuery), dbt, and Python
* Support data ingestion workflows, including scheduling, monitoring, and troubleshooting
* Maintain Git\-based workflows (PR reviews, CI/CD checks, environment promotion)
* Data Quality \&amp; Optimization
* Implement data validation checks, schema tests, and anomaly alerts in dbt
* Optimize BigQuery queries for performance and cost efficiency (partitioning, clustering)
* Collaborate with analytics and marketing teams to ensure accurate, consistent datasets
* Analytics \&amp; Reporting Support
* Build and maintain Looker LookML models under guidance from senior team members
* Help instrument new datasets, dimensions, and metrics to support dashboards and reporting needs
* Participate in A/B test data setup and simple attribution or funnel\-based reporting
* Operational Support
* Contribute to Slack\-based pipeline notifications, error alerts, and resolution workflows
* Assist in backfills and historical data loads as needed
* Follow best practices for documentation, version control, and environment management
**Must\-Have Technical Skills** 
 Hands\-on expertise with:
* **Python**
* **SQL** 
 (strong)
* **Google BigQuery**
* **dbt**
* **Git** 
 and GitHub workflows
* **Basic Looker/LookML exposure**
* **GCP basics:** 
 BigQuery, Cloud Functions, Cloud Scheduler, Secret Manager
 You should have experience shipping production data solutions.
**Nice\-to\-Have Skills:** 
 Experience or familiarity with any of the following:
* **Databases** 
 : PostgreSQL, MongoDB, Redis
* **Infrastructure** 
 : Docker
* **Languages** 
 : R, NodeJS
* **Marketing Tech** 
 : Attribution platforms, ad platform APIs
**Qualifications \&amp; Experience:** 
* 3\-5 years of data engineering experience.
* Understanding of performance marketing metrics and attribution models.
* Excellent problem\-solving, system design, and analytical skills.
* Strong communicator who thrives in fast\-paced, collaborative environments.
* Track record of delivering high\-impact data solutions that drive business value.
**What We Offer:** 
**Competitive Compensation:** 
 Salary \+ Annual Performance\-based Bonus based on experience and level of technical ownership
**Comprehensive Benefits:** 
* 401(k) with a competitive company match
* Health insurance, including HSA option
* Dental and vision coverage
* Life and AD\&amp;D insurance
**Work\-Life Balance:** 
 Fully remote company with flexible schedules to support balance and wellness
**Growth Opportunities:** 
 Potential to expand scope into ML/AI, real\-time analytics, or data platform architecture leadership
**Culture of Excellence:** 
 Join a high\-performing team where speed, trust, and autonomy are core to how we work
**How to Apply:** 
 Submit your resume and a short note explaining why this role excites you and how your experience with software systems and full stack web development makes you a great fit.
 Quote.com is an equal\-opportunity employer.
 Quote.com does not sponsor or take over ownership of employment visas.</t>
        </is>
      </c>
    </row>
    <row r="85">
      <c r="A85" t="inlineStr">
        <is>
          <t>li-4358187245</t>
        </is>
      </c>
      <c r="B85" t="inlineStr">
        <is>
          <t>Data Engineer II (Data Stage)</t>
        </is>
      </c>
      <c r="C85" t="inlineStr">
        <is>
          <t>First Citizens Bank</t>
        </is>
      </c>
      <c r="D85" t="inlineStr">
        <is>
          <t>linkedin</t>
        </is>
      </c>
      <c r="E85">
        <f>HYPERLINK("https://www.linkedin.com/jobs/view/4358187245", "https://www.linkedin.com/jobs/view/4358187245")</f>
        <v/>
      </c>
      <c r="F85" t="inlineStr"/>
      <c r="G85" t="inlineStr">
        <is>
          <t>North Carolina, United States</t>
        </is>
      </c>
      <c r="H85" t="inlineStr"/>
      <c r="I85" t="inlineStr">
        <is>
          <t>**Overview**
 This is a remote role that may only be hired in the following locations: NC, AZ
 This position is responsible for the end\-to\-end delivery and maintenance of cloud and on\-premises data solutions that include analytics data platforms, data integration (ETL/ELT), data quality, data lineage, metadata management, and data governance tools. While ensuring that projects are delivered on time and meet the expected functionality, ensures the integrity of data for business operations and decision\-making and be instrumental in building and providing support for the services offered. Serves as a technical expert and a mentor for less experienced associates in the work group. Engage in vendor management, budget planning, and auditing to ensure that resources are allocated effectively and efficiently.
**Responsibilities**
* System Enhancement \- Leads team efforts to evaluate and improve department systems, processes, and applications. Utilizes programming specifications to construct modules, develop testing methods, and assists with designing training materials. Designs and executes test plans to validate application functions. Designs modifications that fit within existing system architecture.
* Business Support \- Provides technical support to production systems by addressing complex issues, anticipating maintenance requirements, and ensuring functionality for end user needs. Develops technical solutions to unique system problems. Leads major projects, delegates tasks, and ensures quality results.
* Technical Expertise \- Utilizes expertise to mentor and train associates within the work group. Participates in special projects and meetings as needed to convey critical technical insight. Serves as a technical resource for management, associates, and business units.
* Data Analysis \- Collects data related to user requests and determines scope, time estimates, and system impacts. Inspects business specifications, programming specifications, coding, test plans, documentation, and implementation plans for accuracy.
* Collaborate with architects and development teams to understand data requirements, instantiate design patterns, build reusable Data Pipelines/frameworks, design new tables/queries and ensure the design is feasible, implemented accurately and compliant with all the bank standards while accelerating speed to market for delivery.
* Codes complex solutions to integrate, clean, transform, and control data, builds processes supporting data transformation, data structures, metadata, data quality controls, dependency, and workload management, assembles complex data sets, and communicates required information for deployment.
* Leads work efforts with technology partners and stakeholders to close gaps in data management standards adherence, negotiates paths forward by thinking creatively to identify and communicate solutions to complex problems, and leverages knowledge of information systems, techniques, and processes.
**Qualifications**
 Bachelor's Degree and 2 years of experience in Data engineering, database management, or related field OR High School Diploma or GED and 6 years of experience in Data engineering, database management, or related field
**Preferred**
* 5 years of firsthand experience in data engineering/data integration SQL, SAP BODS, Oracle, SQL server, Informatica, DataStage, Netezza, SSIS technologies.
* 3 years of experience in agile engineering practices, leading multi\-time zone data teams
* 2 years of hands\-on experience in AWS, Snowflake, dbt
* 1 year experience with cloud computing
* Working knowledge of design and development concepts in Cloud Data warehousing, transactional and analytical data modeling, data quality, business reporting and dashboards
* Working knowledge of technologies in Cloud technologies, analytics platforms, mastering, integrations, and big data management.
* Working knowledge of Analytics Delivery, Python, Power BI, SSAS, SSRS
* Experience in working with Finance and regulatory reporting will be plus.
 Benefits are an integral part of total rewards and First Citizens Bank is committed to providing a competitive, thoughtfully designed and quality benefits program to meet the needs of our associates. More information can be found at https://jobs.firstcitizens.com/benefits.</t>
        </is>
      </c>
    </row>
    <row r="86">
      <c r="A86" t="inlineStr">
        <is>
          <t>li-4361255558</t>
        </is>
      </c>
      <c r="B86" t="inlineStr">
        <is>
          <t>Senior Data Engineer</t>
        </is>
      </c>
      <c r="C86" t="inlineStr">
        <is>
          <t>Talent Groups</t>
        </is>
      </c>
      <c r="D86" t="inlineStr">
        <is>
          <t>linkedin</t>
        </is>
      </c>
      <c r="E86">
        <f>HYPERLINK("https://www.linkedin.com/jobs/view/4361255558", "https://www.linkedin.com/jobs/view/4361255558")</f>
        <v/>
      </c>
      <c r="F86" t="inlineStr"/>
      <c r="G86" t="inlineStr">
        <is>
          <t>Beaverton, OR</t>
        </is>
      </c>
      <c r="H86" t="inlineStr"/>
      <c r="I86" t="inlineStr">
        <is>
          <t>**Title:** 
 Senior Data Engineer
**Location:** 
 Beaverton Oregon 97006 (Onsite)
**Employment Type:** 
 Fulltime Direct Hire no C2C or sponsorship available
**About the Role** 
 Talent Groups is seeking a Senior Data Engineer to join a growing Enterprise Data team and play a key role in building and scaling modern data platforms. This role focuses on designing and optimizing data pipelines that support analytics reporting and machine learning initiatives across the organization. You will work closely with technical teams and executive stakeholders while serving as an onsite technical leader.
 This is a hands on senior level role with a strong emphasis on Python, PySpark, Databricks, and Azure. The team is currently in the midst of an Azure migration creating an opportunity to make a meaningful impact and help shape future state architecture and best practices.
**What You Will Do** 
* Design develop and optimize scalable data pipelines using Azure Databricks
* Build and manage data ingestion transformation and storage solutions using Azure Data Factory, Azure Data Lake, and Delta Lake
* Develop data solutions that support analytics reporting and machine learning use cases
* Implement CI CD pipelines using tools such as Azure DevOps, Git, and Terraform
* Optimize Spark performance including partitioning orchestration and cost efficiency
* Collaborate with analysts data scientists and business stakeholders to deliver trusted reusable datasets
* Serve as the onsite face of the data engineering team and partner with leadership
* Mentor junior and associate data engineers
* Monitor troubleshoot and improve the reliability and scalability of existing pipelines
**Required Qualifications** 
* Five plus years of experience in data engineering with a strong focus on Azure
* Hands on experience with Azure Databricks, Azure Data Lake, and Data Factory
* Strong proficiency in PySpark, SQL, Python, and Apache Spark
* Solid understanding of data warehousing, ETL, ELT, and data modeling best practices
* Experience with version control CI/CD pipelines and infrastructure as code
* Knowledge of Spark performance tuning and job orchestration
* Strong problem solving skills and attention to detail
* Excellent communication skills with both technical and non technical stakeholders
* Ability to work independently and lead in a fast paced Agile environment
* Passion for delivering clean maintainable high quality code
**Preferred Qualifications** 
* Experience with Unity Catalog, Databricks Workflows, and Delta Live Tables
* Familiarity with DevOps practices or Terraform for Azure provisioning
* Understanding of data security, RBAC, and cloud compliance
* Experience integrating Databricks with Power BI or similar analytics tools
* Exposure to real time data processing using Kafka Event Hubs or Structured Streaming
 Talent Groups would like to thank all applicants. Only those who qualify for an interview will be contacted.
 Talent Groups is an equal opportunity employer.</t>
        </is>
      </c>
    </row>
    <row r="87">
      <c r="A87" t="inlineStr">
        <is>
          <t>li-4354433418</t>
        </is>
      </c>
      <c r="B87" t="inlineStr">
        <is>
          <t>Senior/Lead Data Engineer</t>
        </is>
      </c>
      <c r="C87" t="inlineStr">
        <is>
          <t>Vibotek LLC</t>
        </is>
      </c>
      <c r="D87" t="inlineStr">
        <is>
          <t>linkedin</t>
        </is>
      </c>
      <c r="E87">
        <f>HYPERLINK("https://www.linkedin.com/jobs/view/4354433418", "https://www.linkedin.com/jobs/view/4354433418")</f>
        <v/>
      </c>
      <c r="F87" t="inlineStr"/>
      <c r="G87" t="inlineStr">
        <is>
          <t>Alpharetta, GA</t>
        </is>
      </c>
      <c r="H87" t="inlineStr"/>
      <c r="I87" t="inlineStr">
        <is>
          <t>**Location \- Alpharetta**
**Required Citizenship / Work Permit / Visa Status**
 US Citizens, green card holder
**Must\-Haves**
 8\+ years of hands\-on data engineering experience in enterprise environments. Strong expertise in Azure services, especially Azure Databricks, Functions, and Azure Data Factory (preferred). Advanced proficiency in Apache Spark with Python (PySpark). Strong command over SQL, query optimization, and performance tuning. Deep understanding of ETL/ELT methodologies, data pipelines, and scheduling/orchestration. Hands\-on experience with Delta Lake (ACID transactions, optimization, schema evolution). Strong experience in data modelling (normalized, dimensional, lakehouse modelling). Experience in both batch processing and real\-time/streaming data (Kafka, Event Hub, or similar). Solid understanding of data architecture principles, distributed systems, and cloud\-native design patterns. Ability to design end\-to\-end solutions, evaluate trade\-offs, and recommend best\-fit architectures. Strong analytical, problem\-solving, and communication skills. Ability to collaborate with cross\-functional teams and lead technical discussions.
 Skills: Java,Python,Spark
**Notice period** 
 \- 0 to 15days only
 Job stability is mandatory
**Additional Guidelines**
 Interview process:\- 2 Technical round \+ 1 Client round 3 days in office, Hybrid model.
 \=\=\=\=\=\=\=\=\=\=\=\=\=\=\=\=\=\=\=\=\=\=\=\=\=\=\=\=\=\=\=\=\=\=\=\=\=\=\=\=\=\=\=\=\=\=\=\=\=\=\=\=\=\=\=\=\=\=\=\=\=\=\=\=\=\=\=\=\=\=\=\=\=\=\=\=\=\=\=\=\=\=\=\=\=\=\=\=\=\=\=\=\=\=
**What You Need**
* 8
* years of hands\-on data engineering experience in enterprise environments.
* Strong expertise in Azure services, especially Azure Databricks, Functions, and Azure Data Factory (preferred).
* Advanced proficiency in Apache Spark with Python (PySpark).
* Strong command over SQL, query optimization, and performance tuning.
* Deep understanding of ETL/ELT methodologies, data pipelines, and scheduling/orchestration.
* Hands\-on experience with Delta Lake (ACID transactions, optimization, schema evolution).
* Strong experience in data modelling (normalized, dimensional, lakehouse modelling).
* Experience in both batch processing and real\-time/streaming data (Kafka, Event Hub, or similar).
* Solid understanding of data architecture principles, distributed systems, and cloud\-native design patterns.
* Ability to design end\-to\-end solutions, evaluate trade\-offs, and recommend best\-fit architectures.
* Strong analytical, problem\-solving, and communication skills.
* Ability to collaborate with cross\-functional teams and lead technical discussions.
**Preferred Skills**
* Experience with CI/CD tools such as Azure DevOps and Git.
* Familiarity with IaC tools (Terraform, ARM).
* Exposure to data governance and cataloging tools (Azure Purview).
* Experience supporting machine learning or BI workloads on Databricks.</t>
        </is>
      </c>
    </row>
    <row r="88">
      <c r="A88" t="inlineStr">
        <is>
          <t>li-4360767271</t>
        </is>
      </c>
      <c r="B88" t="inlineStr">
        <is>
          <t>Sr. Data Engineer</t>
        </is>
      </c>
      <c r="C88" t="inlineStr">
        <is>
          <t>CVS Health</t>
        </is>
      </c>
      <c r="D88" t="inlineStr">
        <is>
          <t>linkedin</t>
        </is>
      </c>
      <c r="E88">
        <f>HYPERLINK("https://www.linkedin.com/jobs/view/4360767271", "https://www.linkedin.com/jobs/view/4360767271")</f>
        <v/>
      </c>
      <c r="F88">
        <f>HYPERLINK("https://jobs.cvshealth.com/us/en/job/CVSCHLUSR0790700EXTERNALENUS/Sr-Data-Engineer?utm_source=Linkedin&amp;utm_medium=phenom-feeds&amp;urlHash=FZv6", "https://jobs.cvshealth.com/us/en/job/CVSCHLUSR0790700EXTERNALENUS/Sr-Data-Engineer?utm_source=Linkedin&amp;utm_medium=phenom-feeds&amp;urlHash=FZv6")</f>
        <v/>
      </c>
      <c r="G88" t="inlineStr">
        <is>
          <t>Chicago, IL</t>
        </is>
      </c>
      <c r="H88" t="inlineStr"/>
      <c r="I88"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**Position Summary**
 We're seeking a Sr. Data Engineer to design and implement data pipelines that power analytical capabilities. This hands\-on role requires an understanding of data engineering best practices and the ability to translate business requirements into technical solutions.
 You will be part of a dedicated team creating datasets for analytic and data science workloads.
**Key Responsibilities**
* Data Pipeline Development: Design and build ETL/ELT data pipelines to ingest, process, and transform large datasets from multiple sources.
* Performance Optimization: Implement best practices for performance tuning, partitioning, and clustering to optimize data queries and reduce costs.
* Data Quality \&amp; Governance: Establish and enforce data quality standards, data governance frameworks, and security policies for data storage and access.
* Data Modeling \&amp; Architecture: Develop and optimize data models and schemas to support analytics, reporting, and machine learning requirements.
* Data Integration \&amp; Transformation: Collaborate with data scientists and analysts to design data solutions that integrate with BI tools and machine learning models.
* Documentation \&amp; Knowledge Sharing: Create comprehensive documentation for data pipelines, workflows, and processes. Share best practices and mentor junior data engineers.
* Design and architect data infrastructure analytical workloads.
**Required Qualifications**
* 5\+ years of applicable work experience
* Proficiency in Python, specifically with ETL pipelines.
* Strong proficiency in SQL and experience in developing complex queries.
* Familiarity with pySpark, DBT, or other similar frameworks.
* Experience deploying data pipelines in a cloud environment (Azure, AWS, GCP).
* Understanding of data warehousing concepts, dimensional modeling, and building data marts.
* Excellent communication and interpersonal skills, with the ability to collaborate effectively with data scientists, analysts, and product owners.
**Preferred Qualifications**
* Knowledge of data governance best practices in a cloud environment.
* Experience with machine learning flows on GCP.
* Experience with data design in BigQuery
* Experience working with the Epic data model.
* Experience working with healthcare data (Tuva or OMOP Models a plus).
**Education And Experience**
* College degree or certification in related fields
**Anticipated Weekly Hours**
 40
**Time Type**
 Full time
**Pay Range**
**The Typical Pay Range For This Role Is**
 $83,430\.00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01/19/2026
 Qualified applicants with arrest or conviction records will be considered for employment in accordance with all federal, state and local laws.</t>
        </is>
      </c>
    </row>
    <row r="89">
      <c r="A89" t="inlineStr">
        <is>
          <t>li-4361158691</t>
        </is>
      </c>
      <c r="B89" t="inlineStr">
        <is>
          <t>Senior Data Engineer</t>
        </is>
      </c>
      <c r="C89" t="inlineStr">
        <is>
          <t>ExecutivePlacements.com</t>
        </is>
      </c>
      <c r="D89" t="inlineStr">
        <is>
          <t>linkedin</t>
        </is>
      </c>
      <c r="E89">
        <f>HYPERLINK("https://www.linkedin.com/jobs/view/4361158691", "https://www.linkedin.com/jobs/view/4361158691")</f>
        <v/>
      </c>
      <c r="F89" t="inlineStr"/>
      <c r="G89" t="inlineStr">
        <is>
          <t>San Francisco, CA</t>
        </is>
      </c>
      <c r="H89" t="inlineStr"/>
      <c r="I89" t="inlineStr">
        <is>
          <t>A client of Innova Solutions is immediately hiring for a Lead Data Engineer position
**Position type: Full\-time, Contract**
**Duration: 24 Months**
**Location: Irving, TX/ Charlotte, NC/ Chandler, AZ/ Minneapolis, MN**
**As a Lead Data Engineer, You Will**
**Day to Day Responsibilities**
* Data Ingestion and Transformation:Develop and implement robust data ingestion pipelines to extract, transform, and load data from various sources into the data lake.
* Data Security and Access Control:Design and implement robust security measures to protect sensitive data, including access controls, encryption, and data masking.
* Data Governance and Compliance:Collaborate with data governance teams to establish and enforce data standards, policies, and procedures.
* Data Quality Assurance:Monitor data quality and implement data validation and cleansing processes to ensure data accuracy and consistency.
* Performance Optimization:Identify and resolve performance bottlenecks in data pipelines and queries.
* Collaboration with Stakeholders:Work closely with analysts, developers, and business users to understand their data needs and translate them into technical requirements.
* Documentation:Maintain clear and concise documentation of data pipelines, processes, and best practices
 The ideal candidate will have: Cloudera, Airflow, Data cloning, PySpark
**Required Skills \&amp; Qualifications**
* Experience in Cloudera
* Expertise in PySpark
* Experience in Airflow and Data cloning
* Experience in Python or other relevant languages
* In\-depth knowledge of ServiceNow
* Experience with JIRA and Confluence
 Qualified candidates should
 **APPLY NOW** 
 for immediate consideration!
**This position is only open to applicants who can be engaged on a W\-2 basis.**
 Please hit APPLY to provide the required information, and we will be back in touch as soon as possible.
 We are currently interviewing to fill this and other similar positions. If this role is not a fit for you, we do offer a referral bonus program for referrals that we successfully place with our clients, subject to program guidelines.
 **ASK ME HOW.**
 Thank you!
 Kavita Singh
 \+1(470\)\-462\-2515
 Kavita.singh@innovasolutions.com
**Pay Range And Benefits**
**Pay Range\*:** 
* Pay range offered to a successful candidate will be based on several factors, including the candidate's education, work experience, work location, specific job duties, certifications, etc.
**Benefits:** 
 Innova Solutions offers benefits( based on eligibility) that include the following: Medical \&amp; pharmacy coverage, Dental/vision insurance, 401(k), Health saving account (HSA) and Flexible spending account (FSA), Life Insurance, Pet Insurance, Short term and Long term Disability, Accident \&amp; Critical illness coverage, Pre\-paid legal \&amp; ID theft protection, Sick time, and other types of paid leaves (as required by law), Employee Assistance Program (EAP).
**ABOUT INNOVA SOLUTIONS:** 
 Founded in 1998 and headquartered in Atlanta, Georgia, Innova Solutions employs approximately 50,000 professionals worldwide and reports an annual revenue approaching $3 Billion. Through our global delivery centers across North America, Asia, and Europe, we deliver strategic technology and business transformation solutions to our clients, enabling them to operate as leaders within their fields.
**Recent Recognitions:**
* Named One of Americas Best Employers for New Grads by Forbes (2024
* Named One of the Best Companies to Work for by U.S. News \&amp; World Report (Private Companies List, 2024\-2025\)
* One of the Largest IT Staffing Firms in the US Ranked \#3 by Staffing Industry Analysts (SIA, 2024\)
* One of the Largest Staffing Firms in the US Ranked \#13 by Staffing Industry Analysts (SIA, 2024; includes Innova Solutions, Volt, \&amp; HireGenics)
* Named One of the Top Ten Private Companies in Atlanta by the Atlanta Business Chronicle (2023\)
* One of the Largest Certified Minority Business Enterprises (MBEs) in the United States (NMSDC, 2024\)
* AWS Advanced Tier Services Partner with 100\+ certifications
**Website** 
 : https://www.innovasolutions.com/
 Innova Solutions offers a referral bonus for qualified Ambassadors who refer eligible referrals. Submit referrals at https://innovasolutions.workllama.com/atsuser/anonreferafriend and earn $250\-$1,000 per referral.
**Innova Solutions** 
 is an Equal Opportunity Employer and prohibits any kind of unlawful discrimination and harassment. Innova Solutions is committed to the principle of equal employment opportunity for all employees and to providing employees with a work environment free of discrimination and harassment on the basis of race, color, religion or belief, national origin, citizenship, social or ethnic origin, sex, age, physical or mental disability, veteran status, marital status, domestic partner status, sexual orientation, or any other status protected by the statutes, rules, and regulations in the locations where it operates. If you are an individual with a disability and need a reasonable accommodation to assist with your job search or application for employment, please contact us at hr@innovasolutions.com or (770\) 493\-5588\. Please indicate the specifics of the assistance needed. Innova Solutions encourages all interested and qualified candidates to apply for employment opportunities. Innova Solutions (HireGenics/Volt) does not discriminate against applicants based on citizenship status, immigration status, or national origin, in accordance with 8 U.S.C. 1324b.
 The company will consider for employment qualified applicants with arrest and conviction records in a manner that complies with the San Francisco Fair Chance Ordinance, the Los Angeles Fair Chance Initiative for Hiring Ordinance, and other applicable laws.
 By applying for this job, you agree to receive calls, AI\-generated calls, text messages, or emails from Innova Solutions and its affiliates, and contracted partners. Frequency varies for text messages. Message and data rates may apply. Carriers are not liable for delayed or undelivered messages. You can reply
 **STOP** 
 to cancel and HELP for help. You can access our privacy policy at Privacy Policy \- innovasolutions.</t>
        </is>
      </c>
    </row>
    <row r="90">
      <c r="A90" t="inlineStr">
        <is>
          <t>li-4331373254</t>
        </is>
      </c>
      <c r="B90" t="inlineStr">
        <is>
          <t>Ai Data Engineer</t>
        </is>
      </c>
      <c r="C90" t="inlineStr">
        <is>
          <t>Kavaliro</t>
        </is>
      </c>
      <c r="D90" t="inlineStr">
        <is>
          <t>linkedin</t>
        </is>
      </c>
      <c r="E90">
        <f>HYPERLINK("https://www.linkedin.com/jobs/view/4331373254", "https://www.linkedin.com/jobs/view/4331373254")</f>
        <v/>
      </c>
      <c r="F90" t="inlineStr"/>
      <c r="G90" t="inlineStr">
        <is>
          <t>Miami, FL</t>
        </is>
      </c>
      <c r="H90" t="inlineStr"/>
      <c r="I90" t="inlineStr">
        <is>
          <t>**Job Description**
**Kavaliro** 
 is seeking a highly skilled Ai Data Engineer to support an Ai focused startup. The selected candidate will build the learning data pipelines and architecture for an intelligence mechanism.
 This isn’t a routine data engineering role. We need an architect capable of designing the data and feedback systems that allow an AI to learn, adapt, and improve on its own. The person in this seat will define how information flows, remembers, and evolves within a next\-generation intelligence engine. It’s a chance to move beyond basic pipelines and infrastructure!
**Required Qualifications**
* Senior Ai Data Engineer with 7\+ years of production experience across Python, Node.js/TypeScript, and cloud\-native systems (GCP preferred, AWS/Azure acceptable).
* Expert in data pipeline architecture, real\-time event systems, and NoSQL design.
* Strong command of ETL orchestration, Pub/Sub messaging,
* Containerization (Docker/Kubernetes).
* API resiliency patterns (OAuth2, rate limiting, etc).
* Proven record of shipping fast, diagnosing systems end\-to\-end, and operating calmly in production stress.
* Thrives in early\-stage environments requiring autonomy and execution.
**Location:** 
 SoFL hybrid\-local (be in the office more than at home) \- Relocation assistance available
**Compensation** 
 : $200k\-250k plus Equity stake in company
 Kavaliro provides Equal Employment Opportunities to all employees and applicants. All qualified applicants will receive consideration for employment without regard to race, color, religion, age, sex, national origin, disability status, genetics, protected veteran status, sexual orientation, gender identity or expression, or any other characteristic protected by federal, state, or local laws. Kavaliro is committed to the full inclusion of all qualified individuals. In keeping with our commitment, Kavaliro will take the steps to assure that people with disabilities are provided reasonable accommodations. Accordingly, if reasonable accommodation is required to fully participate in the job application or interview process, to perform the essential functions of the position, and/or to receive all other benefits and privileges of employment, please respond to this posting to connect with a company representative.
 Job Requirements
 Hybrid</t>
        </is>
      </c>
    </row>
    <row r="91">
      <c r="A91" t="inlineStr">
        <is>
          <t>li-4361265139</t>
        </is>
      </c>
      <c r="B91" t="inlineStr">
        <is>
          <t>Senior Data Engineer/ Remote / PySpark</t>
        </is>
      </c>
      <c r="C91" t="inlineStr">
        <is>
          <t>Motion Recruitment</t>
        </is>
      </c>
      <c r="D91" t="inlineStr">
        <is>
          <t>linkedin</t>
        </is>
      </c>
      <c r="E91">
        <f>HYPERLINK("https://www.linkedin.com/jobs/view/4361265139", "https://www.linkedin.com/jobs/view/4361265139")</f>
        <v/>
      </c>
      <c r="F91" t="inlineStr"/>
      <c r="G91" t="inlineStr">
        <is>
          <t>Los Angeles, CA</t>
        </is>
      </c>
      <c r="H91" t="inlineStr"/>
      <c r="I91" t="inlineStr">
        <is>
          <t>A well\-known data aggregation company is seeking a Senior Data Engineer to join their engineering team on. The company builds large\-scale platforms that ingest, normalize, and connect data from thousands of sources, powering analytics, machine learning, and customer\-facing products. The role is heavily focused on PySpark, AWS EMR, distributed data processing, API development, and data systems that support modern ML and LLM\-driven workflows.
 This is a chance to work on high\-impact data systems at serious scale. The team is looking for a senior engineer who enjoys tackling messy data problems, shaping architecture, and collaborating closely with ML and product teams. The \#1 draw of this role is ownership. You’ll have real influence over pipeline design, data quality, and how aggregated data is used across SEO, search, and customer interaction use cases. Engineers here grow by solving non\-trivial problems, learning modern MLOps practices, and working in a balanced, low\-meeting environment that values deep focus.
**Required Skills \&amp; Experience**
* 7\+ years of professional experience in data engineering
* 5\+ years of hands\-on experience with PySpark in production
* Strong experience running distributed workloads on AWS EMR
* Experience building and maintaining data pipelines at scale
* Exposure to MLOps workflows (model training, deployment, or monitoring)
* Experience developing and supporting APIs
* Strong understanding of distributed systems and data modeling
**Desired Skills \&amp; Experience**
* Experience in data aggregation, enrichment, or entity\-level data systems
* Familiarity with LLMs for SEO optimization or customer interaction use cases
* Experience working with large\-scale consumer or web data
* Exposure to workflow orchestration tools (Airflow or similar)
* Experience supporting ML or search\-related platforms
**What You Will Be Doing**
**Tech Breakdown**
* 60% PySpark / Spark on AWS EMR
* 20% API development and backend services
* 20% ML / LLM data support and MLOps collaboration
**Daily Responsibilities**
* 75% Hands On
* 5% Management Duties
* 20% Team Collaboration
**The Offer**
* Competitive salary and bonus eligibility
**You Will Receive The Following Benefits**
* Medical, Dental, and Vision Insurance
* Vacation Time
* Stock Options
 Applicants must be currently authorized to work in the US on a full\-time basis now and in the future.
**Posted By:** 
 Tajee Mobley</t>
        </is>
      </c>
    </row>
    <row r="92">
      <c r="A92" t="inlineStr">
        <is>
          <t>li-4361274079</t>
        </is>
      </c>
      <c r="B92" t="inlineStr">
        <is>
          <t>Mid-level Data Engineer</t>
        </is>
      </c>
      <c r="C92" t="inlineStr">
        <is>
          <t>ExecutivePlacements.com</t>
        </is>
      </c>
      <c r="D92" t="inlineStr">
        <is>
          <t>linkedin</t>
        </is>
      </c>
      <c r="E92">
        <f>HYPERLINK("https://www.linkedin.com/jobs/view/4361274079", "https://www.linkedin.com/jobs/view/4361274079")</f>
        <v/>
      </c>
      <c r="F92">
        <f>HYPERLINK("https://www.executiveplacements.com/JF/Mid-level-Data-Engineer-jobs-in-Phoenix-Arizona-e9f4922d1f73.asp?sid=linkedin&amp;urlHash=ccok", "https://www.executiveplacements.com/JF/Mid-level-Data-Engineer-jobs-in-Phoenix-Arizona-e9f4922d1f73.asp?sid=linkedin&amp;urlHash=ccok")</f>
        <v/>
      </c>
      <c r="G92" t="inlineStr">
        <is>
          <t>Phoenix, AZ</t>
        </is>
      </c>
      <c r="H92" t="inlineStr"/>
      <c r="I92" t="inlineStr">
        <is>
          <t>**Minimum Qualifications**
* Masters in computer applications or equivalent OR bachelors degree in engineering or computer science or equivalent.
* Deep understanding of Hadoop and Spark Architecture and its working principle.
* Deep understanding of Data warehousing concepts.
* Ability to design and develop optimized Data pipelines for batch and real time data processing.
* Experience in data analytics and cleansing
* 5\+ years of software development experience.
* 5\+ years experience on Python or JavaHands\-on experience on writing and understanding complex SQL (Hive/PySpark\-data frames), optimizing joins while processing huge amount of data.
* 3\+ years of hands\-on experience of working with Map\-Reduce, Hive, Spark (core, SQLand PySpark).
* Hands on Experience on Google Cloud Platform (BigQuery, DataProc, Cloud Composer)
* Hands on Experience in Airflow
* 3\+ years of experience in UNIX shell scripting
* Should have experience in analysis, design, development, testing, and implementation of system applications.
* Ability to effectively communicate with internal and external business partners.
**Additional Requirements**
* Understanding of Distributed eco system.
* Experience in machine learning models, RAG, and NLP
* Experience in designing and building solutions using Kafka streams or queues.
* Experience with NoSQL i.e., HBase, Cassandra, Couchbase or MongoDB
* Experience with Data Visualization tools like PowerBI, Tableau, SiSense, Looker
* Ability to learn and apply new programming concepts.
* Knowledge of Financial reporting ecosystem will be a plus.
* Experience in leading teams of engineers and scrum teams</t>
        </is>
      </c>
    </row>
    <row r="93">
      <c r="A93" t="inlineStr">
        <is>
          <t>li-4360767496</t>
        </is>
      </c>
      <c r="B93" t="inlineStr">
        <is>
          <t>Data Engineer 1, 2, Senior</t>
        </is>
      </c>
      <c r="C93" t="inlineStr">
        <is>
          <t>Salt River Project</t>
        </is>
      </c>
      <c r="D93" t="inlineStr">
        <is>
          <t>linkedin</t>
        </is>
      </c>
      <c r="E93">
        <f>HYPERLINK("https://www.linkedin.com/jobs/view/4360767496", "https://www.linkedin.com/jobs/view/4360767496")</f>
        <v/>
      </c>
      <c r="F93">
        <f>HYPERLINK("https://careers.srpnet.com/job/Tempe-Data-Engineer-1,-2,-Senior-AZ-85280/1355150100/?src=LinkedIn&amp;urlHash=eeYN", "https://careers.srpnet.com/job/Tempe-Data-Engineer-1,-2,-Senior-AZ-85280/1355150100/?src=LinkedIn&amp;urlHash=eeYN")</f>
        <v/>
      </c>
      <c r="G93" t="inlineStr">
        <is>
          <t>Tempe, AZ</t>
        </is>
      </c>
      <c r="H93" t="inlineStr"/>
      <c r="I93" t="inlineStr">
        <is>
          <t>**Requisition ID** 
 : 19600
**Join us in building a better future for Arizona!**
 SRP is one of the largest public power and water utilities in the U.S. providing electricity to approximately one million customers in the greater metropolitan Phoenix area. Since its founding in 1903, SRP has fostered a culture of stewardship and customer service consistently ranking as an industry leader in customer service according to J.D. Power and named one of Arizona's best employers by Forbes. SRP continues to adapt to its changing business environment by seeking innovative ways to reimagine utility service and the provision of critical resources essential to the life and economy of Arizona.
**Why Work at SRP**
 At SRP, we foster an inclusive work environment and believe everyone should have a fair chance to work, regardless of who they are. That’s why we value teams with diverse perspectives, experiences, and backgrounds to help SRP deliver on its mission of providing reliable, affordable and sustainable water and power.
**Benefits**
 SRP's success is rooted in our employees' happiness, health, and safety. That's why we offer a comprehensive benefits package to meet the needs of our employees and enhance their well\-being. In addition to competitive pay and performance incentives, eligible employees can take advantage of the following benefits:
* Pension Plan (at no cost to the employee)
* 401(k) plan with employer matching
* Available your first day: Medical, vision, dental, and life insurance
* Over 200\+ hours of PTO (includes vacation days, holidays, floating holidays, and sick leave)
* Parental leave (up to 4 weeks) and adoption assistance
* Wellness programs (including access to a recreation and fitness facility)
* Short and long\-term disability plans
* Tuition assistance for both undergraduate and graduate programs
* 10 Employee Resource Groups for career development, community service, and networking
**Summary**
 The Generation Applications team is dedicated to empowering the Power Generation organization with actionable, data\-driven insights. The team analyzes data, creates efficient data models, builds complex data pipelines, and delivers high impact dashboards and data visualizations.
 As an Analytics Developer/Data Engineer on this team, you will work on dashboards, interactive visualizations, data pipelines, and reports. The successful candidate will utilize their experience with all Business Intelligence (BI) domains from translating requirements to sourcing, profiling, and modeling data, to ETL and dashboard development. This role will work closely with business partners to develop and implement analytical data models and dashboards. To excel in this role, the candidate will have strong communication skills to complement their technical ones.
 You will work alongside Application Developers, Business Representatives, Data Engineers, Business Analysts, Engineers, and Power Plant personnel.
**What You'll Do**
* Define and develop dashboards including business metrics and performance indicators that drive action and insights (PowerBI experience required).
* Build and maintain ETL pipelines utilizing data migration services (SSIS), languages, and tools that connect various data sources (Snowflake, SQL, Oracle).
* Apply query, data exploration and transformation, basic statistical methods and visualization techniques to create business insights or improve data quality.
* Write, implement, and schedule ETL and other operational packages and scripts using SSIS and SQL.
* Collaborate with operational/IT business leads to recognize and help adopt best practices in data delivery, analysis, integrity, and validation.
* Ability to analyze and design physical databases and their definitions.
* Design, test, build, and manage complex, high\-performing multi\-user analytic solutions.
* Coordinate technical interactions between Power Generation personnel and other information technology teams.
* Visit Power Generation power plants to support customers.
* Participate in on\-call rotation for 24/7 support needs.
**What It Takes To Succeed**
 The successful candidate will possess these capabilities:
* Advanced proficiency with PowerBI
* Strong proficiency with T\-SQL in a SQL Server environment
* Experience coding ETL processes in SSIS
* Expertise in modern database technologies, data integration, reporting
* Solid understanding of data warehousing concepts and data
* Strong critical thinking, problem solving, organization and analytical skills
* Demonstrated ability to communicate and present analysis or technical concepts to a non\-technical audience in a clear and understandable manner
**Desired Technical Skills**
* Development/Query languages: SQL (T\-SQL, Python)
* Platforms/Tools: PowerBI, Snowflake, Dataiku, SQL Server, Oracle, SSIS, SSRS
* Knowledge of SAP and Maximo is preferred
* Visual studio experience preferred
**Experience**
* For a Level 1 (Associate), a minimum of no previous years of experience to two years related experience is required (if no degree, four\-six years of relevant experience or equivalent combination of education and related experience totaling four\-six years).
* For a Level 2 (Journey), a minimum of two years of experience to four years related experience is required (if no degree, six\-eight years of relevant experience or equivalent combination of education and related experience totaling six\-eight years).
* For a Level 3 (Senior), a minimum of five years of related experience is required (if no degree, nine years of relevant experience or equivalent combination of education and related experience totaling nine years).
**Education**
 A bachelor's degree relevant to the assignment from an accredited institution is preferred.
**Hybrid Workplace**
 SRP currently offers a hybrid workplace, which allows employees whose jobs can be performed remotely, and who have sufficient technical capability, to telework up to three days per week. Although teleworking is available, all employees must live and work in Arizona.
**Drug/Alcohol Policy Statement**
 To promote the safety and well\-being of our employees, customers, and the communities we serve, SRP is committed to maintaining a drug/alcohol free work environment. Although marijuana may now be legal in Arizona, except as otherwise specified under Arizona law, SRP considers it to be an illegal drug for the purpose of our drug/alcohol policy because marijuana remains illegal at the federal level. Any candidate found to be impaired during the hiring process or who has the presence of an illegal drug or unauthorized substance in their system during the pre\-employment drug/alcohol test may be disqualified from further consideration in the hiring process.
**Equal Opportunity Employer Statement**
 Salt River Project (SRP) is committed to equal employment opportunity regardless of race, color, religion, sex (including pregnancy), gender identity, sexual orientation, national origin, age, disability, genetic information, military status, or any other protected status under applicable federal, state or local law.
**Work Authorization**
 All candidates must be legally authorized to work in the United States.
 Currently, SRP does not sponsor H1B visas, OPT, or other employment\-related visa's.</t>
        </is>
      </c>
    </row>
    <row r="94">
      <c r="A94" t="inlineStr">
        <is>
          <t>li-4314643747</t>
        </is>
      </c>
      <c r="B94" t="inlineStr">
        <is>
          <t>Big Data Engineer</t>
        </is>
      </c>
      <c r="C94" t="inlineStr">
        <is>
          <t>Robert Half</t>
        </is>
      </c>
      <c r="D94" t="inlineStr">
        <is>
          <t>linkedin</t>
        </is>
      </c>
      <c r="E94">
        <f>HYPERLINK("https://www.linkedin.com/jobs/view/4314643747", "https://www.linkedin.com/jobs/view/4314643747")</f>
        <v/>
      </c>
      <c r="F94" t="inlineStr"/>
      <c r="G94" t="inlineStr">
        <is>
          <t>Westfield, IN</t>
        </is>
      </c>
      <c r="H94" t="inlineStr"/>
      <c r="I94" t="inlineStr">
        <is>
          <t>We are looking for a skilled Big Data Engineer to join our team in Westfield, Indiana. This role involves leveraging advanced technologies to design, implement, and optimize big data solutions that drive our business objectives. The ideal candidate will have extensive experience in data engineering and a passion for building scalable systems.
 Responsibilities:
 • Design, develop, and implement scalable big data solutions using Python, Apache Spark, and other relevant technologies.
 • Build and optimize ETL pipelines to efficiently handle large volumes of structured and unstructured data.
 • Manage and process data using frameworks such as Apache Hadoop and Apache Kafka.
 • Collaborate with cross\-functional teams to understand data requirements and translate them into technical solutions.
 • Utilize cloud platforms like Amazon Web Services (AWS) to deploy and maintain data systems.
 • Ensure the security, reliability, and performance of big data architectures.
 • Troubleshoot and resolve issues related to data systems and pipelines.
 • Monitor and analyze system performance to identify opportunities for improvement.
 • Stay updated on emerging technologies and incorporate them into data engineering practices as appropriate.
 • A minimum of 10 years of experience in big data engineering or a related field.
 • Proficiency in programming languages such as Python.
 • Strong expertise in data processing frameworks, including Apache Spark, Hadoop, and Kafka.
 • Solid experience with ETL processes and pipeline development.
 • Familiarity with cloud platforms, particularly Amazon Web Services (AWS).
 • Proven ability to design and implement scalable data architectures.
 • Excellent problem\-solving skills and attention to detail.
 • Strong communication skills to collaborate effectively with technical and non\-technical teams.
 Technology Doesn't Change the World, People Do.
 ®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 2025 Robert Half. An Equal Opportunity Employer. M/F/Disability/Veterans. By clicking “Apply Now,” you’re agreeing to Robert Half’s Terms of Use.</t>
        </is>
      </c>
    </row>
    <row r="95">
      <c r="A95" t="inlineStr">
        <is>
          <t>li-4352586048</t>
        </is>
      </c>
      <c r="B95" t="inlineStr">
        <is>
          <t>IT Data Engineer III</t>
        </is>
      </c>
      <c r="C95" t="inlineStr">
        <is>
          <t>Woodward, Inc.</t>
        </is>
      </c>
      <c r="D95" t="inlineStr">
        <is>
          <t>linkedin</t>
        </is>
      </c>
      <c r="E95">
        <f>HYPERLINK("https://www.linkedin.com/jobs/view/4352586048", "https://www.linkedin.com/jobs/view/4352586048")</f>
        <v/>
      </c>
      <c r="F95">
        <f>HYPERLINK("https://woodward.wd5.myworkdayjobs.com/woodward/job/Fort-Collins\u002d\u002d-Lincoln-Campus-HQ/IT-Data-Engineer-III_JR109050/apply?src=Linkedin&amp;urlHash=m57i", "https://woodward.wd5.myworkdayjobs.com/woodward/job/Fort-Collins\u002d\u002d-Lincoln-Campus-HQ/IT-Data-Engineer-III_JR109050/apply?src=Linkedin&amp;urlHash=m57i")</f>
        <v/>
      </c>
      <c r="G95" t="inlineStr">
        <is>
          <t>Fort Collins, CO</t>
        </is>
      </c>
      <c r="H95" t="inlineStr"/>
      <c r="I95" t="inlineStr">
        <is>
          <t>Woodward is committed to creating a great workplace for all team members. Our company and its members are committed to acting with integrity, being respectful and accountable to one another, and staying humble and driven, while maintaining the highest professional and ethical standards.
 We are steadfastly committed to attracting the best talent across our communities creating a rewarding workplace. Together we are fulfilling our purpose to design and deliver energy control solutions our partners count on to power a clean future.
**Woodward supports our members’ wellbeing and regularly benchmarks with other companies in our industry to offer an extensive Total Reward package for this position.** 
 Salary will be determined by the applicant's education, experience, knowledge, skills, and abilities, as well as internal equity and alignment with market data.
**Estimated annual base pay:** 
 $95,000(minimum) \- $123,000(midpoint) \- $152,000(maximum)
**All Levels are eligible for the benefits below:**
* All members included in annual cash bonus opportunity.
* 401(k) match (4\.5%)
* Annual Woodward stock contribution (5%)
* Tuition reimbursement and Training/Professional Development opportunities for all members
* 12 paid holidays, including floating holidays.
* Industry leading medical, dental, and vision Insurance upon date of hire
* Vacation / Sick Time / Vacation Buy\-up / Short Term Disability / Bereavement leave.
* Paid parental leave.
* Adoption Assistance
* Employee Assistance Program, including mental health benefits.
* Member Life \&amp; AD\&amp;D / Long Term Disability / Member Optional Life
* Member referral bonus
* Spouse / Child Optional Life / Optional AD\&amp;D / Healthcare and Dependent Care Flexible Spending
* Voluntary benefits, including:
+ Home / Auto Insurance discounts
+ Whole Life Insurance / Critical Illness Insurance / Legal Assistance / Military Leave
 The Level 3 Data Engineer leads the design and delivery of complex data pipelines and models to support downstream use cases such as analytics and machine learning. They help set architecture patterns, optimize performance, and become experts at operational support for various data platforms. They serve as the primary lead on projects and tasks, mentor more junior team members, and work closely with the business to deliver on high\-ROI data initiatives. They provide expertise in source system data and become valued technical resources within Woodward.
**Key Responsibilities:**
* Design and optimize end\-to\-end orchestration patterns, architect scalable ETL/ELT solutions, and lead complex logical and physical data modeling efforts.
* Act as the primary data translator for SAP S/4HANA and other enterprise source systems, and design robust source\-to\-model mappings.
* Drive complex requirements gathering with analysts, data scientists, and business owners, lead cross\-functional projects delivering data products, and manage ticket prioritization for assigned work.
* Lead complex troubleshooting across Power BI, Fabric, and Business Objects, optimize tenant capacity, and help design workspace and semantic modeling standards.
* Design and improve infrastructure patterns for servers and applications, lead complex incident response and root\-cause analysis, manage versions and administer servers.
* Design and enforce cross\-platform access models, lead implementation of data masking, and drive compliance controls to meet ITAR/GDPR/PII requirements.
* Assist with designing metadata and lineage frameworks, automate metadata capture and quality checks.
**Key Skills:**
* Advanced SQL
* Advanced Python/PySpark
* Advanced experience with ETL/ELT using Azure Synapse pipelines, Azure Data Factory, or comparable tools (AWS Glue, Google Cloud Dataflow, Apache Airflow, etc.). Experience with SAP Data Services preferred.
* Advanced knowledge of SAP S/4HANA data structures and common data models. Experience with SLT sidecar for continuous replication preferred.
* Advanced understanding of data warehouses (cloud or on\-prem), relational databases and data modeling concepts.
* Advanced proficiency with connecting to, extracting and loading data from REST APIs.
* Experience with Microsoft Power BI and Fabric admin features (workspace and capacity management, security). Experience with SAP Business Objects and Power BI report development (including DAX and M languages) preferred.
* System design for reliability and observability, advanced CI/CD and deployment strategies, mature data governance.
* Effective stakeholder communication to technical and nontechnical audiences, technical leadership, capacity to help drive architecture decisions and trade\-offs, team player, continuous learner.
**Other Qualifications:**
* Bachelor’s Degree in Computer Science, Information Systems, Business Analytics, or related discipline is preferred.
* 5\+ years in data engineering, ETL, data warehousing, or similar roles supporting enterprise analytics required.
 Application window is anticipated to close 30 days from original posting date.
 This information is provided in compliance with the Colorado Equal Pay for Equal Work Act and is the company’s good faith and reasonable estimate of the compensation range and benefits offered for this position. The compensation offered to the successful applicant may vary based on factors including experience, skills, education, location, and other job\-related reasons.
 This position requires use of information which is subject to the International Traffic in Arms Regulations (ITAR) and/or the Export Administration Regulations (EAR).   All applicants must be U.S. Persons within the meaning of the ITAR and EAR, or eligible to obtain all required authorizations from the U.S. Department of State and/or the U.S. Department of Commerce. The ITAR defines a U.S. Person as a U.S. citizen or national, lawful permanent resident (i.e., 'Green Card holder'), or a protected person (e.g., asylee, or refugee).
 Woodward is an equal opportunity employer and does not discriminate in hiring or employment on the basis of race, color, religion, sex (including sexual orientation and gender identity), national origin, age, disability, protected veteran status, or any other category protected under federal, state, or local laws.</t>
        </is>
      </c>
    </row>
    <row r="96">
      <c r="A96" t="inlineStr">
        <is>
          <t>li-4341155653</t>
        </is>
      </c>
      <c r="B96" t="inlineStr">
        <is>
          <t>Senior Data Engineer</t>
        </is>
      </c>
      <c r="C96" t="inlineStr">
        <is>
          <t>eSimplicity</t>
        </is>
      </c>
      <c r="D96" t="inlineStr">
        <is>
          <t>linkedin</t>
        </is>
      </c>
      <c r="E96">
        <f>HYPERLINK("https://www.linkedin.com/jobs/view/4341155653", "https://www.linkedin.com/jobs/view/4341155653")</f>
        <v/>
      </c>
      <c r="F96" t="inlineStr"/>
      <c r="G96" t="inlineStr">
        <is>
          <t>Columbia, MD</t>
        </is>
      </c>
      <c r="H96" t="inlineStr"/>
      <c r="I96" t="inlineStr">
        <is>
          <t>Job Type
 Full\-time
**Description**
**About Us:**
 eSimplicity is a modern digital services company that partners with government agencies to improve the lives and protect the well\-being of all Americans, from veterans and service members to children, families, and seniors. Our engineers, designers, and strategists cut through complexity to create intuitive products and services that equip federal agencies with solutions to courageously transform today for a better tomorrow.
 We are seeking a highly skilled Senior Data Engineer to help evaluate and design robust data integration solutions for large\-scale, disparate datasets spanning multiple platforms and infrastructure types, including cloud\-based and potentially undefined or evolving environments. This role is critical in identifying optimal data ingestion, normalization, and transformation strategies while collaborating with cross\-functional teams to ensure data accessibility, reliability, and security across systems.
**Responsibilities**
* Responsible for developing, expanding and optimizing our data and data pipeline architecture, as well as optimizing data flow and collection for cross functional teams.
* Support software developers, database architects, data analysts and data scientists on data initiatives and ensure optimal data delivery architecture is consistent throughout ongoing projects.
* Creates new pipeline and maintains existing pipeline, updates Extract, Transform, Load (ETL) process, creates new ETL feature , builds PoCs with Redshift Spectrum, Databricks, AWS EMR, SageMaker, etc.;
* Implements, with support of project data specialists, large dataset engineering: data augmentation, data quality analysis, data analytics (anomalies and trends), data profiling, data algorithms, and (measure/develop) data maturity models and develop data strategy recommendations.
* Operate large\-scale data processing pipelines and resolve business and technical issues pertaining to the processing and data quality.
* Assemble large, complex sets of data that meet non\-functional and functional business requirements
* Identify, design, and implement internal process improvements including re\-designing data infrastructure for greater scalability, optimizing data delivery, and automating manual processes ?
* Building required infrastructure for optimal extraction, transformation and loading of data from various data sources using AWS and SQL technologies
* Building analytical tools to utilize the data pipeline, providing actionable insight into key business performance metrics including operational efficiency and customer acquisition?
* Working with stakeholders including data, design, product and government stakeholders and assisting them with data\-related technical issues
* Write unit and integration tests for all data processing code.
* Work with DevOps engineers on CI, CD, and IaC.
* Read specs and translate them into code and design documents.
* Perform code reviews and develop processes for improving code quality.
* Perform other duties as assigned.
**Requirements**
 All candidates must pass public trust clearance through the U.S. Federal Government. This requires candidates to either be U.S. citizens or pass clearance through the Foreign National Government System which will require that candidates have lived within the United States for at least 3 out of the previous 5 years, have a valid and non\-expired passport from their country of birth and appropriate VISA/work permit documentation.
* Bachelor's degree in Computer Science, Software Engineering, Data Science, Statistics, or related technical field.
* 10\+ years of experience in software/data engineering, including data pipelines, data modeling, data integration, and data management.
* Expertise in data lakes, data warehouses, data meshes, data modeling and data schemas (star, snowflake…).
* Strong expertise in SQL, Python, and/or R, with applied experience in Apache Spark and large\-scale processing using PySpark or Sparklyr.
* Experience with Databricks in a production environment.
* Strong experience with AWS cloud\-native data services, including S3, Glue, Athena, and Lambda.
* Strong proficiency with GitHub and GitHub Actions, including test\-driven development.
* Proven ability to work with incomplete or ambiguous data infrastructure and design integration strategies.
* Excellent analytical, organizational, and problem\-solving skills.
* Strong communication skills, with the ability to translate complex concepts across technical and business teams.
* Proven experience working with petabyte\-level data systems.
**Preferred Qualifications**
* Experience working with healthcare data, especially CMS (Centers for Medicare \&amp; Medicaid Services) datasets.
* CMS and Healthcare Expertise: In\-depth knowledge of CMS regulations and experience with complex healthcare projects; in particular, data infrastructure related projects or similar.
* Demonstrated success providing support within the CMS OIT environment, ensuring alignment with organizational goals and technical standards.
* Demonstrated experience and familiarity with CMS OIT data systems (e.g. IDR\-C, CCW, EDM, etc.)
* Experience with cloud platform services: AWS and Azure.
* Experience with streaming data (Kafka, Kinesis, Pub/Sub).
* Familiarity with data governance, metadata management, and data quality practices.
**Working Environment**
 eSimplicity supports a
 **hybrid** 
 work environment operating within the Eastern time zone so we can work with and respond to our government clients. Expected hours are 9:00 AM to 5:00 PM Eastern unless otherwise directed by your manager.
 Occasional travel for training and project meetings. It is estimated to be less than 5% per year.
**Benefits**
 We offer highly competitive salaries and full healthcare benefits.
**Equal Employment Opportunity**
 eSimplicity is an equal opportunity employer. All qualified applicants will receive consideration for employment without regard to race, religion, color, national origin, gender, age, status as a protected veteran, sexual orientation, gender identity, or status as a qualified individual with a disability.
 Salary Description
 $132,400 \- $133,000</t>
        </is>
      </c>
    </row>
    <row r="97">
      <c r="A97" t="inlineStr">
        <is>
          <t>li-4361166667</t>
        </is>
      </c>
      <c r="B97" t="inlineStr">
        <is>
          <t>Senior Data Analytics Engineer</t>
        </is>
      </c>
      <c r="C97" t="inlineStr">
        <is>
          <t>FloSports</t>
        </is>
      </c>
      <c r="D97" t="inlineStr">
        <is>
          <t>linkedin</t>
        </is>
      </c>
      <c r="E97">
        <f>HYPERLINK("https://www.linkedin.com/jobs/view/4361166667", "https://www.linkedin.com/jobs/view/4361166667")</f>
        <v/>
      </c>
      <c r="F97" t="inlineStr"/>
      <c r="G97" t="inlineStr">
        <is>
          <t>Austin, TX</t>
        </is>
      </c>
      <c r="H97" t="inlineStr"/>
      <c r="I97" t="inlineStr">
        <is>
          <t>FloSports leads the way in delivering world\-class digital streaming for millions of fans, families, and athletes in underserved sports. Our digital platform unites casual and dedicated spectators alike, offering thrilling live events from around the world with interactive features, real\-time analytics, and powerful broadcast technology. As the essential destination for niche sports content, we deliver everything from breaking news and expert commentary to feature films, documentaries, and multi\-episodic series. We've revolutionized the global sports media industry by building a diverse team—technologists and wrestlers, creators and cheerleading experts, designers and hockey enthusiasts, communicators and motorsport fanatics, producers and sports fans—all united by our passion to serve underrepresented sports communities. We're creating the ultimate destination for our sports, and we're looking for people like you to join us!
**The Role**
 FloSports is seeking a
 **Sr. Data Analytics Engineer** 
 to join our high\-impact
 **Business Intelligence** 
 team. Our team owns company\-wide reporting, analytics, and insights, our Snowflake data infrastructure, and our ML/AI models. These include our content valuation model, similar to Netflix’s adjusted view share, and our demand forecasting models that forecast critical financial KPIs, including sign ups, viewership, engagement, and customer lifetime value (LTV).
 To start, this role will be critical in refactoring and enhancing our existing data infrastructure, delivering value through the introduction of new demand forecasting modules, providing as needed expertise in advancing our A/B and multivariate experiment architecture, and playing a key role in the high value action (HVA) framework and data infrastructure that we’re building and launching in 2025\. The ideal candidate will have domain experience in building data infrastructure, data schemas, data modeling, ML/AI models, and ideally some background in running experiments and building HVA frameworks. Bonus points for familiarity with subscription\-based DTC businesses, OTT products, and/or SVOD and live event streaming services.
**Responsibilities**
* Serve as one of our technical leads for our Snowflake data infrastructure, data schemas, data modeling, and high value action infrastructure.
* Extract, transform, and load (ETL) data from multiple sources, ensuring accuracy, integrity, and consistency.
* Perform in\-depth analysis of financial and operational data, identifying trends, patterns, and anomalies to provide meaningful insights and recommendations
* Complete the full analytics lifecycle from understanding the business objective and understanding the data to developing automated reporting and visualizations
* Act as a subject matter expert on internal/external data sources, ensuring anomalies are identified and addressed proactively.
* Support the data product development for demand forecasting, partnering cross\-functionally across Finance, Strategic Finance, Business Intelligence, Rights Acquisitions, Ad Sales, Content, Marketing, and Vertical GMs.
* Partner on experiment design and conduct causal analyses to provide actionable insights that inform the demand forecasting model(s) and key business decisions.
* Research, recommend, and learn new analytics tools and platforms
* Automate existing manual processes and identify areas for further improvements
* Serve as a thought leader for interactive demand forecasting dashboards that inform key stakeholders about the health drivers for historical performance and serve as a forward\-looking evaluator of our programming strategy and execution.
* Passion about growing Our Sports within the sports media industry and establishing a working knowledge of the key players and their events.
**Knowledge, Skills And Abilities**
* BA/BS in Mathematics/Statistics, Finance, Computer Science, Engineering, Operations Research, or other technical field, advanced analytics degrees preferred
* 5\+ years of professional experience as a Business Intelligence Engineer, Data Engineer, Data Analyst or similar role, preferably in a SaaS or subscription\-based business.
* Oversees the entire process of a data project from concept, to requirements gathering, to production ready implementation. Led projects from concept through completion
* Expert in SQL.
* Strong background in Python (Excel is a plus), including statistical modeling; experience with data visualization tools, e.g., Tableau, Looker, Domo.
* Deep understanding of statistical model building and data analyses, such as causal inference and regressions; expertise in numerical algorithms.
* Experience with experiment design, implementation, analysis, and recommendation for actionable insights.
* Strong analytical skills for problem solving; can perform descriptive and diagnostic analysis
* Ability to work collaboratively in a fast\-paced, cross\-functional environment and manage multiple priorities effectively
* Ability to use data to translate ambiguous problems into actionable solutions using dataAbility to find answers to ambiguous problems
* Comfortable working with and querying large datasets, including datasets that some might describe as “messy”.
* Experience forming effective cross\-functional partnerships.
* Analytical reasoning, intellectual curiosity, and attention to detail for maintaining code and data integrity.
* Proficiency in communication, particularly communicating complex data concepts, to both technical and non\-technical audiences.
**Bonus Points**
* Built a large portion of a database, ideally a cloud\-based database, from the ground up.
* Experience developing demand forecasting models and/or working in demand planning functions, particularly within a SaaS, subscription, and/or e\-commerce business.
* Experience with Streamlit in Snowflake for turning data and ML models into interactive apps with Python.
* Familiarity with cloud based analytics and CRM platforms (Salesforce) and data visualization tools (Domo).
**Our Commitment To Diversity**
 FloSports exists to elevate the communities, athletes, and sports that have too often been overlooked. That mission starts with our own team. We believe that a diverse, inclusive workplace—one where different perspectives are sought out, heard, and valued—is essential to building a company that can truly serve the full spectrum of sports fans.
 We are committed to creating a fair and equitable environment where people from all backgrounds can thrive. To help mitigate bias and expand opportunity, FloSports uses a blind recruiting process that supports more objective, inclusive hiring decisions. We’re intentional in our practices because we believe the best ideas and innovations come from teams that reflect the diversity of the world around us.
**Our Benefits**
* Recognized three years in a row as a Top Workplace by the Austin\-American Statesman
* Flexibility at work \- you can take control of your profession and personal schedule
* All\-hands events hosted annually in beautiful Austin, Texas
* Annual equity awards for all top performers
* Competitive and comprehensive medical, dental and vision plans
* Peace of mind through company\-paid short\-term disability, long\-term disability and life insurance
* Generous 401(K) company match vested immediately
* Progressive parental leave policies
* Flexible paid time off
* Hack\-a\-thons and a full calendar of team\-building and social events
* Company donation to youth teams and leagues that our employees coach
* Stocked snack bar, catered lunch and breakfast tacos every week</t>
        </is>
      </c>
    </row>
    <row r="98">
      <c r="A98" t="inlineStr">
        <is>
          <t>li-4361265480</t>
        </is>
      </c>
      <c r="B98" t="inlineStr">
        <is>
          <t>Data Engineer / Integrations Lead (AI-Native)</t>
        </is>
      </c>
      <c r="C98" t="inlineStr">
        <is>
          <t>Skiffra</t>
        </is>
      </c>
      <c r="D98" t="inlineStr">
        <is>
          <t>linkedin</t>
        </is>
      </c>
      <c r="E98">
        <f>HYPERLINK("https://www.linkedin.com/jobs/view/4361265480", "https://www.linkedin.com/jobs/view/4361265480")</f>
        <v/>
      </c>
      <c r="F98" t="inlineStr"/>
      <c r="G98" t="inlineStr">
        <is>
          <t>Los Angeles, CA</t>
        </is>
      </c>
      <c r="H98" t="inlineStr"/>
      <c r="I98" t="inlineStr">
        <is>
          <t>****About Skiffra****
 Skiffra is building the intelligence layer for modern enterprises. We design AI\-native orchestration systems that sit above messy, real\-world operations and turn them into intelligent, adaptive workflows.
**About Skiffra**
 Skiffra is building the intelligence layer for modern enterprises. We design AI\-native orchestration systems that sit above messy, real\-world operations and turn them into intelligent, adaptive workflows.
 The Role
 As a founding Data Engineer, you will design and own the data pipelines and integrations that power Skiffra’s AI\-native orchestration platform. This is a hands\-on, high\-autonomy role working directly with the founding team on zero\-to\-one systems deployed in complex, real environments.
 What You’ll Do
* Build and maintain real\-time and batch data pipelines across enterprise systems
* Integrate ERPs, operational tools, APIs, and legacy systems into a clean internal data layer
* Design schemas and data contracts consumed by LLMs, agents, and workflow engines
* Own ingestion, normalization, and transformation of structured, semi\-structured, and unstructured data
* Partner closely with product and engineering to translate operational needs into data systems
* Implement monitoring, observability, and baseline data quality checks
* Operate with speed and rigor in environments where reliability matters
 What We’re Looking For
* 7\+ years building production data or backend systems
* Strong Python and SQL
* Experience with ETL/ELT pipelines and API\-based integrations
* Familiarity with cloud data infrastructure and streaming or event\-driven systems
* Ability to work independently and make sound technical tradeoffs
* Comfort operating without perfect requirements or documentation
 Nice to Have
* Experience with industrial, operational, or enterprise data systems
* Exposure to AI\- or ML\-adjacent data workflows
* Experience designing systems consumed by LLMs or agents
* Startup or founding\-team experience
 How We Work
 We value speed, clarity, and technical rigor. We favor simple systems over clever ones, prototypes over over\-planning, and ownership over handoffs. You’ll work directly with founders and ship things that matter quickly.
 Location \&amp; Work Model
 This is a hybrid role with regular in\-person collaboration in Los Angeles or the San Francisco Bay Area. We are not a remote\-only company.
 Work Authorization
 Candidates must be authorized to work in the United States. We are not able to offer visa sponsorship for this role.
 Benefits \&amp; Eligibility
 This position is eligible for Skiffra’s standard benefits, including health insurance and retirement plans, and may also qualify for participation in the Company’s bonus and incentive programs.
 Equal Opportunity
 Skiffra is an equal opportunity employer. We value diversity and do not discriminate on the basis of race, color, religion, sex, gender identity or expression, sexual orientation, age, national origin, disability, veteran status, or any other protected characteristic.
 Compensation Range: $180K \- $260K</t>
        </is>
      </c>
    </row>
    <row r="99">
      <c r="A99" t="inlineStr">
        <is>
          <t>li-4361138596</t>
        </is>
      </c>
      <c r="B99" t="inlineStr">
        <is>
          <t>Data Engineer AWS cloud</t>
        </is>
      </c>
      <c r="C99" t="inlineStr">
        <is>
          <t>ExecutivePlacements.com</t>
        </is>
      </c>
      <c r="D99" t="inlineStr">
        <is>
          <t>linkedin</t>
        </is>
      </c>
      <c r="E99">
        <f>HYPERLINK("https://www.linkedin.com/jobs/view/4361138596", "https://www.linkedin.com/jobs/view/4361138596")</f>
        <v/>
      </c>
      <c r="F99" t="inlineStr"/>
      <c r="G99" t="inlineStr">
        <is>
          <t>San Jose, CA</t>
        </is>
      </c>
      <c r="H99" t="inlineStr"/>
      <c r="I99" t="inlineStr">
        <is>
          <t>**Data Engineer AWS cloud (Hybrid)**
**Primary Location: San Jose, California**
 V\-Soft Consulting is currently hiring for a
 **Data Engineer AWS cloud** 
 for our premier client in
 **San Jose, California** 
 .
**Education And Experience**
* Expert in building data pipelines, AWS cloud \&amp; Data Bricks.
* Seeking a highly skilled Senior AWS Cloud Data Engineer with 8 \- 10 years of experience in building large\-scale, cloud\-native data platforms.
* This role requires a hands\-on technical expert who can design and implement robust data pipelines while also contributing to architecture decisions and technical leadership.
* The ideal candidate combines deep expertise in AWS, Databricks, and modern data engineering practices with the ability to mentor engineers and drive data solutions end\-to\-end.
* Tech skills: Data Modeling, Databricks, AWS and Tableau (no need to develop reports but should know)
**What Youll Do**
**Job Responsibilities:**
* The data engineer should be able to develop solutions including pipelines and data model, which can be leveraged to scale to ingest data into LLM for driving insights.
 V\-Soft Consulting Group is recognized among the top 100 fastest growing staffing companies in North America, V\-Soft Consulting Group is headquartered in Louisville, KY with strategic locations in India, Canada and the U.S. V\-Soft is known as an agile, innovative technology services company holding several awards and distinctions and has a wide variety of partnerships across diverse technology stacks.
 As a valued V\-Soft Consultant, youre eligible for full benefits (Medical, Dental, Vision), a 401(k) plan, competitive compensation and more. V\-Soft is partnered with numerous Fortune 500 companies, exceptionally positioned to advance your career growth.
 V\-Soft Consulting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**\#INDSP**
**\#MonsterPost**</t>
        </is>
      </c>
    </row>
    <row r="100">
      <c r="A100" t="inlineStr">
        <is>
          <t>li-4361108244</t>
        </is>
      </c>
      <c r="B100" t="inlineStr">
        <is>
          <t>Senior Data Engineer</t>
        </is>
      </c>
      <c r="C100" t="inlineStr">
        <is>
          <t>First Citizens Bank</t>
        </is>
      </c>
      <c r="D100" t="inlineStr">
        <is>
          <t>linkedin</t>
        </is>
      </c>
      <c r="E100">
        <f>HYPERLINK("https://www.linkedin.com/jobs/view/4361108244", "https://www.linkedin.com/jobs/view/4361108244")</f>
        <v/>
      </c>
      <c r="F100" t="inlineStr"/>
      <c r="G100" t="inlineStr">
        <is>
          <t>Raleigh, NC</t>
        </is>
      </c>
      <c r="H100" t="inlineStr"/>
      <c r="I100" t="inlineStr">
        <is>
          <t>**Overview**
 This is a hybrid role, with the expectation that time working will regularly take place inside and outside of a company office.
 Seeking for a skilled Software engineer role to design, develop and optimize database solutions across multiple platforms including SQL Server, Netezza and Snowflake. Looking for a candidate with strong database engineering expertise, a solid understanding of data base modeling and ETL skills, and the ability to build scalable and high\-performance solutions for our applications. Experience working in Agile teams. Knowledge in any data virtualization tool.
**Responsibilities**
* Responsible for designing, building, and maintaining data platform that supports data integrations for Enterprise Data Warehouse, Operational Data Store or Data Marts etc. with appropriate data access, data security, data privacy and data governance.
* Establish enterprise\-scale data integration procedures, data pipelines and frameworks across the data development life cycle. Suggest and implement appropriate technologies to deliver resilient, scalable, and future\-proof data solutions.
* Create data ingestion pipelines in data warehouses and other large\-scale data platforms.
* Creating scheduled as well as trigger\-based ingestion patterns using scheduling tools.
* Design, Develop and maintain databases solutions using SQL server, Netezza and Snowflake.
* Create performance optimized DDLs for any row\-based or columnar databases such as Netezza database per Logical Data Model.
* Performance tuning of complex data pipelines and SQL queries.
* Performs impact analysis of proposed changes on existing architecture, capabilities, system priorities, and technology solutions.
* Manage deliverables of developers, perform design reviews and coordinate release management activities.
* Estimate and provide timelines for project activities. Identify, document, and communicate technical risks, issues and alternative solutions discovered during project.
* Drive automation, identify inefficiencies, optimize processes and data flows, and recommend improvements.
* Use agile engineering practices and various data development technologies to rapidly develop and implement efficient data products.
* Collaborate with Product Owners to understand PI goals, PI planning, requirement clarification, and delivery coordination.
* Technical support for production incidents and failures
* Work with global technology teams across different time zones (primarily US) to deliver timely business value.
* Use Jira to manage tasks, track the progress and work in Agile environment.
* Contribute to CI/CD, Automation, and Azure DevOps for database development.
* Participate in migration activities and cloud modernization initiatives.
**Qualifications**
 Bachelor's Degree and 4 years of experience in Data engineering, big data technologies, cloud platforms OR High School Diploma or GED and 8 years of experience in Data engineering, big data technologies, cloud platforms
**Preferred**
**Functional Skills:**
* Team Player: Support peers, team, and department management.
* Communication: Excellent verbal, written, and interpersonal communication skills.
* Problem Solving: Excellent problem\-solving skills, incident management, root cause analysis, and proactive solutions to improve quality.
* Partnership and Collaboration: Develop and maintain partnership with business and IT stakeholders
* Attention to Detail: Ensure accuracy and thoroughness in all tasks.
**Technical/Business Skills**
* Strong expertise in SQL Server (T\-SQL, Stored Procedures, indexing, Performance tuning)
* Hands\-on experience in Netezza, DB2 (Querying, Performance tuning, ETL)
* Familiarity with ETL tools (SSIS, Data stage or equivalent)
* Experience working in Agile team with Jira for issue tracking and sprint planning.
* Prior work experience in large scale migration project.
* Experience in at least one scripting language. Python is preferred.
* Exposure to CI/CD pipelines (Azure Dev Ops) for code deployment.
* Strong knowledge of data architecture, data design patterns, modeling, and cloud data solutions (Snowflake)
* Data Model: Expertise in Logical and Physical Data Model using Relational or Dimensional Modeling practices, high volume ETL/ELT processes.
* Performance tuning of data pipelines and DB Objects to deliver optimal performance
* Experience working in Financial Industry is a plus.
* Data Engineering:
+ Experience in designing and building Data Warehouse and Data lakes. Good knowledge of data warehouse principles, and concepts.
+ Technical expertise working in large scale Data Warehousing applications and databases such as Oracle, Netezza, and SQL Server.
+ Experience with public cloud\-based data platforms especially Snowflake and AWS.
* Data integration skills:
+ Expertise in design and development of complex data pipelines
+ Solutions using any industry leading ETL tools such as SSIS and IBM Data Stage.
* Expert in SQL \- development experience in at least one scripting language (Python etc.), adept in tracing and resolving data integrity issues.
 Benefits are an integral part of total rewards and First Citizens Bank is committed to providing a competitive, thoughtfully designed and quality benefits program to meet the needs of our associates. More information can be found at https://jobs.firstcitizens.com/benefits.</t>
        </is>
      </c>
    </row>
    <row r="101">
      <c r="A101" t="inlineStr">
        <is>
          <t>li-4361257604</t>
        </is>
      </c>
      <c r="B101" t="inlineStr">
        <is>
          <t>Sr. Data Engineer</t>
        </is>
      </c>
      <c r="C101" t="inlineStr">
        <is>
          <t>ExecutivePlacements.com</t>
        </is>
      </c>
      <c r="D101" t="inlineStr">
        <is>
          <t>linkedin</t>
        </is>
      </c>
      <c r="E101">
        <f>HYPERLINK("https://www.linkedin.com/jobs/view/4361257604", "https://www.linkedin.com/jobs/view/4361257604")</f>
        <v/>
      </c>
      <c r="F101" t="inlineStr"/>
      <c r="G101" t="inlineStr">
        <is>
          <t>Kansas City, MO</t>
        </is>
      </c>
      <c r="H101" t="inlineStr"/>
      <c r="I101" t="inlineStr">
        <is>
          <t>**Company Description**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The Senior Data Engineer will design, build, and optimize scalable data pipelines, cloud\-based data solutions, and advanced analytics frameworks that support Visa's enterprise data ecosystem. This role requires deep technical expertise, cross\-functional collaboration, and ownership of endtoend data engineering initiatives.
**Responsibilities**
* Design, build, and optimize scalable data pipelines for ingesting and processing structured and unstructured data within the Hadoop data lake and cloud environments.
* Architect and develop new data pipelines, data models, and analytical frameworks that provide intuitive, actionable insights to internal and external customers.
* Develop tools, automation, and self\-service capabilities that enhance data accessibility and improve analytics efficiency across the organization.
* Create repeatable, automated data engineering processes that support business users and reduce manual operational efforts.
* Lead and execute data engineering projects of varying scope and complexity, both independently and as part of a cross\-functional team.
* Partner with engineering, analytics, and product teams in high\-visibility roles to deliver robust, end\-to\-end data solutions.
* Support the scoping, design, and development of analytic data assets and data products.
* Maintain and enhance data engineering best practices, governance standards, and scalable architectures across Hadoop and cloud platforms.
* Participate in R\&amp;D initiatives, infrastructure enhancements, and cross\-team technology efforts.
 This is a hybrid position. Expectation of days in office will be confirmed by your hiring manager.
 Visa does not offer relocation assistance or immigration sponsorship for this role, now or in the future.
**Qualifications**
**Basic Qualifications:**
* 2 or moreyears of relevant work experience and a Bachelors degree, OR 5\+ years of relevant work experience
**Preferred Qualifications**
* 3 or more years of work experience with a Bachelor's Degree or more than 2 years of work experience with an Advanced Degree (e.g. Masters, MBA, JD, MD)
* Proficient in Hadoop, Spark, PySpark, Scala, and Python for largescale data processing.
* Strong SQL skills with experience in performance tuning, indexing, and query optimization.
* Hands\-on experience with relational and NoSQL databases, data modeling, and data warehousing.
* Expertise in writing, optimizing, and tuningSQLfor high performance and efficient data retrieval.
* Skilled with Presto, Impala, SparkSQL, and Hive for big\-data querying.
* Proficient in Tableau and Power BI for analytics and visualization.
* Strong experience with Databricks, including notebook/job optimization, Delta Lake, cluster management, CI/CD, and performance tuning.
* Skilled in AWS, GCP, and Azure for scalable data architectures using cloud\-native tools for ingestion, processing, and orchestration.
* Advanced experience withApache Sparkfor batch and near\-real\-time analytics.
* Experience designing, implementing, and managingrelational (RDBMS)andnon\-relational (NoSQL)databases.
* Proficiency indata modelinganddata warehousingmethodologies supporting BI and analytics workloads.
 Additional Information
**Work Hours:** 
 Varies upon the needs of the department.
**Travel Requirements:** 
 This position requires travel5\-10%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positionis $110,700 to $171,800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102">
      <c r="A102" t="inlineStr">
        <is>
          <t>li-4354743093</t>
        </is>
      </c>
      <c r="B102" t="inlineStr">
        <is>
          <t>Data Engineer</t>
        </is>
      </c>
      <c r="C102" t="inlineStr">
        <is>
          <t>Jobs via Dice</t>
        </is>
      </c>
      <c r="D102" t="inlineStr">
        <is>
          <t>linkedin</t>
        </is>
      </c>
      <c r="E102">
        <f>HYPERLINK("https://www.linkedin.com/jobs/view/4354743093", "https://www.linkedin.com/jobs/view/4354743093")</f>
        <v/>
      </c>
      <c r="F102" t="inlineStr"/>
      <c r="G102" t="inlineStr">
        <is>
          <t>Denver, CO</t>
        </is>
      </c>
      <c r="H102" t="inlineStr"/>
      <c r="I102" t="inlineStr">
        <is>
          <t>Dice is the leading career destination for tech experts at every stage of their careers. Our client, Parmesoft Inc., is seeking the following. Apply via Dice today!
**Position: Data Engineer**
**Location: Denver, CO (100% Onsite)**
**Duration: 6\-12 Months**
**Rate: $55\-$57/Hr all\-inc**
 We need Data Engineering exp \- building ETLS using Spark and SQL, real time and batch pipelines using Kafka/firehose, experience with building pipelines with data bricks/snowflake, experience with ingesting multiple data formats like json/parquet/delta etc.
 Thank You,
 Augustin Ahmed
 Parmesoft Inc,
 Ph:
 Fax:
 Email:</t>
        </is>
      </c>
    </row>
    <row r="103">
      <c r="A103" t="inlineStr">
        <is>
          <t>li-4361108657</t>
        </is>
      </c>
      <c r="B103" t="inlineStr">
        <is>
          <t>SR Data Engineer</t>
        </is>
      </c>
      <c r="C103" t="inlineStr">
        <is>
          <t>ExecutivePlacements.com</t>
        </is>
      </c>
      <c r="D103" t="inlineStr">
        <is>
          <t>linkedin</t>
        </is>
      </c>
      <c r="E103">
        <f>HYPERLINK("https://www.linkedin.com/jobs/view/4361108657", "https://www.linkedin.com/jobs/view/4361108657")</f>
        <v/>
      </c>
      <c r="F103">
        <f>HYPERLINK("https://www.executiveplacements.com/JF/SR-Data-Engineer-jobs-in-Houston-Texas-fec8554c9349.asp?sid=linkedin&amp;urlHash=DV2z", "https://www.executiveplacements.com/JF/SR-Data-Engineer-jobs-in-Houston-Texas-fec8554c9349.asp?sid=linkedin&amp;urlHash=DV2z")</f>
        <v/>
      </c>
      <c r="G103" t="inlineStr">
        <is>
          <t>Houston, TX</t>
        </is>
      </c>
      <c r="H103" t="inlineStr"/>
      <c r="I103" t="inlineStr">
        <is>
          <t>At
 **Cepheid** 
 , we are passionate about improving health care through fast, accurate diagnostic testing. Our mission drives us every moment of every day, as we develop scalable, groundbreaking solutions to solve the worlds most complex health challenges. Our associates are involved in every stage of molecular diagnostics, from ideation to development and delivery of testing advancements that improve patient outcomes across a range of settings.
 Cepheid is proud to work alongside a community of six fellow
 **Danaher Diagnostics companies** 
 . Together, were working at the pace of change on diagnostic tools that address the worlds biggest health challenges, driven by knowing that behind every test there is a patient waiting. Learn about the
 **Danaher Business System (DBS)** 
 which makes everything possible.
 As a
 **Sr Data Engineer** 
 , you will play a critical role in building and supporting scalable data pipelines and integrations across the Cephied Data Platform. This position focuses on enabling real\-time and batch data ingestion, curation, and quality processes using Snowflake, Airflow, Matillion, Azure ADF, and other modern data engineering tools.
**In This Role, You Will Have The Opportunity To**
* Design, build, and maintain scalable Snowflake data pipelines including stored procedures, file loads, and curated datasets.
* Implement data ingestion solutions from SAP, Salesforce, SQL Server, PostgreSQL, Pardot APIs, and other sources using Fivetran, Matillion, and Azure ADF.
* Orchestrate workflows with Apache Airflow to ensure efficient scheduling, monitoring, and automation of ETL/ELT jobs. Build Git CI/CD pipelines.
* Ensure data quality, consistency, and reliability through validation, monitoring, and automated checks.
* Mentor junior engineers, create documentation/run\-books, and drive continuous improvement initiatives aligned with DBS principles.
**The Essential Requirements Of The Job Include**
* Bachelors degree in Computer Science, Engineering, Information Systems, or related field with 5\+ years of data engineering experience.
* Strong coding skills in Python, Scala, or similar scripting languages, with proven experience in building pipelines at scale.
* Hands\-on expertise with Snowflake, AWS/Azure cloud platforms, and real\-time streaming tools (Kafka, Kinesis, etc.).
* Experience with ETL/ELT tools (Matillion, Azure ADF, AWS Glue, Lambda) and big data technologies (Spark, Hadoop, MongoDB, Cassandra).
* Solid understanding of software engineering best practices, Agile/SCRUM methodologies, and ability to design/document large\-scale distributed systems.
**It would be a plus if you also possess previous experience in:**
* Experience with Vector Database and Graph Databases like Neo4j or others.
* Experience with Analytics using Power BI or Microsoft Fabric.
 Cepheid, a Danaher operating company, offers a broad array of comprehensive, competitive benefit programs that add value to our lives. Whether its a health care program or paid time off, our programs contribute to life beyond the job. Check out our benefits atdanaherbenefitsinfo.com.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visitwww.danaher.com.
 employee remains in the Company's sole discretion unless and until paid and may be modified at the Companys sole discretion, consistent with the law.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 www.danaher.com.</t>
        </is>
      </c>
    </row>
    <row r="104">
      <c r="A104" t="inlineStr">
        <is>
          <t>li-4361128819</t>
        </is>
      </c>
      <c r="B104" t="inlineStr">
        <is>
          <t>Data Engineer IV</t>
        </is>
      </c>
      <c r="C104" t="inlineStr">
        <is>
          <t>ExecutivePlacements.com</t>
        </is>
      </c>
      <c r="D104" t="inlineStr">
        <is>
          <t>linkedin</t>
        </is>
      </c>
      <c r="E104">
        <f>HYPERLINK("https://www.linkedin.com/jobs/view/4361128819", "https://www.linkedin.com/jobs/view/4361128819")</f>
        <v/>
      </c>
      <c r="F104" t="inlineStr"/>
      <c r="G104" t="inlineStr">
        <is>
          <t>Menlo Park, CA</t>
        </is>
      </c>
      <c r="H104" t="inlineStr"/>
      <c r="I104" t="inlineStr">
        <is>
          <t>Remote
**Summary**
 The main function of the Data Engineer is to develop, evaluate, test and maintain architectures and data solutions within our organization. The typical Data Engineer executes plans, policies, and practices that control, protect, deliver, and enhance the value of the organizations data assets.
**Responsibilities:**
* Manage data engineering projects through the full cycle.
* Identify and underline business initiatives from a data engineering perspective
* Design, construct, install, test and maintain highly scalable data management systems.
* Ensure systems meet business requirements and industry practices.
* Design, implement, automate and maintain large scale enterprise data ETL processes.
* Build high\-performance algorithms, prototypes, predictive models and proof of concepts.
**Skills:**
* Ability to work as part of a team, as well as work independently or with minimal direction.
* Excellent written, presentation, and verbal communication skills.
* Collaborate with data architects, modelers and IT team members on project goals.
* Strong PC skills including knowledge of Microsoft SharePoint.
**Education/Experience:**
* Bachelor's degree in a technical field such as computer science, computer engineering or related field required.
* Process certification, such as, Six Sigma, CBPP, BPM, ISO 20000, ITIL, CMMI.
 Pay range is
 **$93 \- $98** 
 per hour with full benefits available, including paid time off, medical/dental/vision/life insurance, 401K, parental leave, and more. Our compensation reflects the cost of labor across several US geographic markets. Pay is based on several factors including market location and may vary depending on job\-related knowledge, skills, and experience.
**The Promises We Make**
 At Crystal Equation, we empower people and advance technology initiatives by building trust. Your recruiter will prep you for the interview, obtain feedback, guide you through any necessary paperwork and provide everything you need for a successful start. We will serve to empower you along the way and provide the path for your professional journey.
 For more information regarding our Privacy Policy, please visit</t>
        </is>
      </c>
    </row>
    <row r="105">
      <c r="A105" t="inlineStr">
        <is>
          <t>li-4328291918</t>
        </is>
      </c>
      <c r="B105" t="inlineStr">
        <is>
          <t>Senior Data Engineer</t>
        </is>
      </c>
      <c r="C105" t="inlineStr">
        <is>
          <t>Ryan Companies US, Inc.</t>
        </is>
      </c>
      <c r="D105" t="inlineStr">
        <is>
          <t>linkedin</t>
        </is>
      </c>
      <c r="E105">
        <f>HYPERLINK("https://www.linkedin.com/jobs/view/4328291918", "https://www.linkedin.com/jobs/view/4328291918")</f>
        <v/>
      </c>
      <c r="F105">
        <f>HYPERLINK("https://ryancompanies.wd5.myworkdayjobs.com/en-US/ryancompanies/job/Minneapolis/Senior-Data-Engineer_R-101343?source=LinkedIn&amp;urlHash=yyHQ", "https://ryancompanies.wd5.myworkdayjobs.com/en-US/ryancompanies/job/Minneapolis/Senior-Data-Engineer_R-101343?source=LinkedIn&amp;urlHash=yyHQ")</f>
        <v/>
      </c>
      <c r="G105" t="inlineStr">
        <is>
          <t>Minneapolis, MN</t>
        </is>
      </c>
      <c r="H105" t="inlineStr"/>
      <c r="I105" t="inlineStr">
        <is>
          <t>**Job Description**
 The Senior Data Engineer will play a foundational role in building and maintaining the data infrastructure that enables advanced analytics, machine learning, and decision intelligence across Ryan Companies. This role will focus on developing scalable, reliable data pipelines that ensure the quality, accessibility, and performance of data used across all of Ryan.
 The successful candidate will work cross\-functionally with data architects, AI/ML engineers, data scientists, analysts, and domain experts to design and implement modern data engineering solutions.
**Some Things You Can Expect To Do**
* Architect, build, and maintain scalable data pipelines on Google Cloud Platform (GCP), utilizing services like BigQuery, Dataflow, and Cloud Storage to handle diverse data sources (e.g., project systems, safety logs, IoT/sensor data).
* Design and implement effective data models, including star schemas and dimensional modeling, to support business intelligence and analytics.
* Develop and manage data warehousing solutions to ensure efficient data storage, retrieval, and cost\-effectiveness.
* Contribute to metadata management, data cataloging, and lineage tracking to enhance the discovery and transparency of enterprise data assets.
* Design and orchestrate robust ETL/ELT processes and data integration workflows using tools like Cloud Composer or Apache Airflow.
* Implement and manage both batch and real\-time data streaming pipelines to ensure timely and accurate data availability for downstream applications.
* Write clean, efficient, and well\-documented Python and SQL code to process and transform large, complex datasets.
* Monitor, troubleshoot, and optimize data pipeline performance, identifying and resolving bottlenecks to improve efficiency and scalability.
* Implement and maintain data quality frameworks to ensure the accuracy, consistency, and reliability of data across all systems.
* Develop and implement data validation and testing procedures to maintain the highest standards of data integrity.
* Establish and enforce data governance policies and best practices, ensuring all data handling is secure, private, and compliant with regulations.
* Build and maintain CI/CD pipelines for the automated testing and deployment of data engineering workflows.
* Support the deployment and monitoring of machine learning models by implementing reproducible and traceable data environments.
* Partner with DevOps and Technology teams to automate infrastructure provisioning, CI/CD processes, and data quality monitoring.
* Partner with Enterprise Architects, Solution Architects, data scientists, and analysts to understand data needs, design technical solutions, and translate business requirements into architectural designs.
* Lead the implementation of data solutions, from discovery and design through to deployment.
* Provide mentorship and guidance to other data engineers, fostering a culture of knowledge sharing and continuous improvement.
* Create and maintain clear documentation for architecture, schemas, and pipeline workflows to support team knowledge and onboarding.
**To Be Successful In This Role You Must Have**
* Bachelor’s or Master’s degree in Computer Science, Engineering, Information Systems, or a related technical field.
* 5\+ years of professional experience in data engineering or a similar role.
* Strong programming skills in Python, SQL, with experience using tools such as Cloud Composer.
* Proven experience designing and maintaining data pipelines using platforms such as GCP, AWS, Azure or similar.
* Experience building data infrastructure and services in cloud\-native environments (GCP preferred, with exposure to AWS).
* Familiarity with MLOps or experience supporting machine learning pipelines in production environments.
* Exposure to domain\-driven architecture.
* Strong collaboration and communication skills with a track record of partnering across functions to deliver high\-impact solutions.
**Compensation**
 The base pay range is $111,500 \- $139,400/Annually. The salary may vary within the anticipated range based on factors such as the ultimate location of the position and the selected candidate’s knowledge, skills, and abilities. Position may be eligible for additional compensation that may include commission and/or an incentive program.
**Eligibility**
 Position requires verification of employment to work in the U.S.
**Benefits**
* Competitive Salary
* Medical, Dental and Vision Benefits
* Retirement and Savings Benefits
* Flexible Spending and Health Savings Accounts
* Life Insurance
* Short\-Term and Long\-Term Disability
* Educational Assistance
* Paid Time Off (PTO)
* Employee Assistance and Wellness Programs
* Parenting Benefits
* Employee Discount Programs
* Pet insurance
* Ryan Foundation – charitable matching funds
* Paid Time for Volunteer Events
*Disclaimer: Eligibility may vary based on factors such as role, hours worked, employment status, length of service, location, and other considerations. Detailed information will be shared with eligible candidates during the hiring process, and the official terms and conditions will be outlined in each individual offer document.*
 Ryan Companies is an equal opportunity employer. We celebrate diversity and are committed to creating an inclusive environment for all employees.
**Non\-Solicitation Notice To Recruitment Agencies**
 Ryan Companies kindly requests that recruitment agencies and third\-party recruiters do not submit unsolicited resumes or candidate information to any Ryan Companies employee or office. Ryan Companies will not be responsible for any fees or expenses associated with unsolicited submissions. If recruitment services are required, we will reach out directly to agencies on our approved vendor list. We appreciate your understanding and cooperation.</t>
        </is>
      </c>
    </row>
    <row r="106">
      <c r="A106" t="inlineStr">
        <is>
          <t>li-4354421778</t>
        </is>
      </c>
      <c r="B106" t="inlineStr">
        <is>
          <t>Data Engineer</t>
        </is>
      </c>
      <c r="C106" t="inlineStr">
        <is>
          <t>Kharon</t>
        </is>
      </c>
      <c r="D106" t="inlineStr">
        <is>
          <t>linkedin</t>
        </is>
      </c>
      <c r="E106">
        <f>HYPERLINK("https://www.linkedin.com/jobs/view/4354421778", "https://www.linkedin.com/jobs/view/4354421778")</f>
        <v/>
      </c>
      <c r="F106" t="inlineStr"/>
      <c r="G106" t="inlineStr"/>
      <c r="H106" t="inlineStr"/>
      <c r="I106" t="inlineStr">
        <is>
          <t>**TL;DR** 
 Kharon is seeking a full\-time
 **Data Engineer** 
 based in
 **Denver, Colorado.** 
 This role requires in\-office attendance at least 4 days a week.
**RESPONSIBILITIES:** 
* Help build large\-scale distributed automated data processing systems and data lakes, while optimizing for both computational and storage efficiency on AWS Databricks.
* Create data pipelines, infrastructure, and overall workflow orchestration to pull data from a diverse set of data sources into the Kharon Data Lake.
* Build systems to track, monitor and validate the quality of data coming into or going out of Kharon Data Lake.
* Collaborate with engineers, architects, and data scientists to implement scalable solutions to solve complex problems.
* Interact and develop with internal and external APIs.
* Work with product and business teams to define novel and critical metrics for the business.
* Follow good engineering practices like documentation, diagrams, and unit/validation tests
* Take full responsibilities for the development, deployment, adoption monitoring and maintenance of the data systems and services you build.
**QUALIFICATIONS:** 
* 2\+ years of experience, not including internships as a software engineer or a data engineer and a strong passion to learn.
* BS/MS in Computer Science or equivalent experience in related fields.
* Experience in Python, Pandas, PySpark, and Notebooks.
* SQL knowledge and experience working with relational databases including schema design, access patterns, query performance optimization, etc.
* Experience with data pipeline technologies like AWS Glue, Airflow, Kafka, or other cloud based equivalence.
* Experience with ETL and data warehousing like Databricks, Snowflake, or equivalent.
* Container\-based deployment experience using Docker and Kubernetes.
* Strong verbal and written communication skills.
**NICE TO HAVE:** 
* Experience working with or data modeling for graph databases like Neo4J, Neptune, etc.
* API experience using FastAPI, Flask, Spring Boot or equivalent.
* Understanding of elasticsearch data and query modeling is a big plus.
* Interests or experience in Geopolitics, Sanction Compliance, or Financial Risk.
 Kharon is a highly disruptive and incredibly innovative organization that navigates risk at the intersection of global security threats \+ international commerce.
 What does that mean? Great question.
 Operating at the nexus of global security, Kharon is on a mission to revolutionize the current landscape. We take really complex data as it relates to global security and empower our clients to not only understand the risk associated with their potential business relationships but to operationalize that data so that they can make the best and most informed decisions possible.
 From financial crimes and sanctions to export controls and threat identifications, our tools optimize protection against the types of risks that could otherwise be incredibly dangerous and excessively costly to any business. Serving many of today’s leading global financial and multinational institutions, Kharon products are the most powerful in the space with a precision and depth that is absolutely unparalleled.
 When you look at any major global crisis event, we’re providing intelligence that’s at the heart of those circumstances. We connect the dots in a way that’s meaningful. Now, we’re experiencing unprecedented growth. As the world continues to evolve in complexity, so too does the demand for our products. Given the significance of our work and the increasing global reliance on our insights, we are looking for a Data Engineer to join us as we work to shape the way businesses perceive and navigate global risks.
 Reporting to the
 **Associate Director of Data Engineering** 
 , the Data Engineer will excel in designing, evaluating, and executing on solutions to open\-ended problems through superior analytical skills, resourcefulness, and tenacity. They will be innately curious and have demonstrated an entrepreneurial spirit through academic, professional, or extracurricular experiences. This person should be able to demonstrate their ability to quickly learn new skills and familiarize themselves with new subjects.
 To the right person, this will be the perfect kind of challenge. Our mission is compelling, our product is powerful, and we’re growing at a rate that makes us unstoppable. If you’re looking to be surrounded by people who will inspire you to think and challenge you to grow then look no further. Our team is made up of some of the most visionary and uncompromising individuals you will ever encounter. We don’t take ourselves seriously but we’re serious about the work we do and there is absolutely no slowing us down.
 To keep that momentum going, we do our very best to make sure that each and every team member is completely taken care of. We’re nothing without our people and we strive to offer a package that reflects that. As a Kharon team member, you can expect:
* Fully sponsored medical, dental, and vision
* FSA program for both medical and dependent care
* 401k \+ Roth with matching and immediate vesting
* Paid time off \+ 11 paid holidays
 The base salary range at Kharon is set between $120,000 \- $160,000\. Please note that this figure does not necessarily include potential bonuses, commissions, benefits, or equity that may be part of the overall compensation package.
 If interested in pursuing this position, please visit
 www.kharon.com
 to apply.
 Kharon is committed to cultivating and maintaining a workplace that is free from harassment and discrimination. All qualified applicants will receive consideration for employment without regard to race, religion, color, national origin, ethnicity, gender, gender identity or expression, sexual orientation or identity, neurodiversity, appearances, age, protected veteran status, or status as a qualified individual with disability.</t>
        </is>
      </c>
    </row>
    <row r="107">
      <c r="A107" t="inlineStr">
        <is>
          <t>li-4352656205</t>
        </is>
      </c>
      <c r="B107" t="inlineStr">
        <is>
          <t>Senior Marketing AI Data Engineer</t>
        </is>
      </c>
      <c r="C107" t="inlineStr">
        <is>
          <t>Samsara</t>
        </is>
      </c>
      <c r="D107" t="inlineStr">
        <is>
          <t>linkedin</t>
        </is>
      </c>
      <c r="E107">
        <f>HYPERLINK("https://www.linkedin.com/jobs/view/4352656205", "https://www.linkedin.com/jobs/view/4352656205")</f>
        <v/>
      </c>
      <c r="F107" t="inlineStr"/>
      <c r="G107" t="inlineStr"/>
      <c r="H107" t="inlineStr"/>
      <c r="I107"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Data and Analytics is a critical team within Marketing. Our mission is to enable revenue performance by providing marketing and sales teams with the insights, tools, infrastructure and consultation to make data\-driven decisions. We are a scrappy and growing team that loves all things data! The team will be composed of data engineers, analytics managers and data scientists. We are passionate about leveraging world\-class data and analytics to deliver a great customer experience.Our team promotes an agile, collaborative, supportive environment where diverse thinking, innovative design, and experimentation are welcomed and encouraged.
 This role is open to candidates residing in the US
 **except** 
 the San Francisco Bay Metro Area, NYC Metro Area, and Washington, D.C. Metro Area.
**You should apply if:**
* You want to impact the industries that run our world: Your efforts will result in real\-world impact – helping to keep the lights on, get food into grocery stores, reduce emissions, and most importantly, ensure workers return home safely.
* You are the architect of your own career: If you put in the work, this role won’t be your last at Samsara. We set up our employees for success and have built a culture that encourages rapid career development, countless opportunities to experiment and master your craft in a hyper growth environment.
* You’re energized by our opportunity: The vision we have to digitize large sectors of the global economy requires your full focus and best efforts to bring forth creative, ambitious ideas for our customers.
* You want to be with the best: At Samsara, we win together, celebrate together and support each other. You will be surrounded by a high\-calibre team that will encourage you to do your best.
**In this role, you will:**
* Architect and maintain complex marketing databases, datasets, pipelines and Samsara’s Customer Data Platform (CDP) to enable advanced segmentation, targeting, automation and analytics.
* Design and implement data infrastructure for AI/ML initiatives, including building pipelines for Generative AI applications, feature stores, and vector database integrations to support predictive modeling and personalization.
* Support the execution of expanding conversational BI and Ambient AI within the marketing organization in partnership with the BI team.
* Support in the automation of many manual tasks through the use of AI leading to efficiency gains for the whole marketing organization.
* Manage critical, high\-volume data pipelines to enable our growth initiatives and advanced analytics. Manage the SLAs for those data pipelines and constantly improve efficiency and data quality.
* Facilitate sophisticated data integration and transformation requirements for moving data between applications; ensuring interoperability of applications with data mart, AI models, and CDP environments.
* Autonomously partner directly with non\-technical stakeholders (Marketing, Sales, Ops) to translate ambiguous business questions into technical requirements and scalable data solutions without needing constant supervision.
* Write sophisticated yet optimized data transformations in Python/SQL to generate data products consumed by customer systems and Analytics, Marketing Operations, and Sales Operations teams.
* Mentor junior engineers, conduct code reviews, and help define best practices for the data engineering team.
**Minimum requirements for the role:**
* 5\+ years of working experience in a data engineering or data engineering adjacent role.
* Expert Python and SQL knowledge with strong hands\-on data modeling experience.
* Proven experience engineering data pipelines for AI/ML workloads (e.g., preparing unstructured data for LLMs, working with vector stores, or building feature engineering pipelines).
* Deep experience with data warehouse technical architectures, infrastructure components, ETL/ ELT and reporting/analytic tools.
* Hands\-on experience working with modern data technologies stack, such as Databricks, DBT, Google BigQuery, Redshift, RDS, Snowflake or similar solutions.
* Demonstrated ability to lead requirement gathering sessions independently, bridging the gap between business needs and technical implementation.
* Has demonstrated the ability to have exploratory conversations with stakeholders to understand further opportunities for automation across marketing.
* Familiarity with customer, marketing and/or web data.
* Experience integrating data from core Sales and Marketing platforms (e.g. Marketing Automation, CRM, and web analytics).
* Self\-starter, motivated, responsible, innovative and technology\-driven individual who performs well both independently and as a team member.
* A proactive problem solver and have good communication as well as project management skills to relay your findings and solutions across technical and non\-technical audiences.
**An ideal candidate also has:**
* Experience working with Databricks.
* Knowledge of Marketo, Salesforce.com and Google Analytics.
* Experience working with CDPs such as Hightouch, Segment, Lattice, Blueshift, Lytics or Adobe Real\-time CDP.
* Experience with data visualization tools and packages (e.g. Looker, Domo, Tableau, MixPanel).
* Familiarity with Marketing Technologies (MarTech stacks).
* Experience with MLOps principles and tools (e.g., MLflow, Kubeflow) and deploying models into production environments.
**Samsara’s Compensation Philosophy:** 
 Samsara’s compensation program is designed to deliver Total Direct Compensation (based on role, level, and geography) that is at or above market. We do this through our base salary \+ bonus/variable \+ restricted stock unit awards (RSUs) for eligible roles. For eligible roles, a new hire RSU award may be awarded at the time of hire, and additional RSU refresh grants may be awarded annually.
 We pay for performance, and top performers in eligible roles may receive above\-market equity refresh awards which allow employees to achieve higher market.
 The range of annual base salary for full\-time employees for this position is below. Please note that base pay offered may vary depending on factors including your city of residence, job\-related knowledge, skills, and experience.
 $112,455—$170,100 USD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**Benefits**
 Full time employees receive a competitive total compensation package along with employee\-led remote and flexible working, health benefits, and much, much more. Take a look at our Benefits site to learn more.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**Fraudulent Employment Offers**
 Samsara is aware of scams involving fake job interviews and offers. Please know we do not charge fees to applicants at any stage of the hiring process. Official communication about your application will only come from emails ending in ‘@samsara.com’ or ‘@us\-greenhouse\-mail.io’. For more information regarding fraudulent employment offers, please visit our blog post here.</t>
        </is>
      </c>
    </row>
    <row r="108">
      <c r="A108" t="inlineStr">
        <is>
          <t>li-4361148178</t>
        </is>
      </c>
      <c r="B108" t="inlineStr">
        <is>
          <t>Data Engineer II</t>
        </is>
      </c>
      <c r="C108" t="inlineStr">
        <is>
          <t>Centene Corporation</t>
        </is>
      </c>
      <c r="D108" t="inlineStr">
        <is>
          <t>linkedin</t>
        </is>
      </c>
      <c r="E108">
        <f>HYPERLINK("https://www.linkedin.com/jobs/view/4361148178", "https://www.linkedin.com/jobs/view/4361148178")</f>
        <v/>
      </c>
      <c r="F108" t="inlineStr"/>
      <c r="G108" t="inlineStr">
        <is>
          <t>Missouri, United States</t>
        </is>
      </c>
      <c r="H108" t="inlineStr"/>
      <c r="I108" t="inlineStr">
        <is>
          <t>You could be the one who changes everything for our 28 million members by using technology to improve health outcomes around the world. As a diversified, national organization, Centene's technology professionals have access to competitive benefits including a fresh perspective on workplace flexibility.
**Position Purpose** 
 Develops and operationalizes data pipelines to make data available for consumption (reports and advanced analytics), including data ingestion, data transformation, data validation / quality, data pipeline optimization, and orchestration. Engages with the DevSecOps Engineer during continuous integration and continuous deployment.
* Designs and implements standardized data management procedures around data staging, data ingestion, data preparation, data provisioning, and data destruction (scripts, programs, automation, assisted by automation, etc.)
* Designs, develops, implements, tests, documents, and operates large\-scale, high\-volume, high\-performance data structures for business intelligence analytics
* Designs, develops, and maintains real\-time processing applications and real\-time data pipelines
* Ensure quality of technical solutions as data moves across Centene’s environments
* Provides insight into the changing data environment, data processing, data storage, and utilization requirements for the company and offers suggestions for solutions
* Develops, constructs, tests, and maintains architectures using programming language and tools
* Identifies ways to improve data reliability, efficiency, and quality; use data to discover tasks that can be automated
* Performs other duties as assigned
* Complies with all policies and standards
**Education/Experience** 
 A Bachelor's degree in a quantitative or business field (e.g., statistics, mathematics, engineering, computer science) and requires 2 – 4 years of related experience.
 Or equivalent experience acquired through accomplishments of applicable knowledge, duties, scope and skill reflective of the level of this position.
**Technical Skills**
* One or more of the following skills are desired.
* Experience with Big Data; Data Processing
* Experience with Other diagnosing system issues, engaging in data validation, and providing quality assurance testing
* Experience with Data Manipulation; Data Mining
* Experience with Other
* Experience working in a production cloud infrastructure
* Experience with one or more of the following C\# (Programming Language); Java (Programming Language); Programming Concepts; Programming Tools; Python (Programming Language); SQL (Programming Language)
* Knowledge of Microsoft SQL Servers; SQL (Programming Language)
**Soft Skills**
* Intermediate \- Seeks to acquire knowledge in area of specialty
* Intermediate \- Ability to identify basic problems and procedural irregularities, collect data, establish facts, and draw valid conclusions
* Intermediate \- Ability to work independently
 Pay Range $63,600\.00 \- $114,600\.00 per year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including full\-time or part\-time status. Total compensation may also include additional forms of incentives. Benefits may be subject to program eligibility.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Qualified applicants with arrest or conviction records will be considered in accordance with the LA County Ordinance and the California Fair Chance Act</t>
        </is>
      </c>
    </row>
    <row r="109">
      <c r="A109" t="inlineStr">
        <is>
          <t>li-4354772920</t>
        </is>
      </c>
      <c r="B109" t="inlineStr">
        <is>
          <t>Oracle PL/SQL Data Engineer</t>
        </is>
      </c>
      <c r="C109" t="inlineStr">
        <is>
          <t>Jobs via Dice</t>
        </is>
      </c>
      <c r="D109" t="inlineStr">
        <is>
          <t>linkedin</t>
        </is>
      </c>
      <c r="E109">
        <f>HYPERLINK("https://www.linkedin.com/jobs/view/4354772920", "https://www.linkedin.com/jobs/view/4354772920")</f>
        <v/>
      </c>
      <c r="F109">
        <f>HYPERLINK("https://click.appcast.io/t/1k8dao7pl-aGi31nYNBQxdC8tDxulf8AGD7CbNFuGBs=&amp;urlHash=7jZW", "https://click.appcast.io/t/1k8dao7pl-aGi31nYNBQxdC8tDxulf8AGD7CbNFuGBs=&amp;urlHash=7jZW")</f>
        <v/>
      </c>
      <c r="G109" t="inlineStr">
        <is>
          <t>Boston, MA</t>
        </is>
      </c>
      <c r="H109" t="inlineStr"/>
      <c r="I109" t="inlineStr">
        <is>
          <t>RESPONSIBILITIES:
 Kforce has a client that is seeking an Oracle PL/SQL Data Engineer in Boston, MA.
 REQUIREMENTS:
* Bachelor's degree (or above) in either Engineering or Computer Science related field
* 12\+ years of experience as a software engineer, delivering software using agile development practices
* You can write highly performant and well written PLSQL with proficiency, quality and passion
* You have experiences and proficiency in performing data analysis
* Exposure to Snowflake, python and AWS to preferred
* Exposure to Continuous Integration \&amp; Continuous Delivery (CI/CD) practices specifically in the data engineering space
* Exposure to test automation frameworks that support all types of testing (unit, component, integration, system etc.) carried out through CI/CD pipelines
* You can use test\-driven approach to developing software and can build or contribute to automated testing frameworks that can detect any anomalies in functionality, performance and integration
* You are able to clearly document design options and decisions, and present these in an organized manner to technical as well as non\-technical audiences
* You are a strong contributor with a collaborative work style in building, designing and reviewing code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row r="110">
      <c r="A110" t="inlineStr">
        <is>
          <t>li-4351883981</t>
        </is>
      </c>
      <c r="B110" t="inlineStr">
        <is>
          <t>Sr. Data Engineer – Risk Technology</t>
        </is>
      </c>
      <c r="C110" t="inlineStr">
        <is>
          <t>Jobs via Dice</t>
        </is>
      </c>
      <c r="D110" t="inlineStr">
        <is>
          <t>linkedin</t>
        </is>
      </c>
      <c r="E110">
        <f>HYPERLINK("https://www.linkedin.com/jobs/view/4351883981", "https://www.linkedin.com/jobs/view/4351883981")</f>
        <v/>
      </c>
      <c r="F110" t="inlineStr"/>
      <c r="G110" t="inlineStr">
        <is>
          <t>Toronto, OH</t>
        </is>
      </c>
      <c r="H110" t="inlineStr"/>
      <c r="I110" t="inlineStr">
        <is>
          <t>Dice is the leading career destination for tech experts at every stage of their careers. Our client, iTech US, Inc., is seeking the following. Apply via Dice today!
**Position: Sr. Data Engineer – Risk Technology**
**Location: Toronto, Canada (Hybrid)**
**Contract: 12\+ Months**
**Must Have: 6\-12 years exp ideally. AWS expertise still a key focus**
**Job Description:**
**Role Overview:**
 We are seeking experienced Data Engineers to strengthen its data platform and execution capabilities. The role focuses on building resilient, scalable data pipelines while reducing operational friction and improving delivery discipline. This position is critical to enabling reliable risk analytics and supporting long\-term technology modernization initiatives.
**Key Responsibilities:**
* Design, build, and maintain cloud\-based data pipelines supporting risk and analytics use cases
* Own and troubleshoot production data issues, performing root\-cause analysis rather than reactive reruns
* Improve data quality, validation, and control frameworks, particularly around configuration and inputs
* Enhance orchestration and scheduling platforms (e.g., Airflow), including upgrades and stability improvements
* Partner with business and risk stakeholders to understand “why” behind requests and propose durable solutions
* Reduce manual operational effort through automation, self\-service workflows, and auditability
* Contribute to planning, estimation, and delivery discipline for technology initiatives
* Support a hybrid operating model alongside offshore teams while driving higher standards of ownership and execution
**Required Skills \&amp; Experience:**
* Strong experience as a Data Engineer in complex, enterprise environments
* Hands\-on expertise with AWS data services and cloud\-native architectures
* Proven experience building and operating large\-scale data pipelines
* Solid knowledge of workflow orchestration tools (Airflow or equivalent)
* Strong SQL and data processing skills; experience with structured and semi\-structured data
* Demonstrated ability to diagnose issues end\-to\-end and implement permanent fixes
* Experience working in regulated, risk, or financial services environments preferred
**Key Attributes:**
* Strong critical thinking and problem\-solving mindset
* Comfortable challenging requirements and asking the right questions before execution
* Ability to balance production support with strategic engineering work
* Proactive, ownership\-driven approach to delivery
* Clear communicator able to collaborate across technology and business teams
**Education:** 
 At least a bachelor’s degree (or equivalent experience) in Computer Science, Software/Electronics Engineering, Information Systems, or closely related field is required.</t>
        </is>
      </c>
    </row>
    <row r="111">
      <c r="A111" t="inlineStr">
        <is>
          <t>li-4351893637</t>
        </is>
      </c>
      <c r="B111" t="inlineStr">
        <is>
          <t>Data Engineer With Unity Catalog Experience</t>
        </is>
      </c>
      <c r="C111" t="inlineStr">
        <is>
          <t>Jobs via Dice</t>
        </is>
      </c>
      <c r="D111" t="inlineStr">
        <is>
          <t>linkedin</t>
        </is>
      </c>
      <c r="E111">
        <f>HYPERLINK("https://www.linkedin.com/jobs/view/4351893637", "https://www.linkedin.com/jobs/view/4351893637")</f>
        <v/>
      </c>
      <c r="F111">
        <f>HYPERLINK("https://click.appcast.io/t/1bv6jgRisqjkaQfLdLH4-X7iIjIeqBgIYSDjtRnp0FU=&amp;urlHash=kReb", "https://click.appcast.io/t/1bv6jgRisqjkaQfLdLH4-X7iIjIeqBgIYSDjtRnp0FU=&amp;urlHash=kReb")</f>
        <v/>
      </c>
      <c r="G111" t="inlineStr">
        <is>
          <t>Plantation, FL</t>
        </is>
      </c>
      <c r="H111" t="inlineStr"/>
      <c r="I111" t="inlineStr">
        <is>
          <t>Dice is the leading career destination for tech experts at every stage of their careers. Our client, 3Core Systems, Inc, is seeking the following. Apply via Dice today!
**3Core Systems, Inc** 
 is an SAP and Success Factors Partner with employees located across the United States. Our organization is dedicated to customer and employee satisfaction. We provide High Quality, Cost efficient and Competitive Solutions and Resources.
 3Core Systems is looking for
 **Data Engineer With Unity Catalog Experience** 
 for one of our clients in
 **PLANTATION, FLORIDA, 4 DAYS ONSITE**
**ROLE: Data Engineer With Unity Catalog Experience**
**LOCATION: PLANTATION, FLORIDA, 4 DAYS ONSITE**
**DURATION: LONG TERM**
* Data Platform Infrastructure \&amp; DevOps
* Administer, optimize, and scale our Databricks Lakehouse environment, ensuring high performance, cost efficiency, and operational excellence.
* Develop, maintain, and enhance our data platform infrastructure and security configurations using Terraform .
* This includes provisioning Databricks workspaces, SQL Endpoints, Unity Catalog objects, and network components.
* Manage and enforce Unity Catalog for data governance, access control, and metadata management.
* Implement and manage CI/CD pipelines for data pipelines, dbt projects, and infrastructure deployments using GitHub Actions .
* Automate operational tasks, monitoring, and alerting for the data platform.
* Implement and enforce DevSecOps principles, working closely with security teams to ensure compliance and manage/rotate credentials securely.
* Data Engineering \&amp; Pipeline Development
* Design and implement data ingestion patterns into Databricks using Delta Lake, optimizing for large\-scale data processing and storage.
* Develop, optimize, and troubleshoot complex Spark Jobs (PySpark/Scala) for data processing and transformation within Databricks.
* Manage and extend data ingestion pipelines using Airbyte (or similar modern tools like Fivetran, Stitch), including configuring connectors, monitoring syncs, and ensuring data quality and reliability from diverse source systems (e.g., ERP, CRM, marketing, supply chain).
* Orchestrate and automate data pipelines and dbt models using Databricks Workflows and potentially integrating with other orchestration tools.
* Data Modeling \&amp; Collaboration
* Collaborate with Analytics Engineers to translate business requirements into efficient and scalable data models using DBT (Data Build Tool).
* Implement dbt best practices for modularity, testing, documentation, and version control, ensuring seamless integration with Databricks.
* Partner effectively with Analytics Engineers, Data Scientists, and business stakeholders to deliver high\-quality data solutions.
* Provide technical guidance and mentorship to junior team members, and champion data engineering best practices, code quality, and documentation standards.
**Qualifications \&amp; Skills**
* Education: Bachelor's degree in Computer Science, Data Engineering, or a related technical field required.
* Experience: 5\+ years of progressive experience as a Data Engineer, with a strong focus on cloud\-based data platforms.
* Deep Databricks Expertise: Extensive experience with Spark (PySpark/Scala), Delta Lake, Unity Catalog, Databricks SQL, and platform administration.
* Data Modeling: Proven experience with dbt for data modeling, transformation, and testing.
* Infrastructure as Code (IaC): Strong proficiency with Terraform for defining, provisioning, and managing cloud infrastructure and Databricks resources as code.
* DevOps \&amp; CI/CD: Expertise in Git and GitHub Actions for version control and implementing robust CI/CD pipelines.
* Programming: Proficiency in SQL and at least one programming language (Python strongly preferred, Scala is a plus).
* Data Architecture: Solid understanding of data warehousing, data lake, and lakehouse architectures.
**Please send your resumes to: Venu at 3coresystems.com**
**Contact: (630\) (971\) (5271\)**
**Regards,**
**Recruiting Team**
**3Core Systems Inc**
**9101 Burnet Road, Suite 207, Austin, TX 78758**
**URL: www. 3coresystems. com**
**3Core Systems, Inc**
**Web: http://www.3coresystems. com**</t>
        </is>
      </c>
    </row>
    <row r="112">
      <c r="A112" t="inlineStr">
        <is>
          <t>li-4354812675</t>
        </is>
      </c>
      <c r="B112" t="inlineStr">
        <is>
          <t>Lead AWS Data Engineer</t>
        </is>
      </c>
      <c r="C112" t="inlineStr">
        <is>
          <t>Jobs via Dice</t>
        </is>
      </c>
      <c r="D112" t="inlineStr">
        <is>
          <t>linkedin</t>
        </is>
      </c>
      <c r="E112">
        <f>HYPERLINK("https://www.linkedin.com/jobs/view/4354812675", "https://www.linkedin.com/jobs/view/4354812675")</f>
        <v/>
      </c>
      <c r="F112">
        <f>HYPERLINK("https://click.appcast.io/t/Vf_Fj59e7PXerr0ZXwdaCOAqa6Fha54XeOOSvYVgeKI=&amp;urlHash=k1un", "https://click.appcast.io/t/Vf_Fj59e7PXerr0ZXwdaCOAqa6Fha54XeOOSvYVgeKI=&amp;urlHash=k1un")</f>
        <v/>
      </c>
      <c r="G112" t="inlineStr">
        <is>
          <t>St Louis, MO</t>
        </is>
      </c>
      <c r="H112" t="inlineStr"/>
      <c r="I112" t="inlineStr">
        <is>
          <t>Dice is the leading career destination for tech experts at every stage of their careers. Our client, Federal Soft Systems Inc., is seeking the following. Apply via Dice today!
**Position Title: Lead AWS Data Engineer**
**Location: St. Louis, MO**
**FTE**
**Job Description**
**Design and build scalable, cloud\-native data platforms using PySpark, Python, and modern data engineering practices.**
**Mentor and guide other engineers, sharing knowledge, reviewing code, and fostering a culture of curiosity, growth, and continuous improvement.**
**Create robust, maintainable ETL/ELT pipelines that integrate with diverse systems and serve business\-critical use cases.**
**Lead by example write high\-quality, testable code and participate in architecture and design discussions with a long\-term view in mind.**
**Decompose complex problems into modular, efficient, and scalable components that align with platform and product goals.**
**Champion best practices in data engineering, including testing, version control, documentation, and performance tuning.**
**Drive collaboration across teams, working closely with product managers, data scientists, and other engineers to deliver high\-impact solutions.**
**Support data governance and quality efforts, ensuring data lineage, cataloging, and access management are built into the platform.**
**Continuously learn and apply new technologies, frameworks, and tools to improve team productivity and platform reliability.**
**Own and optimize cloud infrastructure components related to data engineering workflows, storage, processing, and orchestration.**
**Participate in architectural discussions, iteration planning, and feature sizing meetings**
**Adhere to Agile processes and participate actively in agile ceremonies**</t>
        </is>
      </c>
    </row>
    <row r="113">
      <c r="A113" t="inlineStr">
        <is>
          <t>li-4354413144</t>
        </is>
      </c>
      <c r="B113" t="inlineStr">
        <is>
          <t>AWS Data Engineer with Kafka</t>
        </is>
      </c>
      <c r="C113" t="inlineStr">
        <is>
          <t>Jobs via Dice</t>
        </is>
      </c>
      <c r="D113" t="inlineStr">
        <is>
          <t>linkedin</t>
        </is>
      </c>
      <c r="E113">
        <f>HYPERLINK("https://www.linkedin.com/jobs/view/4354413144", "https://www.linkedin.com/jobs/view/4354413144")</f>
        <v/>
      </c>
      <c r="F113">
        <f>HYPERLINK("https://click.appcast.io/t/Rm9aTZxaJv0YVJgM4cit7WAtCPbomU0Sr8tW44elRGE=&amp;urlHash=5kVU", "https://click.appcast.io/t/Rm9aTZxaJv0YVJgM4cit7WAtCPbomU0Sr8tW44elRGE=&amp;urlHash=5kVU")</f>
        <v/>
      </c>
      <c r="G113" t="inlineStr">
        <is>
          <t>Charlotte, NC</t>
        </is>
      </c>
      <c r="H113" t="inlineStr"/>
      <c r="I113" t="inlineStr">
        <is>
          <t>Dice is the leading career destination for tech experts at every stage of their careers. Our client, SYSTEM SOFT TECHNOLOGIES LLC, is seeking the following. Apply via Dice today!
**Responsibilities and Qualifications for AWS Data Engineers with Kafka:**
* 5\+ years of experience as a Data Engineer
* Strong experience with AWS cloud services
* Work with Amazon MSK (Managed Streaming for Kafka), Build data lakes using Amazon S3 and develop ETL jobs using AWS Glue
* Query data using Amazon Athena / Redshift
* Use Lambda, Step Functions, and EventBridge where applicable
* Hands\-on experience with Apache Kafka or Amazon MSK
* Proficiency in Python, Java, or Scala
* Strong SQL skills</t>
        </is>
      </c>
    </row>
    <row r="114">
      <c r="A114" t="inlineStr">
        <is>
          <t>li-4354812670</t>
        </is>
      </c>
      <c r="B114" t="inlineStr">
        <is>
          <t>Senior Data Engineer - Newport Beach, CA (Onsite 4 days /Hybrid)</t>
        </is>
      </c>
      <c r="C114" t="inlineStr">
        <is>
          <t>Jobs via Dice</t>
        </is>
      </c>
      <c r="D114" t="inlineStr">
        <is>
          <t>linkedin</t>
        </is>
      </c>
      <c r="E114">
        <f>HYPERLINK("https://www.linkedin.com/jobs/view/4354812670", "https://www.linkedin.com/jobs/view/4354812670")</f>
        <v/>
      </c>
      <c r="F114">
        <f>HYPERLINK("https://click.appcast.io/t/RQQ5_Z79fZ_L2dCvWZYUjFxonrp6U11LW8sSYWxYSPI=&amp;urlHash=mFu6", "https://click.appcast.io/t/RQQ5_Z79fZ_L2dCvWZYUjFxonrp6U11LW8sSYWxYSPI=&amp;urlHash=mFu6")</f>
        <v/>
      </c>
      <c r="G114" t="inlineStr">
        <is>
          <t>Newport Beach, CA</t>
        </is>
      </c>
      <c r="H114" t="inlineStr"/>
      <c r="I114" t="inlineStr">
        <is>
          <t>Dice is the leading career destination for tech experts at every stage of their careers. Our client, InfiCare Technologies, is seeking the following. Apply via Dice today!
**Job Title** 
 :
 **Senior Data Engineer**
**Location: Newport Beach, CA (Onsite 4 days /Hybrid)**
**Duration: Long Term Contract**
**Senior Data Engineer** 
 to design, build, and optimize data pipelines and workflows for enterprise\-scale analytics and reporting. The ideal candidate will have deep expertise in Python, Snowflake, ETL frameworks, and Airflow orchestration, with a strong understanding of modern data platforms and cloud environments.
**Key Responsibilities:**
* Design and implement scalable ETL/ELT pipelines for structured and semi\-structured data using Python and Airflow.
* Develop and maintain Snowflake\-based data warehouses
* Integrate data from multiple sources (cloud storage, APIs, databases) into unified data models.
* Implement data quality checks, monitoring, and alerting for pipeline health.
* Collaborate with data architects, analysts, and business stakeholders to deliver reliable data solutions.
* Ensure compliance with data governance, security, and regulatory standards.
* Optimize workflows for high\-volume, near real\-time data processing.
* Troubleshoot and resolve production issues related to data ingestion and transformation.
**Required Skills \&amp; Qualifications**
* 7\+ years of experience in data engineering or related roles.
* Strong proficiency in Python for data processing and automation.
* Hands\-on experience with Snowflake (data modeling, performance tuning, security).
* Expertise in ETL/ELT design and orchestration using Apache Airflow.
* Solid understanding of SQL and query optimization.
* Experience with cloud platforms (AWS, Azure, or Google Cloud Platform) and storage services (S3, ADLS).
* Familiarity with CI/CD pipelines, version control (Git), and DevOps practices.
* Knowledge of data governance, compliance frameworks (GDPR, HIPAA, PCI\-DSS).
* Excellent problem\-solving and communication skills.
* Exposure to data lake architectures and streaming frameworks.</t>
        </is>
      </c>
    </row>
    <row r="115">
      <c r="A115" t="inlineStr">
        <is>
          <t>li-4360756299</t>
        </is>
      </c>
      <c r="B115" t="inlineStr">
        <is>
          <t>Engineering Manager (Assistant Director for Data Engineering)</t>
        </is>
      </c>
      <c r="C115" t="inlineStr">
        <is>
          <t>SEIU</t>
        </is>
      </c>
      <c r="D115" t="inlineStr">
        <is>
          <t>linkedin</t>
        </is>
      </c>
      <c r="E115">
        <f>HYPERLINK("https://www.linkedin.com/jobs/view/4360756299", "https://www.linkedin.com/jobs/view/4360756299")</f>
        <v/>
      </c>
      <c r="F115" t="inlineStr"/>
      <c r="G115" t="inlineStr">
        <is>
          <t>Washington, DC</t>
        </is>
      </c>
      <c r="H115" t="inlineStr"/>
      <c r="I115" t="inlineStr">
        <is>
          <t>**SEIU (Service Employees International Union)**
**Job Title:**
 Engineering Manager (Assistant Director for Data Engineering) 
**Location:** 
 Washington D.C                        
**Grade:**
 MGMT F
**Annual Salary:**
 $132,301\.48
**Organizational Overview:**
 We are the Service Employees International Union (SEIU), a union of about 2 million diverse members in healthcare, the public sector, and property services. We believe in and fight for our Vision for a Just Society: where all workers are valued and all people respected, no matter where we come from or what color we are; where all families and communities can thrive; and where we leave a better and more equitable world for generations to come. We are an anti\-racist union determined to check corporate power and uproot structural racism through unions, worker power, collective action, and government, legislative, and political action. We fight for Unions for All and a Government that Works for All so that all of us, across race and place, can have power together in unions and participate fully in our democracy.
**Purpose:**
 The Engineering Manager leads the data engineering team in the Data Systems and Analytics Department (DSA). This position will oversee the analytics tech stack that services multiple departments in SEIU. The Engineering Manager will split their time between writing code and playing a key role in developing and guiding engineers.
**Primary Duties and Responsibilities:**
 (Any one position may not include all of the specific duties and responsibilities listed. Examples provide a general summary of the work required and should not be treated as a total and complete list of expected duties to be performed by employees in the classification).
 Leads and manages the team that is responsible for working with teams across DSA and SEIU to build out the infrastructure needed to make data available. Primary responsibilities include:
* Supervise the data engineer(s) with an emphasis on helping them grow their technical and professional skills
* Build and maintain systems to make data available to everyone in DSA and extend self\-service capabilities to key stakeholders
* Design data infrastructure that is reliable and secure, while also being a judicious use of SEIU resources
* Work with other SEIU Departments to design and build data systems for high\-priority campaigns
* Consult on new projects under the guidance of the DSA Deputy Director of Analytics and Engineering and in collaboration with internal teams and external stakeholders on creative solutions to engineering challenges
* Use of Agile practices to document and monitor the progress of development.
* Review code to ensure that SEIU is using development best practices.
* Performs other duties as required to support the department and its mission
**Contacts:**
 Includes SEIU staff, affiliate staff, local union staff, SEIU field staff, and outside partners and vendors.
**Direction and Decision Making:**
 This position reports to the DSA Deputy Director of Analytics and Engineering in the Data Systems and Analytics Department. Exercises independent judgment and makes decisions that may determine the success or failure of SEIU’s data engineering program.
**Education and Experience:**
 At least 6 years of related work experience and 1 year of supervisory experience or or combination of education and experience that would provide for the following knowledge, skills, and abilities:
* Strong technical background in building data pipelines and ETL/ELT workflows
* Experience managing multiple stakeholders and external vendors and can clearly articulate risks and dependencies on projects
* 6\+ years of experience working primarily in Data/Analytics Engineering
* A deep understanding of SQL and popular data warehouses, such as Redshift
* 3\+ years of experience with Python 3 (3\.6\+ preferred)
* Strong understanding of REST API Interactions including familiarity with concepts like: Query Parameters, Error Handling, JSON, OpenAPI/SwaggerUI, REST Verbs
* Familiarity with Analytics, streaming, ETL/ELT, and/or Member Data Management concepts
* Experience in an Agile Environment, preferably using JIRA
* A high level of judgment, leadership, and commitment to the goals of SEIU and its leaders, including SEIU’s goal of becoming an anti\-racist organization
 Preferred Skills
* Experience with: AWS (EKS, S3, EC2, MSK, Aurora, EBS, Lambda), Github, Airbyte, DBT, Prefect
* Experience with moderate to large codebases and microservices
* Knowledge of labor unions and their operations is helpful
**Physical Requirements:** 
 Work is generally performed in an office setting. Extended hours and extensive travel required.
 SEIU is committed to building a diverse and inclusive workforce. We strongly encourage applications from people of color, women, LGBTQ\+ individuals, people with disabilities, members of ethnic minorities, foreign\-born residents, and veterans. SEIU is an equal opportunity employer.
 Equal Opportunity Employer
 This employer is required to notify all applicants of their rights pursuant to federal employment laws.
 For further information, please review the Know Your Rights notice from the Department of Labor.</t>
        </is>
      </c>
    </row>
    <row r="116">
      <c r="A116" t="inlineStr">
        <is>
          <t>li-4351893648</t>
        </is>
      </c>
      <c r="B116" t="inlineStr">
        <is>
          <t>Data Engineer _ W2 Role</t>
        </is>
      </c>
      <c r="C116" t="inlineStr">
        <is>
          <t>Jobs via Dice</t>
        </is>
      </c>
      <c r="D116" t="inlineStr">
        <is>
          <t>linkedin</t>
        </is>
      </c>
      <c r="E116">
        <f>HYPERLINK("https://www.linkedin.com/jobs/view/4351893648", "https://www.linkedin.com/jobs/view/4351893648")</f>
        <v/>
      </c>
      <c r="F116" t="inlineStr"/>
      <c r="G116" t="inlineStr">
        <is>
          <t>Columbus, OH</t>
        </is>
      </c>
      <c r="H116" t="inlineStr"/>
      <c r="I116" t="inlineStr">
        <is>
          <t>Dice is the leading career destination for tech experts at every stage of their careers. Our client, SUNRAY INFORMATICS, is seeking the following. Apply via Dice today!
 Title: Data Engineer
 Location: Columbus, OH
**Basic Qualifications:**
* Bachelor's Degree in computer science, statistics or related field, or equivalent related work experience.
* 4\+ years of related experience in data management disciplines including data integration, modeling, optimization and data quality, and/or other areas directly relevant to data engineering responsibilities and tasks
* 4\+ years of experience working in cross\-functional teams and collaborating with business stakeholders in support of a departmental and/or multi\-departmental data management and analytics initiative, experience with data preparation tools and database programming languages
**Qualifications:**
* Master's degree in computer science, statistics or related field
* Hands on data testing experience
* Strong experience with data engineering tooling (e.g., Glue, Landa, Athena, AWS)
* Strong experience with open\-source and commercial data science platforms
* Learn and/or Agile methodology
* Strong experience with various Data Management architectures and processes
* Strong ability to design, build and manage data pipelines for data
* Strong experience in working with large, heterogeneous datasets in building and optimizing data pipelines, pipeline architectures and integrated datasets
* Demonstrated success in working with large, heterogeneous datasets to extract business value
* Strong experience in working with DevOps capabilities like version control, automated builds, testing and release management capabilities
* Demonstrated ability to communicate complex results to technical and non\-technical audiences
* Demonstrated ability to work effectively in teams as well as independently across multiple tasks while meeting aggressive timelines
* Strategic, intellectually curious thinker with focus on outcomes
* Professional image with the ability to form relationships across functions
* Willingness and ability to learn new technologies on the job
***Best Regards***
***Naveen Pulletikurthi***
***Sr Recruiter***
***Sunray Informatics Inc***
***Direct No: (609\)\-(596\)\-(3878\)***
***Email:***</t>
        </is>
      </c>
    </row>
    <row r="117">
      <c r="A117" t="inlineStr">
        <is>
          <t>li-4360788117</t>
        </is>
      </c>
      <c r="B117" t="inlineStr">
        <is>
          <t>Cloud Data Engineer (Hybrid)</t>
        </is>
      </c>
      <c r="C117" t="inlineStr">
        <is>
          <t>Globe Life</t>
        </is>
      </c>
      <c r="D117" t="inlineStr">
        <is>
          <t>linkedin</t>
        </is>
      </c>
      <c r="E117">
        <f>HYPERLINK("https://www.linkedin.com/jobs/view/4360788117", "https://www.linkedin.com/jobs/view/4360788117")</f>
        <v/>
      </c>
      <c r="F117">
        <f>HYPERLINK("https://careers.globelifeinsurance.com/jobs/job-details/information-systems-architecture-job-jr100106?searchSource=c&amp;jobid=JR100106&amp;urlHash=Iyje", "https://careers.globelifeinsurance.com/jobs/job-details/information-systems-architecture-job-jr100106?searchSource=c&amp;jobid=JR100106&amp;urlHash=Iyje")</f>
        <v/>
      </c>
      <c r="G117" t="inlineStr">
        <is>
          <t>McKinney, TX</t>
        </is>
      </c>
      <c r="H117" t="inlineStr"/>
      <c r="I117" t="inlineStr">
        <is>
          <t>**Job Description**
 Cloud Data Engineer (Hybrid)
**Primary Duties \&amp; Responsibilities**
 At Globe Life, we are committed to empowering our employees with the support and opportunities they need to succeed at every stage of their career. We take pride in fostering a caring and innovative culture that enables us to collectively grow and overcome challenges in a connected, collaborative, and mutually respectful environment that calls us to help Make Tomorrow Better.
**Role Overview**
 Could you be our next
 **Cloud Data Engineer** 
 ? Globe Life is looking for a
 **Cloud Data Engineer** 
 to join the team!
 In this role, you will be responsible for supporting Cloud Data Management and Advanced Analytics platforms. In this role, an employee will work with data services, data analysts, and the data scientist team(s) to help the organization build out secure, scalable, fault\-tolerant, and high\-performing cloud\-based architecture to enable and sustain data\-driven decisions.
**This is a hybrid position located in McKinney, Texas ( WFH Monday \&amp; Friday, In Office Tuesday\-Thursday)** 
**.**
**What You Will Do**
* Design, implement, and support various database services of our Cloud Platform.
* Provide technological guidance on Data Lake and Enterprise Data Warehouse design, development, implementation, and monitoring.
* Understand, design, and implement Data Security around cloud infrastructures.
* Provide support and guidance to Data Services and other application development teams on various AWS Database Products.
* Collaborate with leadership on process improvements and strategic initiatives for the Cloud Platform.
**What You Can Bring**
* Bachelor's degree in Computer Science/Engineering, Information Systems, or equivalent work experience in a technical position.
* 5\+ years of experience in Information Technology.
* 3\+ years of experience in Database Engineering, primarily in AWS Redshift, RDS/Aurora, DynamoDB, DMS, and Glue.
* Proven experience in building data pipelines and database applications
* Strong coding and scripting experience with Python, PowerShell, or similar languages.
* Experience in implementing Amazon EMR or Big Data technologies like Hadoop, Spark, Presto, Hive will be a plus
* Prior domain experience in Life Insurance, Annuity, or Financial Services is a plus.
* AWS Certifications are considered a strong plus.
* Extensive hands\-on experience including design and implementation across a broad range of database services on Amazon Web Services (AWS).
* Experience with AWS Database Migration Service (AWS DMS) and migrating RDBMS (SQL Server/Oracle) from On\-premise to AWS (Aurora/Redshift).
* Solid understanding of various Data Management and Data Pipeline tools available in AWS.
* Working knowledge of primary AWS Services like S3, Lambda, Batch, Glue, Athena, EC2, EBS, CloudWatch, CloudTrail, ECS, ECR, EMR, IAM, SNS, etc.
* Development experience with any major ETL tool, preferably Informatica.
* Good understanding of implementing data lake and data warehouse in the Cloud.
* Experience in creating and deploying CloudFormation Templates (CFTs)
* Experience with Lifecycle Management of S3 Buckets.
* Clear Understanding of Cloud Databases Security involving AWS IAM Users and access, IAM Roles and Policies, Federated Users and permissions.
* Good Understanding of AWS Encryption methodologies and AWS KMS Services.
* Experience with database performance testing and capacity planning.
* Working knowledge and experience with software development life cycle (SDLC) and agile/iterative methodologies.
* Experience with implementing Big Data technologies, such as Hadoop, Spark, Presto, Hive, and Hue, will be a major advantage.
* Knowledge of AWS Machine Learning Offerings is a plus
* Experience with any Data Visualization tools is a plus
* Excellent verbal and written communication skills.
* Ability to work independently and as part of a team.
**Applicable To All Employees of Globe Life Family of Companies:**
* Reliable and predictable attendance of your assigned shift.
* Ability to work full time and/or part time based on the position specifications.
**How Globe Life Will Support You**
 Looking to continue your career in an environment that values your contribution and invests in your growth? We've curated a benefits package that helps to ensure that you don’t just work, but thrive at Globe Life:
* Competitive compensation designed to reflect your expertise and contribution.
* Comprehensive health, dental, and vision insurance plans because your well\-being is fundamental to your performance.
* Robust life insurance benefits and retirement plans, including company\-matched 401k and pension plan.
* Paid holidays and time off to support a healthy work\-life balance.
* Parental leave to help our employees welcome their new additions.
* Subsidized all\-in\-one subscriptions to support your fitness, mindfulness, nutrition, and sleep goals.
* Company\-paid counseling for assistance with mental health, stress management, and work\-life balance.
* Continued education reimbursement eligibility and company\-paid FLMI and ICA courses to grow your career.
* Discounted Texas Rangers tickets for a proud visit to Globe Life Field.
 Opportunity awaits! Invest in your professional legacy, realize your path, and see the direct impact you can make in a workplace that celebrates and harnesses your unique talents and perspectives to their fullest potential. At Globe Life, your voice matters.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2026-01-13T04:02:51Z</dcterms:created>
  <dcterms:modified xsi:type="dcterms:W3CDTF">2026-01-13T04:02:51Z</dcterms:modified>
</cp:coreProperties>
</file>