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7"/>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in-3cb3f19a9293a483</t>
        </is>
      </c>
      <c r="B2" t="inlineStr">
        <is>
          <t>Sr Data Scientist- Assortment and Space Planning (Core ML)</t>
        </is>
      </c>
      <c r="C2" t="inlineStr">
        <is>
          <t>The Home Depot</t>
        </is>
      </c>
      <c r="D2" t="inlineStr">
        <is>
          <t>indeed</t>
        </is>
      </c>
      <c r="E2" t="inlineStr"/>
      <c r="F2" t="inlineStr"/>
      <c r="G2" t="inlineStr">
        <is>
          <t>Atlanta, GA, US</t>
        </is>
      </c>
      <c r="H2" s="2" t="n">
        <v>46063</v>
      </c>
      <c r="I2" t="inlineStr">
        <is>
          <t>**Position Purpose:**
We are transforming how merchandising decisions are made through AI\-powered solutions and automation. This Sr. Data Scientist plays a key role to build scalable, mathematical algorithms in production that directly impact retail and merchandising by solving complex, high\-value business problems. The position focuses on science\-driven models, operating at the intersection of data science, process automation, cloud deployment, and software production to deliver reliable decision systems that increase efficiency and improve customer experience.
This role leads Machine Learning initiatives end\-to\-end, from cross\-functional collaboration and business problem framing through technical design, development, deployment, and ongoing monitoring and enhancement. The Sr. Data Scientist partners closely with product managers, software engineers, and business stakeholders to identify high\-impact opportunities, translate into technical requirements, and deliver scalable solutions in production. The role is responsible for communicating insights and recommendations to both technical and non\-technical audiences, mentoring data scientists on projects, and ensuring models perform effectively based on real\-world outcomes.
 **Key Responsibilities:**
* 35% Solution Development \- Proficiently design and develop algorithms and models to use against large datasets to create business insights; Execute tasks with high levels of efficiency and quality; Make appropriate selection, utilization and interpretation of advanced analytical methodologies; Effectively communicate insights and recommendations to both technical and non\-technical leaders and business customers/partners; Prepare reports, updates and/or presentations related to progress made on a project or solution; Clearly communicate impacts of recommendations to drive alignment and appropriate implementation
* 30% Project Management \&amp; Team Support \- Work with project teams and business partners to determine project goals; Provide direction on prioritization of work and ensure quality of work; Provide mentoring and coaching to more junior roles to support their technical competencies; Collaborate with managers and team in the distribution of workload and resources; Support recruiting and hiring efforts for the team
* 20% Business Collaboration \- Leverage extensive business knowledge into solution approach; Effectively develop trust and collaboration with internal customers and cross\-functional teams; Provide general education on advanced analytics to technical and non\-technical business partners; Deep understanding of IT needs for the team to be successful in tackling business problems; Actively seek out new business opportunities to leverage data science as a competitive advantage
* 15% Technical Exploration \&amp; Development \- Seek further knowledge on key developments within data science, technical skill sets, and additional data sources; Participate in the continuous improvement of data science and analytics by developing replicable solutions (for example, codified data products, project documentation, process flowcharts) to ensure solutions are leveraged for future projects; Define best practices and develop clear vision for data analysis and model productionalization; Contribute to library of reusable algorithms for future use, ensuring developed codes are documented
 **Direct Manager/Direct Reports:**
* This position reports to manager or above
* This position has 0 Direct Reports
 **Travel Requirements:**
* Typically requires overnight travel less than 10% of the time.
 **Physical Requirements:**
* Most of the time is spent sitting in a comfortable position and there is frequent opportunity to move about. On rare occasions there may be a need to move or lift light articles.
 **Working Conditions:**
* Located in a comfortable indoor area. Any unpleasant conditions would be infrequent and not objectionable.
 **Minimum Qualifications:**
* Must be eighteen years of age or older.
* Must be legally permitted to work in the United States.
 **Preferred Qualifications:**
* Master’s or PhD in Data Science, Statistics, Economics, Applied Math, Engineering, or other quantitative and engineering fields.
* 6\+ years of hands\-on experience developing and deploying Machine Learning models into production environments and integrating into scalable data pipelines and decision systems (e.g., via APIs, microservices, or batch pipelines), ensuring reliability, scalability, traceability, and interoperability.
* Deep expertise in causal inference (e.g., Difference\-in\-Differences, Double ML, Synthetic Control) and discrete choice models, including elasticity, substitution and demand transfer.
* Solid foundation in machine learning models (e.g., regularized regression, tree\-based methods such as XGBoost, and neural networks)
* Strong experience with forecasting models (e.g., time\-series forecasting. ARIMA, Bayesian and probabilistic methods or deep learning\-based approaches).
* Strong understanding of data structures, and modern cloud ecosystems (GCP, AWS, etc.).
* Proficient with data visualization software (preferably Tableau).
* Familiarity with GenAI, LLM and Agentic framework, with experience integrating LLM\-based reasoning into ML\-driven solutions.
* Comfortable collaborating with front\-end developers or building light UI prototypes (e.g., Streamlit, React).
* Demonstrated strength in business communication and technical leadership, with the ability to clearly explain complex statistical and ML concepts to non\-technical stakeholders in a way that builds trust and drives adoption.
* Experience solving retail or merchandising problems such as assortment \&amp; space optimization, demand transfer, consumer choice models, demand forecasting.
 **Minimum Education:**
* The knowledge, skills and abilities typically acquired through the completion of a bachelor's degree program or equivalent degree in a field of study related to the job.
 **Preferred Education:**
* No additional education
 **Minimum Years of Work Experience:**
* 5
 **Preferred Years of Work Experience:**
* No additional years of experience
 **Minimum Leadership Experience:**
* None
 **Preferred Leadership Experience:**
* None
 **Certifications:**
* None
 **Competencies:**
* Attracts Top Talent: Attracting and selecting the best talent to meet current and future business needs
* Business Insight: Applying knowledge of the business and the marketplace to advance the organization's goals
* Collaborates: Building partnerships and working collaboratively with others to meet shared objectives
* Communicates Effectively: Developing and delivering multi\-mode communications that convey a clear understanding of the unique needs of different audiences
* Cultivates Innovation: Creating new and better ways for the organization to be successful
* Customer Focus: Building strong customer relationships and delivering customer\-centric solutions
* Develops Talent: Developing people to meet both their career goals and the organization's goals
* Directs Work: Provides direction, delegating and removing obstacles to get work done
* Drives Results: Consistently achieving results, even under tough circumstances
* Nimble Learning: Actively learning through experimentation when tackling new problems, using both successes and failures as learning fodder
* Optimizes Work Processes: Knowing the most efficient and effective processes to get things done, with a focus on continuous improvement
* Self\-Development: Actively seeking new ways to grow and be challenged using both formal and informal development channels</t>
        </is>
      </c>
    </row>
    <row r="3">
      <c r="A3" t="inlineStr">
        <is>
          <t>in-af9dd9a8b72fbec3</t>
        </is>
      </c>
      <c r="B3" t="inlineStr">
        <is>
          <t>Geospatial Data Scientist</t>
        </is>
      </c>
      <c r="C3" t="inlineStr">
        <is>
          <t>The DarkStar Group</t>
        </is>
      </c>
      <c r="D3" t="inlineStr">
        <is>
          <t>indeed</t>
        </is>
      </c>
      <c r="E3" t="inlineStr"/>
      <c r="F3" t="inlineStr"/>
      <c r="G3" t="inlineStr">
        <is>
          <t>McLean, VA, US</t>
        </is>
      </c>
      <c r="H3" s="2" t="n">
        <v>46063</v>
      </c>
      <c r="I3" t="inlineStr">
        <is>
          <t>**What Impact You’ll Have:**
Our team integrates hundreds of data sources into a Geospatial Data Analysis platform used throughout the Intelligence Community. Their tool and dataset is widely\-recognized as the leading platform for geospatial analysis, touching nearly every type of mission. Top government officials use analysis from this platform to make daily decisions that have global impact. The platform is constructed of 3rd party tools and custom applications, and new data sources are constantly being added. The customer is excellent to work with, and there is a healthy mix of customer\-driven requirements and team\-driven ideas / innovation: engineers typically have freedom in choosing how to do things and which technologies to utilize. Customer leadership also helps drive innovation and has created a close, collaborative idea exchange between staffers and contractors. Our Team Lead has said "this is simply the best group of people I've worked with". Despite this platform being widely used, there is a huge amount of brand new work adding new capabilities and data sources, as well as migrating more and more of the subsystems to AWS. There are recurring opportunities on this team for Analytic / BigData Software Developers, Full Stack Software Engineers, Web Application Developers, Java Developers, JavaScript Developers, Python Developers, Geospatial (GIS) Developers, ETL Developers, Data Scientists, Data Engineers, Data Analysts, AWS Engineers, DevOps Engineers, Cloud Migration Experts, and Geospatial Systems Engineers. Work on this program takes place in the McLean, VA area (we cannot support remote work) and requires a TS/SCI \+ Poly clearance (acceptable by this customer). THE ROLE The Geospatial Data Scientist is responsible for gathering project requirements from the customer and implementing data\-driven solutions. They can expect to use Python, PostgreSQL, and AWS tools on a daily basis to establish automated ETL (Extract, Transform, Load) pipelines, implement geospatially focused analytics, and create data visualizations to be shared with a wide range of audiences. In addition to these core functions, the Data Scientist helps to ensure that the project's data architecture is scalable, maintains high data quality/integrity, and is streamlined to maximize performance.
**What You’ll Be Owning:**
GRVTY is seeking a Geospatial Data Scientist with a TS/SCI \+ Poly clearance (applicable to this customer) to join one of our top projects in Mclean, VA
**What You Must Have:**
* Active TS/SCI with Polygraph Clearance
* Minimum 3 years of experience with a Bachelor’s degree or 1 year of experience with a Master’s degree
* Python experience to automate data transformation and analysis of geospatial datasets
* Experience working with PostgreSQL to extract data from RDBMS
* Experience with AWS tools Linux experience
* Experience with API Connections
* Comfortable working with all types of geospatial datasets in thick client applications (e.g. ArcGIS)
**What Would Be Nice to Have:**
* Experience working with R, Tableau
* Experience working with NiFi</t>
        </is>
      </c>
    </row>
    <row r="4">
      <c r="A4" t="inlineStr">
        <is>
          <t>in-3735a502c74530e9</t>
        </is>
      </c>
      <c r="B4" t="inlineStr">
        <is>
          <t>Data Scientist - Balance Sheet Analytics &amp; Modeling</t>
        </is>
      </c>
      <c r="C4" t="inlineStr">
        <is>
          <t>PNC Financial Services Group</t>
        </is>
      </c>
      <c r="D4" t="inlineStr">
        <is>
          <t>indeed</t>
        </is>
      </c>
      <c r="E4" t="inlineStr"/>
      <c r="F4" t="inlineStr"/>
      <c r="G4" t="inlineStr">
        <is>
          <t>Pittsburgh, PA, US</t>
        </is>
      </c>
      <c r="H4" s="2" t="n">
        <v>46063</v>
      </c>
      <c r="I4" t="inlineStr">
        <is>
          <t>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Data Scientist within PNC's Balance Sheet Analytics \&amp; Modeling Retail Banking Data Modeling organization, you will be based in Pittsburgh or Philadelphia, PA, Cleveland, OH, Wilmington, DE, Tysons Corner, VA or Charlotte, NC.
**Preferred Skills \&amp; Experience:**  
* Master’s degree in data science, computer science, engineering, applied mathematics or related field. A PhD degree is preferred but not required.
* At least 5 years of experience with direct data science or machine learning projects in industry, with 2\+ years, specifically in NLP.
* Strong background in Mathematics and Statistics. Demonstrable mathematical inventiveness for novel problem solving (via probability, optimization, information theory, linear algebra)
* Very strong expertise in data collection, cleaning, preprocessing, and transforming data.
* Expert programming skills in Python, Spark, and SQL. Solid software practices (testing, packaging, CI). MLOps familiarity.
* Experience with big data platforms. Experience with cloud\-native model development and deployment preferred.
* Research mindset reads/reproduces papers; designs baselines/ablations; evaluates for robustness, drift, and fairness. Meticulous about data quality, reproducibility, and experiment tracking.
* Experience in transfer learning and in fine tuning open\-source transformer models. Creative and pragmatic: chooses the simplest high‑impact approach (prompting, adapters, retrieval, distillation) before heavy training.
* Practical NLP/LLM experience and awareness of evaluation pitfalls (hallucinations, prompt sensitivity, grounding).
* Strong collaborator within and between cross\-functional teams; excellent verbal and written communication skills; adapts communication to audience: effectively communicate technical concepts and results to both technical and business audiences
* Curious, hardworking, detail\-oriented, and action\-oriented; motivated by complex analytical problems; investigates failure modes; documents learnings clearly.
* Prioritizes pace over perfection and is comfortable in the face of changing circumstances and business priorities
* Excited by the prospect of delivering value through the application of emerging technologies and techniques.
* Previous experience in financial services industry is not required but is considered a plus.
* Customer‑focused and risk‑aware; comfortable aligning work with governance expectations.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Performs analytical tasks on vast amounts of structured and unstructured data to extract actionable business insights.
Participates in the data gathering, data processing and data mining of large and complex datasets.
Develops algorithms using advanced mathematical and statistical techniques like machine learning to predict business outcomes and recommend optimal actions to management.
Runs analytical experiments in a methodical manner to find opportunities for product and process optimization. Assists in the presentation of business insights to management using visualization technologies and data storytelling.
May partner with Data Architects, Data Analysts, Data Engineers and Visualization Experts to develop data\-driven solutions for the business.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Analytical Thinking, Competitive Advantages, Data Analytics, Data Mining, Data Science, Machine Learning (ML)
Competencies Data Architecture, Data Mining, Disruptive Innovation, Information Capture, Machine Learning, Modeling: Data, Process, Events, Objects, Prototyping, Query and Database Access Tools
Work Experience Roles at this level typically require a university / college degree, with 3\+ years of relevant / direct industry experience. Certifications are often desired. In lieu of a degree, a comparable combination of education, job specific certification(s), and experience (including military service) may be considered.
Education Masters
Certifications No Required Certification(s)
Licenses No Required License(s)
Pay Transparency
**Base Salary:** $55,000\.00 – $148,800\.00
Salaries may vary based on geographic location, market data and on individual skills, experience, and education. This role is incentive eligible with the payment based upon company, business and/or individual performance.
Application Window
Generally, this opening is expected to be posted for two business days from 02/10/2026, although it may be longer with business discretion.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9 occasional absence days each year, unless otherwise required by law; between 15 to 25 vacation days each year, depending on career level; and years of service.
To learn more about these and other programs, including benefits for full time and part\-time employees, visit pncthrive.com .
Disability Accommodations Statement
If an accommodation is required to participate in the application process, please contact us via email at AccommodationRequest@pnc.com .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
California Residents
Refer to the California Consumer Privacy Act Privacy Notice to gain understanding of how PNC may use or disclose your personal information in our hiring practices.</t>
        </is>
      </c>
    </row>
    <row r="5">
      <c r="A5" t="inlineStr">
        <is>
          <t>in-062c9027184cf90d</t>
        </is>
      </c>
      <c r="B5" t="inlineStr">
        <is>
          <t>Data Scientist - Balance Sheet Analytics &amp; Modeling</t>
        </is>
      </c>
      <c r="C5" t="inlineStr">
        <is>
          <t>PNC Financial Services Group</t>
        </is>
      </c>
      <c r="D5" t="inlineStr">
        <is>
          <t>indeed</t>
        </is>
      </c>
      <c r="E5" t="inlineStr"/>
      <c r="F5" t="inlineStr"/>
      <c r="G5" t="inlineStr">
        <is>
          <t>Pittsburgh, PA, US</t>
        </is>
      </c>
      <c r="H5" s="2" t="n">
        <v>46063</v>
      </c>
      <c r="I5" t="inlineStr">
        <is>
          <t>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Data Scientist within PNC's Balance Sheet Analytics \&amp; Modeling Retail Banking Data Modeling organization, you will be based in Pittsburgh or Philadelphia, PA, Cleveland, OH, Wilmington, DE, Tysons Corner, VA or Charlotte, NC.
**Preferred Skills \&amp; Experience:**  
* Master’s degree in data science, computer science, engineering, applied mathematics or related field. A PhD degree is preferred but not required.
* At least 5 years of experience with direct data science or machine learning projects in industry, with 2\+ years, specifically in NLP.
* Strong background in Mathematics and Statistics. Demonstrable mathematical inventiveness for novel problem solving (via probability, optimization, information theory, linear algebra)
* Very strong expertise in data collection, cleaning, preprocessing, and transforming data.
* Expert programming skills in Python, Spark, and SQL. Solid software practices (testing, packaging, CI). MLOps familiarity.
* Experience with big data platforms. Experience with cloud\-native model development and deployment preferred.
* Research mindset reads/reproduces papers; designs baselines/ablations; evaluates for robustness, drift, and fairness. Meticulous about data quality, reproducibility, and experiment tracking.
* Experience in transfer learning and in fine tuning open\-source transformer models. Creative and pragmatic: chooses the simplest high‑impact approach (prompting, adapters, retrieval, distillation) before heavy training.
* Practical NLP/LLM experience and awareness of evaluation pitfalls (hallucinations, prompt sensitivity, grounding).
* Strong collaborator within and between cross\-functional teams; excellent verbal and written communication skills; adapts communication to audience: effectively communicate technical concepts and results to both technical and business audiences
* Curious, hardworking, detail\-oriented, and action\-oriented; motivated by complex analytical problems; investigates failure modes; documents learnings clearly.
* Prioritizes pace over perfection and is comfortable in the face of changing circumstances and business priorities
* Excited by the prospect of delivering value through the application of emerging technologies and techniques.
* Previous experience in financial services industry is not required but is considered a plus.
* Customer‑focused and risk‑aware; comfortable aligning work with governance expectations.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Performs analytical tasks on vast amounts of structured and unstructured data to extract actionable business insights.
Participates in the data gathering, data processing and data mining of large and complex datasets.
Develops algorithms using advanced mathematical and statistical techniques like machine learning to predict business outcomes and recommend optimal actions to management.
Runs analytical experiments in a methodical manner to find opportunities for product and process optimization. Assists in the presentation of business insights to management using visualization technologies and data storytelling.
May partner with Data Architects, Data Analysts, Data Engineers and Visualization Experts to develop data\-driven solutions for the business.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Analytical Thinking, Competitive Advantages, Data Analytics, Data Mining, Data Science, Machine Learning (ML)
Competencies Data Architecture, Data Mining, Disruptive Innovation, Information Capture, Machine Learning, Modeling: Data, Process, Events, Objects, Prototyping, Query and Database Access Tools
Work Experience Roles at this level typically require a university / college degree, with 3\+ years of relevant / direct industry experience. Certifications are often desired. In lieu of a degree, a comparable combination of education, job specific certification(s), and experience (including military service) may be considered.
Education Masters
Certifications No Required Certification(s)
Licenses No Required License(s)
Pay Transparency
**Base Salary:** $55,000\.00 – $148,800\.00
Salaries may vary based on geographic location, market data and on individual skills, experience, and education. This role is incentive eligible with the payment based upon company, business and/or individual performance.
Application Window
Generally, this opening is expected to be posted for two business days from 02/10/2026, although it may be longer with business discretion.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9 occasional absence days each year, unless otherwise required by law; between 15 to 25 vacation days each year, depending on career level; and years of service.
To learn more about these and other programs, including benefits for full time and part\-time employees, visit pncthrive.com .
Disability Accommodations Statement
If an accommodation is required to participate in the application process, please contact us via email at AccommodationRequest@pnc.com .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
California Residents
Refer to the California Consumer Privacy Act Privacy Notice to gain understanding of how PNC may use or disclose your personal information in our hiring practices.</t>
        </is>
      </c>
    </row>
    <row r="6">
      <c r="A6" t="inlineStr">
        <is>
          <t>in-ec9117bd57ebe404</t>
        </is>
      </c>
      <c r="B6" t="inlineStr">
        <is>
          <t>Data Scientist</t>
        </is>
      </c>
      <c r="C6" t="inlineStr">
        <is>
          <t>Elder Research Inc</t>
        </is>
      </c>
      <c r="D6" t="inlineStr">
        <is>
          <t>indeed</t>
        </is>
      </c>
      <c r="E6" t="inlineStr"/>
      <c r="F6" t="inlineStr"/>
      <c r="G6" t="inlineStr">
        <is>
          <t>Lanham, MD, US</t>
        </is>
      </c>
      <c r="H6" s="2" t="n">
        <v>46061</v>
      </c>
      <c r="I6" t="inlineStr">
        <is>
          <t>**Data Scientist**
**General Information**
**Requisition** \#659
**Locations** USA\-MD\-Lanham
**Posting Date** 02/11/2026
**Security Clearance Required** \- Active IRS Public Trust w/ Background Investigation
**Remote Type** Hybrid
**Time Type** Full time
**Description \&amp; Requirements**
Elder Research Inc., a wholly owned subsidiary of MANTECH international Corporation seeks a motivated, career and customer\-oriented **Data Scientist** to join our team in **Lanham, MD.** This is a hybrid position with 1\-2 days onsite and 3\-4 days remote.
**Responsibilities include but are not limited to:**
* The Data Scientist leads the Data Analytics team and is responsible for coordinating and collaborating with other members of the team including data engineers, cyber analysts, software developers and solutions architects.
* Develops and presents analytic findings, initiatives, and schedules to stakeholders. They must possess significant experience in the Insider Threat domain, including familiarity with typical Insider Threat data sources, behavioral analytics, UEBA tools, fraud detection, and risk scoring models.
* Plays a central role in developing and operationalizing advanced analytics and machine learning models to identify subtle or evolving insider threats.
* Builds and trains predictive models to support behavior\-based risk scoring, anomaly detection, and insider threat case prioritization.
* Validates models using operational data and collaborate closely with analysts and engineers to translate behavioral hypotheses into deployable, scalable algorithms that drive proactive threat detection within the Counter Insider Threat environment.
**Minimum Qualifications:**
* Education: Bachelor’s degree in Data Science, Statistics, Computer Science or related field with demonstrated experience.
* Years of experience: 6 – 12
* Experience clustering large amount of user\-generated content and processing data in large\-scale environments using platforms and services like Amazon EC2, Storm, Hadoop, Spark etc.
* Experience performing explanatory data analyses, generate and test working hypotheses, prepare and analyze historical data and identify patterns and correlations.
* Experience implementing User Behavior Analytics governance processes; specifically, the discipline to organize reporting, analytics and manipulate data to support analytical models and filters.
* Ability to articulate as well as support a visionary data analytics approach that will position the IRS to successfully deter, detect, and mitigate near and long\-term cyber threats from a User Behavior Analytics perspective.
* Ability to perform machine learning, natural language, and statistical analysis methods, such as classification, collaborative filtering, association rules, topic modeling, time\-series analysis, regression, statistical inference, and validation methods.
* Capability to analyze big data using sophisticated analytical and algorithmic techniques.
* Ability to communicate the correlation of vast stores of log data creatively and cogently into succinct presentation models for informed and decisive management action to deter, detect, and mitigate User Behavior Analytics risk.
* Ability to assist with client engagements focused on Big Data and Advanced Business Analytics, in diverse domains such as cyber security, fraud analytics, service development, public policy, optimization, risk management.
**Preferred Qualifications:**
* Master's degree in Data Science, Statistics, Computer Science or related field with demonstrated experience.
* Certification(s): CERT InT PgM (CERT Insider Threat Program Management) or CISSP.
**Clearance Requirements:**
* Must have an active IRS Public Trust w/ Background Investigation
**Physical Requirements:**
* The person in this position must be able to remain in a stationary position 50% of the time. Occasionally move about inside the office to access file cabinets, office machinery, or to communicate with co\-workers, management, and customers, via email, phone, and or virtual communication, which may involve delivering presentations.
**About Elder Research, Inc** \- **People Centered. Data Driven**
*Elder Research considers all qualified applicants for employment without regard to disability or veteran status or any other status protected under any federal, state, or local law or regulation.*
*If you need a reasonable accommodation to apply for a position with Elder Research, please email us at careers@elderresearch.com and provide your name and contact information.*</t>
        </is>
      </c>
    </row>
    <row r="7">
      <c r="A7" t="inlineStr">
        <is>
          <t>in-cb510c0f8a4cd0a5</t>
        </is>
      </c>
      <c r="B7" t="inlineStr">
        <is>
          <t>Data Scientist</t>
        </is>
      </c>
      <c r="C7" t="inlineStr">
        <is>
          <t>Heluna Health</t>
        </is>
      </c>
      <c r="D7" t="inlineStr">
        <is>
          <t>indeed</t>
        </is>
      </c>
      <c r="E7" t="inlineStr"/>
      <c r="F7" t="inlineStr"/>
      <c r="G7" t="inlineStr">
        <is>
          <t>Los Angeles, CA, US</t>
        </is>
      </c>
      <c r="H7" s="2" t="n">
        <v>46064</v>
      </c>
      <c r="I7" t="inlineStr">
        <is>
          <t>**Salary Range: $51\.00\-$68\.72 per hour**
**SUMMARY**
The Data Scientist supports California’s Medicaid 1115 JI Reentry Initiative by analyzing, managing, and reporting data related to enrollment, service utilization, and program outcomes for Medi\-Cal–eligible justice\-involved adults transitioning from incarceration to the community. This role is responsible for developing and maintaining datasets, dashboards, and reports to support State reporting requirements, monitor enrollment and continuity of Medi\-Cal coverage, and evaluate program performance and outcomes. Working in collaboration with clinical, operational, and administrative teams, the Data Scientist ensures data accuracy, integrity, and timeliness while providing actionable insights to improve care coordination, compliance, and program effectiveness, with the goal of improving health outcomes and reducing recidivism.
**ESSENTIAL FUNCTIONS**
* Collaborates with subject matter experts, business leaders, and other stakeholders to identify priority business problems and to design, implement, and manage data\-driven solutions across the full business lifecycle.
* Partners with subject matter experts to identify, evaluate, and select appropriate data sources, including internal and external datasets and structured and unstructured data.
* Conducts advanced statistical, analytical, and modeling studies to generate actionable insights that inform and resolve complex business problems.
* Applies industry\-standard, domain\-specific software tools and programming languages to ingest, clean, transform, integrate, analyze, summarize, and visualize data.
* Prepares and communicates data\-driven findings and recommendations to diverse audiences, including technical and non\-technical stakeholders, through written reports, oral presentations, visualizations, and interactive analytical tools.
* Designs, implements, evaluates, and monitors key performance indicators (KPIs) to assess baseline performance and track short\- and long\-term outcomes over the business lifecycle.
* Collaborates with information technology and data engineering teams to support data collection, integration, governance, and retention requirements across diverse and large\-scale datasets, including healthcare and administrative data.
**JOB QUALIFICATIONS**
Ability to follow oral and written instructions. Ability to exercise sound judgement while working in a stressful environment. Able to lift up to a 10\-pound limit and some bending, stooping, or squatting.
**Education/Experience**
* Two (2\) years of experience applying machine learning, predictive analytics, data management, and hypothesis\-driven data analysis to produce actionable recommendations to support data\-driven program, policy, and operational decision\-making.
**Certificates/Licenses/Clearances**
* Successfully clear the LA County Live Scan process.
* Successfully clear the Health Clearance
**Other Skills, Knowledge, and Abilities**
* Willing to work in Correctional Health Facilities
**PHYSICAL DEMANDS**
**Stand:** Frequently
**Walk:** Frequently
**Sit:** Frequently
**Handling / Fingerin**g: Occasionally
**Reach Outward:** Occasionally
**Reach Above Shoulder:** Occasionally
**Climb, Crawl, Kneel, Bend:** Occasionally
**Lift / Carry:** Occasionally \- Up to 10 lbs
**Push/Pull:** Occasionally \- Up to 10 lbs
**See:** Constantly
**Taste/ Smell:** Not Applicable
**Not Applicable \=** Not required for essential functions
**Occasionally \=** (0 \- 2 hrs/day)
**Frequently \=** (2 \- 5 hrs/day)
**Constantly \=** (5\+ hrs/day)
**WORK ENVIRONMENT**
General Office Setting, Indoors Temperature Controlled
**EEOC STATEMENT**
It is the policy of Heluna Health to provide equal employment opportunities to all employees and applicants, without regard to age (40 and over), national origin or ancestry, race, color, religion, sex, gender, sexual orientation, pregnancy or perceived pregnancy, reproductive health decision making, physical or mental disability, medical condition (including cancer or a record or history of cancer), AIDS or HIV, genetic information or characteristics, veteran status or military service.</t>
        </is>
      </c>
    </row>
    <row r="8">
      <c r="A8" t="inlineStr">
        <is>
          <t>in-cab93a7fe830170b</t>
        </is>
      </c>
      <c r="B8" t="inlineStr">
        <is>
          <t>Senior Data Scientist</t>
        </is>
      </c>
      <c r="C8" t="inlineStr">
        <is>
          <t>Tata Consultancy Services (TCS)</t>
        </is>
      </c>
      <c r="D8" t="inlineStr">
        <is>
          <t>indeed</t>
        </is>
      </c>
      <c r="E8" t="inlineStr"/>
      <c r="F8" t="inlineStr"/>
      <c r="G8" t="inlineStr">
        <is>
          <t>Charlotte, NC, US</t>
        </is>
      </c>
      <c r="H8" s="2" t="n">
        <v>46063</v>
      </c>
      <c r="I8" t="inlineStr">
        <is>
          <t>Senior Data Scientist  
Must Have Technical/Functional Skills
* 10\+ years of experience in data science, applied ML, or quantitative analytics.
* Expert\-level proficiency in Python, R, and ML libraries (TensorFlow, PyTorch, Scikit learn, XGBoost, etc.).
* Strong SQL skills and experience with distributed computing platforms (Spark, Databricks, Snowflake).
* Proven success deploying ML models into production.
* Deep understanding of statistics, probability, experimental design, and algorithmic foundations.
* Experience with cloud ecosystems (Azure, AWS, GCP).
Roles \&amp; Responsibilities
 Data Science \&amp; Machine Learning
* Design, build, and deploy advanced machine learning models—including supervised, unsupervised, deep learning, NLP, and optimization techniques.
* Lead full model lifecycle development: problem framing, data discovery, feature engineering, model training, validation, deployment, and monitoring.
* Build scalable ML pipelines (batch and real time) using modern MLOps tools and best practices.
* Apply advanced statistical methods to address forecasting, experimentation, causal inference, segmentation, and predictive analytics needs.
Data Strategy, Architecture \&amp; Governance
* Partner with engineering teams to define data architecture, ingestion strategies, and model operationalization standards.
* Ensure data integrity through rigorous governance, quality checks, validation, and profiling.
* Evaluate and recommend tools, platforms, and frameworks that support AI/ML scalability and innovation.
* Design and launch new data models, datasets, and pipelines to support analytics, reporting, and product use cases.
Business Impact \&amp; Cross Functional Leadership
* Translate complex analytical findings into clear, actionable insights and recommendations for senior leadership.
* Work closely with product, operations, economics, finance, marketing, and informatics teams to define use cases, quantify ROI, and influence strategy.
* Lead cross functional teams through experimentation, solution development, and iterative improvement.
* Produce impactful dashboards, visualizations, and storytelling that clarify trends, financial implications, and insights for executive audiences.
* Coordinate data perspectives across functional groups to ensure consistent interpretation of trends, measurements, and methodologies.
Innovation, Research \&amp; Technical Leadership
* Lead development and deployment of predictive models, NLP systems, and emerging LLM based solutions.
* Serve as a thought leader on advanced analytics, AI, data science frameworks, and proprietary data prod uct development.
* Drive continuous innovation by monitoring emerging technologies, evaluating new methodologies, and integrating them into current and future business solutions.
* Collaborate with IT to design and operationalize MLOps and DevOps pipelines, positioning AI as a scalable product capability.
Preferred Qualifications
* Master’s or PhD in Computer Science, Statistics, Mathematics, Engineering, or related field.
* Hands on experience with MLOps tools (MLflow, Airflow, Kubeflow).
* Strong executive presence with experience presenting to VP and C level audiences and managing escalations.
* Experience with generative AI, LLM implementations, and advanced NLP pipelines.
* Track record of leading large AI/ML programs and mentoring data science teams.
Salary Range\- $100,000\-$115,000 a year
**Location**
Charlotte, NC
**Job Function**
TECHNOLOGY
**Role**
Engineer
**Job Id**
396262
**Desired Skills**
Data Science
**Salary Range**
$100,000\-$115,000 a year
Desired Candidate Profile
**Qualifications** : BACHELOR OF COMPUTER SCIENCE</t>
        </is>
      </c>
    </row>
    <row r="9">
      <c r="A9" t="inlineStr">
        <is>
          <t>in-21b6b3a1eefa92b8</t>
        </is>
      </c>
      <c r="B9" t="inlineStr">
        <is>
          <t>Applied Scientist- Pricing, Dynamic Pricing &amp; Offer Selection</t>
        </is>
      </c>
      <c r="C9" t="inlineStr">
        <is>
          <t>Lyft</t>
        </is>
      </c>
      <c r="D9" t="inlineStr">
        <is>
          <t>indeed</t>
        </is>
      </c>
      <c r="E9" t="inlineStr"/>
      <c r="F9" t="inlineStr"/>
      <c r="G9" t="inlineStr">
        <is>
          <t>New York, NY, US</t>
        </is>
      </c>
      <c r="H9" s="2" t="n">
        <v>46063</v>
      </c>
      <c r="I9" t="inlineStr">
        <is>
          <t>At Lyft, our purpose is to serve and connect. We aim to achieve this by cultivating a work environment where all team members belong and have the opportunity to thrive.
The Pricing team is a centerpiece of Lyft's marketplace, determining prices for all rideshare products and supporting new initiatives. Dynamic Pricing \&amp; Offer Selection sits at the heart of Pricing, focused on determining optimal prices and ETAs in real\-time and balancing supply and demand for our two\-sided marketplace to drive both short\-term and long\-term conversion and retention.
As an Applied Scientist specializing in Machine Learning and Operations Research on this team, you will develop mathematical models and launch algorithms that power these key pricing and ETA decisions. You will leverage your skills to build ML and optimization models and productionalize pipelines that can scale to millions of calls per day while solving critical business problems that have a big impact on the marketplace and rider experience. You will get exposure to a diverse set of real\-world problems across optimization, prediction, machine learning, and inference and collaborate closely with teammates and stakeholders across Pricing, from Product Managers to Engineers and Analysts.
We are looking for someone who is excited about working in a fast\-paced, innovative, and impactful environment, and is adept at balancing complexity and efficiency to translate real world business problems into reliable solutions, systems and decision frameworks.
**Responsibilities**
--------------------
* Partner with Data Scientists, Engineers, Product Managers, and Business Partners to frame problems mathematically and within the business context
* Write production quality code. Design, build and deploy production\-grade ML and Optimization models. Able to build custom methods and tooling beyond off\-the\-shelf libraries.
* Perform data analysis and build proof\-of\-concepts to explore and propose ML and Optimization solutions to both new and existing problems.
* Evaluate machine learning systems against business goals. Collaborate with Engineers to implement algorithms in live systems and ensure the robustness of the systems
* Establish metrics and development measurement methodologies to monitor the health of our products, as well as the impacts on user and marketplace outcomes
* Drive collaboration and coordination with cross\-functional teams
**Experience**
--------------
* M.S. or Ph.D. in Machine Learning, Operations Research, Statistics, Computer Science or other quantitative fields
* 2\+ years of algorithms experience in a technology company setting
* Proficiency with Python and working in a production coding environment
* Passion for solving unstructured and non\-standard mathematical problems and building impactful machine learning models leveraging expertise in one or multiple fields.
* Strong understanding of machine learning methodologies, with proven experience with building and evaluating optimization or machine learning models
* Strong verbal and written communication skills with a good track record of collaborating with others to solve a problem
**Benefits:**
-------------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$140,800 \- $176,000,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10">
      <c r="A10" t="inlineStr">
        <is>
          <t>in-a5d6d19112d90bbe</t>
        </is>
      </c>
      <c r="B10" t="inlineStr">
        <is>
          <t>Applied Scientist- Pricing, Dynamic Pricing &amp; Offer Selection</t>
        </is>
      </c>
      <c r="C10" t="inlineStr">
        <is>
          <t>Lyft</t>
        </is>
      </c>
      <c r="D10" t="inlineStr">
        <is>
          <t>indeed</t>
        </is>
      </c>
      <c r="E10" t="inlineStr"/>
      <c r="F10" t="inlineStr"/>
      <c r="G10" t="inlineStr">
        <is>
          <t>San Francisco, CA, US</t>
        </is>
      </c>
      <c r="H10" s="2" t="n">
        <v>46063</v>
      </c>
      <c r="I10" t="inlineStr">
        <is>
          <t>At Lyft, our purpose is to serve and connect. We aim to achieve this by cultivating a work environment where all team members belong and have the opportunity to thrive.
The Pricing team is a centerpiece of Lyft's marketplace, determining prices for all rideshare products and supporting new initiatives. Dynamic Pricing \&amp; Offer Selection sits at the heart of Pricing, focused on determining optimal prices and ETAs in real\-time and balancing supply and demand for our two\-sided marketplace to drive both short\-term and long\-term conversion and retention.
As an Applied Scientist specializing in Machine Learning and Operations Research on this team, you will develop mathematical models and launch algorithms that power these key pricing and ETA decisions. You will leverage your skills to build ML and optimization models and productionalize pipelines that can scale to millions of calls per day while solving critical business problems that have a big impact on the marketplace and rider experience. You will get exposure to a diverse set of real\-world problems across optimization, prediction, machine learning, and inference and collaborate closely with teammates and stakeholders across Pricing, from Product Managers to Engineers and Analysts.
We are looking for someone who is excited about working in a fast\-paced, innovative, and impactful environment, and is adept at balancing complexity and efficiency to translate real world business problems into reliable solutions, systems and decision frameworks.
**Responsibilities**
--------------------
* Partner with Data Scientists, Engineers, Product Managers, and Business Partners to frame problems mathematically and within the business context
* Write production quality code. Design, build and deploy production\-grade ML and Optimization models. Able to build custom methods and tooling beyond off\-the\-shelf libraries.
* Perform data analysis and build proof\-of\-concepts to explore and propose ML and Optimization solutions to both new and existing problems.
* Evaluate machine learning systems against business goals. Collaborate with Engineers to implement algorithms in live systems and ensure the robustness of the systems
* Establish metrics and development measurement methodologies to monitor the health of our products, as well as the impacts on user and marketplace outcomes
* Drive collaboration and coordination with cross\-functional teams
**Experience**
--------------
* M.S. or Ph.D. in Machine Learning, Operations Research, Statistics, Computer Science or other quantitative fields
* 2\+ years of algorithms experience in a technology company setting
* Proficiency with Python and working in a production coding environment
* Passion for solving unstructured and non\-standard mathematical problems and building impactful machine learning models leveraging expertise in one or multiple fields.
* Strong understanding of machine learning methodologies, with proven experience with building and evaluating optimization or machine learning models
* Strong verbal and written communication skills with a good track record of collaborating with others to solve a problem
**Benefits:**
-------------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$140,800 \- $176,000,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11">
      <c r="A11" t="inlineStr">
        <is>
          <t>in-d5f5f494b9e21610</t>
        </is>
      </c>
      <c r="B11" t="inlineStr">
        <is>
          <t>Data Scientist (Senior)</t>
        </is>
      </c>
      <c r="C11" t="inlineStr">
        <is>
          <t>CLUBHOUSE</t>
        </is>
      </c>
      <c r="D11" t="inlineStr">
        <is>
          <t>indeed</t>
        </is>
      </c>
      <c r="E11" t="inlineStr"/>
      <c r="F11" t="inlineStr"/>
      <c r="G11" t="inlineStr">
        <is>
          <t>US</t>
        </is>
      </c>
      <c r="H11" s="2" t="n">
        <v>46063</v>
      </c>
      <c r="I11" t="inlineStr">
        <is>
          <t>**About us**
============
 **Alpha is a product studio focused on the intersection of AI and consumer social – backed by a16z and many of the top investors in the world.** Our goal is to create social products that we use, that our friends use, and that have the potential to reach billions of people.
**Clubhouse was our first app, and we’ve been quietly growing that while building our next set of products.** We have years of runway, millions of users, and find ourselves at a very interesting time, where AI is making entirely new things possible with voice.
If you are a talented builder who’s interested in joining us, we’d love to talk.
**The Role**
============
* **You'll be the primary Data Scientist embedded with our product squad** focused on the Clubhouse app team driving host activation and growth. 2026 is a pivotal year: we're laser\-focused on helping hosts succeed, and you'll be at the center of measuring whether that's working.
* **You'll own the data strategy for your squad to support our growth** — identifying which questions matter most, designing experiments, and surfacing opportunities the team hasn't seen yet. Some weeks that's a rigorous A/B test in Eppo; other weeks it's an exploratory analysis that reshapes the roadmap. You'll work closely with our Staff Data Scientist for mentorship and thought partnership, but you'll operate with significant autonomy day\-to\-day.
We're a small team (2 data scientists \+ a part\-time analytics engineer) at a company with millions of users. Your work will be high\-leverage and visible.
* **We are a remote friendly\-company** — with a strong commitment to ensuring people can do great work here and thrive without having to live near an office. This role is open to candidates across the U.S.
**Who you are**
===============
* **You're technically deep.** You have 4\+ years of experience as a data scientist. You're highly fluent in SQL and Python – not just for analysis, but comfortable enough to read a production Django codebase, audit what's being logged, and spec (or make) small changes when needed. You've designed and analyzed experiments, and you know the difference between a well\-run test and a noisy one, and you have exposure to predictive modeling or ML techniques.
* **You think like a product partner, not a service org.** You don't wait for requests – you proactively identify what questions matter, size opportunities, and help product managers figure out where to place bets. You have a healthy skepticism about data and know when something doesn't add up and dive deeper towards the right solution.
* **You communicate with clarity.** You can take a messy analysis and turn it into a clear recommendation. You write well. You build dashboards and visualizations that people actually use to make decisions.
* **You thrive with autonomy.** You'll have mentorship available, but this role requires someone who can drive their own work. You're comfortable with ambiguity and see it as an opportunity, not a blocker.
* **You ship.** You have a bias toward getting things done. You'd rather have a good\-enough answer today than a perfect one in two weeks.
* **You are a team player.** You have a low\-ego, put the team’s success first, and believe that fostering a collaborative and diverse environment is not only integral to the team's well\-being but also crucial for driving innovation and achieving long\-term success.
**What you will do**
====================
* **Own experimentation for your squad.** Design experiments, ensure proper targeting and logging, analyze results, and make clear recommendations. The team you’d be supporting is testing features that help new hosts get past the cold start – things like simplified room creation, feedback at the end of rooms, and discovery improvements. You'll be the person who tells us what's working.
* **Size opportunities and guide roadmap decisions.** Before we build, we need to know if it's worth building. You'll help PMs estimate the potential impact of proposed features – using historical data, cohort analysis, and whatever creative methods get us to a defensible answer.
* **Monitor and investigate your squad’s metrics.** You'll be responsible for metrics like R2 retention (do new hosts come back for a second room?), signups per host, and the sub\-metrics that drive them. When something moves unexpectedly, you'll dig in and figure out why.
* **Ensure data quality and logging coverage.** You'll audit what we're logging, identify gaps before features ship, and make sure the data exists to answer the questions we need to ask. This means reading production code and working with engineers to spec (or implement) logging changes.
* **Grow toward predictive modeling.** As you master the opportunity\-sizing and experimentation work, there's a clear path toward more advanced predictive analysis – identifying which hosts are likely to churn, which features drive long\-term retention, and building models that proactively shape product direction, and developing the strategic judgment to identify which problems are worth solving before anyone asks.
* **You’ll grow, teach, and improve rapidly.** At Clubhouse you’ll be working with an incredible team, who love to learn from and teach each other. You’ll find yourself stretching to new areas, immersed in feedback, and growing your skills on a daily basis.
* **You’ll create something meaningful.** Social products allow people to connect in ways that were never before possible. When the telephone was invented, it suddenly allowed people to speak with others across the world. Thanks to FaceTime, grandparents everywhere can now watch their grandchildren grow up. At Clubhouse, you’ll be figuring out something entirely new for the world—a positive product that brings people’s voices together to help everyone have a life filled with great friendships.
Our company is proud to be an equal opportunity employer. We do not discriminate in hiring or make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characteristics. We are committed to providing reasonable accommodations for qualified individuals with disabilities in our job application procedures. If you need assistance or an accommodation due to a disability, you may contact us at people@clubhouse.com.
Compensation Range: $220K \- $260K</t>
        </is>
      </c>
    </row>
    <row r="12">
      <c r="A12" t="inlineStr">
        <is>
          <t>in-c77c106316a24a5e</t>
        </is>
      </c>
      <c r="B12" t="inlineStr">
        <is>
          <t>Data Scientist</t>
        </is>
      </c>
      <c r="C12" t="inlineStr">
        <is>
          <t>The DarkStar Group</t>
        </is>
      </c>
      <c r="D12" t="inlineStr">
        <is>
          <t>indeed</t>
        </is>
      </c>
      <c r="E12" t="inlineStr"/>
      <c r="F12" t="inlineStr"/>
      <c r="G12" t="inlineStr">
        <is>
          <t>Chantilly, VA, US</t>
        </is>
      </c>
      <c r="H12" s="2" t="n">
        <v>46063</v>
      </c>
      <c r="I12" t="inlineStr">
        <is>
          <t>**What Impact You'll Have**
Our team is charged with taking commercial and academic innovation high\-side, in domains of Artificial Intelligence / Machine Learning (AI / ML) such as Computer Vision (Image and Video Processing), Natural Language Processing (NLP), and Audio Modeling. We also bring the best ideas, tools, and approaches in technology infrastructure (AWS, DevOps, etc.) to the IC. The tech stack used is extremely broad \- anything cutting edge in the commercial market, the open source community, or the academic research community is likely involved: and if something isn't being looked at yet, you can make that happen.
This effort supports ALL missions of the Intelligence Community, including cyber\-related data science missions. A seamless group of contractor and customer personnel work to create innovations that supply customer groups with the data sets, models, algorithms, software, and infrastructure they need to increase their mission success. Management is hands off, gives the team the freedom to explore new approaches, and markets the best ideas and results to all the other IC customers.
This project regularly needs various types of people \- Data Scientists, Data / ETL Engineers, Analytic Software Engineers, Full Stack Developers, UI/UX Developers, and AWS/DevOps experts. We're particularly interested in people with any of the following experience: \- developing AI / ML models (neural networks, tree based algorithms, etc.); \- conducting data analysis in the fields of Computer Vision, NLP, or audio signal processing; \- doing data ingest and ETL into sponsor environments; or \- building data\-analytic software systems.
Work on this program takes place throughout the Reston/Herndon/Chantilly, VA area (we cannot support remote work) and requires a TS/SCI \+ Poly clearance (acceptable to this customer).
**What You'll be Owning**
GRVTY is seeking a Data Scientist with a TS/SCI \+ Poly clearance (applicable to this customer) to join one of our top projects in Chantilly, VA. This role requires applying advanced analytics, statistical modeling, and machine learning techniques to identify, analyze, cyber related data. This role involves working closely with cyber SMEs to build AI/ML models and analytics to solve client's challenges.
**What You Must Have**
* Active TS/SCI with Polygraph Clearance
* 3\-5 years of experience as a Data Scientist, with a STEM degree (field such as computer science, statistics, data analytics, computer engineering, mathematics, etc.).
* Programming knowledge in Python or similar language.
* Experience with both Linux and Windows® Operating Systems.
* Experience working with Cyber data to include examples such as (Shodan, Censys.IO, etc.).
* Demonstrated experience with cleaning, managing, optimizing performance with, and processing large volumes of unstructured text data.</t>
        </is>
      </c>
    </row>
    <row r="13">
      <c r="A13" t="inlineStr">
        <is>
          <t>in-72fee4cb711e3f7b</t>
        </is>
      </c>
      <c r="B13" t="inlineStr">
        <is>
          <t>Data Scientist 3</t>
        </is>
      </c>
      <c r="C13" t="inlineStr">
        <is>
          <t>The DarkStar Group</t>
        </is>
      </c>
      <c r="D13" t="inlineStr">
        <is>
          <t>indeed</t>
        </is>
      </c>
      <c r="E13" t="inlineStr"/>
      <c r="F13" t="inlineStr"/>
      <c r="G13" t="inlineStr">
        <is>
          <t>Colorado Springs, CO, US</t>
        </is>
      </c>
      <c r="H13" s="2" t="n">
        <v>46063</v>
      </c>
      <c r="I13" t="inlineStr">
        <is>
          <t>**What You’ll be Owning:**
* We are seeking a Data Scientist to support our NLP project focused on accurate and automatic tokenization of language data from spoken or written sources. In this role, you will develop automated solutions for annotating language data with parts of speech information and enhance existing models by evaluating their performance against human\-generated annotations for both speech and text. Your contributions will be crucial in advancing our NLP capabilities and ensuring high\-quality language processing.
**What You Must Have** :
* Possess 2 or more of the following skill areas:
	+ Foundations: (Mathematical, Computational, Statistical)
	+ Data Processing: (Data management and curation, data description and visualization, workflow and reproducibility)
	+ Modeling, Inference, and Prediction: (Data modeling and assessment, domain\-specific considerations)
* Devise strategies for extracting meaning and value from large datasets.
* Make and communicate principled conclusions from data using elements of mathematics, statistics, computer science, and application specific knowledge. Through analytic modeling, statistical analysis, programming, and/or another appropriate scientific method, develop and implement qualitative and quantitative methods for characterizing, exploring, and assessing large datasets in various states of organization, cleanliness, and structure that account for the unique features and limitations inherent in Government data holdings.
* Translate practical mission needs and analytic questions related to large datasets into technical requirements and, conversely, assist others with drawing appropriate conclusions from the analysis of such data. Effectively communicate complex technical information to non\-technical audiences. Make informed recommendations regarding competing technical solutions by maintaining awareness of the constantly shifting Government collection, processing, storage and analytic capabilities and limitations.
* Bachelor’s degree with 10 years of relevant experience or Associate's degree with 12 years of relevant experience
	+ Bachelor’s degree must be in Mathematics, Applied Mathematics Statistics, Applied Statistics, Machine learning, Data Science, Operations Research, or Computer Science or a degree in a related field (Computer Information Systems, Engineering), a degree in the physical/hard sciences (e.g. physics, chemistry, biology, astronomy), or other science disciplines with a substantial computational component (i.e. behavioral, social, or life) may be considered if it included a concentration of coursework (5 or more courses) in advanced Mathematics (typically 300 level or higher, such as linear algebra, probability and statistics, machine learning) and/or computer science (e.g. algorithms, programming, data structures, data mining, artificial intelligence). College\-level requirement, or upper\-level math courses designated as elementary or basic do not count. Note: A broader range of degrees will be considered if accompanied by a Certificate in Data Science from an accredited college/university.
* Relevant experience must be in designing/implementing machine learning, data science, advanced analytical algorithms, programming (skill in at least one high\-level language (e.g. Python)), statistical analysis (e.g. variability, sampling error, inference, hypothesis testing, EDA, application of linear models), data management (e.g. data cleaning and transformation), data mining, data modeling and assessment, artificial intelligence, and/or software engineering. Experience in more than one area is strongly preferred.
* **Active TS/SCI w/ poly**</t>
        </is>
      </c>
    </row>
    <row r="14">
      <c r="A14" t="inlineStr">
        <is>
          <t>in-fb75f3eb156fe61b</t>
        </is>
      </c>
      <c r="B14" t="inlineStr">
        <is>
          <t>Data Scientist 2</t>
        </is>
      </c>
      <c r="C14" t="inlineStr">
        <is>
          <t>The DarkStar Group</t>
        </is>
      </c>
      <c r="D14" t="inlineStr">
        <is>
          <t>indeed</t>
        </is>
      </c>
      <c r="E14" t="inlineStr"/>
      <c r="F14" t="inlineStr"/>
      <c r="G14" t="inlineStr">
        <is>
          <t>Annapolis Junction, MD, US</t>
        </is>
      </c>
      <c r="H14" s="2" t="n">
        <v>46063</v>
      </c>
      <c r="I14" t="inlineStr">
        <is>
          <t>**What Impact You'll Have**
* We are actively searching for Data Scientists, located in Maryland, to support our team. We have varying levels of Data Scientist roles, depending on years of experience and education.
* The ideal candidate should possess expertise in AI/ML, proficiency in Python, and hands\-on experience with deep learning frameworks such as PyTorch and TensorFlow, with an added advantage if they have cyber knowledge. This role combines artificial intelligence and machine learning skills with a strong foundation in programming and cybersecurity.
**What You'll be Owning**
* Foundations: (Mathematical, Computational, Statistical) 2\. Data Processing: (Data management and curation, data description and visualization, workflow, and reproducibility)
* Modeling, Inference, and Prediction: (Data modeling and assessment, domain\-specific considerations)
* Devise strategies for extracting meaning and value from large datasets.
* Make and communicate principled conclusions from data using elements of mathematics, statistics, computer science, and application specific knowledge.
* Through analytic modeling, statistical analysis, programming, and/or another appropriate scientific method, develop and implement qualitative and quantitative methods for characterizing, exploring, and assessing large datasets in various states of organization, cleanliness, and structure that account for the unique features and limitations inherent in NSA/CSS data holdings.
* Translate practical mission needs and analytic questions related to large datasets into technical requirements and, conversely, assist others with drawing appropriate conclusions from the analysis of such data.
* Effectively communicate complex technical information to non\-technical audiences. Make informed recommendations regarding competing technical solutions by maintaining awareness of the constantly shifting NSA/CSS collection, processing, storage and analytic capabilities and limitations.
**What You Must Have**
* Bachelor’s Degree with 3 years of relevant experience or an Associates degree with 5 years of relevant experience
* Bachelor’s Degree must be in Mathematics, Applied Mathematics Statistics, Applied Statistics, Machine learning, Data Science, Operations Research, or Computer Science or a degree in a related field (Computer Information Systems, Engineering), a degree in the physical/hard sciences (e.g. physics, chemistry, biology, astronomy), or other science disciplines with a substantial computational component (i.e. behavioral, social, or life) may be considered if it included a concentration of coursework (5 or more courses) in advanced Mathematics (typically 300 level or higher, such as linear algebra, probability and statistics, machine learning) and/or computer science (e.g. algorithms, programming, , data structures, data mining, artificial intelligence). College\-level requirements, or upper\-level math courses designated as elementary or basic do not count. Note: A broader range of degrees will be considered if accompanied by a Certificate in Data Science from an accredited college/university.
* Relevant experience must be in designing/implementing machine learning, data science, advanced analytical algorithms, programming (skill in at least one high\-level language (e.g., Python)), statistical analysis (e.g., variability, sampling error, inference, hypothesis testing, EDA, application of linear models), data management (e.g., data cleaning and transformation), data mining, data modeling and assessment, artificial intelligence, and/or software engineering. Experience in more than one area is strongly preferred.
* **Active TS/SCI with a polygraph**</t>
        </is>
      </c>
    </row>
    <row r="15">
      <c r="A15" t="inlineStr">
        <is>
          <t>in-87776caa728b9213</t>
        </is>
      </c>
      <c r="B15" t="inlineStr">
        <is>
          <t>Data Scientist 2</t>
        </is>
      </c>
      <c r="C15" t="inlineStr">
        <is>
          <t>The DarkStar Group</t>
        </is>
      </c>
      <c r="D15" t="inlineStr">
        <is>
          <t>indeed</t>
        </is>
      </c>
      <c r="E15" t="inlineStr"/>
      <c r="F15" t="inlineStr"/>
      <c r="G15" t="inlineStr">
        <is>
          <t>Honolulu, HI, US</t>
        </is>
      </c>
      <c r="H15" s="2" t="n">
        <v>46063</v>
      </c>
      <c r="I15" t="inlineStr">
        <is>
          <t>**What You’ll be Owning:**
* We are actively searching for Data Scientists, located in Hawaii, to support our team. We have varying levels of Data Scientist roles, depending on years of experience and education.
* Performs tasks associated with Big Data Platform management, utilizes skills in programming languages, develops prototype algorithms as well as algorithm refinements, and supports data visualization and analytics.
**What You Must Have** :
* Bachelor’s Degree with 3 years of relevant experience OR Associates degree with 5 years of relevant experience
* Bachelor’s Degree must be in Mathematics, Applied Mathematics Statistics, Applied Statistics, Machine learning, Data Science, Operations Research, or Computer Science or a degree in a related field (Computer Information Systems, Engineering), a degree in the physical/hard sciences (e.g. physics, chemistry, biology, astronomy), or other science disciplines with a substantial computational component (i.e. behavioral, social, or life) may be considered if it included a concentration of coursework (5 or more courses) in advanced Mathematics (typically 300 level or higher, such as linear algebra, probability and statistics, machine learning) and/or computer science (e.g. algorithms, programming, , data structures, data mining, artificial intelligence). College\-level requirements, or upper\-level math courses designated as elementary or basic do not count. Note: A broader range of degrees will be considered if accompanied by a Certificate in Data Science from an accredited college/university.
* Relevant experience must be in designing/implementing machine learning, data science, advanced analytical algorithms, programming (skill in at least one high\-level language (e.g., Python)), statistical analysis (e.g., variability, sampling error, inference, hypothesis testing, EDA, application of linear models), data management (e.g., data cleaning and transformation), data mining, data modeling and assessment, artificial intelligence, and/or software engineering. Experience in more than one area is strongly preferred
* **Active TS/SCI w/poly**
**What Would Be Nice to Have:**
* Foundations: (Mathematical, Computational, Statistical) 2\. Data Processing: (Data management and curation, data description and visualization, workflow, and reproducibility)
* Modeling, Inference, and Prediction: (Data modeling and assessment, domain\-specific considerations)
* Devise strategies for extracting meaning and value from large datasets. Make and communicate principled conclusions from data using elements of mathematics,
* Statistics, computer science, and application specific knowledge.
* Through analytic modeling, statistical analysis, programming, and/or another appropriate scientific method, develop and implement qualitative and quantitative methods for characterizing, exploring, and assessing large datasets in various states of organization, cleanliness, and structure that account for the unique features and limitations inherent in data holdings.
* Translate practical mission needs and analytic questions related to large datasets into technical requirements and, conversely, assist others with drawing appropriate conclusions from the analysis of such data. Effectively communicate complex technical information to non\-technical audiences. Make informed recommendations regarding competing technical solutions by maintaining awareness of the constantly shifting, processing, storage and analytic capabilities and limitations.</t>
        </is>
      </c>
    </row>
    <row r="16">
      <c r="A16" t="inlineStr">
        <is>
          <t>in-ffadc7305d6f0143</t>
        </is>
      </c>
      <c r="B16" t="inlineStr">
        <is>
          <t>Data Scientist 4</t>
        </is>
      </c>
      <c r="C16" t="inlineStr">
        <is>
          <t>Lam Research</t>
        </is>
      </c>
      <c r="D16" t="inlineStr">
        <is>
          <t>indeed</t>
        </is>
      </c>
      <c r="E16" t="inlineStr"/>
      <c r="F16" t="inlineStr"/>
      <c r="G16" t="inlineStr">
        <is>
          <t>Tualatin, OR, US</t>
        </is>
      </c>
      <c r="H16" s="2" t="n">
        <v>46063</v>
      </c>
      <c r="I16" t="inlineStr">
        <is>
          <t>Requisition ID**194605**
Date posted**02/11/2026**
Work Location Model**On\-site Flex**
Work Location**Tualatin\-OR**
Work Country**United States****The group you’ll be a part of**
---------------------------------
In the Global Products Group, we are dedicated to excellence in the design and engineering of Lam’s etch and deposition products. We drive innovation to ensure our cutting\-edge solutions are helping to solve the biggest challenges in the semiconductor industry.
**The impact you’ll make**
--------------------------
Lam Research is looking for a Performance Data Scientist in Lam’s Global Quality organization. This is individual will partner with the Field/Factory Business Process Quality Manager, Global Quality peers and leaders across the company to identify through the use a common data to effectively prioritize and resolve the largest quality issues in the company impacting our customers and limiting our ability to meet both short and term business objectives. This role will have a high\-profile presence within the organization and will be able to contribute and make a difference in the quality performance and culture through knowledge, leadership and influence within the company and ultimately delivering required improvement to our valued customers and internal functions.
**What you’ll do**
------------------
+ Improve quality performance consistently from awareness, prioritization and action through the availability of common data.
+ Analyze trends and patterns in quality data that drive required quality improvement.
+ Develop tools, metric measurement and assessment methods for performance management and predictive modeling.
+ Foster growth and utility of Cost of Quality within the company through correlation of I\&amp;W data, ECOGS, identification of causal relationships for quality events and discovery of hidden costs throughout the network.
+ Reliability tracking and improvement and problem resolution.
+ Improve data utilization via AI, automation and improve defect determination leading to real time resolution and speeding systemic action.
+ Create accountability for corporate\-wide quality data analysis and action.
+ Lead and/or advise on multiple projects simultaneously and demonstrate organizational, prioritization, and time management proficiencies.
**Who we’re looking for**
-------------------------
5–7\+ years of continuous improvement experience, including analytical work, project management, and business analysis.  
* Bachelor’s degree in engineering, quality, computer science, or related field; Master’s preferred.
* Semiconductor industry experience.
* Strong expertise in advanced statistics, multivariate modeling, machine learning, and modeling of physical/electro‑mechanical systems.
* Demonstrated success implementing AI solutions that drive efficiency and effectiveness across the organization.
* Ability to define problem statements, set objectives, design analytical approaches, and execute analyses/experiments.
* Proven leadership overseeing large, complex programs from discovery through implementation and support for internal and external stakeholders.
* Skilled at influencing within a fast‑paced, cross‑functional, matrixed environment.
* Excellent communication, collaboration, interpersonal, and influencing skills.
* Proficiency in Python, R, MATLAB, or similar programming environments.
* Knowledge of Lean Six Sigma, statistics, and quality systems.
* Ability to manage multiple projects simultaneously.
* Experience with Quickbase and Power BI development.
* Strong executive‑level presentation skills.
* Outstanding people skills and effectiveness in matrix organizations.
**Preferred qualifications**
----------------------------
+ Demonstrated success in using structured problem\-solving methodologies and quality tools to solve complex problems.
+ Command over quality tools such as Pareto FMEA /Fault tree diagram/Fish bone diagram etc.
+ Willingness to adapt best practices via benchmarking.
+ Knowledge of programming environments such as Python, R, Matlab, or equivalent.
+ Six Sigma certification (Green Belt or higher).
+ Advanced expertise in structured problem\-solving methodologies (PDCA, DMAIC, 8D) and quality tools.
+ Experience in semiconductor capital equipment industry.
+ Experience in Statistical Process Control (SPC), Gage R\&amp;R, Pareto Charts etc. using tools like JMP, Minitab.
**Our commitment**
------------------
We believe it is important for every person to feel valued, included, and empowered to achieve their full potential. By bringing unique individuals and viewpoints together, we achieve extraordinary results.
Lam Research ("Lam" or the "Company") is an equal opportunity employer. Lam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local laws. It is the Company's intention to comply with all applicable laws and regulations. Company policy prohibits unlawful discrimination against applicants or employees.
*Lam offers a variety of work location models based on the needs of each role. Our hybrid roles combine the benefits of on\-site collaboration with colleagues and the flexibility to work remotely and fall into two categories – On\-site Flex and Virtual Flex. ‘On\-site Flex’ you’ll work 3\+ days per week on\-site at a Lam or customer/supplier location, with the opportunity to work remotely for the balance of the week. ‘Virtual Flex’ you’ll work 1\-2 days per week on\-site at a Lam or customer/supplier location, and remotely the rest of the time.*
*\#LI\-RSC1*
**Our Perks and Benefits**
At Lam, our people make amazing things possible. That’s why we invest in you throughout the phases of your life with a comprehensive set of outstanding benefits.</t>
        </is>
      </c>
    </row>
    <row r="17">
      <c r="A17" t="inlineStr">
        <is>
          <t>in-de759c0820cbd0e3</t>
        </is>
      </c>
      <c r="B17" t="inlineStr">
        <is>
          <t>GenAI Data Scientist, Commercial, Supply Chain &amp; Trading</t>
        </is>
      </c>
      <c r="C17" t="inlineStr">
        <is>
          <t>ExxonMobil</t>
        </is>
      </c>
      <c r="D17" t="inlineStr">
        <is>
          <t>indeed</t>
        </is>
      </c>
      <c r="E17" t="inlineStr"/>
      <c r="F17" t="inlineStr"/>
      <c r="G17" t="inlineStr">
        <is>
          <t>Houston, TX, US</t>
        </is>
      </c>
      <c r="H17" s="2" t="n">
        <v>46063</v>
      </c>
      <c r="I17" t="inlineStr">
        <is>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canwork **together**.
**About Houston**
-----------------
ExxonMobil's state\-of\-the\-art campus north of Houston serves as home to its Upstream, Product Solutions and Low Carbon Solutions businesses and their associated service groups. The facility opened in 2014 and accommodates more than 10,000 employees and visitors.
By bringing many global functional groups together, the campus provides employees with the tools and capabilities needed today, and in the future, to achieve business objectives and accelerate the discovery of new resources, technologies and products. It was designed to foster improved collaboration, creativity and innovation and enhance the company’s ability to attract, develop and retain the top talent in the industry.
The campus is located in Spring, Texas, on 385 wooded acres immediately to the west of Interstate Highway 45 (I\-45\), at the intersection of I\-45 and the Hardy Toll Road, approximately 25 miles from the cultural vibrancy of downtown Houston.
The campus was constructed to the highest standards of energy efficiency and environmental stewardship. Its design incorporates extensive research into best practices in building and workplace design through extensive benchmarking of the world’s top academic, research, and corporate facilities.
Learn more about what we do in Houston **here****.**
**What role you will play in our team**
---------------------------------------
* Work on complex AI use cases from ideation and discovery through deployment and sustainment as part of integrated, enterprise\-level teams.
* Collaborate with ExxonMobil subject matter experts to strengthen organizational capabilities in AI/ML.
* Support business teams in making impactful, data\-driven decisions.
**What you will do**
--------------------
* Lead the scoping, design, development, and deployment of AI/ML solutions, primarily focused on Generative AI applications for commercial, trading and supply chain operations.
* Collaborate with data and machine learning engineers to operationalize models and ensure seamless integration with existing digital infrastructure.
* Build and deploy AI system components (such as chatbots, agents, and other workflow automation components) capable of interacting with diverse data sources and providing insightful information to users.
* Develop and implement solutions involving orchestration of multiple AI agents to achieve complex tasks.
* Apply domain knowledge and physical principles to improve model accuracy and reliability.
* Contribute to the growth of internal AI capabilities by sharing expertise and developing best practices.
* Provide technical mentorship and guidance to colleagues across teams.
* Work closely with team leads and subject matter experts to align on project priorities, strategy, and solution design.
* Optimize end to end AI solutions to enhance performance, usability, and cost
* Work closely with business to understand business problem and translate that into mathematical framework. Also, work with business to help enhance business adaptability for the solution.
* Validate AI system responses, including troubleshooting prompt engineering, agentic workflows and other aspects of a GenAI system.
* Develop process and automation for accelerating validation of AI systems, while ensuring the proper degree of accuracy is maintained.
**About You**
-------------
 **Skills / Qualifications**
* Advanced degree (Master’s or PhD) in Data Science, Computer Science, Engineering, or a related field
* 5\+ years of professional experience in developing and deploying AI/ML solutions, with a strong emphasis on generative AI technologies and a solid background in applying these methods to physical systems and engineering workflows.
* Deep expertise in natural language processing (NLP), large language models (LLMs), and building agentic workflows for Generative AI with the ability to understand underlying mathematics and develop novel algorithms.
* Solid understanding of knowledge graphs, ontologies, and semantic technologies.
* Solid foundation and experiences in AI/ML on data processing, probability and statistics, EDA, feature engineering, modeling strategy, model development, and explainable AI.
* Proven track record of successfully developing and deploying multiple end\-to\-end Generative AI solutions, notably multi\-agent systems, in business environments.
* Proficient in Python and widely used ML frameworks such as TensorFlow, PyTorch, and Scikit\-learn.
* Proficient in Generative AI frameworks such as Langchain, Promptflow, or Copilot Studio
* Proven ability to uncover meaningful insights from complex datasets.
* Strong drive toward hands\-on testing of hypotheses and rapid validation of assumptions through data.
* Strong communication, collaboration, and problem\-solving skills..
 **Preferred Knowledge/Skills**
* Experience in the energy industry, with a focus on commercial, supply chain, oil \&amp; gas trading or similar business
* Experience in implementing hybrid search systems in conjunction with Large Language Models, e.g. Retrieval Augmented Generation (RAG) solutions.
* Proficient in using the Databricks platform, Azure Open AI, Azure managed NLP services and OCR technologies.
* Demonstrated ability to thrive in a collaborative Agile product team setting.
**Your Benefits**
-----------------
**An ExxonMobil career is one designed to last. Our commitment to you runs deep: our employees grow personally and professionally, with benefits built on our core categories of health, security, finance, and life.**
 **We offer you:**
* Pension Plan: Enrollment is automatic and at no cost to you. The basic benefit is a monthly annuity to be paid to you in retirement for the rest of your life.
* Savings Plan: You can contribute between 6% and 20% of your pay and are encouraged to enroll right away. If you contribute at least 6% to your savings plan, the Company will contribute a 7% match.
* Workplace Flexibility: We have several programs such as “Flex your Day”, providing ad\-hoc flexibility around when and where you work, as well as longer\-term programs such as leaves of absence and part\-time work.
* Comprehensive medical, dental, and vision plans.
* Culture of Health: Programs and resources to support your wellbeing.
* Employee Health Advisory Program: Provides confidential professional counseling for you and your family, including tools and resources promoting mental health and resiliency at no additional cost to you.
* Disability Plan: Income replacement for when you cannot work due to illness or injury occurring on or off the job. Enrollment is automatic and at no cost to you.
More information on our Company’s benefits can be found at www.exxonmobilfamily.com.
Please note benefits may be changed from time to time without notice, subject to applicable law.
**Stay connected with us**
--------------------------
Learn more at our **website**  
Follow us on **LinkedIN** and **Instagram**  
Like us on **Facebook**  
Subscribe our channel at **YouTube**
**Employee Equal Opportunity**
------------------------------
 **ExxonMobil is an Equal Opportunity Employer. All qualified applicants will receive consideration for employment without regard to race, color, religion, sex, age, sexual orientation, gender identity, national origin, citizenship status, protected veteran status, genetic information, or physical or mental disability.**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
**Job ID: 81336**</t>
        </is>
      </c>
    </row>
    <row r="18">
      <c r="A18" t="inlineStr">
        <is>
          <t>in-0df87c64c38ff545</t>
        </is>
      </c>
      <c r="B18" t="inlineStr">
        <is>
          <t>Lead Data Scientist</t>
        </is>
      </c>
      <c r="C18" t="inlineStr">
        <is>
          <t>Tiger Analytics</t>
        </is>
      </c>
      <c r="D18" t="inlineStr">
        <is>
          <t>indeed</t>
        </is>
      </c>
      <c r="E18" t="inlineStr"/>
      <c r="F18" t="inlineStr"/>
      <c r="G18" t="inlineStr">
        <is>
          <t>Chicago, IL, US</t>
        </is>
      </c>
      <c r="H18" s="2" t="n">
        <v>46063</v>
      </c>
      <c r="I18" t="inlineStr">
        <is>
          <t>Tiger Analytics is looking for experienced Data Scientists to join our fast\-growing advanced analytics consulting firm. Our consultants bring deep expertise in Data Science, Machine Learning and AI. We are the trusted analytics partner for multiple Fortune 500 companies, enabling them to generate business value from data. Our business value and leadership has been recognized by various market research firms, including Forrester and Gartner. We are looking for top\-notch talent as we continue to build the best global analytics consulting team in the world.
We are seeking a highly skilled and experienced Lead Data Scientist with strong expertise in forecasting models, including ARIMA, time series modeling, and PMPM forecasting, preferably within the healthcare domain. The ideal candidate will have a proven track record of designing, developing, and deploying scalable forecasting solutions, while leading projects and mentoring teams. This role requires deep technical expertise, hands\-on coding experience, and the ability to collaborate closely with clients and stakeholders to translate business needs into robust analytical solutions.
**Key Responsibilities**
* Design, develop, and deploy advanced forecasting models (ARIMA, SARIMA, Prophet, and other time series techniques) for healthcare\-related use cases including PMPM forecasting.
* Analyze structured and large\-scale healthcare datasets (claims, membership, utilization, cost data) to generate actionable insights.
* Build scalable, production\-ready ML pipelines and automate forecasting workflows.
* Perform model validation, back\-testing, hyperparameter tuning, and performance monitoring to ensure accuracy and stability.
* Translate business problems into data science solutions and clearly communicate findings to clients and stakeholders.
* Lead end\-to\-end project execution, mentor junior data scientists, and ensure best practices in modeling and MLOps.
* Collaborate cross\-functionally with engineering, product, and business teams to drive data\-driven decision\-making.
* Collaborate, coach, and learn with a growing team of experienced Data Scientists.
**Requirements**
* 6–8 years of experience in Data Science, Machine Learning, or Advanced Analytics.
* Strong expertise in time series forecasting techniques such as ARIMA/SARIMA, exponential smoothing, and other statistical models.
* Hands\-on experience in PMPM forecasting and healthcare analytics (claims, cost, utilization data preferred).
* Proficiency in Python (pandas, numpy, stats models, scikit\-learn) and SQL for data analysis and modeling.
* Experience in deploying models to production and building automated data pipelines (MLOps exposure preferred).
* Strong understanding of statistical concepts, model evaluation metrics (MAPE, RMSE, etc.), and model interpretability.
* Excellent communication skills with experience engaging business stakeholders or clients.
* Proficiency in building data pipelines using tools such as Airflow, Databricks, Spark, or similar frameworks.
* Experience working in agile environments with cross\-functional collaboration.
**Benefits**
This position offers an excellent opportunity for significant career development in a fast\-growing and challenging entrepreneurial environment with a high degree of individual responsibility.
***Tiger Analytics provides equal employment opportunities to applicants and employees without regard to race, color, religion, age, sex, sexual orientation, gender identity/expression, pregnancy, national origin, ancestry, marital status, protected veteran status, disability status, or any other basis as protected by federal, state, or local law.***</t>
        </is>
      </c>
    </row>
    <row r="19">
      <c r="A19" t="inlineStr">
        <is>
          <t>in-c32c4de70027c324</t>
        </is>
      </c>
      <c r="B19" t="inlineStr">
        <is>
          <t>Data Scientist Manager</t>
        </is>
      </c>
      <c r="C19" t="inlineStr">
        <is>
          <t>Ameriprise Financial</t>
        </is>
      </c>
      <c r="D19" t="inlineStr">
        <is>
          <t>indeed</t>
        </is>
      </c>
      <c r="E19" t="inlineStr"/>
      <c r="F19" t="inlineStr"/>
      <c r="G19" t="inlineStr">
        <is>
          <t>Minneapolis, MN, US</t>
        </is>
      </c>
      <c r="H19" s="2" t="n">
        <v>46057</v>
      </c>
      <c r="I19" t="inlineStr">
        <is>
          <t>Ameriprise Financial is looking to add a Data Scientist Manager to the team! The individual in this role will play an integral role in supporting modeling and data analysis, campaign execution, and database needs for assigned line of business. Manage the creation and/or usage of large data sets, providing information\-based decision logic and predictive modeling solutions, and translates modeling/analytic output into understandable/actionable business knowledge, insight and applications. Demonstrate strong technical/problem solving skills. Support multiple projects collaboratively.**Key Responsibilities**
* Identify, develop and implement complex analytical solutions leveraging tools such as predictive modeling, advanced machine learning techniques, simulation, optimization solutions, etc., with respect to credit card, lending and cash products for marketing and risk management purposes.
* Manage dataset creation including data extraction, derived and dependent variable creation, and data quality control processes for analytics, model development, and validation. May monitor execution of analytical solutions, including criteria specification, data sourcing, segmentation, analytics, selection, delivery, and back\-end data capture results.
* Consult and coordinate campaign execution for direct to client campaigns. Identify and execute targeting and optimization opportunities.
* Under direction of the Sr. Leader, collaborate with business leaders and/or analysts to provide analytical thought leadership and support for business problems. Identify and interpret business needs, define high\-level business requirements, strategy, technical risks, and scope. Develop, document, and communicate business\-driven analytic solutions and capabilities, translating modeling and analytic output into understandable and actionable business knowledge.
* Embed analytic programs and tools. Ensure continued accuracy, relevancy, and effectiveness and track process improvements once deployed.
* Ensure adherence to data and model governance standards that are set and enforced by industry standards and/or enterprise and business unit data governance polices and leaders.
* Contribute to ongoing expansion of data science expertise and credentials by keeping up with industry best practices, developing new skills, and knowledge sharing. Work cross functionally to develop standardized/automated solutions and adopt best practices.
 **Required Qualifications**
* Master's degree or equivalent Quantitative Discipline (i.e. Finance, Statistics, Computer Science, Actuarial Science, Economics, Engineering, etc.)
* 3 \- 5 years relevant experience required
* Knowledge of advanced statistical concepts and techniques; skilled in linear algebra.
* Experience conducting hands\-on analytics projects using advanced statistical methods such as generalized regression models, Bayesian methods, random forest, gradient boosting, neural networks, machine learning, clustering, or similar methodologies.
* Experience with statistical programming (SAS, R, Python, SQL etc.) \&amp; data visualization software in a data\-rich environment.
* Proven ability to present/communicate complex, technical materials in a way that facilitates decision making and drives outcomes; ability to communicate to less technical partners.
* Proven ability to apply both strategic and analytic techniques to provide business solutions and recommendations.
* Ability to work effectively in a collaborative team environment.
 **Preferred Qualifications**
* Ph.D
* 3\+ years of experience in statistical modeling and the collating processes necessary to create modeling data.
* Experience with big data technologies which may include Hadoop, Cloud Computing Environments (including container creation, management \&amp; deployment), Spark, Dataiku, Amazon SageMaker etc..
* Self\-starter with the ability to work effectively in a matrix environment while (at times) working autonomously.
* Proven flexibility and adaptability in effectively driving results in an environment of changing priorities.
* Knowledge of credit risk analytics.
* Background in banking \- lending, credit card and mortgage.
* Background in financial services.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$96,300 \- $169,200/year.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Data**Line of Business**
CSIRM Information Management</t>
        </is>
      </c>
    </row>
    <row r="20">
      <c r="A20" t="inlineStr">
        <is>
          <t>in-da745f387f1ca7a6</t>
        </is>
      </c>
      <c r="B20" t="inlineStr">
        <is>
          <t>Data Scientist Manager</t>
        </is>
      </c>
      <c r="C20" t="inlineStr">
        <is>
          <t>Ameriprise Financial</t>
        </is>
      </c>
      <c r="D20" t="inlineStr">
        <is>
          <t>indeed</t>
        </is>
      </c>
      <c r="E20" t="inlineStr"/>
      <c r="F20" t="inlineStr"/>
      <c r="G20" t="inlineStr">
        <is>
          <t>Charlotte, NC, US</t>
        </is>
      </c>
      <c r="H20" s="2" t="n">
        <v>46057</v>
      </c>
      <c r="I20" t="inlineStr">
        <is>
          <t>Ameriprise Financial is looking to add a Data Scientist Manager to the team! The individual in this role will play an integral role in supporting modeling and data analysis, campaign execution, and database needs for assigned line of business. Manage the creation and/or usage of large data sets, providing information\-based decision logic and predictive modeling solutions, and translates modeling/analytic output into understandable/actionable business knowledge, insight and applications. Demonstrate strong technical/problem solving skills. Support multiple projects collaboratively.**Key Responsibilities**
* Identify, develop and implement complex analytical solutions leveraging tools such as predictive modeling, advanced machine learning techniques, simulation, optimization solutions, etc., with respect to credit card, lending and cash products for marketing and risk management purposes.
* Manage dataset creation including data extraction, derived and dependent variable creation, and data quality control processes for analytics, model development, and validation. May monitor execution of analytical solutions, including criteria specification, data sourcing, segmentation, analytics, selection, delivery, and back\-end data capture results.
* Consult and coordinate campaign execution for direct to client campaigns. Identify and execute targeting and optimization opportunities.
* Under direction of the Sr. Leader, collaborate with business leaders and/or analysts to provide analytical thought leadership and support for business problems. Identify and interpret business needs, define high\-level business requirements, strategy, technical risks, and scope. Develop, document, and communicate business\-driven analytic solutions and capabilities, translating modeling and analytic output into understandable and actionable business knowledge.
* Embed analytic programs and tools. Ensure continued accuracy, relevancy, and effectiveness and track process improvements once deployed.
* Ensure adherence to data and model governance standards that are set and enforced by industry standards and/or enterprise and business unit data governance polices and leaders.
* Contribute to ongoing expansion of data science expertise and credentials by keeping up with industry best practices, developing new skills, and knowledge sharing. Work cross functionally to develop standardized/automated solutions and adopt best practices.
 **Required Qualifications**
* Master's degree or equivalent Quantitative Discipline (i.e. Finance, Statistics, Computer Science, Actuarial Science, Economics, Engineering, etc.)
* 3 \- 5 years relevant experience required
* Knowledge of advanced statistical concepts and techniques; skilled in linear algebra.
* Experience conducting hands\-on analytics projects using advanced statistical methods such as generalized regression models, Bayesian methods, random forest, gradient boosting, neural networks, machine learning, clustering, or similar methodologies.
* Experience with statistical programming (SAS, R, Python, SQL etc.) \&amp; data visualization software in a data\-rich environment.
* Proven ability to present/communicate complex, technical materials in a way that facilitates decision making and drives outcomes; ability to communicate to less technical partners.
* Proven ability to apply both strategic and analytic techniques to provide business solutions and recommendations.
* Ability to work effectively in a collaborative team environment.
 **Preferred Qualifications**
* Ph.D
* 3\+ years of experience in statistical modeling and the collating processes necessary to create modeling data.
* Experience with big data technologies which may include Hadoop, Cloud Computing Environments (including container creation, management \&amp; deployment), Spark, Dataiku, Amazon SageMaker etc..
* Self\-starter with the ability to work effectively in a matrix environment while (at times) working autonomously.
* Proven flexibility and adaptability in effectively driving results in an environment of changing priorities.
* Knowledge of credit risk analytics.
* Background in banking \- lending, credit card and mortgage.
* Background in financial services.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$96,300 \- $169,200/year.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Data**Line of Business**
CSIRM Information Management</t>
        </is>
      </c>
    </row>
    <row r="21">
      <c r="A21" t="inlineStr">
        <is>
          <t>in-ead7f1ac1b23fb63</t>
        </is>
      </c>
      <c r="B21" t="inlineStr">
        <is>
          <t>Applied Scientist, Safety ML</t>
        </is>
      </c>
      <c r="C21" t="inlineStr">
        <is>
          <t>Amazon.com</t>
        </is>
      </c>
      <c r="D21" t="inlineStr">
        <is>
          <t>indeed</t>
        </is>
      </c>
      <c r="E21" t="inlineStr"/>
      <c r="F21" t="inlineStr"/>
      <c r="G21" t="inlineStr">
        <is>
          <t>San Francisco, CA, US</t>
        </is>
      </c>
      <c r="H21" s="2" t="n">
        <v>46037</v>
      </c>
      <c r="I2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22">
      <c r="A22" t="inlineStr">
        <is>
          <t>in-81de1b6149d8b5f1</t>
        </is>
      </c>
      <c r="B22" t="inlineStr">
        <is>
          <t>Applied Scientist, Safety ML</t>
        </is>
      </c>
      <c r="C22" t="inlineStr">
        <is>
          <t>Amazon.com</t>
        </is>
      </c>
      <c r="D22" t="inlineStr">
        <is>
          <t>indeed</t>
        </is>
      </c>
      <c r="E22" t="inlineStr"/>
      <c r="F22" t="inlineStr"/>
      <c r="G22" t="inlineStr">
        <is>
          <t>Seattle, WA, US</t>
        </is>
      </c>
      <c r="H22" s="2" t="n">
        <v>46037</v>
      </c>
      <c r="I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23">
      <c r="A23" t="inlineStr">
        <is>
          <t>in-eb0af884d258d69b</t>
        </is>
      </c>
      <c r="B23" t="inlineStr">
        <is>
          <t>Applied Scientist, LLM Code Agents, Kiro Science</t>
        </is>
      </c>
      <c r="C23" t="inlineStr">
        <is>
          <t>Amazon.com</t>
        </is>
      </c>
      <c r="D23" t="inlineStr">
        <is>
          <t>indeed</t>
        </is>
      </c>
      <c r="E23" t="inlineStr"/>
      <c r="F23" t="inlineStr"/>
      <c r="G23" t="inlineStr">
        <is>
          <t>Santa Clara, CA, US</t>
        </is>
      </c>
      <c r="H23" s="2" t="n">
        <v>46035</v>
      </c>
      <c r="I23"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24">
      <c r="A24" t="inlineStr">
        <is>
          <t>in-960542aee528c408</t>
        </is>
      </c>
      <c r="B24" t="inlineStr">
        <is>
          <t>Applied Scientist, LLM Code Agents, Kiro Science</t>
        </is>
      </c>
      <c r="C24" t="inlineStr">
        <is>
          <t>Amazon.com</t>
        </is>
      </c>
      <c r="D24" t="inlineStr">
        <is>
          <t>indeed</t>
        </is>
      </c>
      <c r="E24" t="inlineStr"/>
      <c r="F24" t="inlineStr"/>
      <c r="G24" t="inlineStr">
        <is>
          <t>Seattle, WA, US</t>
        </is>
      </c>
      <c r="H24" s="2" t="n">
        <v>46035</v>
      </c>
      <c r="I24"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25">
      <c r="A25" t="inlineStr">
        <is>
          <t>in-33eda990dace5f7c</t>
        </is>
      </c>
      <c r="B25" t="inlineStr">
        <is>
          <t>Senior Data Scientist, Amazon Stores Finance Science, Amazon Stores Finance Science</t>
        </is>
      </c>
      <c r="C25" t="inlineStr">
        <is>
          <t>Amazon.com</t>
        </is>
      </c>
      <c r="D25" t="inlineStr">
        <is>
          <t>indeed</t>
        </is>
      </c>
      <c r="E25" t="inlineStr"/>
      <c r="F25" t="inlineStr"/>
      <c r="G25" t="inlineStr">
        <is>
          <t>Bellevue, WA, US</t>
        </is>
      </c>
      <c r="H25" s="2" t="n">
        <v>46034</v>
      </c>
      <c r="I25"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26">
      <c r="A26" t="inlineStr">
        <is>
          <t>in-fcb7bbe3e7893015</t>
        </is>
      </c>
      <c r="B26" t="inlineStr">
        <is>
          <t>Senior Data Scientist, Amazon Stores Finance Science, Amazon Stores Finance Science</t>
        </is>
      </c>
      <c r="C26" t="inlineStr">
        <is>
          <t>Amazon.com</t>
        </is>
      </c>
      <c r="D26" t="inlineStr">
        <is>
          <t>indeed</t>
        </is>
      </c>
      <c r="E26" t="inlineStr"/>
      <c r="F26" t="inlineStr"/>
      <c r="G26" t="inlineStr">
        <is>
          <t>Seattle, WA, US</t>
        </is>
      </c>
      <c r="H26" s="2" t="n">
        <v>46034</v>
      </c>
      <c r="I26"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27">
      <c r="A27" t="inlineStr">
        <is>
          <t>in-849bfa5a2ed32361</t>
        </is>
      </c>
      <c r="B27" t="inlineStr">
        <is>
          <t>Senior Data Scientist, Amazon Stores Finance Science, Amazon Stores Finance Science</t>
        </is>
      </c>
      <c r="C27" t="inlineStr">
        <is>
          <t>Amazon.com</t>
        </is>
      </c>
      <c r="D27" t="inlineStr">
        <is>
          <t>indeed</t>
        </is>
      </c>
      <c r="E27" t="inlineStr"/>
      <c r="F27" t="inlineStr"/>
      <c r="G27" t="inlineStr">
        <is>
          <t>Sunnyvale, CA, US</t>
        </is>
      </c>
      <c r="H27" s="2" t="n">
        <v>46034</v>
      </c>
      <c r="I27"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28">
      <c r="A28" t="inlineStr">
        <is>
          <t>in-c18d9f468ad0c761</t>
        </is>
      </c>
      <c r="B28" t="inlineStr">
        <is>
          <t>Applied Scientist II, Prime Video Personalization and Discovery Science</t>
        </is>
      </c>
      <c r="C28" t="inlineStr">
        <is>
          <t>Amazon.com</t>
        </is>
      </c>
      <c r="D28" t="inlineStr">
        <is>
          <t>indeed</t>
        </is>
      </c>
      <c r="E28" t="inlineStr"/>
      <c r="F28" t="inlineStr"/>
      <c r="G28" t="inlineStr">
        <is>
          <t>Seattle, WA, US</t>
        </is>
      </c>
      <c r="H28" s="2" t="n">
        <v>46034</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9">
      <c r="A29" t="inlineStr">
        <is>
          <t>in-63aad22142fdd2a5</t>
        </is>
      </c>
      <c r="B29" t="inlineStr">
        <is>
          <t>Applied Scientist II, Prime Video Personalization and Discovery Science</t>
        </is>
      </c>
      <c r="C29" t="inlineStr">
        <is>
          <t>Amazon.com</t>
        </is>
      </c>
      <c r="D29" t="inlineStr">
        <is>
          <t>indeed</t>
        </is>
      </c>
      <c r="E29" t="inlineStr"/>
      <c r="F29" t="inlineStr"/>
      <c r="G29" t="inlineStr">
        <is>
          <t>Sunnyvale, CA, US</t>
        </is>
      </c>
      <c r="H29" s="2" t="n">
        <v>46034</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0">
      <c r="A30" t="inlineStr">
        <is>
          <t>in-004b53abb48dc32a</t>
        </is>
      </c>
      <c r="B30" t="inlineStr">
        <is>
          <t>Sr Applied Scientist, AWS Proactive Security</t>
        </is>
      </c>
      <c r="C30" t="inlineStr">
        <is>
          <t>Amazon.com</t>
        </is>
      </c>
      <c r="D30" t="inlineStr">
        <is>
          <t>indeed</t>
        </is>
      </c>
      <c r="E30" t="inlineStr"/>
      <c r="F30" t="inlineStr"/>
      <c r="G30" t="inlineStr">
        <is>
          <t>Sunnyvale, CA, US</t>
        </is>
      </c>
      <c r="H30" s="2" t="n">
        <v>46030</v>
      </c>
      <c r="I30"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31">
      <c r="A31" t="inlineStr">
        <is>
          <t>in-684c50b94791e510</t>
        </is>
      </c>
      <c r="B31" t="inlineStr">
        <is>
          <t>Sr Applied Scientist, AWS Proactive Security</t>
        </is>
      </c>
      <c r="C31" t="inlineStr">
        <is>
          <t>Amazon.com</t>
        </is>
      </c>
      <c r="D31" t="inlineStr">
        <is>
          <t>indeed</t>
        </is>
      </c>
      <c r="E31" t="inlineStr"/>
      <c r="F31" t="inlineStr"/>
      <c r="G31" t="inlineStr">
        <is>
          <t>Arlington, VA, US</t>
        </is>
      </c>
      <c r="H31" s="2" t="n">
        <v>46030</v>
      </c>
      <c r="I31"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32">
      <c r="A32" t="inlineStr">
        <is>
          <t>in-3798996349012b95</t>
        </is>
      </c>
      <c r="B32" t="inlineStr">
        <is>
          <t>Sr Applied Scientist, AWS Proactive Security</t>
        </is>
      </c>
      <c r="C32" t="inlineStr">
        <is>
          <t>Amazon.com</t>
        </is>
      </c>
      <c r="D32" t="inlineStr">
        <is>
          <t>indeed</t>
        </is>
      </c>
      <c r="E32" t="inlineStr"/>
      <c r="F32" t="inlineStr"/>
      <c r="G32" t="inlineStr">
        <is>
          <t>Herndon, VA, US</t>
        </is>
      </c>
      <c r="H32" s="2" t="n">
        <v>46030</v>
      </c>
      <c r="I32"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33">
      <c r="A33" t="inlineStr">
        <is>
          <t>in-79ad65705e619f23</t>
        </is>
      </c>
      <c r="B33" t="inlineStr">
        <is>
          <t>Applied Scientist, Last Mile Delivery Automation</t>
        </is>
      </c>
      <c r="C33" t="inlineStr">
        <is>
          <t>Amazon.com</t>
        </is>
      </c>
      <c r="D33" t="inlineStr">
        <is>
          <t>indeed</t>
        </is>
      </c>
      <c r="E33" t="inlineStr"/>
      <c r="F33" t="inlineStr"/>
      <c r="G33" t="inlineStr">
        <is>
          <t>Bellevue, WA, US</t>
        </is>
      </c>
      <c r="H33" s="2" t="n">
        <v>46026</v>
      </c>
      <c r="I33"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in-143ee94ebf436bec</t>
        </is>
      </c>
      <c r="B34" t="inlineStr">
        <is>
          <t>Applied Scientist, Last Mile Delivery Automation</t>
        </is>
      </c>
      <c r="C34" t="inlineStr">
        <is>
          <t>Amazon.com</t>
        </is>
      </c>
      <c r="D34" t="inlineStr">
        <is>
          <t>indeed</t>
        </is>
      </c>
      <c r="E34" t="inlineStr"/>
      <c r="F34" t="inlineStr"/>
      <c r="G34" t="inlineStr">
        <is>
          <t>Santa Clara, CA, US</t>
        </is>
      </c>
      <c r="H34" s="2" t="n">
        <v>46026</v>
      </c>
      <c r="I34"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in-eb3220e31fb51626</t>
        </is>
      </c>
      <c r="B35" t="inlineStr">
        <is>
          <t>Principal Data Scientist</t>
        </is>
      </c>
      <c r="C35" t="inlineStr">
        <is>
          <t>Blue Cross and Blue Shield of Minnesota</t>
        </is>
      </c>
      <c r="D35" t="inlineStr">
        <is>
          <t>indeed</t>
        </is>
      </c>
      <c r="E35" t="inlineStr"/>
      <c r="F35" t="inlineStr"/>
      <c r="G35" t="inlineStr">
        <is>
          <t>Eagan, MN, US</t>
        </is>
      </c>
      <c r="H35" s="2" t="n">
        <v>46013</v>
      </c>
      <c r="I35" t="inlineStr">
        <is>
          <t>Hybrid \| Eagan, Minnesota
Job ID: R0005770
 Career Area: Data Analytics \&amp; Business Intelligence
 Date Posted: 12/23/2025
**About Blue Cross and Blue Shield of Minnesota**  
At Blue Cross and Blue Shield of Minnesota, we are committed to paving the way for everyone to achieve their healthiest life. We are looking for dedicated and motivated individuals who share our vision of transforming healthcare. As a Blue Cross associate, you are joining a culture that is built on values of succeeding together, finding a better way, and doing the right thing. If you are ready to make a difference, join us. **The Impact You Will Have**
Blue Cross and Blue Shield of Minnesota is hiring a Principal Data Scientist in Eagan, MN. The Principal Data Scientist will lead the design and deployment of advanced AI solutions, leveraging Large Language Models (LLMs) and innovative agentic AI architectures. This individual will develop scalable systems where multiple AI models collaborate to produce insights and enhance efficiency across the organization.
In this role, you will drive the development of cutting\-edge AI models and scalable systems that enable collaboration across multiple models to deliver actionable insights. You will design and implement solutions that ensure accuracy, reliability, and performance while incorporating best practices for fairness and transparency. Working closely with cross\-functional teams, you will assess potential risks, optimize workflows, and establish governance processes for model monitoring and lifecycle management. Additionally, you will stay current with emerging technologies and regulatory requirements, mentor data scientists and engineers, and champion innovative approaches to integrating LLMs and agentic AI architectures into enterprise applications.
The ideal candidate brings at least seven years of experience in data science, progressing from predictive analytics and machine learning to sophisticated LLM\-driven AI applications. You excel at designing solutions that synthesize data, streamline operations, and deliver impactful insights. Success in this role requires strong partnership skills to translate complex business problems into effective data science and machine learning solutions, while maintaining a balance between innovative advancements and responsible governance for safe, scalable AI deployment.
As a hybrid‑first organization, BCBS of Minnesota prefers this role to be based in Eagan, MN in a hybrid arrangement; however, remote work will be considered.
**Your Responsibilities**
* Lead data science projects to design and implement models and experiments from end to end, including data ingestion and preparation, feature engineering, analysis and modeling, model deployment, performance tracking and documentation.
* Act as a mentor to junior data scientists around mature data science practices e.g., readable code, thorough documentation, comprehensive experimentation.
* Work with autonomy with business partners to convert ambiguous business problems in clear data science/ML specifications \- Use contextual business acumen to convert model predictions/results into impactful insights and provide actionable guidance on risks and limitations.
* Work hand\-in\-hand with product managers, data engineers, and subject matter experts to ship new models, algorithms and improvements continuously and collaboratively into production.
* Use combination of machine learning knowledge and contextual business acumen to convert results into impactful insights and provide actionable guidance on risks and limitations of model.
* Write narrative documents for model specification and performance analysis to communicate findings and recommendations to teammates, stakeholders and executive leadership.
**Required Skills and Experience**
* 7\+ years of related professional experience. All relevant experience including work, education, transferable skills, and military experience will be considered.
* Hands\-on experience in analytics and data science (specific areas of interest include classification/regression, unsupervised learning, time\-series/sequence models, NLP, explainability methods, deep learning).
* Advanced proficiency in data science tools such as Python, R, Spark, SQL.
* Experience implementing predictive algorithms and associated statistical analysis/inference in a data science/ML workflow manipulating both structured and unstructured data.
* Strong communication skills and ability to deliver highly technical results to a diverse audience.
* Ability to mentor junior data scientists and lead projects from end\-to\-end.
* High school diploma (or equivalency) and legal authorization to work in the U.S.
**Preferred Skills and Experience**
* Advanced degree in Data Science, Machine Learning, or related field.
* Proven experience in building and deploying AI/ML models at scale.
* Deep understanding of Responsible AI frameworks, bias detection, and explainability techniques.
* Strong communicationskillsto influencestakeholders and drive organizationalchange.
* Proven experience translating complex analyses into actionable insights.
* Ability to break down complex or unclear problems into data\-driven hypotheses.
* Python: End\-to\-End Data Workflows is strongly preferred
* Experience working with large language models (LLMs)
* CI/CD and Infrastructure as code – experience with Docker
* Author and maintainGithub
* Node.js experience
* React
* Terraform
* Database skills
* Experience with AWStools:AWS Bedrock is strongly preferred,DynamoDB,S3,Fargate
* Proven ability to work cross\-functionally with business stakeholders to understand needs, translate between technical and businessobjectives, and deliver solutions that align with strategic goals.
* Ability to craft compelling narratives using visuals and clear written summaries.Prior experience in healthcare or related field is strongly preferred.
**Compensation and Benefits:**
**Pay Range:** $102,400\.00 \- $138,300\.00 \- $174,200\.00 Annual
Pay is based on several factors which vary based on position, including skills, ability, and knowledge the selected individual is bringing to the specific job.
We offer a comprehensive benefits package which may include:
* Medical, dental, and vision insurance
* Life insurance
* 401k
* Paid Time Off (PTO)
* Volunteer Paid Time Off (VPTO)
* And more
**Role Designation**
Hybrid
**Anchored in Connection**
Our hybrid approach is designed to balance flexibility with meaningful in\-person connection and collaboration. We come together in the office two days each week – most teams designate at least one anchor day to ensure team interaction. These in\-person moments foster relationships, creativity, and alignment. The rest of the week you are empowered to work remote.
**Equal Employment Opportunity Statement**  
At Blue Cross and Blue Shield of Minnesota, we are committed to paving the way for everyone to achieve their healthiest life. Blue Cross of Minnesota is an Equal Opportunity Employer and maintains an Affirmative Action plan, as required by Minnesota law applicable to state contractors. All qualified applications will receive consideration for employment without regard to, and will not be discriminated against based on any legally protected characteristic.  
Individuals with a disability who need a reasonable accommodation in order to apply, please contact us at: talent.acquisition@bluecrossmn.com.  
Blue Cross® and Blue Shield® of Minnesota and Blue Plus® are nonprofit independent licensees of the Blue Cross and Blue Shield Association.</t>
        </is>
      </c>
    </row>
    <row r="36">
      <c r="A36" t="inlineStr">
        <is>
          <t>in-cadc827b7d2aa830</t>
        </is>
      </c>
      <c r="B36" t="inlineStr">
        <is>
          <t>Senior Applied Scientist, Distributed SQL</t>
        </is>
      </c>
      <c r="C36" t="inlineStr">
        <is>
          <t>Amazon Web Services</t>
        </is>
      </c>
      <c r="D36" t="inlineStr">
        <is>
          <t>indeed</t>
        </is>
      </c>
      <c r="E36" t="inlineStr"/>
      <c r="F36" t="inlineStr"/>
      <c r="G36" t="inlineStr">
        <is>
          <t>East Palo Alto, CA, US</t>
        </is>
      </c>
      <c r="H36" s="2" t="n">
        <v>46012</v>
      </c>
      <c r="I3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37">
      <c r="A37" t="inlineStr">
        <is>
          <t>in-e02282b87417e489</t>
        </is>
      </c>
      <c r="B37" t="inlineStr">
        <is>
          <t>Senior Applied Scientist, Distributed SQL</t>
        </is>
      </c>
      <c r="C37" t="inlineStr">
        <is>
          <t>Amazon Web Services</t>
        </is>
      </c>
      <c r="D37" t="inlineStr">
        <is>
          <t>indeed</t>
        </is>
      </c>
      <c r="E37" t="inlineStr"/>
      <c r="F37" t="inlineStr"/>
      <c r="G37" t="inlineStr">
        <is>
          <t>Seattle, WA, US</t>
        </is>
      </c>
      <c r="H37" s="2" t="n">
        <v>46012</v>
      </c>
      <c r="I3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38">
      <c r="A38" t="inlineStr">
        <is>
          <t>in-92cf1a069aab0ee9</t>
        </is>
      </c>
      <c r="B38" t="inlineStr">
        <is>
          <t>Applied Scientist II, Prime Video - Personalization and Discovery Science</t>
        </is>
      </c>
      <c r="C38" t="inlineStr">
        <is>
          <t>Amazon.com</t>
        </is>
      </c>
      <c r="D38" t="inlineStr">
        <is>
          <t>indeed</t>
        </is>
      </c>
      <c r="E38" t="inlineStr"/>
      <c r="F38" t="inlineStr"/>
      <c r="G38" t="inlineStr">
        <is>
          <t>Sunnyvale, CA, US</t>
        </is>
      </c>
      <c r="H38" s="2" t="n">
        <v>46012</v>
      </c>
      <c r="I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9">
      <c r="A39" t="inlineStr">
        <is>
          <t>in-5222fe08fcda225d</t>
        </is>
      </c>
      <c r="B39" t="inlineStr">
        <is>
          <t>Applied Scientist II, Prime Video - Personalization and Discovery Science</t>
        </is>
      </c>
      <c r="C39" t="inlineStr">
        <is>
          <t>Amazon.com</t>
        </is>
      </c>
      <c r="D39" t="inlineStr">
        <is>
          <t>indeed</t>
        </is>
      </c>
      <c r="E39" t="inlineStr"/>
      <c r="F39" t="inlineStr"/>
      <c r="G39" t="inlineStr">
        <is>
          <t>Seattle, WA, US</t>
        </is>
      </c>
      <c r="H39" s="2" t="n">
        <v>46012</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40">
      <c r="A40" t="inlineStr">
        <is>
          <t>in-fbcb21607eba8146</t>
        </is>
      </c>
      <c r="B40" t="inlineStr">
        <is>
          <t>Principal Applied Scientist, Kiro Science</t>
        </is>
      </c>
      <c r="C40" t="inlineStr">
        <is>
          <t>Amazon Web Services</t>
        </is>
      </c>
      <c r="D40" t="inlineStr">
        <is>
          <t>indeed</t>
        </is>
      </c>
      <c r="E40" t="inlineStr"/>
      <c r="F40" t="inlineStr"/>
      <c r="G40" t="inlineStr">
        <is>
          <t>New York, NY, US</t>
        </is>
      </c>
      <c r="H40" s="2" t="n">
        <v>45999</v>
      </c>
      <c r="I40"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41">
      <c r="A41" t="inlineStr">
        <is>
          <t>in-e9bfb9cb693d951d</t>
        </is>
      </c>
      <c r="B41" t="inlineStr">
        <is>
          <t>Principal Applied Scientist, Kiro Science</t>
        </is>
      </c>
      <c r="C41" t="inlineStr">
        <is>
          <t>Amazon Web Services</t>
        </is>
      </c>
      <c r="D41" t="inlineStr">
        <is>
          <t>indeed</t>
        </is>
      </c>
      <c r="E41" t="inlineStr"/>
      <c r="F41" t="inlineStr"/>
      <c r="G41" t="inlineStr">
        <is>
          <t>Santa Clara, CA, US</t>
        </is>
      </c>
      <c r="H41" s="2" t="n">
        <v>45999</v>
      </c>
      <c r="I41"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42">
      <c r="A42" t="inlineStr">
        <is>
          <t>in-db25e04370982dbf</t>
        </is>
      </c>
      <c r="B42" t="inlineStr">
        <is>
          <t>Sr. Applied Scientist, Amazon Ads</t>
        </is>
      </c>
      <c r="C42" t="inlineStr">
        <is>
          <t>Amazon.com</t>
        </is>
      </c>
      <c r="D42" t="inlineStr">
        <is>
          <t>indeed</t>
        </is>
      </c>
      <c r="E42" t="inlineStr"/>
      <c r="F42" t="inlineStr"/>
      <c r="G42" t="inlineStr">
        <is>
          <t>Santa Monica, CA, US</t>
        </is>
      </c>
      <c r="H42" s="2" t="n">
        <v>45998</v>
      </c>
      <c r="I4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3">
      <c r="A43" t="inlineStr">
        <is>
          <t>in-8e42806a7ee32c18</t>
        </is>
      </c>
      <c r="B43" t="inlineStr">
        <is>
          <t>Sr. Applied Scientist, Amazon Ads</t>
        </is>
      </c>
      <c r="C43" t="inlineStr">
        <is>
          <t>Amazon.com</t>
        </is>
      </c>
      <c r="D43" t="inlineStr">
        <is>
          <t>indeed</t>
        </is>
      </c>
      <c r="E43" t="inlineStr"/>
      <c r="F43" t="inlineStr"/>
      <c r="G43" t="inlineStr">
        <is>
          <t>Brooklyn, NY, US</t>
        </is>
      </c>
      <c r="H43" s="2" t="n">
        <v>45998</v>
      </c>
      <c r="I4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4">
      <c r="A44" t="inlineStr">
        <is>
          <t>in-a3403bfe8dec3b24</t>
        </is>
      </c>
      <c r="B44" t="inlineStr">
        <is>
          <t>Sr. Applied Scientist, Amazon Ads</t>
        </is>
      </c>
      <c r="C44" t="inlineStr">
        <is>
          <t>Amazon.com</t>
        </is>
      </c>
      <c r="D44" t="inlineStr">
        <is>
          <t>indeed</t>
        </is>
      </c>
      <c r="E44" t="inlineStr"/>
      <c r="F44" t="inlineStr"/>
      <c r="G44" t="inlineStr">
        <is>
          <t>Corvallis, OR, US</t>
        </is>
      </c>
      <c r="H44" s="2" t="n">
        <v>45998</v>
      </c>
      <c r="I4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5">
      <c r="A45" t="inlineStr">
        <is>
          <t>in-e5797242bd9c8f4a</t>
        </is>
      </c>
      <c r="B45" t="inlineStr">
        <is>
          <t>Sr. Applied Scientist, Amazon Ads</t>
        </is>
      </c>
      <c r="C45" t="inlineStr">
        <is>
          <t>Amazon.com</t>
        </is>
      </c>
      <c r="D45" t="inlineStr">
        <is>
          <t>indeed</t>
        </is>
      </c>
      <c r="E45" t="inlineStr"/>
      <c r="F45" t="inlineStr"/>
      <c r="G45" t="inlineStr">
        <is>
          <t>Seattle, WA, US</t>
        </is>
      </c>
      <c r="H45" s="2" t="n">
        <v>45998</v>
      </c>
      <c r="I4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6">
      <c r="A46" t="inlineStr">
        <is>
          <t>in-425e9fac3e00517d</t>
        </is>
      </c>
      <c r="B46" t="inlineStr">
        <is>
          <t>Sr. Applied Scientist, Amazon Ads</t>
        </is>
      </c>
      <c r="C46" t="inlineStr">
        <is>
          <t>Amazon.com</t>
        </is>
      </c>
      <c r="D46" t="inlineStr">
        <is>
          <t>indeed</t>
        </is>
      </c>
      <c r="E46" t="inlineStr"/>
      <c r="F46" t="inlineStr"/>
      <c r="G46" t="inlineStr">
        <is>
          <t>New York, NY, US</t>
        </is>
      </c>
      <c r="H46" s="2" t="n">
        <v>45998</v>
      </c>
      <c r="I4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7">
      <c r="A47" t="inlineStr">
        <is>
          <t>in-bb5a1cd9e0a6864b</t>
        </is>
      </c>
      <c r="B47" t="inlineStr">
        <is>
          <t>Sr. Applied Scientist, Amazon Ads</t>
        </is>
      </c>
      <c r="C47" t="inlineStr">
        <is>
          <t>Amazon.com</t>
        </is>
      </c>
      <c r="D47" t="inlineStr">
        <is>
          <t>indeed</t>
        </is>
      </c>
      <c r="E47" t="inlineStr"/>
      <c r="F47" t="inlineStr"/>
      <c r="G47" t="inlineStr">
        <is>
          <t>Palo Alto, CA, US</t>
        </is>
      </c>
      <c r="H47" s="2" t="n">
        <v>45998</v>
      </c>
      <c r="I4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8">
      <c r="A48" t="inlineStr">
        <is>
          <t>in-fde140aaf6e40828</t>
        </is>
      </c>
      <c r="B48" t="inlineStr">
        <is>
          <t>Sr. Applied Scientist, Amazon Ads</t>
        </is>
      </c>
      <c r="C48" t="inlineStr">
        <is>
          <t>Amazon.com</t>
        </is>
      </c>
      <c r="D48" t="inlineStr">
        <is>
          <t>indeed</t>
        </is>
      </c>
      <c r="E48" t="inlineStr"/>
      <c r="F48" t="inlineStr"/>
      <c r="G48" t="inlineStr">
        <is>
          <t>Boulder, CO, US</t>
        </is>
      </c>
      <c r="H48" s="2" t="n">
        <v>45998</v>
      </c>
      <c r="I4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9">
      <c r="A49" t="inlineStr">
        <is>
          <t>in-163abfa0c66cb91a</t>
        </is>
      </c>
      <c r="B49" t="inlineStr">
        <is>
          <t>Sr. Applied Scientist, Amazon Ads</t>
        </is>
      </c>
      <c r="C49" t="inlineStr">
        <is>
          <t>Amazon.com</t>
        </is>
      </c>
      <c r="D49" t="inlineStr">
        <is>
          <t>indeed</t>
        </is>
      </c>
      <c r="E49" t="inlineStr"/>
      <c r="F49" t="inlineStr"/>
      <c r="G49" t="inlineStr">
        <is>
          <t>Boston, MA, US</t>
        </is>
      </c>
      <c r="H49" s="2" t="n">
        <v>45998</v>
      </c>
      <c r="I4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0">
      <c r="A50" t="inlineStr">
        <is>
          <t>in-4d009d4880595eed</t>
        </is>
      </c>
      <c r="B50" t="inlineStr">
        <is>
          <t>Sr. Applied Scientist, Amazon Ads</t>
        </is>
      </c>
      <c r="C50" t="inlineStr">
        <is>
          <t>Amazon.com</t>
        </is>
      </c>
      <c r="D50" t="inlineStr">
        <is>
          <t>indeed</t>
        </is>
      </c>
      <c r="E50" t="inlineStr"/>
      <c r="F50" t="inlineStr"/>
      <c r="G50" t="inlineStr">
        <is>
          <t>Sunnyvale, CA, US</t>
        </is>
      </c>
      <c r="H50" s="2" t="n">
        <v>45998</v>
      </c>
      <c r="I5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1">
      <c r="A51" t="inlineStr">
        <is>
          <t>in-9eaeac9b65149660</t>
        </is>
      </c>
      <c r="B51" t="inlineStr">
        <is>
          <t>Sr. Applied Scientist, Amazon Ads</t>
        </is>
      </c>
      <c r="C51" t="inlineStr">
        <is>
          <t>Amazon.com</t>
        </is>
      </c>
      <c r="D51" t="inlineStr">
        <is>
          <t>indeed</t>
        </is>
      </c>
      <c r="E51" t="inlineStr"/>
      <c r="F51" t="inlineStr"/>
      <c r="G51" t="inlineStr">
        <is>
          <t>Tukwila, WA, US</t>
        </is>
      </c>
      <c r="H51" s="2" t="n">
        <v>45998</v>
      </c>
      <c r="I5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2">
      <c r="A52" t="inlineStr">
        <is>
          <t>in-f8353d8e99d9c8c7</t>
        </is>
      </c>
      <c r="B52" t="inlineStr">
        <is>
          <t>Principal Applied Scientist, Sponsored Products and Brands</t>
        </is>
      </c>
      <c r="C52" t="inlineStr">
        <is>
          <t>Amazon.com</t>
        </is>
      </c>
      <c r="D52" t="inlineStr">
        <is>
          <t>indeed</t>
        </is>
      </c>
      <c r="E52" t="inlineStr"/>
      <c r="F52" t="inlineStr"/>
      <c r="G52" t="inlineStr">
        <is>
          <t>New York, NY, US</t>
        </is>
      </c>
      <c r="H52" s="2" t="n">
        <v>45979</v>
      </c>
      <c r="I5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in-038c345bcf8ca295</t>
        </is>
      </c>
      <c r="B53" t="inlineStr">
        <is>
          <t>Principal Applied Scientist, Sponsored Products and Brands</t>
        </is>
      </c>
      <c r="C53" t="inlineStr">
        <is>
          <t>Amazon.com</t>
        </is>
      </c>
      <c r="D53" t="inlineStr">
        <is>
          <t>indeed</t>
        </is>
      </c>
      <c r="E53" t="inlineStr"/>
      <c r="F53" t="inlineStr"/>
      <c r="G53" t="inlineStr">
        <is>
          <t>Seattle, WA, US</t>
        </is>
      </c>
      <c r="H53" s="2" t="n">
        <v>45979</v>
      </c>
      <c r="I5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in-035cd4a7f79e32d4</t>
        </is>
      </c>
      <c r="B54" t="inlineStr">
        <is>
          <t>Applied Scientist, Personalization, DTx Science</t>
        </is>
      </c>
      <c r="C54" t="inlineStr">
        <is>
          <t>Amazon.com</t>
        </is>
      </c>
      <c r="D54" t="inlineStr">
        <is>
          <t>indeed</t>
        </is>
      </c>
      <c r="E54" t="inlineStr"/>
      <c r="F54" t="inlineStr"/>
      <c r="G54" t="inlineStr">
        <is>
          <t>New York, NY, US</t>
        </is>
      </c>
      <c r="H54" s="2" t="n">
        <v>45979</v>
      </c>
      <c r="I54"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55">
      <c r="A55" t="inlineStr">
        <is>
          <t>in-dfeb7fe80e6eb2c8</t>
        </is>
      </c>
      <c r="B55" t="inlineStr">
        <is>
          <t>Applied Scientist, Personalization, DTx Science</t>
        </is>
      </c>
      <c r="C55" t="inlineStr">
        <is>
          <t>Amazon.com</t>
        </is>
      </c>
      <c r="D55" t="inlineStr">
        <is>
          <t>indeed</t>
        </is>
      </c>
      <c r="E55" t="inlineStr"/>
      <c r="F55" t="inlineStr"/>
      <c r="G55" t="inlineStr">
        <is>
          <t>Seattle, WA, US</t>
        </is>
      </c>
      <c r="H55" s="2" t="n">
        <v>45979</v>
      </c>
      <c r="I55"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56">
      <c r="A56" t="inlineStr">
        <is>
          <t>in-b2f808b8566d10a2</t>
        </is>
      </c>
      <c r="B56" t="inlineStr">
        <is>
          <t>Senior Applied Scientist, Sponsored Products and Brands</t>
        </is>
      </c>
      <c r="C56" t="inlineStr">
        <is>
          <t>Amazon.com</t>
        </is>
      </c>
      <c r="D56" t="inlineStr">
        <is>
          <t>indeed</t>
        </is>
      </c>
      <c r="E56" t="inlineStr"/>
      <c r="F56" t="inlineStr"/>
      <c r="G56" t="inlineStr">
        <is>
          <t>New York, NY, US</t>
        </is>
      </c>
      <c r="H56" s="2" t="n">
        <v>45979</v>
      </c>
      <c r="I56"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57">
      <c r="A57" t="inlineStr">
        <is>
          <t>in-91580da3cf7e0ca3</t>
        </is>
      </c>
      <c r="B57" t="inlineStr">
        <is>
          <t>Senior Applied Scientist, Sponsored Products and Brands</t>
        </is>
      </c>
      <c r="C57" t="inlineStr">
        <is>
          <t>Amazon.com</t>
        </is>
      </c>
      <c r="D57" t="inlineStr">
        <is>
          <t>indeed</t>
        </is>
      </c>
      <c r="E57" t="inlineStr"/>
      <c r="F57" t="inlineStr"/>
      <c r="G57" t="inlineStr">
        <is>
          <t>Seattle, WA, US</t>
        </is>
      </c>
      <c r="H57" s="2" t="n">
        <v>45979</v>
      </c>
      <c r="I57"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58">
      <c r="A58" t="inlineStr">
        <is>
          <t>in-0158cd3aea4c69c7</t>
        </is>
      </c>
      <c r="B58" t="inlineStr">
        <is>
          <t>Applied Scientist II, Prime Video Personalization and Discovery Science</t>
        </is>
      </c>
      <c r="C58" t="inlineStr">
        <is>
          <t>Amazon.com</t>
        </is>
      </c>
      <c r="D58" t="inlineStr">
        <is>
          <t>indeed</t>
        </is>
      </c>
      <c r="E58" t="inlineStr"/>
      <c r="F58" t="inlineStr"/>
      <c r="G58" t="inlineStr">
        <is>
          <t>Sunnyvale, CA, US</t>
        </is>
      </c>
      <c r="H58" s="2" t="n">
        <v>45978</v>
      </c>
      <c r="I5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9">
      <c r="A59" t="inlineStr">
        <is>
          <t>in-7b19634eb7558a9f</t>
        </is>
      </c>
      <c r="B59" t="inlineStr">
        <is>
          <t>Applied Scientist II, Prime Video Personalization and Discovery Science</t>
        </is>
      </c>
      <c r="C59" t="inlineStr">
        <is>
          <t>Amazon.com</t>
        </is>
      </c>
      <c r="D59" t="inlineStr">
        <is>
          <t>indeed</t>
        </is>
      </c>
      <c r="E59" t="inlineStr"/>
      <c r="F59" t="inlineStr"/>
      <c r="G59" t="inlineStr">
        <is>
          <t>New York, NY, US</t>
        </is>
      </c>
      <c r="H59" s="2" t="n">
        <v>45978</v>
      </c>
      <c r="I5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60">
      <c r="A60" t="inlineStr">
        <is>
          <t>in-3635856a132ed3fa</t>
        </is>
      </c>
      <c r="B60" t="inlineStr">
        <is>
          <t>Principal Applied Scientist, Amazon AGI</t>
        </is>
      </c>
      <c r="C60" t="inlineStr">
        <is>
          <t>Amazon.com</t>
        </is>
      </c>
      <c r="D60" t="inlineStr">
        <is>
          <t>indeed</t>
        </is>
      </c>
      <c r="E60" t="inlineStr"/>
      <c r="F60" t="inlineStr"/>
      <c r="G60" t="inlineStr">
        <is>
          <t>Boston, MA, US</t>
        </is>
      </c>
      <c r="H60" s="2" t="n">
        <v>45964</v>
      </c>
      <c r="I60"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in-1ee58eeb740afafc</t>
        </is>
      </c>
      <c r="B61" t="inlineStr">
        <is>
          <t>Principal Applied Scientist, Amazon AGI</t>
        </is>
      </c>
      <c r="C61" t="inlineStr">
        <is>
          <t>Amazon.com</t>
        </is>
      </c>
      <c r="D61" t="inlineStr">
        <is>
          <t>indeed</t>
        </is>
      </c>
      <c r="E61" t="inlineStr"/>
      <c r="F61" t="inlineStr"/>
      <c r="G61" t="inlineStr">
        <is>
          <t>San Francisco, CA, US</t>
        </is>
      </c>
      <c r="H61" s="2" t="n">
        <v>45964</v>
      </c>
      <c r="I61"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in-a8bc86c94ddae1df</t>
        </is>
      </c>
      <c r="B62" t="inlineStr">
        <is>
          <t>Applied Scientist, AWS Agentic AI</t>
        </is>
      </c>
      <c r="C62" t="inlineStr">
        <is>
          <t>Amazon Web Services</t>
        </is>
      </c>
      <c r="D62" t="inlineStr">
        <is>
          <t>indeed</t>
        </is>
      </c>
      <c r="E62" t="inlineStr"/>
      <c r="F62" t="inlineStr"/>
      <c r="G62" t="inlineStr">
        <is>
          <t>Seattle, WA, US</t>
        </is>
      </c>
      <c r="H62" s="2" t="n">
        <v>45962</v>
      </c>
      <c r="I6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in-9176e377988ee7f3</t>
        </is>
      </c>
      <c r="B63" t="inlineStr">
        <is>
          <t>Applied Scientist, AWS Agentic AI</t>
        </is>
      </c>
      <c r="C63" t="inlineStr">
        <is>
          <t>Amazon Web Services</t>
        </is>
      </c>
      <c r="D63" t="inlineStr">
        <is>
          <t>indeed</t>
        </is>
      </c>
      <c r="E63" t="inlineStr"/>
      <c r="F63" t="inlineStr"/>
      <c r="G63" t="inlineStr">
        <is>
          <t>New York, NY, US</t>
        </is>
      </c>
      <c r="H63" s="2" t="n">
        <v>45962</v>
      </c>
      <c r="I6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in-da1e2bdf699ea2e6</t>
        </is>
      </c>
      <c r="B64" t="inlineStr">
        <is>
          <t>Applied Scientist, AWS Agentic AI</t>
        </is>
      </c>
      <c r="C64" t="inlineStr">
        <is>
          <t>Amazon Web Services</t>
        </is>
      </c>
      <c r="D64" t="inlineStr">
        <is>
          <t>indeed</t>
        </is>
      </c>
      <c r="E64" t="inlineStr"/>
      <c r="F64" t="inlineStr"/>
      <c r="G64" t="inlineStr">
        <is>
          <t>Santa Clara, CA, US</t>
        </is>
      </c>
      <c r="H64" s="2" t="n">
        <v>45962</v>
      </c>
      <c r="I6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in-65ffc03843518ccc</t>
        </is>
      </c>
      <c r="B65" t="inlineStr">
        <is>
          <t>Sr. Applied Scientist, Prime Video - Personalization and Discovery Science</t>
        </is>
      </c>
      <c r="C65" t="inlineStr">
        <is>
          <t>Amazon.com</t>
        </is>
      </c>
      <c r="D65" t="inlineStr">
        <is>
          <t>indeed</t>
        </is>
      </c>
      <c r="E65" t="inlineStr"/>
      <c r="F65" t="inlineStr"/>
      <c r="G65" t="inlineStr">
        <is>
          <t>Sunnyvale, CA, US</t>
        </is>
      </c>
      <c r="H65" s="2" t="n">
        <v>45959</v>
      </c>
      <c r="I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66">
      <c r="A66" t="inlineStr">
        <is>
          <t>in-89622ddef59b526c</t>
        </is>
      </c>
      <c r="B66" t="inlineStr">
        <is>
          <t>Sr. Applied Scientist, Prime Video - Personalization and Discovery Science</t>
        </is>
      </c>
      <c r="C66" t="inlineStr">
        <is>
          <t>Amazon.com</t>
        </is>
      </c>
      <c r="D66" t="inlineStr">
        <is>
          <t>indeed</t>
        </is>
      </c>
      <c r="E66" t="inlineStr"/>
      <c r="F66" t="inlineStr"/>
      <c r="G66" t="inlineStr">
        <is>
          <t>Seattle, WA, US</t>
        </is>
      </c>
      <c r="H66" s="2" t="n">
        <v>45959</v>
      </c>
      <c r="I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67">
      <c r="A67" t="inlineStr">
        <is>
          <t>in-6595d87a3df2f392</t>
        </is>
      </c>
      <c r="B67" t="inlineStr">
        <is>
          <t>Sr. Applied Scientist, Prime Video - Personalization and Discovery Science</t>
        </is>
      </c>
      <c r="C67" t="inlineStr">
        <is>
          <t>Amazon.com</t>
        </is>
      </c>
      <c r="D67" t="inlineStr">
        <is>
          <t>indeed</t>
        </is>
      </c>
      <c r="E67" t="inlineStr"/>
      <c r="F67" t="inlineStr"/>
      <c r="G67" t="inlineStr">
        <is>
          <t>New York, NY, US</t>
        </is>
      </c>
      <c r="H67" s="2" t="n">
        <v>45959</v>
      </c>
      <c r="I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68">
      <c r="A68" t="inlineStr">
        <is>
          <t>in-ab65b0422f360907</t>
        </is>
      </c>
      <c r="B68" t="inlineStr">
        <is>
          <t>Principal Applied Scientist, Advertiser Growth, Amazon Sponsored Products &amp; Brands</t>
        </is>
      </c>
      <c r="C68" t="inlineStr">
        <is>
          <t>Amazon.com</t>
        </is>
      </c>
      <c r="D68" t="inlineStr">
        <is>
          <t>indeed</t>
        </is>
      </c>
      <c r="E68" t="inlineStr"/>
      <c r="F68" t="inlineStr"/>
      <c r="G68" t="inlineStr">
        <is>
          <t>Palo Alto, CA, US</t>
        </is>
      </c>
      <c r="H68" s="2" t="n">
        <v>45942</v>
      </c>
      <c r="I6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in-a85260433d5e5bb3</t>
        </is>
      </c>
      <c r="B69" t="inlineStr">
        <is>
          <t>Principal Applied Scientist, Advertiser Growth, Amazon Sponsored Products &amp; Brands</t>
        </is>
      </c>
      <c r="C69" t="inlineStr">
        <is>
          <t>Amazon.com</t>
        </is>
      </c>
      <c r="D69" t="inlineStr">
        <is>
          <t>indeed</t>
        </is>
      </c>
      <c r="E69" t="inlineStr"/>
      <c r="F69" t="inlineStr"/>
      <c r="G69" t="inlineStr">
        <is>
          <t>Seattle, WA, US</t>
        </is>
      </c>
      <c r="H69" s="2" t="n">
        <v>45942</v>
      </c>
      <c r="I6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in-1f8ae9e513436ee0</t>
        </is>
      </c>
      <c r="B70" t="inlineStr">
        <is>
          <t>Principal Applied Scientist, Advertiser Growth, Amazon Sponsored Products &amp; Brands</t>
        </is>
      </c>
      <c r="C70" t="inlineStr">
        <is>
          <t>Amazon.com</t>
        </is>
      </c>
      <c r="D70" t="inlineStr">
        <is>
          <t>indeed</t>
        </is>
      </c>
      <c r="E70" t="inlineStr"/>
      <c r="F70" t="inlineStr"/>
      <c r="G70" t="inlineStr">
        <is>
          <t>New York, NY, US</t>
        </is>
      </c>
      <c r="H70" s="2" t="n">
        <v>45942</v>
      </c>
      <c r="I7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in-e31ac2605a3a5dcc</t>
        </is>
      </c>
      <c r="B71" t="inlineStr">
        <is>
          <t>Applied Scientist</t>
        </is>
      </c>
      <c r="C71" t="inlineStr">
        <is>
          <t>Amazon.com</t>
        </is>
      </c>
      <c r="D71" t="inlineStr">
        <is>
          <t>indeed</t>
        </is>
      </c>
      <c r="E71" t="inlineStr"/>
      <c r="F71" t="inlineStr"/>
      <c r="G71" t="inlineStr">
        <is>
          <t>Palo Alto, CA, US</t>
        </is>
      </c>
      <c r="H71" s="2" t="n">
        <v>45939</v>
      </c>
      <c r="I7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in-fceadfd6bae5ad76</t>
        </is>
      </c>
      <c r="B72" t="inlineStr">
        <is>
          <t>Applied Scientist</t>
        </is>
      </c>
      <c r="C72" t="inlineStr">
        <is>
          <t>Amazon.com</t>
        </is>
      </c>
      <c r="D72" t="inlineStr">
        <is>
          <t>indeed</t>
        </is>
      </c>
      <c r="E72" t="inlineStr"/>
      <c r="F72" t="inlineStr"/>
      <c r="G72" t="inlineStr">
        <is>
          <t>New York, NY, US</t>
        </is>
      </c>
      <c r="H72" s="2" t="n">
        <v>45939</v>
      </c>
      <c r="I7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in-a280041a11ea8bc4</t>
        </is>
      </c>
      <c r="B73" t="inlineStr">
        <is>
          <t>Applied Scientist</t>
        </is>
      </c>
      <c r="C73" t="inlineStr">
        <is>
          <t>Amazon.com</t>
        </is>
      </c>
      <c r="D73" t="inlineStr">
        <is>
          <t>indeed</t>
        </is>
      </c>
      <c r="E73" t="inlineStr"/>
      <c r="F73" t="inlineStr"/>
      <c r="G73" t="inlineStr">
        <is>
          <t>Seattle, WA, US</t>
        </is>
      </c>
      <c r="H73" s="2" t="n">
        <v>45939</v>
      </c>
      <c r="I7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in-4cbaa108f10cf08c</t>
        </is>
      </c>
      <c r="B74" t="inlineStr">
        <is>
          <t>Sr. Applied Scientist, SPB Advertiser Guidance</t>
        </is>
      </c>
      <c r="C74" t="inlineStr">
        <is>
          <t>Amazon.com</t>
        </is>
      </c>
      <c r="D74" t="inlineStr">
        <is>
          <t>indeed</t>
        </is>
      </c>
      <c r="E74" t="inlineStr"/>
      <c r="F74" t="inlineStr"/>
      <c r="G74" t="inlineStr">
        <is>
          <t>Palo Alto, CA, US</t>
        </is>
      </c>
      <c r="H74" s="2" t="n">
        <v>45939</v>
      </c>
      <c r="I7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in-5f2a85d22a69448b</t>
        </is>
      </c>
      <c r="B75" t="inlineStr">
        <is>
          <t>Sr. Applied Scientist, SPB Advertiser Guidance</t>
        </is>
      </c>
      <c r="C75" t="inlineStr">
        <is>
          <t>Amazon.com</t>
        </is>
      </c>
      <c r="D75" t="inlineStr">
        <is>
          <t>indeed</t>
        </is>
      </c>
      <c r="E75" t="inlineStr"/>
      <c r="F75" t="inlineStr"/>
      <c r="G75" t="inlineStr">
        <is>
          <t>New York, NY, US</t>
        </is>
      </c>
      <c r="H75" s="2" t="n">
        <v>45939</v>
      </c>
      <c r="I7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in-e7ab2ac3f1a17b08</t>
        </is>
      </c>
      <c r="B76" t="inlineStr">
        <is>
          <t>Sr. Applied Scientist, SPB Advertiser Guidance</t>
        </is>
      </c>
      <c r="C76" t="inlineStr">
        <is>
          <t>Amazon.com</t>
        </is>
      </c>
      <c r="D76" t="inlineStr">
        <is>
          <t>indeed</t>
        </is>
      </c>
      <c r="E76" t="inlineStr"/>
      <c r="F76" t="inlineStr"/>
      <c r="G76" t="inlineStr">
        <is>
          <t>Seattle, WA, US</t>
        </is>
      </c>
      <c r="H76" s="2" t="n">
        <v>45939</v>
      </c>
      <c r="I7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in-f4e23f8d19d54c9a</t>
        </is>
      </c>
      <c r="B77" t="inlineStr">
        <is>
          <t>Applied Scientist II, Prime Video - Personalization and Discovery Science, Personalization and Discovery Science</t>
        </is>
      </c>
      <c r="C77" t="inlineStr">
        <is>
          <t>Amazon.com</t>
        </is>
      </c>
      <c r="D77" t="inlineStr">
        <is>
          <t>indeed</t>
        </is>
      </c>
      <c r="E77" t="inlineStr"/>
      <c r="F77" t="inlineStr"/>
      <c r="G77" t="inlineStr">
        <is>
          <t>Seattle, WA, US</t>
        </is>
      </c>
      <c r="H77" s="2" t="n">
        <v>45930</v>
      </c>
      <c r="I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in-36c03b96cc259bfc</t>
        </is>
      </c>
      <c r="B78" t="inlineStr">
        <is>
          <t>Applied Scientist II, Prime Video - Personalization and Discovery Science, Personalization and Discovery Science</t>
        </is>
      </c>
      <c r="C78" t="inlineStr">
        <is>
          <t>Amazon.com</t>
        </is>
      </c>
      <c r="D78" t="inlineStr">
        <is>
          <t>indeed</t>
        </is>
      </c>
      <c r="E78" t="inlineStr"/>
      <c r="F78" t="inlineStr"/>
      <c r="G78" t="inlineStr">
        <is>
          <t>New York, NY, US</t>
        </is>
      </c>
      <c r="H78" s="2" t="n">
        <v>45930</v>
      </c>
      <c r="I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in-eed73b8933704b2d</t>
        </is>
      </c>
      <c r="B79" t="inlineStr">
        <is>
          <t>Applied Scientist II, Prime Video - Personalization and Discovery Science, Personalization and Discovery Science</t>
        </is>
      </c>
      <c r="C79" t="inlineStr">
        <is>
          <t>Amazon.com</t>
        </is>
      </c>
      <c r="D79" t="inlineStr">
        <is>
          <t>indeed</t>
        </is>
      </c>
      <c r="E79" t="inlineStr"/>
      <c r="F79" t="inlineStr"/>
      <c r="G79" t="inlineStr">
        <is>
          <t>Sunnyvale, CA, US</t>
        </is>
      </c>
      <c r="H79" s="2" t="n">
        <v>45930</v>
      </c>
      <c r="I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in-2f5fc89c4dbbb756</t>
        </is>
      </c>
      <c r="B80" t="inlineStr">
        <is>
          <t>Applied Scientist, Workplace Health &amp; Safety</t>
        </is>
      </c>
      <c r="C80" t="inlineStr">
        <is>
          <t>Amazon.com</t>
        </is>
      </c>
      <c r="D80" t="inlineStr">
        <is>
          <t>indeed</t>
        </is>
      </c>
      <c r="E80" t="inlineStr"/>
      <c r="F80" t="inlineStr"/>
      <c r="G80" t="inlineStr">
        <is>
          <t>Nashville, TN, US</t>
        </is>
      </c>
      <c r="H80" s="2" t="n">
        <v>45917</v>
      </c>
      <c r="I80"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in-6593aae1540d8da6</t>
        </is>
      </c>
      <c r="B81" t="inlineStr">
        <is>
          <t>Applied Scientist, Workplace Health &amp; Safety</t>
        </is>
      </c>
      <c r="C81" t="inlineStr">
        <is>
          <t>Amazon.com</t>
        </is>
      </c>
      <c r="D81" t="inlineStr">
        <is>
          <t>indeed</t>
        </is>
      </c>
      <c r="E81" t="inlineStr"/>
      <c r="F81" t="inlineStr"/>
      <c r="G81" t="inlineStr">
        <is>
          <t>Bellevue, WA, US</t>
        </is>
      </c>
      <c r="H81" s="2" t="n">
        <v>45917</v>
      </c>
      <c r="I81"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in-d2347e255d96a563</t>
        </is>
      </c>
      <c r="B82" t="inlineStr">
        <is>
          <t>Sr. Applied Scientist, Prime Video - Personalization and Discovery Science</t>
        </is>
      </c>
      <c r="C82" t="inlineStr">
        <is>
          <t>Amazon.com</t>
        </is>
      </c>
      <c r="D82" t="inlineStr">
        <is>
          <t>indeed</t>
        </is>
      </c>
      <c r="E82" t="inlineStr"/>
      <c r="F82" t="inlineStr"/>
      <c r="G82" t="inlineStr">
        <is>
          <t>Seattle, WA, US</t>
        </is>
      </c>
      <c r="H82" s="2" t="n">
        <v>45896</v>
      </c>
      <c r="I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83">
      <c r="A83" t="inlineStr">
        <is>
          <t>in-c252a778e1af71be</t>
        </is>
      </c>
      <c r="B83" t="inlineStr">
        <is>
          <t>Sr. Applied Scientist, Prime Video - Personalization and Discovery Science</t>
        </is>
      </c>
      <c r="C83" t="inlineStr">
        <is>
          <t>Amazon.com</t>
        </is>
      </c>
      <c r="D83" t="inlineStr">
        <is>
          <t>indeed</t>
        </is>
      </c>
      <c r="E83" t="inlineStr"/>
      <c r="F83" t="inlineStr"/>
      <c r="G83" t="inlineStr">
        <is>
          <t>New York, NY, US</t>
        </is>
      </c>
      <c r="H83" s="2" t="n">
        <v>45896</v>
      </c>
      <c r="I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84">
      <c r="A84" t="inlineStr">
        <is>
          <t>in-278e21ad8935ab1c</t>
        </is>
      </c>
      <c r="B84" t="inlineStr">
        <is>
          <t>Applied Scientist II, Prime Video , Personalization and Discovery Science</t>
        </is>
      </c>
      <c r="C84" t="inlineStr">
        <is>
          <t>Amazon.com</t>
        </is>
      </c>
      <c r="D84" t="inlineStr">
        <is>
          <t>indeed</t>
        </is>
      </c>
      <c r="E84" t="inlineStr"/>
      <c r="F84" t="inlineStr"/>
      <c r="G84" t="inlineStr">
        <is>
          <t>Seattle, WA, US</t>
        </is>
      </c>
      <c r="H84" s="2" t="n">
        <v>45886</v>
      </c>
      <c r="I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85">
      <c r="A85" t="inlineStr">
        <is>
          <t>in-148b828f5dda0807</t>
        </is>
      </c>
      <c r="B85" t="inlineStr">
        <is>
          <t>Applied Scientist II, Prime Video , Personalization and Discovery Science</t>
        </is>
      </c>
      <c r="C85" t="inlineStr">
        <is>
          <t>Amazon.com</t>
        </is>
      </c>
      <c r="D85" t="inlineStr">
        <is>
          <t>indeed</t>
        </is>
      </c>
      <c r="E85" t="inlineStr"/>
      <c r="F85" t="inlineStr"/>
      <c r="G85" t="inlineStr">
        <is>
          <t>Sunnyvale, CA, US</t>
        </is>
      </c>
      <c r="H85" s="2" t="n">
        <v>45886</v>
      </c>
      <c r="I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86">
      <c r="A86" t="inlineStr">
        <is>
          <t>in-e86416e40cbe6c4f</t>
        </is>
      </c>
      <c r="B86" t="inlineStr">
        <is>
          <t>Applied Scientist II, Prime Video , Personalization and Discovery Science</t>
        </is>
      </c>
      <c r="C86" t="inlineStr">
        <is>
          <t>Amazon.com</t>
        </is>
      </c>
      <c r="D86" t="inlineStr">
        <is>
          <t>indeed</t>
        </is>
      </c>
      <c r="E86" t="inlineStr"/>
      <c r="F86" t="inlineStr"/>
      <c r="G86" t="inlineStr">
        <is>
          <t>New York, NY, US</t>
        </is>
      </c>
      <c r="H86" s="2" t="n">
        <v>45886</v>
      </c>
      <c r="I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87">
      <c r="A87" t="inlineStr">
        <is>
          <t>in-85666df0eeb97e7a</t>
        </is>
      </c>
      <c r="B87" t="inlineStr">
        <is>
          <t>Applied Scientist II, Prime Video - Personalization and Discovery Science</t>
        </is>
      </c>
      <c r="C87" t="inlineStr">
        <is>
          <t>Amazon.com</t>
        </is>
      </c>
      <c r="D87" t="inlineStr">
        <is>
          <t>indeed</t>
        </is>
      </c>
      <c r="E87" t="inlineStr"/>
      <c r="F87" t="inlineStr"/>
      <c r="G87" t="inlineStr">
        <is>
          <t>New York, NY, US</t>
        </is>
      </c>
      <c r="H87" s="2" t="n">
        <v>45881</v>
      </c>
      <c r="I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in-14c40773bf3cbcf4</t>
        </is>
      </c>
      <c r="B88" t="inlineStr">
        <is>
          <t>Sr. Applied Scientist, Prime Video - Personalization and Discovery Science</t>
        </is>
      </c>
      <c r="C88" t="inlineStr">
        <is>
          <t>Amazon.com</t>
        </is>
      </c>
      <c r="D88" t="inlineStr">
        <is>
          <t>indeed</t>
        </is>
      </c>
      <c r="E88" t="inlineStr"/>
      <c r="F88" t="inlineStr"/>
      <c r="G88" t="inlineStr">
        <is>
          <t>Seattle, WA, US</t>
        </is>
      </c>
      <c r="H88" s="2" t="n">
        <v>45881</v>
      </c>
      <c r="I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in-203c7b03be9cc1ce</t>
        </is>
      </c>
      <c r="B89" t="inlineStr">
        <is>
          <t>Sr. Applied Scientist, Prime Video - Personalization and Discovery Science</t>
        </is>
      </c>
      <c r="C89" t="inlineStr">
        <is>
          <t>Amazon.com</t>
        </is>
      </c>
      <c r="D89" t="inlineStr">
        <is>
          <t>indeed</t>
        </is>
      </c>
      <c r="E89" t="inlineStr"/>
      <c r="F89" t="inlineStr"/>
      <c r="G89" t="inlineStr">
        <is>
          <t>Sunnyvale, CA, US</t>
        </is>
      </c>
      <c r="H89" s="2" t="n">
        <v>45881</v>
      </c>
      <c r="I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in-a2b49922214ab0c4</t>
        </is>
      </c>
      <c r="B90" t="inlineStr">
        <is>
          <t>Applied Scientist II, Prime Video - Personalization and Discovery Science</t>
        </is>
      </c>
      <c r="C90" t="inlineStr">
        <is>
          <t>Amazon.com</t>
        </is>
      </c>
      <c r="D90" t="inlineStr">
        <is>
          <t>indeed</t>
        </is>
      </c>
      <c r="E90" t="inlineStr"/>
      <c r="F90" t="inlineStr"/>
      <c r="G90" t="inlineStr">
        <is>
          <t>Sunnyvale, CA, US</t>
        </is>
      </c>
      <c r="H90" s="2" t="n">
        <v>45881</v>
      </c>
      <c r="I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in-d736e4f7f41d55bf</t>
        </is>
      </c>
      <c r="B91" t="inlineStr">
        <is>
          <t>Sr. Applied Scientist, Prime Video - Personalization and Discovery Science</t>
        </is>
      </c>
      <c r="C91" t="inlineStr">
        <is>
          <t>Amazon.com</t>
        </is>
      </c>
      <c r="D91" t="inlineStr">
        <is>
          <t>indeed</t>
        </is>
      </c>
      <c r="E91" t="inlineStr"/>
      <c r="F91" t="inlineStr"/>
      <c r="G91" t="inlineStr">
        <is>
          <t>New York, NY, US</t>
        </is>
      </c>
      <c r="H91" s="2" t="n">
        <v>45881</v>
      </c>
      <c r="I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in-11651d7e68d8cb05</t>
        </is>
      </c>
      <c r="B92" t="inlineStr">
        <is>
          <t>Applied Scientist II, Prime Video - Personalization and Discovery Science</t>
        </is>
      </c>
      <c r="C92" t="inlineStr">
        <is>
          <t>Amazon.com</t>
        </is>
      </c>
      <c r="D92" t="inlineStr">
        <is>
          <t>indeed</t>
        </is>
      </c>
      <c r="E92" t="inlineStr"/>
      <c r="F92" t="inlineStr"/>
      <c r="G92" t="inlineStr">
        <is>
          <t>Seattle, WA, US</t>
        </is>
      </c>
      <c r="H92" s="2" t="n">
        <v>45881</v>
      </c>
      <c r="I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in-4c7e9461f26f279b</t>
        </is>
      </c>
      <c r="B93" t="inlineStr">
        <is>
          <t>Applied Scientist III, StoreGen</t>
        </is>
      </c>
      <c r="C93" t="inlineStr">
        <is>
          <t>Amazon.com</t>
        </is>
      </c>
      <c r="D93" t="inlineStr">
        <is>
          <t>indeed</t>
        </is>
      </c>
      <c r="E93" t="inlineStr"/>
      <c r="F93" t="inlineStr"/>
      <c r="G93" t="inlineStr">
        <is>
          <t>Sunnyvale, CA, US</t>
        </is>
      </c>
      <c r="H93" s="2" t="n">
        <v>45868</v>
      </c>
      <c r="I93"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in-c0d607bc9add1de7</t>
        </is>
      </c>
      <c r="B94" t="inlineStr">
        <is>
          <t>Applied Scientist III, StoreGen</t>
        </is>
      </c>
      <c r="C94" t="inlineStr">
        <is>
          <t>Amazon.com</t>
        </is>
      </c>
      <c r="D94" t="inlineStr">
        <is>
          <t>indeed</t>
        </is>
      </c>
      <c r="E94" t="inlineStr"/>
      <c r="F94" t="inlineStr"/>
      <c r="G94" t="inlineStr">
        <is>
          <t>Seattle, WA, US</t>
        </is>
      </c>
      <c r="H94" s="2" t="n">
        <v>45868</v>
      </c>
      <c r="I94"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in-3686a9b4bee705b2</t>
        </is>
      </c>
      <c r="B95" t="inlineStr">
        <is>
          <t>Sr. Applied Scientist, Amazon Advertising</t>
        </is>
      </c>
      <c r="C95" t="inlineStr">
        <is>
          <t>Amazon.com</t>
        </is>
      </c>
      <c r="D95" t="inlineStr">
        <is>
          <t>indeed</t>
        </is>
      </c>
      <c r="E95" t="inlineStr"/>
      <c r="F95" t="inlineStr"/>
      <c r="G95" t="inlineStr">
        <is>
          <t>West Hollywood, CA, US</t>
        </is>
      </c>
      <c r="H95" s="2" t="n">
        <v>45851</v>
      </c>
      <c r="I9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in-4aaa758e51a728f4</t>
        </is>
      </c>
      <c r="B96" t="inlineStr">
        <is>
          <t>Sr. Applied Scientist, Amazon Advertising</t>
        </is>
      </c>
      <c r="C96" t="inlineStr">
        <is>
          <t>Amazon.com</t>
        </is>
      </c>
      <c r="D96" t="inlineStr">
        <is>
          <t>indeed</t>
        </is>
      </c>
      <c r="E96" t="inlineStr"/>
      <c r="F96" t="inlineStr"/>
      <c r="G96" t="inlineStr">
        <is>
          <t>Arlington, VA, US</t>
        </is>
      </c>
      <c r="H96" s="2" t="n">
        <v>45851</v>
      </c>
      <c r="I9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in-bae5f26053bde77e</t>
        </is>
      </c>
      <c r="B97" t="inlineStr">
        <is>
          <t>Sr. Applied Scientist, Amazon Advertising</t>
        </is>
      </c>
      <c r="C97" t="inlineStr">
        <is>
          <t>Amazon.com</t>
        </is>
      </c>
      <c r="D97" t="inlineStr">
        <is>
          <t>indeed</t>
        </is>
      </c>
      <c r="E97" t="inlineStr"/>
      <c r="F97" t="inlineStr"/>
      <c r="G97" t="inlineStr">
        <is>
          <t>Los Angeles, CA, US</t>
        </is>
      </c>
      <c r="H97" s="2" t="n">
        <v>45851</v>
      </c>
      <c r="I9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in-b4f3e18d3e3d56db</t>
        </is>
      </c>
      <c r="B98" t="inlineStr">
        <is>
          <t>Sr. Applied Scientist, Amazon Advertising</t>
        </is>
      </c>
      <c r="C98" t="inlineStr">
        <is>
          <t>Amazon.com</t>
        </is>
      </c>
      <c r="D98" t="inlineStr">
        <is>
          <t>indeed</t>
        </is>
      </c>
      <c r="E98" t="inlineStr"/>
      <c r="F98" t="inlineStr"/>
      <c r="G98" t="inlineStr">
        <is>
          <t>Seattle, WA, US</t>
        </is>
      </c>
      <c r="H98" s="2" t="n">
        <v>45851</v>
      </c>
      <c r="I9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in-9bfa91c90aa28659</t>
        </is>
      </c>
      <c r="B99" t="inlineStr">
        <is>
          <t>Sr. Applied Scientist, Amazon Advertising</t>
        </is>
      </c>
      <c r="C99" t="inlineStr">
        <is>
          <t>Amazon.com</t>
        </is>
      </c>
      <c r="D99" t="inlineStr">
        <is>
          <t>indeed</t>
        </is>
      </c>
      <c r="E99" t="inlineStr"/>
      <c r="F99" t="inlineStr"/>
      <c r="G99" t="inlineStr">
        <is>
          <t>New York, NY, US</t>
        </is>
      </c>
      <c r="H99" s="2" t="n">
        <v>45851</v>
      </c>
      <c r="I9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in-5bc1880e015a2afa</t>
        </is>
      </c>
      <c r="B100" t="inlineStr">
        <is>
          <t>Sr. Applied Scientist, Amazon Advertising</t>
        </is>
      </c>
      <c r="C100" t="inlineStr">
        <is>
          <t>Amazon.com</t>
        </is>
      </c>
      <c r="D100" t="inlineStr">
        <is>
          <t>indeed</t>
        </is>
      </c>
      <c r="E100" t="inlineStr"/>
      <c r="F100" t="inlineStr"/>
      <c r="G100" t="inlineStr">
        <is>
          <t>Simi Valley, CA, US</t>
        </is>
      </c>
      <c r="H100" s="2" t="n">
        <v>45851</v>
      </c>
      <c r="I10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in-b6dc8f787273476f</t>
        </is>
      </c>
      <c r="B101" t="inlineStr">
        <is>
          <t>Sr. Applied Scientist, Amazon Advertising</t>
        </is>
      </c>
      <c r="C101" t="inlineStr">
        <is>
          <t>Amazon.com</t>
        </is>
      </c>
      <c r="D101" t="inlineStr">
        <is>
          <t>indeed</t>
        </is>
      </c>
      <c r="E101" t="inlineStr"/>
      <c r="F101" t="inlineStr"/>
      <c r="G101" t="inlineStr">
        <is>
          <t>Austin, TX, US</t>
        </is>
      </c>
      <c r="H101" s="2" t="n">
        <v>45851</v>
      </c>
      <c r="I10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in-33490fa247ee5274</t>
        </is>
      </c>
      <c r="B102" t="inlineStr">
        <is>
          <t>Sr. Applied Scientist, Amazon Advertising</t>
        </is>
      </c>
      <c r="C102" t="inlineStr">
        <is>
          <t>Amazon.com</t>
        </is>
      </c>
      <c r="D102" t="inlineStr">
        <is>
          <t>indeed</t>
        </is>
      </c>
      <c r="E102" t="inlineStr"/>
      <c r="F102" t="inlineStr"/>
      <c r="G102" t="inlineStr">
        <is>
          <t>Palo Alto, CA, US</t>
        </is>
      </c>
      <c r="H102" s="2" t="n">
        <v>45851</v>
      </c>
      <c r="I10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in-3bf4f5101f867158</t>
        </is>
      </c>
      <c r="B103" t="inlineStr">
        <is>
          <t>Sr. Applied Scientist, Sales AI</t>
        </is>
      </c>
      <c r="C103" t="inlineStr">
        <is>
          <t>Amazon.com</t>
        </is>
      </c>
      <c r="D103" t="inlineStr">
        <is>
          <t>indeed</t>
        </is>
      </c>
      <c r="E103" t="inlineStr"/>
      <c r="F103" t="inlineStr"/>
      <c r="G103" t="inlineStr">
        <is>
          <t>New York, NY, US</t>
        </is>
      </c>
      <c r="H103" s="2" t="n">
        <v>45830</v>
      </c>
      <c r="I10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in-beb7c107da95641f</t>
        </is>
      </c>
      <c r="B104" t="inlineStr">
        <is>
          <t>Sr. Applied Scientist, Sales AI</t>
        </is>
      </c>
      <c r="C104" t="inlineStr">
        <is>
          <t>Amazon.com</t>
        </is>
      </c>
      <c r="D104" t="inlineStr">
        <is>
          <t>indeed</t>
        </is>
      </c>
      <c r="E104" t="inlineStr"/>
      <c r="F104" t="inlineStr"/>
      <c r="G104" t="inlineStr">
        <is>
          <t>Sunnyvale, CA, US</t>
        </is>
      </c>
      <c r="H104" s="2" t="n">
        <v>45830</v>
      </c>
      <c r="I10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in-8a8c22b51442aa43</t>
        </is>
      </c>
      <c r="B105" t="inlineStr">
        <is>
          <t>Sr. Applied Scientist, Sales AI</t>
        </is>
      </c>
      <c r="C105" t="inlineStr">
        <is>
          <t>Amazon.com</t>
        </is>
      </c>
      <c r="D105" t="inlineStr">
        <is>
          <t>indeed</t>
        </is>
      </c>
      <c r="E105" t="inlineStr"/>
      <c r="F105" t="inlineStr"/>
      <c r="G105" t="inlineStr">
        <is>
          <t>Seattle, WA, US</t>
        </is>
      </c>
      <c r="H105" s="2" t="n">
        <v>45830</v>
      </c>
      <c r="I10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in-2efd6c0b9f3cbcc0</t>
        </is>
      </c>
      <c r="B106" t="inlineStr">
        <is>
          <t>Senior Applied Scientist, Delivery Foundation Model</t>
        </is>
      </c>
      <c r="C106" t="inlineStr">
        <is>
          <t>Amazon.com</t>
        </is>
      </c>
      <c r="D106" t="inlineStr">
        <is>
          <t>indeed</t>
        </is>
      </c>
      <c r="E106" t="inlineStr"/>
      <c r="F106" t="inlineStr"/>
      <c r="G106" t="inlineStr">
        <is>
          <t>New York, NY, US</t>
        </is>
      </c>
      <c r="H106" s="2" t="n">
        <v>45806</v>
      </c>
      <c r="I10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in-123fcd71a733cbd9</t>
        </is>
      </c>
      <c r="B107" t="inlineStr">
        <is>
          <t>Senior Applied Scientist, Delivery Foundation Model</t>
        </is>
      </c>
      <c r="C107" t="inlineStr">
        <is>
          <t>Amazon.com</t>
        </is>
      </c>
      <c r="D107" t="inlineStr">
        <is>
          <t>indeed</t>
        </is>
      </c>
      <c r="E107" t="inlineStr"/>
      <c r="F107" t="inlineStr"/>
      <c r="G107" t="inlineStr">
        <is>
          <t>Santa Clara, CA, US</t>
        </is>
      </c>
      <c r="H107" s="2" t="n">
        <v>45806</v>
      </c>
      <c r="I10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in-4b707a6f960d8121</t>
        </is>
      </c>
      <c r="B108" t="inlineStr">
        <is>
          <t>Senior Applied Scientist, Delivery Foundation Model</t>
        </is>
      </c>
      <c r="C108" t="inlineStr">
        <is>
          <t>Amazon.com</t>
        </is>
      </c>
      <c r="D108" t="inlineStr">
        <is>
          <t>indeed</t>
        </is>
      </c>
      <c r="E108" t="inlineStr"/>
      <c r="F108" t="inlineStr"/>
      <c r="G108" t="inlineStr">
        <is>
          <t>Bellevue, WA, US</t>
        </is>
      </c>
      <c r="H108" s="2" t="n">
        <v>45806</v>
      </c>
      <c r="I10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in-dd3250a8b9b396f8</t>
        </is>
      </c>
      <c r="B109" t="inlineStr">
        <is>
          <t>Principal Applied Scientist, FAR (Frontier AI &amp; Robotics)</t>
        </is>
      </c>
      <c r="C109" t="inlineStr">
        <is>
          <t>Amazon.com</t>
        </is>
      </c>
      <c r="D109" t="inlineStr">
        <is>
          <t>indeed</t>
        </is>
      </c>
      <c r="E109" t="inlineStr"/>
      <c r="F109" t="inlineStr"/>
      <c r="G109" t="inlineStr">
        <is>
          <t>San Francisco, CA, US</t>
        </is>
      </c>
      <c r="H109" s="2" t="n">
        <v>45740</v>
      </c>
      <c r="I109"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in-cb71096affdbc812</t>
        </is>
      </c>
      <c r="B110" t="inlineStr">
        <is>
          <t>Principal Applied Scientist, FAR (Frontier AI &amp; Robotics)</t>
        </is>
      </c>
      <c r="C110" t="inlineStr">
        <is>
          <t>Amazon.com</t>
        </is>
      </c>
      <c r="D110" t="inlineStr">
        <is>
          <t>indeed</t>
        </is>
      </c>
      <c r="E110" t="inlineStr"/>
      <c r="F110" t="inlineStr"/>
      <c r="G110" t="inlineStr">
        <is>
          <t>Seattle, WA, US</t>
        </is>
      </c>
      <c r="H110" s="2" t="n">
        <v>45740</v>
      </c>
      <c r="I110"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in-7e742f8147e3aa1e</t>
        </is>
      </c>
      <c r="B111" t="inlineStr">
        <is>
          <t>Data Scientist</t>
        </is>
      </c>
      <c r="C111" t="inlineStr">
        <is>
          <t>The DarkStar Group</t>
        </is>
      </c>
      <c r="D111" t="inlineStr">
        <is>
          <t>indeed</t>
        </is>
      </c>
      <c r="E111" t="inlineStr"/>
      <c r="F111" t="inlineStr"/>
      <c r="G111" t="inlineStr">
        <is>
          <t>Tampa, FL, US</t>
        </is>
      </c>
      <c r="H111" s="2" t="n">
        <v>46063</v>
      </c>
      <c r="I111" t="inlineStr">
        <is>
          <t>**What You'll Be Owning:**
As a Data Science Lead, you will be responsible for overseeing the development of predictive and prescriptive analytics, ensure alignment with mission objectives, and manage data science strategy, governance, and collaboration with engineering teams.
**What You Must Have:**
* TS/SCI Security Clearance Required Master’s degree in Data Science, Artificial Intelligence, Computer Science, or a related field, or eleven (11\) years of equivalent experience in leading AI/ML\-driven analytics programs.
* Knowledge and capability to lead the development of predictive and prescriptive analytics, ensuring alignment with mission objectives and the integration of AI/ML\-driven insights.
* Proficient in advanced machine learning techniques, statistical modeling, and data science methodologies, with expertise in feature engineering, model validation, and data provenance tracking.
* Personnel must have experience implementing Agile methodologies, managing analytic sprints, and overseeing collaboration between data science and data engineering teams.
* Strong leadership, strategic planning, and stakeholder engagement skills are required to drive mission\-focused analytic innovation.
* Personnel must have demonstrated experience developing, deploying, and managing enterprise\-level predictive analytics solutions, ensuring governance compliance, and implementing AI/ML models at scale.
* Personnel must have experience overseeing sprint\-based Agile development cycles and working within cloud\-based data science environments such as AWS, Azure, or Databricks.
* Experience in mission\-focused analytics, data\-driven decision support, and integration of statistical and machine learning techniques is required.
**What Would Be Nice to Have:**
* Desirable but not required certifications include: AWS Certified Machine Learning – Specialty, Microsoft Certified: Azure AI Engineer Associate, or Certified Analytics Professional (CAP).</t>
        </is>
      </c>
    </row>
    <row r="112">
      <c r="A112" t="inlineStr">
        <is>
          <t>in-ad065ec57cc7aaa3</t>
        </is>
      </c>
      <c r="B112" t="inlineStr">
        <is>
          <t>Data Scientist - Computer Vision, Data &amp; Machine Learning (DML)</t>
        </is>
      </c>
      <c r="C112" t="inlineStr">
        <is>
          <t>Amazon Web Services</t>
        </is>
      </c>
      <c r="D112" t="inlineStr">
        <is>
          <t>indeed</t>
        </is>
      </c>
      <c r="E112" t="inlineStr"/>
      <c r="F112" t="inlineStr"/>
      <c r="G112" t="inlineStr">
        <is>
          <t>Arlington, VA, US</t>
        </is>
      </c>
      <c r="H112" s="2" t="n">
        <v>46051</v>
      </c>
      <c r="I112"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13">
      <c r="A113" t="inlineStr">
        <is>
          <t>in-5d3826b65e204094</t>
        </is>
      </c>
      <c r="B113" t="inlineStr">
        <is>
          <t>Data Scientist - Computer Vision, Data &amp; Machine Learning (DML)</t>
        </is>
      </c>
      <c r="C113" t="inlineStr">
        <is>
          <t>Amazon Web Services</t>
        </is>
      </c>
      <c r="D113" t="inlineStr">
        <is>
          <t>indeed</t>
        </is>
      </c>
      <c r="E113" t="inlineStr"/>
      <c r="F113" t="inlineStr"/>
      <c r="G113" t="inlineStr">
        <is>
          <t>Herndon, VA, US</t>
        </is>
      </c>
      <c r="H113" s="2" t="n">
        <v>46051</v>
      </c>
      <c r="I113"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14">
      <c r="A114" t="inlineStr">
        <is>
          <t>in-3f9ed82459fe6526</t>
        </is>
      </c>
      <c r="B114" t="inlineStr">
        <is>
          <t>Data Scientist- Vision Language Model Researcher, Data &amp; Machine Learning (DML)</t>
        </is>
      </c>
      <c r="C114" t="inlineStr">
        <is>
          <t>Amazon Web Services</t>
        </is>
      </c>
      <c r="D114" t="inlineStr">
        <is>
          <t>indeed</t>
        </is>
      </c>
      <c r="E114" t="inlineStr"/>
      <c r="F114" t="inlineStr"/>
      <c r="G114" t="inlineStr">
        <is>
          <t>Arlington, VA, US</t>
        </is>
      </c>
      <c r="H114" s="2" t="n">
        <v>46051</v>
      </c>
      <c r="I114"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15">
      <c r="A115" t="inlineStr">
        <is>
          <t>in-ae0a9b8d70c9134a</t>
        </is>
      </c>
      <c r="B115" t="inlineStr">
        <is>
          <t>Data Scientist- Vision Language Model Researcher, Data &amp; Machine Learning (DML)</t>
        </is>
      </c>
      <c r="C115" t="inlineStr">
        <is>
          <t>Amazon Web Services</t>
        </is>
      </c>
      <c r="D115" t="inlineStr">
        <is>
          <t>indeed</t>
        </is>
      </c>
      <c r="E115" t="inlineStr"/>
      <c r="F115" t="inlineStr"/>
      <c r="G115" t="inlineStr">
        <is>
          <t>Herndon, VA, US</t>
        </is>
      </c>
      <c r="H115" s="2" t="n">
        <v>46051</v>
      </c>
      <c r="I115"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16">
      <c r="A116" t="inlineStr">
        <is>
          <t>in-02ebaee896e7507d</t>
        </is>
      </c>
      <c r="B116" t="inlineStr">
        <is>
          <t>Data Scientist - Computer Vision, Data &amp; Machine Learning (DML)</t>
        </is>
      </c>
      <c r="C116" t="inlineStr">
        <is>
          <t>Amazon Web Services</t>
        </is>
      </c>
      <c r="D116" t="inlineStr">
        <is>
          <t>indeed</t>
        </is>
      </c>
      <c r="E116" t="inlineStr"/>
      <c r="F116" t="inlineStr"/>
      <c r="G116" t="inlineStr">
        <is>
          <t>Herndon, VA, US</t>
        </is>
      </c>
      <c r="H116" s="2" t="n">
        <v>46051</v>
      </c>
      <c r="I116"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Exploring the data and brainstorming and prioritizing ideas for model development
Implementing new features in our sizable code base
Training models in support of experimental or performance goals
T\&amp;E\-ing, packaging, and delivering models  
We perform this work on both unclassified and classified networks, with portions of our team working on each network.
We seek a new team member to work primarily on the unclassified networks.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AWS Services,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Run data conversion pipelines to transform customer data into the structure needed by models for training
Perform EDA on the customer data
Train deep neural network models on overhead imagery
Develop and implement hyper\-parameter optimization strategies
Test and Evaluate models and analyze results
Package and deliver models to the customer
Implement new features to the model development code base
Collaborate with the rest of the team on long term strategy and short\-medium term implementation.
Contribute to presentations to the customer regarding the team’s work.
**BASIC QUALIFICATIONS**
------------------------
* Bachelor's degree or above in computer science, computer engineering, or related field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with AWS services including S3, Redshift, Sagemaker, EMR, Kinesis, Lambda, and EC2
* Current, active US Government Security Clearance of Top Secret or above
**PREFERRED QUALIFICATIONS**
----------------------------
* Knowledge of machine learning concepts and their application to reasoning and problem\-solving
* Experience in a ML or data scientist role with a large technology company
* Experience working on multi\-team, cross\-disciplinary projects
* Master's degree or above in computer science, machine learning, engineering, or related fields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17">
      <c r="A117" t="inlineStr">
        <is>
          <t>in-b4b6804f6f34f821</t>
        </is>
      </c>
      <c r="B117" t="inlineStr">
        <is>
          <t>Data Scientist - Computer Vision, Data &amp; Machine Learning (DML)</t>
        </is>
      </c>
      <c r="C117" t="inlineStr">
        <is>
          <t>Amazon Web Services</t>
        </is>
      </c>
      <c r="D117" t="inlineStr">
        <is>
          <t>indeed</t>
        </is>
      </c>
      <c r="E117" t="inlineStr"/>
      <c r="F117" t="inlineStr"/>
      <c r="G117" t="inlineStr">
        <is>
          <t>Arlington, VA, US</t>
        </is>
      </c>
      <c r="H117" s="2" t="n">
        <v>46051</v>
      </c>
      <c r="I117"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Exploring the data and brainstorming and prioritizing ideas for model development
Implementing new features in our sizable code base
Training models in support of experimental or performance goals
T\&amp;E\-ing, packaging, and delivering models  
We perform this work on both unclassified and classified networks, with portions of our team working on each network.
We seek a new team member to work primarily on the unclassified networks.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AWS Services,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Run data conversion pipelines to transform customer data into the structure needed by models for training
Perform EDA on the customer data
Train deep neural network models on overhead imagery
Develop and implement hyper\-parameter optimization strategies
Test and Evaluate models and analyze results
Package and deliver models to the customer
Implement new features to the model development code base
Collaborate with the rest of the team on long term strategy and short\-medium term implementation.
Contribute to presentations to the customer regarding the team’s work.
**BASIC QUALIFICATIONS**
------------------------
* Bachelor's degree or above in computer science, computer engineering, or related field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with AWS services including S3, Redshift, Sagemaker, EMR, Kinesis, Lambda, and EC2
* Current, active US Government Security Clearance of Top Secret or above
**PREFERRED QUALIFICATIONS**
----------------------------
* Knowledge of machine learning concepts and their application to reasoning and problem\-solving
* Experience in a ML or data scientist role with a large technology company
* Experience working on multi\-team, cross\-disciplinary projects
* Master's degree or above in computer science, machine learning, engineering, or related fields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18">
      <c r="A118" t="inlineStr">
        <is>
          <t>in-3d72a98c5477215b</t>
        </is>
      </c>
      <c r="B118" t="inlineStr">
        <is>
          <t>Applied Scientist, Alexa Smart Home</t>
        </is>
      </c>
      <c r="C118" t="inlineStr">
        <is>
          <t>Amazon.com</t>
        </is>
      </c>
      <c r="D118" t="inlineStr">
        <is>
          <t>indeed</t>
        </is>
      </c>
      <c r="E118" t="inlineStr"/>
      <c r="F118" t="inlineStr"/>
      <c r="G118" t="inlineStr">
        <is>
          <t>Sunnyvale, CA, US</t>
        </is>
      </c>
      <c r="H118" s="2" t="n">
        <v>46033</v>
      </c>
      <c r="I118"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19">
      <c r="A119" t="inlineStr">
        <is>
          <t>in-c5408623b2a52aab</t>
        </is>
      </c>
      <c r="B119" t="inlineStr">
        <is>
          <t>Applied Scientist, Alexa Smart Home</t>
        </is>
      </c>
      <c r="C119" t="inlineStr">
        <is>
          <t>Amazon.com</t>
        </is>
      </c>
      <c r="D119" t="inlineStr">
        <is>
          <t>indeed</t>
        </is>
      </c>
      <c r="E119" t="inlineStr"/>
      <c r="F119" t="inlineStr"/>
      <c r="G119" t="inlineStr">
        <is>
          <t>Seattle, WA, US</t>
        </is>
      </c>
      <c r="H119" s="2" t="n">
        <v>46033</v>
      </c>
      <c r="I119"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20">
      <c r="A120" t="inlineStr">
        <is>
          <t>in-3cb3f19a9293a483</t>
        </is>
      </c>
      <c r="B120" t="inlineStr">
        <is>
          <t>Sr Data Scientist- Assortment and Space Planning (Core ML)</t>
        </is>
      </c>
      <c r="C120" t="inlineStr">
        <is>
          <t>The Home Depot</t>
        </is>
      </c>
      <c r="D120" t="inlineStr">
        <is>
          <t>indeed</t>
        </is>
      </c>
      <c r="E120">
        <f>HYPERLINK("https://www.indeed.com/viewjob?jk=3cb3f19a9293a483", "https://www.indeed.com/viewjob?jk=3cb3f19a9293a483")</f>
        <v/>
      </c>
      <c r="F120">
        <f>HYPERLINK("https://homedepot.contacthr.com/151005342", "https://homedepot.contacthr.com/151005342")</f>
        <v/>
      </c>
      <c r="G120" t="inlineStr">
        <is>
          <t>Atlanta, GA, US</t>
        </is>
      </c>
      <c r="H120" s="3" t="n">
        <v>46063</v>
      </c>
      <c r="I120" t="inlineStr">
        <is>
          <t>**Position Purpose:**
We are transforming how merchandising decisions are made through AI\-powered solutions and automation. This Sr. Data Scientist plays a key role to build scalable, mathematical algorithms in production that directly impact retail and merchandising by solving complex, high\-value business problems. The position focuses on science\-driven models, operating at the intersection of data science, process automation, cloud deployment, and software production to deliver reliable decision systems that increase efficiency and improve customer experience.
This role leads Machine Learning initiatives end\-to\-end, from cross\-functional collaboration and business problem framing through technical design, development, deployment, and ongoing monitoring and enhancement. The Sr. Data Scientist partners closely with product managers, software engineers, and business stakeholders to identify high\-impact opportunities, translate into technical requirements, and deliver scalable solutions in production. The role is responsible for communicating insights and recommendations to both technical and non\-technical audiences, mentoring data scientists on projects, and ensuring models perform effectively based on real\-world outcomes.
 **Key Responsibilities:**
* 35% Solution Development \- Proficiently design and develop algorithms and models to use against large datasets to create business insights; Execute tasks with high levels of efficiency and quality; Make appropriate selection, utilization and interpretation of advanced analytical methodologies; Effectively communicate insights and recommendations to both technical and non\-technical leaders and business customers/partners; Prepare reports, updates and/or presentations related to progress made on a project or solution; Clearly communicate impacts of recommendations to drive alignment and appropriate implementation
* 30% Project Management \&amp; Team Support \- Work with project teams and business partners to determine project goals; Provide direction on prioritization of work and ensure quality of work; Provide mentoring and coaching to more junior roles to support their technical competencies; Collaborate with managers and team in the distribution of workload and resources; Support recruiting and hiring efforts for the team
* 20% Business Collaboration \- Leverage extensive business knowledge into solution approach; Effectively develop trust and collaboration with internal customers and cross\-functional teams; Provide general education on advanced analytics to technical and non\-technical business partners; Deep understanding of IT needs for the team to be successful in tackling business problems; Actively seek out new business opportunities to leverage data science as a competitive advantage
* 15% Technical Exploration \&amp; Development \- Seek further knowledge on key developments within data science, technical skill sets, and additional data sources; Participate in the continuous improvement of data science and analytics by developing replicable solutions (for example, codified data products, project documentation, process flowcharts) to ensure solutions are leveraged for future projects; Define best practices and develop clear vision for data analysis and model productionalization; Contribute to library of reusable algorithms for future use, ensuring developed codes are documented
 **Direct Manager/Direct Reports:**
* This position reports to manager or above
* This position has 0 Direct Reports
 **Travel Requirements:**
* Typically requires overnight travel less than 10% of the time.
 **Physical Requirements:**
* Most of the time is spent sitting in a comfortable position and there is frequent opportunity to move about. On rare occasions there may be a need to move or lift light articles.
 **Working Conditions:**
* Located in a comfortable indoor area. Any unpleasant conditions would be infrequent and not objectionable.
 **Minimum Qualifications:**
* Must be eighteen years of age or older.
* Must be legally permitted to work in the United States.
 **Preferred Qualifications:**
* Master’s or PhD in Data Science, Statistics, Economics, Applied Math, Engineering, or other quantitative and engineering fields.
* 6\+ years of hands\-on experience developing and deploying Machine Learning models into production environments and integrating into scalable data pipelines and decision systems (e.g., via APIs, microservices, or batch pipelines), ensuring reliability, scalability, traceability, and interoperability.
* Deep expertise in causal inference (e.g., Difference\-in\-Differences, Double ML, Synthetic Control) and discrete choice models, including elasticity, substitution and demand transfer.
* Solid foundation in machine learning models (e.g., regularized regression, tree\-based methods such as XGBoost, and neural networks)
* Strong experience with forecasting models (e.g., time\-series forecasting. ARIMA, Bayesian and probabilistic methods or deep learning\-based approaches).
* Strong understanding of data structures, and modern cloud ecosystems (GCP, AWS, etc.).
* Proficient with data visualization software (preferably Tableau).
* Familiarity with GenAI, LLM and Agentic framework, with experience integrating LLM\-based reasoning into ML\-driven solutions.
* Comfortable collaborating with front\-end developers or building light UI prototypes (e.g., Streamlit, React).
* Demonstrated strength in business communication and technical leadership, with the ability to clearly explain complex statistical and ML concepts to non\-technical stakeholders in a way that builds trust and drives adoption.
* Experience solving retail or merchandising problems such as assortment \&amp; space optimization, demand transfer, consumer choice models, demand forecasting.
 **Minimum Education:**
* The knowledge, skills and abilities typically acquired through the completion of a bachelor's degree program or equivalent degree in a field of study related to the job.
 **Preferred Education:**
* No additional education
 **Minimum Years of Work Experience:**
* 5
 **Preferred Years of Work Experience:**
* No additional years of experience
 **Minimum Leadership Experience:**
* None
 **Preferred Leadership Experience:**
* None
 **Certifications:**
* None
 **Competencies:**
* Attracts Top Talent: Attracting and selecting the best talent to meet current and future business needs
* Business Insight: Applying knowledge of the business and the marketplace to advance the organization's goals
* Collaborates: Building partnerships and working collaboratively with others to meet shared objectives
* Communicates Effectively: Developing and delivering multi\-mode communications that convey a clear understanding of the unique needs of different audiences
* Cultivates Innovation: Creating new and better ways for the organization to be successful
* Customer Focus: Building strong customer relationships and delivering customer\-centric solutions
* Develops Talent: Developing people to meet both their career goals and the organization's goals
* Directs Work: Provides direction, delegating and removing obstacles to get work done
* Drives Results: Consistently achieving results, even under tough circumstances
* Nimble Learning: Actively learning through experimentation when tackling new problems, using both successes and failures as learning fodder
* Optimizes Work Processes: Knowing the most efficient and effective processes to get things done, with a focus on continuous improvement
* Self\-Development: Actively seeking new ways to grow and be challenged using both formal and informal development channels</t>
        </is>
      </c>
    </row>
    <row r="121">
      <c r="A121" t="inlineStr">
        <is>
          <t>in-af9dd9a8b72fbec3</t>
        </is>
      </c>
      <c r="B121" t="inlineStr">
        <is>
          <t>Geospatial Data Scientist</t>
        </is>
      </c>
      <c r="C121" t="inlineStr">
        <is>
          <t>The DarkStar Group</t>
        </is>
      </c>
      <c r="D121" t="inlineStr">
        <is>
          <t>indeed</t>
        </is>
      </c>
      <c r="E121">
        <f>HYPERLINK("https://www.indeed.com/viewjob?jk=af9dd9a8b72fbec3", "https://www.indeed.com/viewjob?jk=af9dd9a8b72fbec3")</f>
        <v/>
      </c>
      <c r="F121">
        <f>HYPERLINK("https://www.grvty.com/careers/listings/geospatial-data-scientist-cbwmpz7d", "https://www.grvty.com/careers/listings/geospatial-data-scientist-cbwmpz7d")</f>
        <v/>
      </c>
      <c r="G121" t="inlineStr">
        <is>
          <t>McLean, VA, US</t>
        </is>
      </c>
      <c r="H121" s="3" t="n">
        <v>46063</v>
      </c>
      <c r="I121" t="inlineStr">
        <is>
          <t>**What Impact You’ll Have:**
Our team integrates hundreds of data sources into a Geospatial Data Analysis platform used throughout the Intelligence Community. Their tool and dataset is widely\-recognized as the leading platform for geospatial analysis, touching nearly every type of mission. Top government officials use analysis from this platform to make daily decisions that have global impact. The platform is constructed of 3rd party tools and custom applications, and new data sources are constantly being added. The customer is excellent to work with, and there is a healthy mix of customer\-driven requirements and team\-driven ideas / innovation: engineers typically have freedom in choosing how to do things and which technologies to utilize. Customer leadership also helps drive innovation and has created a close, collaborative idea exchange between staffers and contractors. Our Team Lead has said "this is simply the best group of people I've worked with". Despite this platform being widely used, there is a huge amount of brand new work adding new capabilities and data sources, as well as migrating more and more of the subsystems to AWS. There are recurring opportunities on this team for Analytic / BigData Software Developers, Full Stack Software Engineers, Web Application Developers, Java Developers, JavaScript Developers, Python Developers, Geospatial (GIS) Developers, ETL Developers, Data Scientists, Data Engineers, Data Analysts, AWS Engineers, DevOps Engineers, Cloud Migration Experts, and Geospatial Systems Engineers. Work on this program takes place in the McLean, VA area (we cannot support remote work) and requires a TS/SCI \+ Poly clearance (acceptable by this customer). THE ROLE The Geospatial Data Scientist is responsible for gathering project requirements from the customer and implementing data\-driven solutions. They can expect to use Python, PostgreSQL, and AWS tools on a daily basis to establish automated ETL (Extract, Transform, Load) pipelines, implement geospatially focused analytics, and create data visualizations to be shared with a wide range of audiences. In addition to these core functions, the Data Scientist helps to ensure that the project's data architecture is scalable, maintains high data quality/integrity, and is streamlined to maximize performance.
**What You’ll Be Owning:**
GRVTY is seeking a Geospatial Data Scientist with a TS/SCI \+ Poly clearance (applicable to this customer) to join one of our top projects in Mclean, VA
**What You Must Have:**
* Active TS/SCI with Polygraph Clearance
* Minimum 3 years of experience with a Bachelor’s degree or 1 year of experience with a Master’s degree
* Python experience to automate data transformation and analysis of geospatial datasets
* Experience working with PostgreSQL to extract data from RDBMS
* Experience with AWS tools Linux experience
* Experience with API Connections
* Comfortable working with all types of geospatial datasets in thick client applications (e.g. ArcGIS)
**What Would Be Nice to Have:**
* Experience working with R, Tableau
* Experience working with NiFi</t>
        </is>
      </c>
    </row>
    <row r="122">
      <c r="A122" t="inlineStr">
        <is>
          <t>in-3735a502c74530e9</t>
        </is>
      </c>
      <c r="B122" t="inlineStr">
        <is>
          <t>Data Scientist - Balance Sheet Analytics &amp; Modeling</t>
        </is>
      </c>
      <c r="C122" t="inlineStr">
        <is>
          <t>PNC Financial Services Group</t>
        </is>
      </c>
      <c r="D122" t="inlineStr">
        <is>
          <t>indeed</t>
        </is>
      </c>
      <c r="E122">
        <f>HYPERLINK("https://www.indeed.com/viewjob?jk=3735a502c74530e9", "https://www.indeed.com/viewjob?jk=3735a502c74530e9")</f>
        <v/>
      </c>
      <c r="F122">
        <f>HYPERLINK("https://d.hodes.com/r/tp2?e=se&amp;tv=pixel_tracker&amp;aid=pncbank&amp;p=web&amp;se_ca=indeed&amp;se_ac=click&amp;se_la=22996774&amp;u=https%3A%2F%2Fcareers.pnc.com%2Fglobal%2Fen%2Fjob%2FPNC1GLOBALR210287%2FData-Scientist-Balance-Sheet-Analytics-Modeling%3Futm_source%3DIndeed%26utm_medium%3Dsymphonytalent-jobads%26utm_campaign%3DTechnology%26utm_content%3DData%2520Scientist%2520-%2520Balance%2520Sheet%2520Analytics%2520%26amp%3B%2520Modeling%26utm_term%3DR210287&amp;se_pr=792795cc1065eefa&amp;se_va=11057&amp;tr_af=organic&amp;ti_id=2014_R210287&amp;signature=l7TqdWOhFk2hqPvbY3LPpPfFT1E7JP5IaIXRePxhxP8", "https://d.hodes.com/r/tp2?e=se&amp;tv=pixel_tracker&amp;aid=pncbank&amp;p=web&amp;se_ca=indeed&amp;se_ac=click&amp;se_la=22996774&amp;u=https%3A%2F%2Fcareers.pnc.com%2Fglobal%2Fen%2Fjob%2FPNC1GLOBALR210287%2FData-Scientist-Balance-Sheet-Analytics-Modeling%3Futm_source%3DIndeed%26utm_medium%3Dsymphonytalent-jobads%26utm_campaign%3DTechnology%26utm_content%3DData%2520Scientist%2520-%2520Balance%2520Sheet%2520Analytics%2520%26amp%3B%2520Modeling%26utm_term%3DR210287&amp;se_pr=792795cc1065eefa&amp;se_va=11057&amp;tr_af=organic&amp;ti_id=2014_R210287&amp;signature=l7TqdWOhFk2hqPvbY3LPpPfFT1E7JP5IaIXRePxhxP8")</f>
        <v/>
      </c>
      <c r="G122" t="inlineStr">
        <is>
          <t>Pittsburgh, PA, US</t>
        </is>
      </c>
      <c r="H122" s="3" t="n">
        <v>46063</v>
      </c>
      <c r="I122" t="inlineStr">
        <is>
          <t>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Data Scientist within PNC's Balance Sheet Analytics \&amp; Modeling Retail Banking Data Modeling organization, you will be based in Pittsburgh or Philadelphia, PA, Cleveland, OH, Wilmington, DE, Tysons Corner, VA or Charlotte, NC.
**Preferred Skills \&amp; Experience:**  
* Master’s degree in data science, computer science, engineering, applied mathematics or related field. A PhD degree is preferred but not required.
* At least 5 years of experience with direct data science or machine learning projects in industry, with 2\+ years, specifically in NLP.
* Strong background in Mathematics and Statistics. Demonstrable mathematical inventiveness for novel problem solving (via probability, optimization, information theory, linear algebra)
* Very strong expertise in data collection, cleaning, preprocessing, and transforming data.
* Expert programming skills in Python, Spark, and SQL. Solid software practices (testing, packaging, CI). MLOps familiarity.
* Experience with big data platforms. Experience with cloud\-native model development and deployment preferred.
* Research mindset reads/reproduces papers; designs baselines/ablations; evaluates for robustness, drift, and fairness. Meticulous about data quality, reproducibility, and experiment tracking.
* Experience in transfer learning and in fine tuning open\-source transformer models. Creative and pragmatic: chooses the simplest high‑impact approach (prompting, adapters, retrieval, distillation) before heavy training.
* Practical NLP/LLM experience and awareness of evaluation pitfalls (hallucinations, prompt sensitivity, grounding).
* Strong collaborator within and between cross\-functional teams; excellent verbal and written communication skills; adapts communication to audience: effectively communicate technical concepts and results to both technical and business audiences
* Curious, hardworking, detail\-oriented, and action\-oriented; motivated by complex analytical problems; investigates failure modes; documents learnings clearly.
* Prioritizes pace over perfection and is comfortable in the face of changing circumstances and business priorities
* Excited by the prospect of delivering value through the application of emerging technologies and techniques.
* Previous experience in financial services industry is not required but is considered a plus.
* Customer‑focused and risk‑aware; comfortable aligning work with governance expectations.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Performs analytical tasks on vast amounts of structured and unstructured data to extract actionable business insights.
Participates in the data gathering, data processing and data mining of large and complex datasets.
Develops algorithms using advanced mathematical and statistical techniques like machine learning to predict business outcomes and recommend optimal actions to management.
Runs analytical experiments in a methodical manner to find opportunities for product and process optimization. Assists in the presentation of business insights to management using visualization technologies and data storytelling.
May partner with Data Architects, Data Analysts, Data Engineers and Visualization Experts to develop data\-driven solutions for the business.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Analytical Thinking, Competitive Advantages, Data Analytics, Data Mining, Data Science, Machine Learning (ML)
Competencies Data Architecture, Data Mining, Disruptive Innovation, Information Capture, Machine Learning, Modeling: Data, Process, Events, Objects, Prototyping, Query and Database Access Tools
Work Experience Roles at this level typically require a university / college degree, with 3\+ years of relevant / direct industry experience. Certifications are often desired. In lieu of a degree, a comparable combination of education, job specific certification(s), and experience (including military service) may be considered.
Education Masters
Certifications No Required Certification(s)
Licenses No Required License(s)
Pay Transparency
**Base Salary:** $55,000\.00 – $148,800\.00
Salaries may vary based on geographic location, market data and on individual skills, experience, and education. This role is incentive eligible with the payment based upon company, business and/or individual performance.
Application Window
Generally, this opening is expected to be posted for two business days from 02/10/2026, although it may be longer with business discretion.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9 occasional absence days each year, unless otherwise required by law; between 15 to 25 vacation days each year, depending on career level; and years of service.
To learn more about these and other programs, including benefits for full time and part\-time employees, visit pncthrive.com .
Disability Accommodations Statement
If an accommodation is required to participate in the application process, please contact us via email at AccommodationRequest@pnc.com .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
California Residents
Refer to the California Consumer Privacy Act Privacy Notice to gain understanding of how PNC may use or disclose your personal information in our hiring practices.</t>
        </is>
      </c>
    </row>
    <row r="123">
      <c r="A123" t="inlineStr">
        <is>
          <t>in-062c9027184cf90d</t>
        </is>
      </c>
      <c r="B123" t="inlineStr">
        <is>
          <t>Data Scientist - Balance Sheet Analytics &amp; Modeling</t>
        </is>
      </c>
      <c r="C123" t="inlineStr">
        <is>
          <t>PNC Financial Services Group</t>
        </is>
      </c>
      <c r="D123" t="inlineStr">
        <is>
          <t>indeed</t>
        </is>
      </c>
      <c r="E123">
        <f>HYPERLINK("https://www.indeed.com/viewjob?jk=062c9027184cf90d", "https://www.indeed.com/viewjob?jk=062c9027184cf90d")</f>
        <v/>
      </c>
      <c r="F123">
        <f>HYPERLINK("https://d.hodes.com/r/tp2?e=se&amp;tv=pixel_tracker&amp;aid=pncbank&amp;p=web&amp;se_ca=indeed&amp;se_ac=click&amp;se_la=22996775&amp;u=https%3A%2F%2Fcareers.pnc.com%2Fglobal%2Fen%2Fjob%2FPNC1GLOBALR210291%2FData-Scientist-Balance-Sheet-Analytics-Modeling%3Futm_source%3DIndeed%26utm_medium%3Dsymphonytalent-jobads%26utm_campaign%3DTechnology%26utm_content%3DData%2520Scientist%2520-%2520Balance%2520Sheet%2520Analytics%2520%26amp%3B%2520Modeling%26utm_term%3DR210291&amp;se_pr=792795cc1065eefa&amp;se_va=11057&amp;tr_af=organic&amp;ti_id=2014_R210291&amp;signature=l7TqdWOhFk2hqPvbY3LPpPfFT1E7JP5IaIXRePxhxP8", "https://d.hodes.com/r/tp2?e=se&amp;tv=pixel_tracker&amp;aid=pncbank&amp;p=web&amp;se_ca=indeed&amp;se_ac=click&amp;se_la=22996775&amp;u=https%3A%2F%2Fcareers.pnc.com%2Fglobal%2Fen%2Fjob%2FPNC1GLOBALR210291%2FData-Scientist-Balance-Sheet-Analytics-Modeling%3Futm_source%3DIndeed%26utm_medium%3Dsymphonytalent-jobads%26utm_campaign%3DTechnology%26utm_content%3DData%2520Scientist%2520-%2520Balance%2520Sheet%2520Analytics%2520%26amp%3B%2520Modeling%26utm_term%3DR210291&amp;se_pr=792795cc1065eefa&amp;se_va=11057&amp;tr_af=organic&amp;ti_id=2014_R210291&amp;signature=l7TqdWOhFk2hqPvbY3LPpPfFT1E7JP5IaIXRePxhxP8")</f>
        <v/>
      </c>
      <c r="G123" t="inlineStr">
        <is>
          <t>Pittsburgh, PA, US</t>
        </is>
      </c>
      <c r="H123" s="3" t="n">
        <v>46063</v>
      </c>
      <c r="I123" t="inlineStr">
        <is>
          <t>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Data Scientist within PNC's Balance Sheet Analytics \&amp; Modeling Retail Banking Data Modeling organization, you will be based in Pittsburgh or Philadelphia, PA, Cleveland, OH, Wilmington, DE, Tysons Corner, VA or Charlotte, NC.
**Preferred Skills \&amp; Experience:**  
* Master’s degree in data science, computer science, engineering, applied mathematics or related field. A PhD degree is preferred but not required.
* At least 5 years of experience with direct data science or machine learning projects in industry, with 2\+ years, specifically in NLP.
* Strong background in Mathematics and Statistics. Demonstrable mathematical inventiveness for novel problem solving (via probability, optimization, information theory, linear algebra)
* Very strong expertise in data collection, cleaning, preprocessing, and transforming data.
* Expert programming skills in Python, Spark, and SQL. Solid software practices (testing, packaging, CI). MLOps familiarity.
* Experience with big data platforms. Experience with cloud\-native model development and deployment preferred.
* Research mindset reads/reproduces papers; designs baselines/ablations; evaluates for robustness, drift, and fairness. Meticulous about data quality, reproducibility, and experiment tracking.
* Experience in transfer learning and in fine tuning open\-source transformer models. Creative and pragmatic: chooses the simplest high‑impact approach (prompting, adapters, retrieval, distillation) before heavy training.
* Practical NLP/LLM experience and awareness of evaluation pitfalls (hallucinations, prompt sensitivity, grounding).
* Strong collaborator within and between cross\-functional teams; excellent verbal and written communication skills; adapts communication to audience: effectively communicate technical concepts and results to both technical and business audiences
* Curious, hardworking, detail\-oriented, and action\-oriented; motivated by complex analytical problems; investigates failure modes; documents learnings clearly.
* Prioritizes pace over perfection and is comfortable in the face of changing circumstances and business priorities
* Excited by the prospect of delivering value through the application of emerging technologies and techniques.
* Previous experience in financial services industry is not required but is considered a plus.
* Customer‑focused and risk‑aware; comfortable aligning work with governance expectations.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Performs analytical tasks on vast amounts of structured and unstructured data to extract actionable business insights.
Participates in the data gathering, data processing and data mining of large and complex datasets.
Develops algorithms using advanced mathematical and statistical techniques like machine learning to predict business outcomes and recommend optimal actions to management.
Runs analytical experiments in a methodical manner to find opportunities for product and process optimization. Assists in the presentation of business insights to management using visualization technologies and data storytelling.
May partner with Data Architects, Data Analysts, Data Engineers and Visualization Experts to develop data\-driven solutions for the business.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Analytical Thinking, Competitive Advantages, Data Analytics, Data Mining, Data Science, Machine Learning (ML)
Competencies Data Architecture, Data Mining, Disruptive Innovation, Information Capture, Machine Learning, Modeling: Data, Process, Events, Objects, Prototyping, Query and Database Access Tools
Work Experience Roles at this level typically require a university / college degree, with 3\+ years of relevant / direct industry experience. Certifications are often desired. In lieu of a degree, a comparable combination of education, job specific certification(s), and experience (including military service) may be considered.
Education Masters
Certifications No Required Certification(s)
Licenses No Required License(s)
Pay Transparency
**Base Salary:** $55,000\.00 – $148,800\.00
Salaries may vary based on geographic location, market data and on individual skills, experience, and education. This role is incentive eligible with the payment based upon company, business and/or individual performance.
Application Window
Generally, this opening is expected to be posted for two business days from 02/10/2026, although it may be longer with business discretion.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9 occasional absence days each year, unless otherwise required by law; between 15 to 25 vacation days each year, depending on career level; and years of service.
To learn more about these and other programs, including benefits for full time and part\-time employees, visit pncthrive.com .
Disability Accommodations Statement
If an accommodation is required to participate in the application process, please contact us via email at AccommodationRequest@pnc.com .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
California Residents
Refer to the California Consumer Privacy Act Privacy Notice to gain understanding of how PNC may use or disclose your personal information in our hiring practices.</t>
        </is>
      </c>
    </row>
    <row r="124">
      <c r="A124" t="inlineStr">
        <is>
          <t>in-ec9117bd57ebe404</t>
        </is>
      </c>
      <c r="B124" t="inlineStr">
        <is>
          <t>Data Scientist</t>
        </is>
      </c>
      <c r="C124" t="inlineStr">
        <is>
          <t>Elder Research Inc</t>
        </is>
      </c>
      <c r="D124" t="inlineStr">
        <is>
          <t>indeed</t>
        </is>
      </c>
      <c r="E124">
        <f>HYPERLINK("https://www.indeed.com/viewjob?jk=ec9117bd57ebe404", "https://www.indeed.com/viewjob?jk=ec9117bd57ebe404")</f>
        <v/>
      </c>
      <c r="F124">
        <f>HYPERLINK("https://elderresearch.hrmdirect.com/employment/view.php?req=3635238&amp;jbsrc=1014&amp;location=dd2af928-48d4-c4df-6209-d282d324438a", "https://elderresearch.hrmdirect.com/employment/view.php?req=3635238&amp;jbsrc=1014&amp;location=dd2af928-48d4-c4df-6209-d282d324438a")</f>
        <v/>
      </c>
      <c r="G124" t="inlineStr">
        <is>
          <t>Lanham, MD, US</t>
        </is>
      </c>
      <c r="H124" s="3" t="n">
        <v>46061</v>
      </c>
      <c r="I124" t="inlineStr">
        <is>
          <t>**Data Scientist**
**General Information**
**Requisition** \#659
**Locations** USA\-MD\-Lanham
**Posting Date** 02/11/2026
**Security Clearance Required** \- Active IRS Public Trust w/ Background Investigation
**Remote Type** Hybrid
**Time Type** Full time
**Description \&amp; Requirements**
Elder Research Inc., a wholly owned subsidiary of MANTECH international Corporation seeks a motivated, career and customer\-oriented **Data Scientist** to join our team in **Lanham, MD.** This is a hybrid position with 1\-2 days onsite and 3\-4 days remote.
**Responsibilities include but are not limited to:**
* The Data Scientist leads the Data Analytics team and is responsible for coordinating and collaborating with other members of the team including data engineers, cyber analysts, software developers and solutions architects.
* Develops and presents analytic findings, initiatives, and schedules to stakeholders. They must possess significant experience in the Insider Threat domain, including familiarity with typical Insider Threat data sources, behavioral analytics, UEBA tools, fraud detection, and risk scoring models.
* Plays a central role in developing and operationalizing advanced analytics and machine learning models to identify subtle or evolving insider threats.
* Builds and trains predictive models to support behavior\-based risk scoring, anomaly detection, and insider threat case prioritization.
* Validates models using operational data and collaborate closely with analysts and engineers to translate behavioral hypotheses into deployable, scalable algorithms that drive proactive threat detection within the Counter Insider Threat environment.
**Minimum Qualifications:**
* Education: Bachelor’s degree in Data Science, Statistics, Computer Science or related field with demonstrated experience.
* Years of experience: 6 – 12
* Experience clustering large amount of user\-generated content and processing data in large\-scale environments using platforms and services like Amazon EC2, Storm, Hadoop, Spark etc.
* Experience performing explanatory data analyses, generate and test working hypotheses, prepare and analyze historical data and identify patterns and correlations.
* Experience implementing User Behavior Analytics governance processes; specifically, the discipline to organize reporting, analytics and manipulate data to support analytical models and filters.
* Ability to articulate as well as support a visionary data analytics approach that will position the IRS to successfully deter, detect, and mitigate near and long\-term cyber threats from a User Behavior Analytics perspective.
* Ability to perform machine learning, natural language, and statistical analysis methods, such as classification, collaborative filtering, association rules, topic modeling, time\-series analysis, regression, statistical inference, and validation methods.
* Capability to analyze big data using sophisticated analytical and algorithmic techniques.
* Ability to communicate the correlation of vast stores of log data creatively and cogently into succinct presentation models for informed and decisive management action to deter, detect, and mitigate User Behavior Analytics risk.
* Ability to assist with client engagements focused on Big Data and Advanced Business Analytics, in diverse domains such as cyber security, fraud analytics, service development, public policy, optimization, risk management.
**Preferred Qualifications:**
* Master's degree in Data Science, Statistics, Computer Science or related field with demonstrated experience.
* Certification(s): CERT InT PgM (CERT Insider Threat Program Management) or CISSP.
**Clearance Requirements:**
* Must have an active IRS Public Trust w/ Background Investigation
**Physical Requirements:**
* The person in this position must be able to remain in a stationary position 50% of the time. Occasionally move about inside the office to access file cabinets, office machinery, or to communicate with co\-workers, management, and customers, via email, phone, and or virtual communication, which may involve delivering presentations.
**About Elder Research, Inc** \- **People Centered. Data Driven**
*Elder Research considers all qualified applicants for employment without regard to disability or veteran status or any other status protected under any federal, state, or local law or regulation.*
*If you need a reasonable accommodation to apply for a position with Elder Research, please email us at careers@elderresearch.com and provide your name and contact information.*</t>
        </is>
      </c>
    </row>
    <row r="125">
      <c r="A125" t="inlineStr">
        <is>
          <t>in-cb510c0f8a4cd0a5</t>
        </is>
      </c>
      <c r="B125" t="inlineStr">
        <is>
          <t>Data Scientist</t>
        </is>
      </c>
      <c r="C125" t="inlineStr">
        <is>
          <t>Heluna Health</t>
        </is>
      </c>
      <c r="D125" t="inlineStr">
        <is>
          <t>indeed</t>
        </is>
      </c>
      <c r="E125">
        <f>HYPERLINK("https://www.indeed.com/viewjob?jk=cb510c0f8a4cd0a5", "https://www.indeed.com/viewjob?jk=cb510c0f8a4cd0a5")</f>
        <v/>
      </c>
      <c r="F125">
        <f>HYPERLINK("https://recruiting2.ultipro.com/PUB1001PUBH/JobBoard/6705aa07-0bcb-4660-ad1b-2fda952becc7/OpportunityDetail?opportunityId=a5a72438-eb26-40d2-96ac-a4d6efac2c6b&amp;postingId=11b0fa0c-c1db-4b91-83aa-c1f62cc2ecf6", "https://recruiting2.ultipro.com/PUB1001PUBH/JobBoard/6705aa07-0bcb-4660-ad1b-2fda952becc7/OpportunityDetail?opportunityId=a5a72438-eb26-40d2-96ac-a4d6efac2c6b&amp;postingId=11b0fa0c-c1db-4b91-83aa-c1f62cc2ecf6")</f>
        <v/>
      </c>
      <c r="G125" t="inlineStr">
        <is>
          <t>Los Angeles, CA, US</t>
        </is>
      </c>
      <c r="H125" s="3" t="n">
        <v>46064</v>
      </c>
      <c r="I125" t="inlineStr">
        <is>
          <t>**Salary Range: $51\.00\-$68\.72 per hour**
**SUMMARY**
The Data Scientist supports California’s Medicaid 1115 JI Reentry Initiative by analyzing, managing, and reporting data related to enrollment, service utilization, and program outcomes for Medi\-Cal–eligible justice\-involved adults transitioning from incarceration to the community. This role is responsible for developing and maintaining datasets, dashboards, and reports to support State reporting requirements, monitor enrollment and continuity of Medi\-Cal coverage, and evaluate program performance and outcomes. Working in collaboration with clinical, operational, and administrative teams, the Data Scientist ensures data accuracy, integrity, and timeliness while providing actionable insights to improve care coordination, compliance, and program effectiveness, with the goal of improving health outcomes and reducing recidivism.
**ESSENTIAL FUNCTIONS**
* Collaborates with subject matter experts, business leaders, and other stakeholders to identify priority business problems and to design, implement, and manage data\-driven solutions across the full business lifecycle.
* Partners with subject matter experts to identify, evaluate, and select appropriate data sources, including internal and external datasets and structured and unstructured data.
* Conducts advanced statistical, analytical, and modeling studies to generate actionable insights that inform and resolve complex business problems.
* Applies industry\-standard, domain\-specific software tools and programming languages to ingest, clean, transform, integrate, analyze, summarize, and visualize data.
* Prepares and communicates data\-driven findings and recommendations to diverse audiences, including technical and non\-technical stakeholders, through written reports, oral presentations, visualizations, and interactive analytical tools.
* Designs, implements, evaluates, and monitors key performance indicators (KPIs) to assess baseline performance and track short\- and long\-term outcomes over the business lifecycle.
* Collaborates with information technology and data engineering teams to support data collection, integration, governance, and retention requirements across diverse and large\-scale datasets, including healthcare and administrative data.
**JOB QUALIFICATIONS**
Ability to follow oral and written instructions. Ability to exercise sound judgement while working in a stressful environment. Able to lift up to a 10\-pound limit and some bending, stooping, or squatting.
**Education/Experience**
* Two (2\) years of experience applying machine learning, predictive analytics, data management, and hypothesis\-driven data analysis to produce actionable recommendations to support data\-driven program, policy, and operational decision\-making.
**Certificates/Licenses/Clearances**
* Successfully clear the LA County Live Scan process.
* Successfully clear the Health Clearance
**Other Skills, Knowledge, and Abilities**
* Willing to work in Correctional Health Facilities
**PHYSICAL DEMANDS**
**Stand:** Frequently
**Walk:** Frequently
**Sit:** Frequently
**Handling / Fingerin**g: Occasionally
**Reach Outward:** Occasionally
**Reach Above Shoulder:** Occasionally
**Climb, Crawl, Kneel, Bend:** Occasionally
**Lift / Carry:** Occasionally \- Up to 10 lbs
**Push/Pull:** Occasionally \- Up to 10 lbs
**See:** Constantly
**Taste/ Smell:** Not Applicable
**Not Applicable \=** Not required for essential functions
**Occasionally \=** (0 \- 2 hrs/day)
**Frequently \=** (2 \- 5 hrs/day)
**Constantly \=** (5\+ hrs/day)
**WORK ENVIRONMENT**
General Office Setting, Indoors Temperature Controlled
**EEOC STATEMENT**
It is the policy of Heluna Health to provide equal employment opportunities to all employees and applicants, without regard to age (40 and over), national origin or ancestry, race, color, religion, sex, gender, sexual orientation, pregnancy or perceived pregnancy, reproductive health decision making, physical or mental disability, medical condition (including cancer or a record or history of cancer), AIDS or HIV, genetic information or characteristics, veteran status or military service.</t>
        </is>
      </c>
    </row>
    <row r="126">
      <c r="A126" t="inlineStr">
        <is>
          <t>in-cab93a7fe830170b</t>
        </is>
      </c>
      <c r="B126" t="inlineStr">
        <is>
          <t>Senior Data Scientist</t>
        </is>
      </c>
      <c r="C126" t="inlineStr">
        <is>
          <t>Tata Consultancy Services (TCS)</t>
        </is>
      </c>
      <c r="D126" t="inlineStr">
        <is>
          <t>indeed</t>
        </is>
      </c>
      <c r="E126">
        <f>HYPERLINK("https://www.indeed.com/viewjob?jk=cab93a7fe830170b", "https://www.indeed.com/viewjob?jk=cab93a7fe830170b")</f>
        <v/>
      </c>
      <c r="F126">
        <f>HYPERLINK("https://ibegin.tcsapps.com/candidate/jobs/shared-job/Mzk2MjYySg==", "https://ibegin.tcsapps.com/candidate/jobs/shared-job/Mzk2MjYySg==")</f>
        <v/>
      </c>
      <c r="G126" t="inlineStr">
        <is>
          <t>Charlotte, NC, US</t>
        </is>
      </c>
      <c r="H126" s="3" t="n">
        <v>46063</v>
      </c>
      <c r="I126" t="inlineStr">
        <is>
          <t>Senior Data Scientist  
Must Have Technical/Functional Skills
* 10\+ years of experience in data science, applied ML, or quantitative analytics.
* Expert\-level proficiency in Python, R, and ML libraries (TensorFlow, PyTorch, Scikit learn, XGBoost, etc.).
* Strong SQL skills and experience with distributed computing platforms (Spark, Databricks, Snowflake).
* Proven success deploying ML models into production.
* Deep understanding of statistics, probability, experimental design, and algorithmic foundations.
* Experience with cloud ecosystems (Azure, AWS, GCP).
Roles \&amp; Responsibilities
 Data Science \&amp; Machine Learning
* Design, build, and deploy advanced machine learning models—including supervised, unsupervised, deep learning, NLP, and optimization techniques.
* Lead full model lifecycle development: problem framing, data discovery, feature engineering, model training, validation, deployment, and monitoring.
* Build scalable ML pipelines (batch and real time) using modern MLOps tools and best practices.
* Apply advanced statistical methods to address forecasting, experimentation, causal inference, segmentation, and predictive analytics needs.
Data Strategy, Architecture \&amp; Governance
* Partner with engineering teams to define data architecture, ingestion strategies, and model operationalization standards.
* Ensure data integrity through rigorous governance, quality checks, validation, and profiling.
* Evaluate and recommend tools, platforms, and frameworks that support AI/ML scalability and innovation.
* Design and launch new data models, datasets, and pipelines to support analytics, reporting, and product use cases.
Business Impact \&amp; Cross Functional Leadership
* Translate complex analytical findings into clear, actionable insights and recommendations for senior leadership.
* Work closely with product, operations, economics, finance, marketing, and informatics teams to define use cases, quantify ROI, and influence strategy.
* Lead cross functional teams through experimentation, solution development, and iterative improvement.
* Produce impactful dashboards, visualizations, and storytelling that clarify trends, financial implications, and insights for executive audiences.
* Coordinate data perspectives across functional groups to ensure consistent interpretation of trends, measurements, and methodologies.
Innovation, Research \&amp; Technical Leadership
* Lead development and deployment of predictive models, NLP systems, and emerging LLM based solutions.
* Serve as a thought leader on advanced analytics, AI, data science frameworks, and proprietary data prod uct development.
* Drive continuous innovation by monitoring emerging technologies, evaluating new methodologies, and integrating them into current and future business solutions.
* Collaborate with IT to design and operationalize MLOps and DevOps pipelines, positioning AI as a scalable product capability.
Preferred Qualifications
* Master’s or PhD in Computer Science, Statistics, Mathematics, Engineering, or related field.
* Hands on experience with MLOps tools (MLflow, Airflow, Kubeflow).
* Strong executive presence with experience presenting to VP and C level audiences and managing escalations.
* Experience with generative AI, LLM implementations, and advanced NLP pipelines.
* Track record of leading large AI/ML programs and mentoring data science teams.
Salary Range\- $100,000\-$115,000 a year
**Location**
Charlotte, NC
**Job Function**
TECHNOLOGY
**Role**
Engineer
**Job Id**
396262
**Desired Skills**
Data Science
**Salary Range**
$100,000\-$115,000 a year
Desired Candidate Profile
**Qualifications** : BACHELOR OF COMPUTER SCIENCE</t>
        </is>
      </c>
    </row>
    <row r="127">
      <c r="A127" t="inlineStr">
        <is>
          <t>in-21b6b3a1eefa92b8</t>
        </is>
      </c>
      <c r="B127" t="inlineStr">
        <is>
          <t>Applied Scientist- Pricing, Dynamic Pricing &amp; Offer Selection</t>
        </is>
      </c>
      <c r="C127" t="inlineStr">
        <is>
          <t>Lyft</t>
        </is>
      </c>
      <c r="D127" t="inlineStr">
        <is>
          <t>indeed</t>
        </is>
      </c>
      <c r="E127">
        <f>HYPERLINK("https://www.indeed.com/viewjob?jk=21b6b3a1eefa92b8", "https://www.indeed.com/viewjob?jk=21b6b3a1eefa92b8")</f>
        <v/>
      </c>
      <c r="F127">
        <f>HYPERLINK("https://grnh.se/7lwan4is2us", "https://grnh.se/7lwan4is2us")</f>
        <v/>
      </c>
      <c r="G127" t="inlineStr">
        <is>
          <t>New York, NY, US</t>
        </is>
      </c>
      <c r="H127" s="3" t="n">
        <v>46063</v>
      </c>
      <c r="I127" t="inlineStr">
        <is>
          <t>At Lyft, our purpose is to serve and connect. We aim to achieve this by cultivating a work environment where all team members belong and have the opportunity to thrive.
The Pricing team is a centerpiece of Lyft's marketplace, determining prices for all rideshare products and supporting new initiatives. Dynamic Pricing \&amp; Offer Selection sits at the heart of Pricing, focused on determining optimal prices and ETAs in real\-time and balancing supply and demand for our two\-sided marketplace to drive both short\-term and long\-term conversion and retention.
As an Applied Scientist specializing in Machine Learning and Operations Research on this team, you will develop mathematical models and launch algorithms that power these key pricing and ETA decisions. You will leverage your skills to build ML and optimization models and productionalize pipelines that can scale to millions of calls per day while solving critical business problems that have a big impact on the marketplace and rider experience. You will get exposure to a diverse set of real\-world problems across optimization, prediction, machine learning, and inference and collaborate closely with teammates and stakeholders across Pricing, from Product Managers to Engineers and Analysts.
We are looking for someone who is excited about working in a fast\-paced, innovative, and impactful environment, and is adept at balancing complexity and efficiency to translate real world business problems into reliable solutions, systems and decision frameworks.
**Responsibilities**
--------------------
* Partner with Data Scientists, Engineers, Product Managers, and Business Partners to frame problems mathematically and within the business context
* Write production quality code. Design, build and deploy production\-grade ML and Optimization models. Able to build custom methods and tooling beyond off\-the\-shelf libraries.
* Perform data analysis and build proof\-of\-concepts to explore and propose ML and Optimization solutions to both new and existing problems.
* Evaluate machine learning systems against business goals. Collaborate with Engineers to implement algorithms in live systems and ensure the robustness of the systems
* Establish metrics and development measurement methodologies to monitor the health of our products, as well as the impacts on user and marketplace outcomes
* Drive collaboration and coordination with cross\-functional teams
**Experience**
--------------
* M.S. or Ph.D. in Machine Learning, Operations Research, Statistics, Computer Science or other quantitative fields
* 2\+ years of algorithms experience in a technology company setting
* Proficiency with Python and working in a production coding environment
* Passion for solving unstructured and non\-standard mathematical problems and building impactful machine learning models leveraging expertise in one or multiple fields.
* Strong understanding of machine learning methodologies, with proven experience with building and evaluating optimization or machine learning models
* Strong verbal and written communication skills with a good track record of collaborating with others to solve a problem
**Benefits:**
-------------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$140,800 \- $176,000,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128">
      <c r="A128" t="inlineStr">
        <is>
          <t>in-a5d6d19112d90bbe</t>
        </is>
      </c>
      <c r="B128" t="inlineStr">
        <is>
          <t>Applied Scientist- Pricing, Dynamic Pricing &amp; Offer Selection</t>
        </is>
      </c>
      <c r="C128" t="inlineStr">
        <is>
          <t>Lyft</t>
        </is>
      </c>
      <c r="D128" t="inlineStr">
        <is>
          <t>indeed</t>
        </is>
      </c>
      <c r="E128">
        <f>HYPERLINK("https://www.indeed.com/viewjob?jk=a5d6d19112d90bbe", "https://www.indeed.com/viewjob?jk=a5d6d19112d90bbe")</f>
        <v/>
      </c>
      <c r="F128">
        <f>HYPERLINK("https://grnh.se/ay6m52zo2us", "https://grnh.se/ay6m52zo2us")</f>
        <v/>
      </c>
      <c r="G128" t="inlineStr">
        <is>
          <t>San Francisco, CA, US</t>
        </is>
      </c>
      <c r="H128" s="3" t="n">
        <v>46063</v>
      </c>
      <c r="I128" t="inlineStr">
        <is>
          <t>At Lyft, our purpose is to serve and connect. We aim to achieve this by cultivating a work environment where all team members belong and have the opportunity to thrive.
The Pricing team is a centerpiece of Lyft's marketplace, determining prices for all rideshare products and supporting new initiatives. Dynamic Pricing \&amp; Offer Selection sits at the heart of Pricing, focused on determining optimal prices and ETAs in real\-time and balancing supply and demand for our two\-sided marketplace to drive both short\-term and long\-term conversion and retention.
As an Applied Scientist specializing in Machine Learning and Operations Research on this team, you will develop mathematical models and launch algorithms that power these key pricing and ETA decisions. You will leverage your skills to build ML and optimization models and productionalize pipelines that can scale to millions of calls per day while solving critical business problems that have a big impact on the marketplace and rider experience. You will get exposure to a diverse set of real\-world problems across optimization, prediction, machine learning, and inference and collaborate closely with teammates and stakeholders across Pricing, from Product Managers to Engineers and Analysts.
We are looking for someone who is excited about working in a fast\-paced, innovative, and impactful environment, and is adept at balancing complexity and efficiency to translate real world business problems into reliable solutions, systems and decision frameworks.
**Responsibilities**
--------------------
* Partner with Data Scientists, Engineers, Product Managers, and Business Partners to frame problems mathematically and within the business context
* Write production quality code. Design, build and deploy production\-grade ML and Optimization models. Able to build custom methods and tooling beyond off\-the\-shelf libraries.
* Perform data analysis and build proof\-of\-concepts to explore and propose ML and Optimization solutions to both new and existing problems.
* Evaluate machine learning systems against business goals. Collaborate with Engineers to implement algorithms in live systems and ensure the robustness of the systems
* Establish metrics and development measurement methodologies to monitor the health of our products, as well as the impacts on user and marketplace outcomes
* Drive collaboration and coordination with cross\-functional teams
**Experience**
--------------
* M.S. or Ph.D. in Machine Learning, Operations Research, Statistics, Computer Science or other quantitative fields
* 2\+ years of algorithms experience in a technology company setting
* Proficiency with Python and working in a production coding environment
* Passion for solving unstructured and non\-standard mathematical problems and building impactful machine learning models leveraging expertise in one or multiple fields.
* Strong understanding of machine learning methodologies, with proven experience with building and evaluating optimization or machine learning models
* Strong verbal and written communication skills with a good track record of collaborating with others to solve a problem
**Benefits:**
-------------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$140,800 \- $176,000,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129">
      <c r="A129" t="inlineStr">
        <is>
          <t>in-d5f5f494b9e21610</t>
        </is>
      </c>
      <c r="B129" t="inlineStr">
        <is>
          <t>Data Scientist (Senior)</t>
        </is>
      </c>
      <c r="C129" t="inlineStr">
        <is>
          <t>CLUBHOUSE</t>
        </is>
      </c>
      <c r="D129" t="inlineStr">
        <is>
          <t>indeed</t>
        </is>
      </c>
      <c r="E129">
        <f>HYPERLINK("https://www.indeed.com/viewjob?jk=d5f5f494b9e21610", "https://www.indeed.com/viewjob?jk=d5f5f494b9e21610")</f>
        <v/>
      </c>
      <c r="F129">
        <f>HYPERLINK("https://jobs.ashbyhq.com/clubhouse/82ed6578-4608-4b01-bab5-95e561d11932?utm_source=L2doJWrx6q", "https://jobs.ashbyhq.com/clubhouse/82ed6578-4608-4b01-bab5-95e561d11932?utm_source=L2doJWrx6q")</f>
        <v/>
      </c>
      <c r="G129" t="inlineStr">
        <is>
          <t>US</t>
        </is>
      </c>
      <c r="H129" s="3" t="n">
        <v>46063</v>
      </c>
      <c r="I129" t="inlineStr">
        <is>
          <t>**About us**
============
 **Alpha is a product studio focused on the intersection of AI and consumer social – backed by a16z and many of the top investors in the world.** Our goal is to create social products that we use, that our friends use, and that have the potential to reach billions of people.
**Clubhouse was our first app, and we’ve been quietly growing that while building our next set of products.** We have years of runway, millions of users, and find ourselves at a very interesting time, where AI is making entirely new things possible with voice.
If you are a talented builder who’s interested in joining us, we’d love to talk.
**The Role**
============
* **You'll be the primary Data Scientist embedded with our product squad** focused on the Clubhouse app team driving host activation and growth. 2026 is a pivotal year: we're laser\-focused on helping hosts succeed, and you'll be at the center of measuring whether that's working.
* **You'll own the data strategy for your squad to support our growth** — identifying which questions matter most, designing experiments, and surfacing opportunities the team hasn't seen yet. Some weeks that's a rigorous A/B test in Eppo; other weeks it's an exploratory analysis that reshapes the roadmap. You'll work closely with our Staff Data Scientist for mentorship and thought partnership, but you'll operate with significant autonomy day\-to\-day.
We're a small team (2 data scientists \+ a part\-time analytics engineer) at a company with millions of users. Your work will be high\-leverage and visible.
* **We are a remote friendly\-company** — with a strong commitment to ensuring people can do great work here and thrive without having to live near an office. This role is open to candidates across the U.S.
**Who you are**
===============
* **You're technically deep.** You have 4\+ years of experience as a data scientist. You're highly fluent in SQL and Python – not just for analysis, but comfortable enough to read a production Django codebase, audit what's being logged, and spec (or make) small changes when needed. You've designed and analyzed experiments, and you know the difference between a well\-run test and a noisy one, and you have exposure to predictive modeling or ML techniques.
* **You think like a product partner, not a service org.** You don't wait for requests – you proactively identify what questions matter, size opportunities, and help product managers figure out where to place bets. You have a healthy skepticism about data and know when something doesn't add up and dive deeper towards the right solution.
* **You communicate with clarity.** You can take a messy analysis and turn it into a clear recommendation. You write well. You build dashboards and visualizations that people actually use to make decisions.
* **You thrive with autonomy.** You'll have mentorship available, but this role requires someone who can drive their own work. You're comfortable with ambiguity and see it as an opportunity, not a blocker.
* **You ship.** You have a bias toward getting things done. You'd rather have a good\-enough answer today than a perfect one in two weeks.
* **You are a team player.** You have a low\-ego, put the team’s success first, and believe that fostering a collaborative and diverse environment is not only integral to the team's well\-being but also crucial for driving innovation and achieving long\-term success.
**What you will do**
====================
* **Own experimentation for your squad.** Design experiments, ensure proper targeting and logging, analyze results, and make clear recommendations. The team you’d be supporting is testing features that help new hosts get past the cold start – things like simplified room creation, feedback at the end of rooms, and discovery improvements. You'll be the person who tells us what's working.
* **Size opportunities and guide roadmap decisions.** Before we build, we need to know if it's worth building. You'll help PMs estimate the potential impact of proposed features – using historical data, cohort analysis, and whatever creative methods get us to a defensible answer.
* **Monitor and investigate your squad’s metrics.** You'll be responsible for metrics like R2 retention (do new hosts come back for a second room?), signups per host, and the sub\-metrics that drive them. When something moves unexpectedly, you'll dig in and figure out why.
* **Ensure data quality and logging coverage.** You'll audit what we're logging, identify gaps before features ship, and make sure the data exists to answer the questions we need to ask. This means reading production code and working with engineers to spec (or implement) logging changes.
* **Grow toward predictive modeling.** As you master the opportunity\-sizing and experimentation work, there's a clear path toward more advanced predictive analysis – identifying which hosts are likely to churn, which features drive long\-term retention, and building models that proactively shape product direction, and developing the strategic judgment to identify which problems are worth solving before anyone asks.
* **You’ll grow, teach, and improve rapidly.** At Clubhouse you’ll be working with an incredible team, who love to learn from and teach each other. You’ll find yourself stretching to new areas, immersed in feedback, and growing your skills on a daily basis.
* **You’ll create something meaningful.** Social products allow people to connect in ways that were never before possible. When the telephone was invented, it suddenly allowed people to speak with others across the world. Thanks to FaceTime, grandparents everywhere can now watch their grandchildren grow up. At Clubhouse, you’ll be figuring out something entirely new for the world—a positive product that brings people’s voices together to help everyone have a life filled with great friendships.
Our company is proud to be an equal opportunity employer. We do not discriminate in hiring or make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characteristics. We are committed to providing reasonable accommodations for qualified individuals with disabilities in our job application procedures. If you need assistance or an accommodation due to a disability, you may contact us at people@clubhouse.com.
Compensation Range: $220K \- $260K</t>
        </is>
      </c>
    </row>
    <row r="130">
      <c r="A130" t="inlineStr">
        <is>
          <t>in-c77c106316a24a5e</t>
        </is>
      </c>
      <c r="B130" t="inlineStr">
        <is>
          <t>Data Scientist</t>
        </is>
      </c>
      <c r="C130" t="inlineStr">
        <is>
          <t>The DarkStar Group</t>
        </is>
      </c>
      <c r="D130" t="inlineStr">
        <is>
          <t>indeed</t>
        </is>
      </c>
      <c r="E130">
        <f>HYPERLINK("https://www.indeed.com/viewjob?jk=c77c106316a24a5e", "https://www.indeed.com/viewjob?jk=c77c106316a24a5e")</f>
        <v/>
      </c>
      <c r="F130">
        <f>HYPERLINK("https://www.grvty.com/careers/listings/data-scientist-japorbn2", "https://www.grvty.com/careers/listings/data-scientist-japorbn2")</f>
        <v/>
      </c>
      <c r="G130" t="inlineStr">
        <is>
          <t>Chantilly, VA, US</t>
        </is>
      </c>
      <c r="H130" s="3" t="n">
        <v>46063</v>
      </c>
      <c r="I130" t="inlineStr">
        <is>
          <t>**What Impact You'll Have**
Our team is charged with taking commercial and academic innovation high\-side, in domains of Artificial Intelligence / Machine Learning (AI / ML) such as Computer Vision (Image and Video Processing), Natural Language Processing (NLP), and Audio Modeling. We also bring the best ideas, tools, and approaches in technology infrastructure (AWS, DevOps, etc.) to the IC. The tech stack used is extremely broad \- anything cutting edge in the commercial market, the open source community, or the academic research community is likely involved: and if something isn't being looked at yet, you can make that happen.
This effort supports ALL missions of the Intelligence Community, including cyber\-related data science missions. A seamless group of contractor and customer personnel work to create innovations that supply customer groups with the data sets, models, algorithms, software, and infrastructure they need to increase their mission success. Management is hands off, gives the team the freedom to explore new approaches, and markets the best ideas and results to all the other IC customers.
This project regularly needs various types of people \- Data Scientists, Data / ETL Engineers, Analytic Software Engineers, Full Stack Developers, UI/UX Developers, and AWS/DevOps experts. We're particularly interested in people with any of the following experience: \- developing AI / ML models (neural networks, tree based algorithms, etc.); \- conducting data analysis in the fields of Computer Vision, NLP, or audio signal processing; \- doing data ingest and ETL into sponsor environments; or \- building data\-analytic software systems.
Work on this program takes place throughout the Reston/Herndon/Chantilly, VA area (we cannot support remote work) and requires a TS/SCI \+ Poly clearance (acceptable to this customer).
**What You'll be Owning**
GRVTY is seeking a Data Scientist with a TS/SCI \+ Poly clearance (applicable to this customer) to join one of our top projects in Chantilly, VA. This role requires applying advanced analytics, statistical modeling, and machine learning techniques to identify, analyze, cyber related data. This role involves working closely with cyber SMEs to build AI/ML models and analytics to solve client's challenges.
**What You Must Have**
* Active TS/SCI with Polygraph Clearance
* 3\-5 years of experience as a Data Scientist, with a STEM degree (field such as computer science, statistics, data analytics, computer engineering, mathematics, etc.).
* Programming knowledge in Python or similar language.
* Experience with both Linux and Windows® Operating Systems.
* Experience working with Cyber data to include examples such as (Shodan, Censys.IO, etc.).
* Demonstrated experience with cleaning, managing, optimizing performance with, and processing large volumes of unstructured text data.</t>
        </is>
      </c>
    </row>
    <row r="131">
      <c r="A131" t="inlineStr">
        <is>
          <t>in-72fee4cb711e3f7b</t>
        </is>
      </c>
      <c r="B131" t="inlineStr">
        <is>
          <t>Data Scientist 3</t>
        </is>
      </c>
      <c r="C131" t="inlineStr">
        <is>
          <t>The DarkStar Group</t>
        </is>
      </c>
      <c r="D131" t="inlineStr">
        <is>
          <t>indeed</t>
        </is>
      </c>
      <c r="E131">
        <f>HYPERLINK("https://www.indeed.com/viewjob?jk=72fee4cb711e3f7b", "https://www.indeed.com/viewjob?jk=72fee4cb711e3f7b")</f>
        <v/>
      </c>
      <c r="F131">
        <f>HYPERLINK("https://www.grvty.com/careers/listings/data-scientist-3-x6avg8uc", "https://www.grvty.com/careers/listings/data-scientist-3-x6avg8uc")</f>
        <v/>
      </c>
      <c r="G131" t="inlineStr">
        <is>
          <t>Colorado Springs, CO, US</t>
        </is>
      </c>
      <c r="H131" s="3" t="n">
        <v>46063</v>
      </c>
      <c r="I131" t="inlineStr">
        <is>
          <t>**What You’ll be Owning:**
* We are seeking a Data Scientist to support our NLP project focused on accurate and automatic tokenization of language data from spoken or written sources. In this role, you will develop automated solutions for annotating language data with parts of speech information and enhance existing models by evaluating their performance against human\-generated annotations for both speech and text. Your contributions will be crucial in advancing our NLP capabilities and ensuring high\-quality language processing.
**What You Must Have** :
* Possess 2 or more of the following skill areas:
	+ Foundations: (Mathematical, Computational, Statistical)
	+ Data Processing: (Data management and curation, data description and visualization, workflow and reproducibility)
	+ Modeling, Inference, and Prediction: (Data modeling and assessment, domain\-specific considerations)
* Devise strategies for extracting meaning and value from large datasets.
* Make and communicate principled conclusions from data using elements of mathematics, statistics, computer science, and application specific knowledge. Through analytic modeling, statistical analysis, programming, and/or another appropriate scientific method, develop and implement qualitative and quantitative methods for characterizing, exploring, and assessing large datasets in various states of organization, cleanliness, and structure that account for the unique features and limitations inherent in Government data holdings.
* Translate practical mission needs and analytic questions related to large datasets into technical requirements and, conversely, assist others with drawing appropriate conclusions from the analysis of such data. Effectively communicate complex technical information to non\-technical audiences. Make informed recommendations regarding competing technical solutions by maintaining awareness of the constantly shifting Government collection, processing, storage and analytic capabilities and limitations.
* Bachelor’s degree with 10 years of relevant experience or Associate's degree with 12 years of relevant experience
	+ Bachelor’s degree must be in Mathematics, Applied Mathematics Statistics, Applied Statistics, Machine learning, Data Science, Operations Research, or Computer Science or a degree in a related field (Computer Information Systems, Engineering), a degree in the physical/hard sciences (e.g. physics, chemistry, biology, astronomy), or other science disciplines with a substantial computational component (i.e. behavioral, social, or life) may be considered if it included a concentration of coursework (5 or more courses) in advanced Mathematics (typically 300 level or higher, such as linear algebra, probability and statistics, machine learning) and/or computer science (e.g. algorithms, programming, data structures, data mining, artificial intelligence). College\-level requirement, or upper\-level math courses designated as elementary or basic do not count. Note: A broader range of degrees will be considered if accompanied by a Certificate in Data Science from an accredited college/university.
* Relevant experience must be in designing/implementing machine learning, data science, advanced analytical algorithms, programming (skill in at least one high\-level language (e.g. Python)), statistical analysis (e.g. variability, sampling error, inference, hypothesis testing, EDA, application of linear models), data management (e.g. data cleaning and transformation), data mining, data modeling and assessment, artificial intelligence, and/or software engineering. Experience in more than one area is strongly preferred.
* **Active TS/SCI w/ poly**</t>
        </is>
      </c>
    </row>
    <row r="132">
      <c r="A132" t="inlineStr">
        <is>
          <t>in-fb75f3eb156fe61b</t>
        </is>
      </c>
      <c r="B132" t="inlineStr">
        <is>
          <t>Data Scientist 2</t>
        </is>
      </c>
      <c r="C132" t="inlineStr">
        <is>
          <t>The DarkStar Group</t>
        </is>
      </c>
      <c r="D132" t="inlineStr">
        <is>
          <t>indeed</t>
        </is>
      </c>
      <c r="E132">
        <f>HYPERLINK("https://www.indeed.com/viewjob?jk=fb75f3eb156fe61b", "https://www.indeed.com/viewjob?jk=fb75f3eb156fe61b")</f>
        <v/>
      </c>
      <c r="F132">
        <f>HYPERLINK("https://www.grvty.com/careers/listings/data-scientist-2-dzx4t4qv", "https://www.grvty.com/careers/listings/data-scientist-2-dzx4t4qv")</f>
        <v/>
      </c>
      <c r="G132" t="inlineStr">
        <is>
          <t>Annapolis Junction, MD, US</t>
        </is>
      </c>
      <c r="H132" s="3" t="n">
        <v>46063</v>
      </c>
      <c r="I132" t="inlineStr">
        <is>
          <t>**What Impact You'll Have**
* We are actively searching for Data Scientists, located in Maryland, to support our team. We have varying levels of Data Scientist roles, depending on years of experience and education.
* The ideal candidate should possess expertise in AI/ML, proficiency in Python, and hands\-on experience with deep learning frameworks such as PyTorch and TensorFlow, with an added advantage if they have cyber knowledge. This role combines artificial intelligence and machine learning skills with a strong foundation in programming and cybersecurity.
**What You'll be Owning**
* Foundations: (Mathematical, Computational, Statistical) 2\. Data Processing: (Data management and curation, data description and visualization, workflow, and reproducibility)
* Modeling, Inference, and Prediction: (Data modeling and assessment, domain\-specific considerations)
* Devise strategies for extracting meaning and value from large datasets.
* Make and communicate principled conclusions from data using elements of mathematics, statistics, computer science, and application specific knowledge.
* Through analytic modeling, statistical analysis, programming, and/or another appropriate scientific method, develop and implement qualitative and quantitative methods for characterizing, exploring, and assessing large datasets in various states of organization, cleanliness, and structure that account for the unique features and limitations inherent in NSA/CSS data holdings.
* Translate practical mission needs and analytic questions related to large datasets into technical requirements and, conversely, assist others with drawing appropriate conclusions from the analysis of such data.
* Effectively communicate complex technical information to non\-technical audiences. Make informed recommendations regarding competing technical solutions by maintaining awareness of the constantly shifting NSA/CSS collection, processing, storage and analytic capabilities and limitations.
**What You Must Have**
* Bachelor’s Degree with 3 years of relevant experience or an Associates degree with 5 years of relevant experience
* Bachelor’s Degree must be in Mathematics, Applied Mathematics Statistics, Applied Statistics, Machine learning, Data Science, Operations Research, or Computer Science or a degree in a related field (Computer Information Systems, Engineering), a degree in the physical/hard sciences (e.g. physics, chemistry, biology, astronomy), or other science disciplines with a substantial computational component (i.e. behavioral, social, or life) may be considered if it included a concentration of coursework (5 or more courses) in advanced Mathematics (typically 300 level or higher, such as linear algebra, probability and statistics, machine learning) and/or computer science (e.g. algorithms, programming, , data structures, data mining, artificial intelligence). College\-level requirements, or upper\-level math courses designated as elementary or basic do not count. Note: A broader range of degrees will be considered if accompanied by a Certificate in Data Science from an accredited college/university.
* Relevant experience must be in designing/implementing machine learning, data science, advanced analytical algorithms, programming (skill in at least one high\-level language (e.g., Python)), statistical analysis (e.g., variability, sampling error, inference, hypothesis testing, EDA, application of linear models), data management (e.g., data cleaning and transformation), data mining, data modeling and assessment, artificial intelligence, and/or software engineering. Experience in more than one area is strongly preferred.
* **Active TS/SCI with a polygraph**</t>
        </is>
      </c>
    </row>
    <row r="133">
      <c r="A133" t="inlineStr">
        <is>
          <t>in-87776caa728b9213</t>
        </is>
      </c>
      <c r="B133" t="inlineStr">
        <is>
          <t>Data Scientist 2</t>
        </is>
      </c>
      <c r="C133" t="inlineStr">
        <is>
          <t>The DarkStar Group</t>
        </is>
      </c>
      <c r="D133" t="inlineStr">
        <is>
          <t>indeed</t>
        </is>
      </c>
      <c r="E133">
        <f>HYPERLINK("https://www.indeed.com/viewjob?jk=87776caa728b9213", "https://www.indeed.com/viewjob?jk=87776caa728b9213")</f>
        <v/>
      </c>
      <c r="F133">
        <f>HYPERLINK("https://www.grvty.com/careers/listings/data-scientist-2-l6n4krey", "https://www.grvty.com/careers/listings/data-scientist-2-l6n4krey")</f>
        <v/>
      </c>
      <c r="G133" t="inlineStr">
        <is>
          <t>Honolulu, HI, US</t>
        </is>
      </c>
      <c r="H133" s="3" t="n">
        <v>46063</v>
      </c>
      <c r="I133" t="inlineStr">
        <is>
          <t>**What You’ll be Owning:**
* We are actively searching for Data Scientists, located in Hawaii, to support our team. We have varying levels of Data Scientist roles, depending on years of experience and education.
* Performs tasks associated with Big Data Platform management, utilizes skills in programming languages, develops prototype algorithms as well as algorithm refinements, and supports data visualization and analytics.
**What You Must Have** :
* Bachelor’s Degree with 3 years of relevant experience OR Associates degree with 5 years of relevant experience
* Bachelor’s Degree must be in Mathematics, Applied Mathematics Statistics, Applied Statistics, Machine learning, Data Science, Operations Research, or Computer Science or a degree in a related field (Computer Information Systems, Engineering), a degree in the physical/hard sciences (e.g. physics, chemistry, biology, astronomy), or other science disciplines with a substantial computational component (i.e. behavioral, social, or life) may be considered if it included a concentration of coursework (5 or more courses) in advanced Mathematics (typically 300 level or higher, such as linear algebra, probability and statistics, machine learning) and/or computer science (e.g. algorithms, programming, , data structures, data mining, artificial intelligence). College\-level requirements, or upper\-level math courses designated as elementary or basic do not count. Note: A broader range of degrees will be considered if accompanied by a Certificate in Data Science from an accredited college/university.
* Relevant experience must be in designing/implementing machine learning, data science, advanced analytical algorithms, programming (skill in at least one high\-level language (e.g., Python)), statistical analysis (e.g., variability, sampling error, inference, hypothesis testing, EDA, application of linear models), data management (e.g., data cleaning and transformation), data mining, data modeling and assessment, artificial intelligence, and/or software engineering. Experience in more than one area is strongly preferred
* **Active TS/SCI w/poly**
**What Would Be Nice to Have:**
* Foundations: (Mathematical, Computational, Statistical) 2\. Data Processing: (Data management and curation, data description and visualization, workflow, and reproducibility)
* Modeling, Inference, and Prediction: (Data modeling and assessment, domain\-specific considerations)
* Devise strategies for extracting meaning and value from large datasets. Make and communicate principled conclusions from data using elements of mathematics,
* Statistics, computer science, and application specific knowledge.
* Through analytic modeling, statistical analysis, programming, and/or another appropriate scientific method, develop and implement qualitative and quantitative methods for characterizing, exploring, and assessing large datasets in various states of organization, cleanliness, and structure that account for the unique features and limitations inherent in data holdings.
* Translate practical mission needs and analytic questions related to large datasets into technical requirements and, conversely, assist others with drawing appropriate conclusions from the analysis of such data. Effectively communicate complex technical information to non\-technical audiences. Make informed recommendations regarding competing technical solutions by maintaining awareness of the constantly shifting, processing, storage and analytic capabilities and limitations.</t>
        </is>
      </c>
    </row>
    <row r="134">
      <c r="A134" t="inlineStr">
        <is>
          <t>in-ffadc7305d6f0143</t>
        </is>
      </c>
      <c r="B134" t="inlineStr">
        <is>
          <t>Data Scientist 4</t>
        </is>
      </c>
      <c r="C134" t="inlineStr">
        <is>
          <t>Lam Research</t>
        </is>
      </c>
      <c r="D134" t="inlineStr">
        <is>
          <t>indeed</t>
        </is>
      </c>
      <c r="E134">
        <f>HYPERLINK("https://www.indeed.com/viewjob?jk=ffadc7305d6f0143", "https://www.indeed.com/viewjob?jk=ffadc7305d6f0143")</f>
        <v/>
      </c>
      <c r="F134">
        <f>HYPERLINK("https://careers.lamresearch.com/careers/job/1099551641206", "https://careers.lamresearch.com/careers/job/1099551641206")</f>
        <v/>
      </c>
      <c r="G134" t="inlineStr">
        <is>
          <t>Tualatin, OR, US</t>
        </is>
      </c>
      <c r="H134" s="3" t="n">
        <v>46063</v>
      </c>
      <c r="I134" t="inlineStr">
        <is>
          <t>Requisition ID**194605**
Date posted**02/11/2026**
Work Location Model**On\-site Flex**
Work Location**Tualatin\-OR**
Work Country**United States****The group you’ll be a part of**
---------------------------------
In the Global Products Group, we are dedicated to excellence in the design and engineering of Lam’s etch and deposition products. We drive innovation to ensure our cutting\-edge solutions are helping to solve the biggest challenges in the semiconductor industry.
**The impact you’ll make**
--------------------------
Lam Research is looking for a Performance Data Scientist in Lam’s Global Quality organization. This is individual will partner with the Field/Factory Business Process Quality Manager, Global Quality peers and leaders across the company to identify through the use a common data to effectively prioritize and resolve the largest quality issues in the company impacting our customers and limiting our ability to meet both short and term business objectives. This role will have a high\-profile presence within the organization and will be able to contribute and make a difference in the quality performance and culture through knowledge, leadership and influence within the company and ultimately delivering required improvement to our valued customers and internal functions.
**What you’ll do**
------------------
+ Improve quality performance consistently from awareness, prioritization and action through the availability of common data.
+ Analyze trends and patterns in quality data that drive required quality improvement.
+ Develop tools, metric measurement and assessment methods for performance management and predictive modeling.
+ Foster growth and utility of Cost of Quality within the company through correlation of I\&amp;W data, ECOGS, identification of causal relationships for quality events and discovery of hidden costs throughout the network.
+ Reliability tracking and improvement and problem resolution.
+ Improve data utilization via AI, automation and improve defect determination leading to real time resolution and speeding systemic action.
+ Create accountability for corporate\-wide quality data analysis and action.
+ Lead and/or advise on multiple projects simultaneously and demonstrate organizational, prioritization, and time management proficiencies.
**Who we’re looking for**
-------------------------
5–7\+ years of continuous improvement experience, including analytical work, project management, and business analysis.  
* Bachelor’s degree in engineering, quality, computer science, or related field; Master’s preferred.
* Semiconductor industry experience.
* Strong expertise in advanced statistics, multivariate modeling, machine learning, and modeling of physical/electro‑mechanical systems.
* Demonstrated success implementing AI solutions that drive efficiency and effectiveness across the organization.
* Ability to define problem statements, set objectives, design analytical approaches, and execute analyses/experiments.
* Proven leadership overseeing large, complex programs from discovery through implementation and support for internal and external stakeholders.
* Skilled at influencing within a fast‑paced, cross‑functional, matrixed environment.
* Excellent communication, collaboration, interpersonal, and influencing skills.
* Proficiency in Python, R, MATLAB, or similar programming environments.
* Knowledge of Lean Six Sigma, statistics, and quality systems.
* Ability to manage multiple projects simultaneously.
* Experience with Quickbase and Power BI development.
* Strong executive‑level presentation skills.
* Outstanding people skills and effectiveness in matrix organizations.
**Preferred qualifications**
----------------------------
+ Demonstrated success in using structured problem\-solving methodologies and quality tools to solve complex problems.
+ Command over quality tools such as Pareto FMEA /Fault tree diagram/Fish bone diagram etc.
+ Willingness to adapt best practices via benchmarking.
+ Knowledge of programming environments such as Python, R, Matlab, or equivalent.
+ Six Sigma certification (Green Belt or higher).
+ Advanced expertise in structured problem\-solving methodologies (PDCA, DMAIC, 8D) and quality tools.
+ Experience in semiconductor capital equipment industry.
+ Experience in Statistical Process Control (SPC), Gage R\&amp;R, Pareto Charts etc. using tools like JMP, Minitab.
**Our commitment**
------------------
We believe it is important for every person to feel valued, included, and empowered to achieve their full potential. By bringing unique individuals and viewpoints together, we achieve extraordinary results.
Lam Research ("Lam" or the "Company") is an equal opportunity employer. Lam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local laws. It is the Company's intention to comply with all applicable laws and regulations. Company policy prohibits unlawful discrimination against applicants or employees.
*Lam offers a variety of work location models based on the needs of each role. Our hybrid roles combine the benefits of on\-site collaboration with colleagues and the flexibility to work remotely and fall into two categories – On\-site Flex and Virtual Flex. ‘On\-site Flex’ you’ll work 3\+ days per week on\-site at a Lam or customer/supplier location, with the opportunity to work remotely for the balance of the week. ‘Virtual Flex’ you’ll work 1\-2 days per week on\-site at a Lam or customer/supplier location, and remotely the rest of the time.*
*\#LI\-RSC1*
**Our Perks and Benefits**
At Lam, our people make amazing things possible. That’s why we invest in you throughout the phases of your life with a comprehensive set of outstanding benefits.</t>
        </is>
      </c>
    </row>
    <row r="135">
      <c r="A135" t="inlineStr">
        <is>
          <t>in-de759c0820cbd0e3</t>
        </is>
      </c>
      <c r="B135" t="inlineStr">
        <is>
          <t>GenAI Data Scientist, Commercial, Supply Chain &amp; Trading</t>
        </is>
      </c>
      <c r="C135" t="inlineStr">
        <is>
          <t>ExxonMobil</t>
        </is>
      </c>
      <c r="D135" t="inlineStr">
        <is>
          <t>indeed</t>
        </is>
      </c>
      <c r="E135">
        <f>HYPERLINK("https://www.indeed.com/viewjob?jk=de759c0820cbd0e3", "https://www.indeed.com/viewjob?jk=de759c0820cbd0e3")</f>
        <v/>
      </c>
      <c r="F135">
        <f>HYPERLINK("https://jobs.exxonmobil.com/ExxonMobil/job/Houston-GenAI-Data-Scientist%2C-Commercial%2C-Supply-Chain-&amp;-Trading-TX-77001/1364059600/?feedId=204100&amp;utm_source=Indeed&amp;utm_campaign=XOM_Indeed", "https://jobs.exxonmobil.com/ExxonMobil/job/Houston-GenAI-Data-Scientist%2C-Commercial%2C-Supply-Chain-&amp;-Trading-TX-77001/1364059600/?feedId=204100&amp;utm_source=Indeed&amp;utm_campaign=XOM_Indeed")</f>
        <v/>
      </c>
      <c r="G135" t="inlineStr">
        <is>
          <t>Houston, TX, US</t>
        </is>
      </c>
      <c r="H135" s="3" t="n">
        <v>46063</v>
      </c>
      <c r="I135" t="inlineStr">
        <is>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canwork **together**.
**About Houston**
-----------------
ExxonMobil's state\-of\-the\-art campus north of Houston serves as home to its Upstream, Product Solutions and Low Carbon Solutions businesses and their associated service groups. The facility opened in 2014 and accommodates more than 10,000 employees and visitors.
By bringing many global functional groups together, the campus provides employees with the tools and capabilities needed today, and in the future, to achieve business objectives and accelerate the discovery of new resources, technologies and products. It was designed to foster improved collaboration, creativity and innovation and enhance the company’s ability to attract, develop and retain the top talent in the industry.
The campus is located in Spring, Texas, on 385 wooded acres immediately to the west of Interstate Highway 45 (I\-45\), at the intersection of I\-45 and the Hardy Toll Road, approximately 25 miles from the cultural vibrancy of downtown Houston.
The campus was constructed to the highest standards of energy efficiency and environmental stewardship. Its design incorporates extensive research into best practices in building and workplace design through extensive benchmarking of the world’s top academic, research, and corporate facilities.
Learn more about what we do in Houston **here****.**
**What role you will play in our team**
---------------------------------------
* Work on complex AI use cases from ideation and discovery through deployment and sustainment as part of integrated, enterprise\-level teams.
* Collaborate with ExxonMobil subject matter experts to strengthen organizational capabilities in AI/ML.
* Support business teams in making impactful, data\-driven decisions.
**What you will do**
--------------------
* Lead the scoping, design, development, and deployment of AI/ML solutions, primarily focused on Generative AI applications for commercial, trading and supply chain operations.
* Collaborate with data and machine learning engineers to operationalize models and ensure seamless integration with existing digital infrastructure.
* Build and deploy AI system components (such as chatbots, agents, and other workflow automation components) capable of interacting with diverse data sources and providing insightful information to users.
* Develop and implement solutions involving orchestration of multiple AI agents to achieve complex tasks.
* Apply domain knowledge and physical principles to improve model accuracy and reliability.
* Contribute to the growth of internal AI capabilities by sharing expertise and developing best practices.
* Provide technical mentorship and guidance to colleagues across teams.
* Work closely with team leads and subject matter experts to align on project priorities, strategy, and solution design.
* Optimize end to end AI solutions to enhance performance, usability, and cost
* Work closely with business to understand business problem and translate that into mathematical framework. Also, work with business to help enhance business adaptability for the solution.
* Validate AI system responses, including troubleshooting prompt engineering, agentic workflows and other aspects of a GenAI system.
* Develop process and automation for accelerating validation of AI systems, while ensuring the proper degree of accuracy is maintained.
**About You**
-------------
 **Skills / Qualifications**
* Advanced degree (Master’s or PhD) in Data Science, Computer Science, Engineering, or a related field
* 5\+ years of professional experience in developing and deploying AI/ML solutions, with a strong emphasis on generative AI technologies and a solid background in applying these methods to physical systems and engineering workflows.
* Deep expertise in natural language processing (NLP), large language models (LLMs), and building agentic workflows for Generative AI with the ability to understand underlying mathematics and develop novel algorithms.
* Solid understanding of knowledge graphs, ontologies, and semantic technologies.
* Solid foundation and experiences in AI/ML on data processing, probability and statistics, EDA, feature engineering, modeling strategy, model development, and explainable AI.
* Proven track record of successfully developing and deploying multiple end\-to\-end Generative AI solutions, notably multi\-agent systems, in business environments.
* Proficient in Python and widely used ML frameworks such as TensorFlow, PyTorch, and Scikit\-learn.
* Proficient in Generative AI frameworks such as Langchain, Promptflow, or Copilot Studio
* Proven ability to uncover meaningful insights from complex datasets.
* Strong drive toward hands\-on testing of hypotheses and rapid validation of assumptions through data.
* Strong communication, collaboration, and problem\-solving skills..
 **Preferred Knowledge/Skills**
* Experience in the energy industry, with a focus on commercial, supply chain, oil \&amp; gas trading or similar business
* Experience in implementing hybrid search systems in conjunction with Large Language Models, e.g. Retrieval Augmented Generation (RAG) solutions.
* Proficient in using the Databricks platform, Azure Open AI, Azure managed NLP services and OCR technologies.
* Demonstrated ability to thrive in a collaborative Agile product team setting.
**Your Benefits**
-----------------
**An ExxonMobil career is one designed to last. Our commitment to you runs deep: our employees grow personally and professionally, with benefits built on our core categories of health, security, finance, and life.**
 **We offer you:**
* Pension Plan: Enrollment is automatic and at no cost to you. The basic benefit is a monthly annuity to be paid to you in retirement for the rest of your life.
* Savings Plan: You can contribute between 6% and 20% of your pay and are encouraged to enroll right away. If you contribute at least 6% to your savings plan, the Company will contribute a 7% match.
* Workplace Flexibility: We have several programs such as “Flex your Day”, providing ad\-hoc flexibility around when and where you work, as well as longer\-term programs such as leaves of absence and part\-time work.
* Comprehensive medical, dental, and vision plans.
* Culture of Health: Programs and resources to support your wellbeing.
* Employee Health Advisory Program: Provides confidential professional counseling for you and your family, including tools and resources promoting mental health and resiliency at no additional cost to you.
* Disability Plan: Income replacement for when you cannot work due to illness or injury occurring on or off the job. Enrollment is automatic and at no cost to you.
More information on our Company’s benefits can be found at www.exxonmobilfamily.com.
Please note benefits may be changed from time to time without notice, subject to applicable law.
**Stay connected with us**
--------------------------
Learn more at our **website**  
Follow us on **LinkedIN** and **Instagram**  
Like us on **Facebook**  
Subscribe our channel at **YouTube**
**Employee Equal Opportunity**
------------------------------
 **ExxonMobil is an Equal Opportunity Employer. All qualified applicants will receive consideration for employment without regard to race, color, religion, sex, age, sexual orientation, gender identity, national origin, citizenship status, protected veteran status, genetic information, or physical or mental disability.**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
**Job ID: 81336**</t>
        </is>
      </c>
    </row>
    <row r="136">
      <c r="A136" t="inlineStr">
        <is>
          <t>in-0df87c64c38ff545</t>
        </is>
      </c>
      <c r="B136" t="inlineStr">
        <is>
          <t>Lead Data Scientist</t>
        </is>
      </c>
      <c r="C136" t="inlineStr">
        <is>
          <t>Tiger Analytics</t>
        </is>
      </c>
      <c r="D136" t="inlineStr">
        <is>
          <t>indeed</t>
        </is>
      </c>
      <c r="E136">
        <f>HYPERLINK("https://www.indeed.com/viewjob?jk=0df87c64c38ff545", "https://www.indeed.com/viewjob?jk=0df87c64c38ff545")</f>
        <v/>
      </c>
      <c r="F136">
        <f>HYPERLINK("https://apply.workable.com/j/25F05A2726", "https://apply.workable.com/j/25F05A2726")</f>
        <v/>
      </c>
      <c r="G136" t="inlineStr">
        <is>
          <t>Chicago, IL, US</t>
        </is>
      </c>
      <c r="H136" s="3" t="n">
        <v>46063</v>
      </c>
      <c r="I136" t="inlineStr">
        <is>
          <t>Tiger Analytics is looking for experienced Data Scientists to join our fast\-growing advanced analytics consulting firm. Our consultants bring deep expertise in Data Science, Machine Learning and AI. We are the trusted analytics partner for multiple Fortune 500 companies, enabling them to generate business value from data. Our business value and leadership has been recognized by various market research firms, including Forrester and Gartner. We are looking for top\-notch talent as we continue to build the best global analytics consulting team in the world.
We are seeking a highly skilled and experienced Lead Data Scientist with strong expertise in forecasting models, including ARIMA, time series modeling, and PMPM forecasting, preferably within the healthcare domain. The ideal candidate will have a proven track record of designing, developing, and deploying scalable forecasting solutions, while leading projects and mentoring teams. This role requires deep technical expertise, hands\-on coding experience, and the ability to collaborate closely with clients and stakeholders to translate business needs into robust analytical solutions.
**Key Responsibilities**
* Design, develop, and deploy advanced forecasting models (ARIMA, SARIMA, Prophet, and other time series techniques) for healthcare\-related use cases including PMPM forecasting.
* Analyze structured and large\-scale healthcare datasets (claims, membership, utilization, cost data) to generate actionable insights.
* Build scalable, production\-ready ML pipelines and automate forecasting workflows.
* Perform model validation, back\-testing, hyperparameter tuning, and performance monitoring to ensure accuracy and stability.
* Translate business problems into data science solutions and clearly communicate findings to clients and stakeholders.
* Lead end\-to\-end project execution, mentor junior data scientists, and ensure best practices in modeling and MLOps.
* Collaborate cross\-functionally with engineering, product, and business teams to drive data\-driven decision\-making.
* Collaborate, coach, and learn with a growing team of experienced Data Scientists.
**Requirements**
* 6–8 years of experience in Data Science, Machine Learning, or Advanced Analytics.
* Strong expertise in time series forecasting techniques such as ARIMA/SARIMA, exponential smoothing, and other statistical models.
* Hands\-on experience in PMPM forecasting and healthcare analytics (claims, cost, utilization data preferred).
* Proficiency in Python (pandas, numpy, stats models, scikit\-learn) and SQL for data analysis and modeling.
* Experience in deploying models to production and building automated data pipelines (MLOps exposure preferred).
* Strong understanding of statistical concepts, model evaluation metrics (MAPE, RMSE, etc.), and model interpretability.
* Excellent communication skills with experience engaging business stakeholders or clients.
* Proficiency in building data pipelines using tools such as Airflow, Databricks, Spark, or similar frameworks.
* Experience working in agile environments with cross\-functional collaboration.
**Benefits**
This position offers an excellent opportunity for significant career development in a fast\-growing and challenging entrepreneurial environment with a high degree of individual responsibility.
***Tiger Analytics provides equal employment opportunities to applicants and employees without regard to race, color, religion, age, sex, sexual orientation, gender identity/expression, pregnancy, national origin, ancestry, marital status, protected veteran status, disability status, or any other basis as protected by federal, state, or local law.***</t>
        </is>
      </c>
    </row>
    <row r="137">
      <c r="A137" t="inlineStr">
        <is>
          <t>in-c32c4de70027c324</t>
        </is>
      </c>
      <c r="B137" t="inlineStr">
        <is>
          <t>Data Scientist Manager</t>
        </is>
      </c>
      <c r="C137" t="inlineStr">
        <is>
          <t>Ameriprise Financial</t>
        </is>
      </c>
      <c r="D137" t="inlineStr">
        <is>
          <t>indeed</t>
        </is>
      </c>
      <c r="E137">
        <f>HYPERLINK("https://www.indeed.com/viewjob?jk=c32c4de70027c324", "https://www.indeed.com/viewjob?jk=c32c4de70027c324")</f>
        <v/>
      </c>
      <c r="F137">
        <f>HYPERLINK("https://ameriprise.wd5.myworkdayjobs.com/Ameriprise/job/Boston-Massachusetts/Data-Scientist-Manager_R26_0421-1", "https://ameriprise.wd5.myworkdayjobs.com/Ameriprise/job/Boston-Massachusetts/Data-Scientist-Manager_R26_0421-1")</f>
        <v/>
      </c>
      <c r="G137" t="inlineStr">
        <is>
          <t>Minneapolis, MN, US</t>
        </is>
      </c>
      <c r="H137" s="3" t="n">
        <v>46057</v>
      </c>
      <c r="I137" t="inlineStr">
        <is>
          <t>Ameriprise Financial is looking to add a Data Scientist Manager to the team! The individual in this role will play an integral role in supporting modeling and data analysis, campaign execution, and database needs for assigned line of business. Manage the creation and/or usage of large data sets, providing information\-based decision logic and predictive modeling solutions, and translates modeling/analytic output into understandable/actionable business knowledge, insight and applications. Demonstrate strong technical/problem solving skills. Support multiple projects collaboratively.**Key Responsibilities**
* Identify, develop and implement complex analytical solutions leveraging tools such as predictive modeling, advanced machine learning techniques, simulation, optimization solutions, etc., with respect to credit card, lending and cash products for marketing and risk management purposes.
* Manage dataset creation including data extraction, derived and dependent variable creation, and data quality control processes for analytics, model development, and validation. May monitor execution of analytical solutions, including criteria specification, data sourcing, segmentation, analytics, selection, delivery, and back\-end data capture results.
* Consult and coordinate campaign execution for direct to client campaigns. Identify and execute targeting and optimization opportunities.
* Under direction of the Sr. Leader, collaborate with business leaders and/or analysts to provide analytical thought leadership and support for business problems. Identify and interpret business needs, define high\-level business requirements, strategy, technical risks, and scope. Develop, document, and communicate business\-driven analytic solutions and capabilities, translating modeling and analytic output into understandable and actionable business knowledge.
* Embed analytic programs and tools. Ensure continued accuracy, relevancy, and effectiveness and track process improvements once deployed.
* Ensure adherence to data and model governance standards that are set and enforced by industry standards and/or enterprise and business unit data governance polices and leaders.
* Contribute to ongoing expansion of data science expertise and credentials by keeping up with industry best practices, developing new skills, and knowledge sharing. Work cross functionally to develop standardized/automated solutions and adopt best practices.
 **Required Qualifications**
* Master's degree or equivalent Quantitative Discipline (i.e. Finance, Statistics, Computer Science, Actuarial Science, Economics, Engineering, etc.)
* 3 \- 5 years relevant experience required
* Knowledge of advanced statistical concepts and techniques; skilled in linear algebra.
* Experience conducting hands\-on analytics projects using advanced statistical methods such as generalized regression models, Bayesian methods, random forest, gradient boosting, neural networks, machine learning, clustering, or similar methodologies.
* Experience with statistical programming (SAS, R, Python, SQL etc.) \&amp; data visualization software in a data\-rich environment.
* Proven ability to present/communicate complex, technical materials in a way that facilitates decision making and drives outcomes; ability to communicate to less technical partners.
* Proven ability to apply both strategic and analytic techniques to provide business solutions and recommendations.
* Ability to work effectively in a collaborative team environment.
 **Preferred Qualifications**
* Ph.D
* 3\+ years of experience in statistical modeling and the collating processes necessary to create modeling data.
* Experience with big data technologies which may include Hadoop, Cloud Computing Environments (including container creation, management \&amp; deployment), Spark, Dataiku, Amazon SageMaker etc..
* Self\-starter with the ability to work effectively in a matrix environment while (at times) working autonomously.
* Proven flexibility and adaptability in effectively driving results in an environment of changing priorities.
* Knowledge of credit risk analytics.
* Background in banking \- lending, credit card and mortgage.
* Background in financial services.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$96,300 \- $169,200/year.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Data**Line of Business**
CSIRM Information Management</t>
        </is>
      </c>
    </row>
    <row r="138">
      <c r="A138" t="inlineStr">
        <is>
          <t>in-da745f387f1ca7a6</t>
        </is>
      </c>
      <c r="B138" t="inlineStr">
        <is>
          <t>Data Scientist Manager</t>
        </is>
      </c>
      <c r="C138" t="inlineStr">
        <is>
          <t>Ameriprise Financial</t>
        </is>
      </c>
      <c r="D138" t="inlineStr">
        <is>
          <t>indeed</t>
        </is>
      </c>
      <c r="E138">
        <f>HYPERLINK("https://www.indeed.com/viewjob?jk=da745f387f1ca7a6", "https://www.indeed.com/viewjob?jk=da745f387f1ca7a6")</f>
        <v/>
      </c>
      <c r="F138">
        <f>HYPERLINK("https://ameriprise.wd5.myworkdayjobs.com/Ameriprise/job/Boston-Massachusetts/Data-Scientist-Manager_R26_0421-1", "https://ameriprise.wd5.myworkdayjobs.com/Ameriprise/job/Boston-Massachusetts/Data-Scientist-Manager_R26_0421-1")</f>
        <v/>
      </c>
      <c r="G138" t="inlineStr">
        <is>
          <t>Charlotte, NC, US</t>
        </is>
      </c>
      <c r="H138" s="3" t="n">
        <v>46057</v>
      </c>
      <c r="I138" t="inlineStr">
        <is>
          <t>Ameriprise Financial is looking to add a Data Scientist Manager to the team! The individual in this role will play an integral role in supporting modeling and data analysis, campaign execution, and database needs for assigned line of business. Manage the creation and/or usage of large data sets, providing information\-based decision logic and predictive modeling solutions, and translates modeling/analytic output into understandable/actionable business knowledge, insight and applications. Demonstrate strong technical/problem solving skills. Support multiple projects collaboratively.**Key Responsibilities**
* Identify, develop and implement complex analytical solutions leveraging tools such as predictive modeling, advanced machine learning techniques, simulation, optimization solutions, etc., with respect to credit card, lending and cash products for marketing and risk management purposes.
* Manage dataset creation including data extraction, derived and dependent variable creation, and data quality control processes for analytics, model development, and validation. May monitor execution of analytical solutions, including criteria specification, data sourcing, segmentation, analytics, selection, delivery, and back\-end data capture results.
* Consult and coordinate campaign execution for direct to client campaigns. Identify and execute targeting and optimization opportunities.
* Under direction of the Sr. Leader, collaborate with business leaders and/or analysts to provide analytical thought leadership and support for business problems. Identify and interpret business needs, define high\-level business requirements, strategy, technical risks, and scope. Develop, document, and communicate business\-driven analytic solutions and capabilities, translating modeling and analytic output into understandable and actionable business knowledge.
* Embed analytic programs and tools. Ensure continued accuracy, relevancy, and effectiveness and track process improvements once deployed.
* Ensure adherence to data and model governance standards that are set and enforced by industry standards and/or enterprise and business unit data governance polices and leaders.
* Contribute to ongoing expansion of data science expertise and credentials by keeping up with industry best practices, developing new skills, and knowledge sharing. Work cross functionally to develop standardized/automated solutions and adopt best practices.
 **Required Qualifications**
* Master's degree or equivalent Quantitative Discipline (i.e. Finance, Statistics, Computer Science, Actuarial Science, Economics, Engineering, etc.)
* 3 \- 5 years relevant experience required
* Knowledge of advanced statistical concepts and techniques; skilled in linear algebra.
* Experience conducting hands\-on analytics projects using advanced statistical methods such as generalized regression models, Bayesian methods, random forest, gradient boosting, neural networks, machine learning, clustering, or similar methodologies.
* Experience with statistical programming (SAS, R, Python, SQL etc.) \&amp; data visualization software in a data\-rich environment.
* Proven ability to present/communicate complex, technical materials in a way that facilitates decision making and drives outcomes; ability to communicate to less technical partners.
* Proven ability to apply both strategic and analytic techniques to provide business solutions and recommendations.
* Ability to work effectively in a collaborative team environment.
 **Preferred Qualifications**
* Ph.D
* 3\+ years of experience in statistical modeling and the collating processes necessary to create modeling data.
* Experience with big data technologies which may include Hadoop, Cloud Computing Environments (including container creation, management \&amp; deployment), Spark, Dataiku, Amazon SageMaker etc..
* Self\-starter with the ability to work effectively in a matrix environment while (at times) working autonomously.
* Proven flexibility and adaptability in effectively driving results in an environment of changing priorities.
* Knowledge of credit risk analytics.
* Background in banking \- lending, credit card and mortgage.
* Background in financial services.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$96,300 \- $169,200/year.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Data**Line of Business**
CSIRM Information Management</t>
        </is>
      </c>
    </row>
    <row r="139">
      <c r="A139" t="inlineStr">
        <is>
          <t>in-ead7f1ac1b23fb63</t>
        </is>
      </c>
      <c r="B139" t="inlineStr">
        <is>
          <t>Applied Scientist, Safety ML</t>
        </is>
      </c>
      <c r="C139" t="inlineStr">
        <is>
          <t>Amazon.com</t>
        </is>
      </c>
      <c r="D139" t="inlineStr">
        <is>
          <t>indeed</t>
        </is>
      </c>
      <c r="E139">
        <f>HYPERLINK("https://www.indeed.com/viewjob?jk=ead7f1ac1b23fb63", "https://www.indeed.com/viewjob?jk=ead7f1ac1b23fb63")</f>
        <v/>
      </c>
      <c r="F139">
        <f>HYPERLINK("https://www.amazon.jobs/jobs/3161224/applied-scientist-safety-ml?cmpid=DA_INAD200785B", "https://www.amazon.jobs/jobs/3161224/applied-scientist-safety-ml?cmpid=DA_INAD200785B")</f>
        <v/>
      </c>
      <c r="G139" t="inlineStr">
        <is>
          <t>San Francisco, CA, US</t>
        </is>
      </c>
      <c r="H139" s="3" t="n">
        <v>46037</v>
      </c>
      <c r="I13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40">
      <c r="A140" t="inlineStr">
        <is>
          <t>in-81de1b6149d8b5f1</t>
        </is>
      </c>
      <c r="B140" t="inlineStr">
        <is>
          <t>Applied Scientist, Safety ML</t>
        </is>
      </c>
      <c r="C140" t="inlineStr">
        <is>
          <t>Amazon.com</t>
        </is>
      </c>
      <c r="D140" t="inlineStr">
        <is>
          <t>indeed</t>
        </is>
      </c>
      <c r="E140">
        <f>HYPERLINK("https://www.indeed.com/viewjob?jk=81de1b6149d8b5f1", "https://www.indeed.com/viewjob?jk=81de1b6149d8b5f1")</f>
        <v/>
      </c>
      <c r="F140">
        <f>HYPERLINK("https://www.amazon.jobs/jobs/3161224/applied-scientist-safety-ml?cmpid=DA_INAD200785B", "https://www.amazon.jobs/jobs/3161224/applied-scientist-safety-ml?cmpid=DA_INAD200785B")</f>
        <v/>
      </c>
      <c r="G140" t="inlineStr">
        <is>
          <t>Seattle, WA, US</t>
        </is>
      </c>
      <c r="H140" s="3" t="n">
        <v>46037</v>
      </c>
      <c r="I14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41">
      <c r="A141" t="inlineStr">
        <is>
          <t>in-eb0af884d258d69b</t>
        </is>
      </c>
      <c r="B141" t="inlineStr">
        <is>
          <t>Applied Scientist, LLM Code Agents, Kiro Science</t>
        </is>
      </c>
      <c r="C141" t="inlineStr">
        <is>
          <t>Amazon.com</t>
        </is>
      </c>
      <c r="D141" t="inlineStr">
        <is>
          <t>indeed</t>
        </is>
      </c>
      <c r="E141">
        <f>HYPERLINK("https://www.indeed.com/viewjob?jk=eb0af884d258d69b", "https://www.indeed.com/viewjob?jk=eb0af884d258d69b")</f>
        <v/>
      </c>
      <c r="F141">
        <f>HYPERLINK("https://www.amazon.jobs/jobs/3161363/applied-scientist-llm-code-agents-kiro-science?cmpid=DA_INAD200785B", "https://www.amazon.jobs/jobs/3161363/applied-scientist-llm-code-agents-kiro-science?cmpid=DA_INAD200785B")</f>
        <v/>
      </c>
      <c r="G141" t="inlineStr">
        <is>
          <t>Santa Clara, CA, US</t>
        </is>
      </c>
      <c r="H141" s="3" t="n">
        <v>46035</v>
      </c>
      <c r="I141"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42">
      <c r="A142" t="inlineStr">
        <is>
          <t>in-960542aee528c408</t>
        </is>
      </c>
      <c r="B142" t="inlineStr">
        <is>
          <t>Applied Scientist, LLM Code Agents, Kiro Science</t>
        </is>
      </c>
      <c r="C142" t="inlineStr">
        <is>
          <t>Amazon.com</t>
        </is>
      </c>
      <c r="D142" t="inlineStr">
        <is>
          <t>indeed</t>
        </is>
      </c>
      <c r="E142">
        <f>HYPERLINK("https://www.indeed.com/viewjob?jk=960542aee528c408", "https://www.indeed.com/viewjob?jk=960542aee528c408")</f>
        <v/>
      </c>
      <c r="F142">
        <f>HYPERLINK("https://www.amazon.jobs/jobs/3161363/applied-scientist-llm-code-agents-kiro-science?cmpid=DA_INAD200785B", "https://www.amazon.jobs/jobs/3161363/applied-scientist-llm-code-agents-kiro-science?cmpid=DA_INAD200785B")</f>
        <v/>
      </c>
      <c r="G142" t="inlineStr">
        <is>
          <t>Seattle, WA, US</t>
        </is>
      </c>
      <c r="H142" s="3" t="n">
        <v>46035</v>
      </c>
      <c r="I142"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43">
      <c r="A143" t="inlineStr">
        <is>
          <t>in-33eda990dace5f7c</t>
        </is>
      </c>
      <c r="B143" t="inlineStr">
        <is>
          <t>Senior Data Scientist, Amazon Stores Finance Science, Amazon Stores Finance Science</t>
        </is>
      </c>
      <c r="C143" t="inlineStr">
        <is>
          <t>Amazon.com</t>
        </is>
      </c>
      <c r="D143" t="inlineStr">
        <is>
          <t>indeed</t>
        </is>
      </c>
      <c r="E143">
        <f>HYPERLINK("https://www.indeed.com/viewjob?jk=33eda990dace5f7c", "https://www.indeed.com/viewjob?jk=33eda990dace5f7c")</f>
        <v/>
      </c>
      <c r="F143">
        <f>HYPERLINK("https://www.amazon.jobs/jobs/3161846/senior-data-scientist-amazon-stores-finance-science-amazon-stores-finance-science?cmpid=DA_INAD200785B", "https://www.amazon.jobs/jobs/3161846/senior-data-scientist-amazon-stores-finance-science-amazon-stores-finance-science?cmpid=DA_INAD200785B")</f>
        <v/>
      </c>
      <c r="G143" t="inlineStr">
        <is>
          <t>Bellevue, WA, US</t>
        </is>
      </c>
      <c r="H143" s="3" t="n">
        <v>46034</v>
      </c>
      <c r="I143"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144">
      <c r="A144" t="inlineStr">
        <is>
          <t>in-fcb7bbe3e7893015</t>
        </is>
      </c>
      <c r="B144" t="inlineStr">
        <is>
          <t>Senior Data Scientist, Amazon Stores Finance Science, Amazon Stores Finance Science</t>
        </is>
      </c>
      <c r="C144" t="inlineStr">
        <is>
          <t>Amazon.com</t>
        </is>
      </c>
      <c r="D144" t="inlineStr">
        <is>
          <t>indeed</t>
        </is>
      </c>
      <c r="E144">
        <f>HYPERLINK("https://www.indeed.com/viewjob?jk=fcb7bbe3e7893015", "https://www.indeed.com/viewjob?jk=fcb7bbe3e7893015")</f>
        <v/>
      </c>
      <c r="F144">
        <f>HYPERLINK("https://www.amazon.jobs/jobs/3161846/senior-data-scientist-amazon-stores-finance-science-amazon-stores-finance-science?cmpid=DA_INAD200785B", "https://www.amazon.jobs/jobs/3161846/senior-data-scientist-amazon-stores-finance-science-amazon-stores-finance-science?cmpid=DA_INAD200785B")</f>
        <v/>
      </c>
      <c r="G144" t="inlineStr">
        <is>
          <t>Seattle, WA, US</t>
        </is>
      </c>
      <c r="H144" s="3" t="n">
        <v>46034</v>
      </c>
      <c r="I144"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145">
      <c r="A145" t="inlineStr">
        <is>
          <t>in-849bfa5a2ed32361</t>
        </is>
      </c>
      <c r="B145" t="inlineStr">
        <is>
          <t>Senior Data Scientist, Amazon Stores Finance Science, Amazon Stores Finance Science</t>
        </is>
      </c>
      <c r="C145" t="inlineStr">
        <is>
          <t>Amazon.com</t>
        </is>
      </c>
      <c r="D145" t="inlineStr">
        <is>
          <t>indeed</t>
        </is>
      </c>
      <c r="E145">
        <f>HYPERLINK("https://www.indeed.com/viewjob?jk=849bfa5a2ed32361", "https://www.indeed.com/viewjob?jk=849bfa5a2ed32361")</f>
        <v/>
      </c>
      <c r="F145">
        <f>HYPERLINK("https://www.amazon.jobs/jobs/3161846/senior-data-scientist-amazon-stores-finance-science-amazon-stores-finance-science?cmpid=DA_INAD200785B", "https://www.amazon.jobs/jobs/3161846/senior-data-scientist-amazon-stores-finance-science-amazon-stores-finance-science?cmpid=DA_INAD200785B")</f>
        <v/>
      </c>
      <c r="G145" t="inlineStr">
        <is>
          <t>Sunnyvale, CA, US</t>
        </is>
      </c>
      <c r="H145" s="3" t="n">
        <v>46034</v>
      </c>
      <c r="I145"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146">
      <c r="A146" t="inlineStr">
        <is>
          <t>in-c18d9f468ad0c761</t>
        </is>
      </c>
      <c r="B146" t="inlineStr">
        <is>
          <t>Applied Scientist II, Prime Video Personalization and Discovery Science</t>
        </is>
      </c>
      <c r="C146" t="inlineStr">
        <is>
          <t>Amazon.com</t>
        </is>
      </c>
      <c r="D146" t="inlineStr">
        <is>
          <t>indeed</t>
        </is>
      </c>
      <c r="E146">
        <f>HYPERLINK("https://www.indeed.com/viewjob?jk=c18d9f468ad0c761", "https://www.indeed.com/viewjob?jk=c18d9f468ad0c761")</f>
        <v/>
      </c>
      <c r="F146">
        <f>HYPERLINK("https://www.amazon.jobs/jobs/3165157/applied-scientist-ii-prime-video-personalization-and-discovery-science?cmpid=DA_INAD200785B", "https://www.amazon.jobs/jobs/3165157/applied-scientist-ii-prime-video-personalization-and-discovery-science?cmpid=DA_INAD200785B")</f>
        <v/>
      </c>
      <c r="G146" t="inlineStr">
        <is>
          <t>Seattle, WA, US</t>
        </is>
      </c>
      <c r="H146" s="3" t="n">
        <v>46034</v>
      </c>
      <c r="I1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47">
      <c r="A147" t="inlineStr">
        <is>
          <t>in-63aad22142fdd2a5</t>
        </is>
      </c>
      <c r="B147" t="inlineStr">
        <is>
          <t>Applied Scientist II, Prime Video Personalization and Discovery Science</t>
        </is>
      </c>
      <c r="C147" t="inlineStr">
        <is>
          <t>Amazon.com</t>
        </is>
      </c>
      <c r="D147" t="inlineStr">
        <is>
          <t>indeed</t>
        </is>
      </c>
      <c r="E147">
        <f>HYPERLINK("https://www.indeed.com/viewjob?jk=63aad22142fdd2a5", "https://www.indeed.com/viewjob?jk=63aad22142fdd2a5")</f>
        <v/>
      </c>
      <c r="F147">
        <f>HYPERLINK("https://www.amazon.jobs/jobs/3165157/applied-scientist-ii-prime-video-personalization-and-discovery-science?cmpid=DA_INAD200785B", "https://www.amazon.jobs/jobs/3165157/applied-scientist-ii-prime-video-personalization-and-discovery-science?cmpid=DA_INAD200785B")</f>
        <v/>
      </c>
      <c r="G147" t="inlineStr">
        <is>
          <t>Sunnyvale, CA, US</t>
        </is>
      </c>
      <c r="H147" s="3" t="n">
        <v>46034</v>
      </c>
      <c r="I1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48">
      <c r="A148" t="inlineStr">
        <is>
          <t>in-004b53abb48dc32a</t>
        </is>
      </c>
      <c r="B148" t="inlineStr">
        <is>
          <t>Sr Applied Scientist, AWS Proactive Security</t>
        </is>
      </c>
      <c r="C148" t="inlineStr">
        <is>
          <t>Amazon.com</t>
        </is>
      </c>
      <c r="D148" t="inlineStr">
        <is>
          <t>indeed</t>
        </is>
      </c>
      <c r="E148">
        <f>HYPERLINK("https://www.indeed.com/viewjob?jk=004b53abb48dc32a", "https://www.indeed.com/viewjob?jk=004b53abb48dc32a")</f>
        <v/>
      </c>
      <c r="F148">
        <f>HYPERLINK("https://www.amazon.jobs/jobs/3164664/sr-applied-scientist-aws-proactive-security?cmpid=DA_INAD200785B", "https://www.amazon.jobs/jobs/3164664/sr-applied-scientist-aws-proactive-security?cmpid=DA_INAD200785B")</f>
        <v/>
      </c>
      <c r="G148" t="inlineStr">
        <is>
          <t>Sunnyvale, CA, US</t>
        </is>
      </c>
      <c r="H148" s="3" t="n">
        <v>46030</v>
      </c>
      <c r="I148"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149">
      <c r="A149" t="inlineStr">
        <is>
          <t>in-684c50b94791e510</t>
        </is>
      </c>
      <c r="B149" t="inlineStr">
        <is>
          <t>Sr Applied Scientist, AWS Proactive Security</t>
        </is>
      </c>
      <c r="C149" t="inlineStr">
        <is>
          <t>Amazon.com</t>
        </is>
      </c>
      <c r="D149" t="inlineStr">
        <is>
          <t>indeed</t>
        </is>
      </c>
      <c r="E149">
        <f>HYPERLINK("https://www.indeed.com/viewjob?jk=684c50b94791e510", "https://www.indeed.com/viewjob?jk=684c50b94791e510")</f>
        <v/>
      </c>
      <c r="F149">
        <f>HYPERLINK("https://www.amazon.jobs/jobs/3164664/sr-applied-scientist-aws-proactive-security?cmpid=DA_INAD200785B", "https://www.amazon.jobs/jobs/3164664/sr-applied-scientist-aws-proactive-security?cmpid=DA_INAD200785B")</f>
        <v/>
      </c>
      <c r="G149" t="inlineStr">
        <is>
          <t>Arlington, VA, US</t>
        </is>
      </c>
      <c r="H149" s="3" t="n">
        <v>46030</v>
      </c>
      <c r="I149"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150">
      <c r="A150" t="inlineStr">
        <is>
          <t>in-3798996349012b95</t>
        </is>
      </c>
      <c r="B150" t="inlineStr">
        <is>
          <t>Sr Applied Scientist, AWS Proactive Security</t>
        </is>
      </c>
      <c r="C150" t="inlineStr">
        <is>
          <t>Amazon.com</t>
        </is>
      </c>
      <c r="D150" t="inlineStr">
        <is>
          <t>indeed</t>
        </is>
      </c>
      <c r="E150">
        <f>HYPERLINK("https://www.indeed.com/viewjob?jk=3798996349012b95", "https://www.indeed.com/viewjob?jk=3798996349012b95")</f>
        <v/>
      </c>
      <c r="F150">
        <f>HYPERLINK("https://www.amazon.jobs/jobs/3164664/sr-applied-scientist-aws-proactive-security?cmpid=DA_INAD200785B", "https://www.amazon.jobs/jobs/3164664/sr-applied-scientist-aws-proactive-security?cmpid=DA_INAD200785B")</f>
        <v/>
      </c>
      <c r="G150" t="inlineStr">
        <is>
          <t>Herndon, VA, US</t>
        </is>
      </c>
      <c r="H150" s="3" t="n">
        <v>46030</v>
      </c>
      <c r="I150"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151">
      <c r="A151" t="inlineStr">
        <is>
          <t>in-79ad65705e619f23</t>
        </is>
      </c>
      <c r="B151" t="inlineStr">
        <is>
          <t>Applied Scientist, Last Mile Delivery Automation</t>
        </is>
      </c>
      <c r="C151" t="inlineStr">
        <is>
          <t>Amazon.com</t>
        </is>
      </c>
      <c r="D151" t="inlineStr">
        <is>
          <t>indeed</t>
        </is>
      </c>
      <c r="E151">
        <f>HYPERLINK("https://www.indeed.com/viewjob?jk=79ad65705e619f23", "https://www.indeed.com/viewjob?jk=79ad65705e619f23")</f>
        <v/>
      </c>
      <c r="F151">
        <f>HYPERLINK("https://www.amazon.jobs/jobs/3155354/applied-scientist-last-mile-delivery-automation?cmpid=DA_INAD200785B", "https://www.amazon.jobs/jobs/3155354/applied-scientist-last-mile-delivery-automation?cmpid=DA_INAD200785B")</f>
        <v/>
      </c>
      <c r="G151" t="inlineStr">
        <is>
          <t>Bellevue, WA, US</t>
        </is>
      </c>
      <c r="H151" s="3" t="n">
        <v>46026</v>
      </c>
      <c r="I151"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in-143ee94ebf436bec</t>
        </is>
      </c>
      <c r="B152" t="inlineStr">
        <is>
          <t>Applied Scientist, Last Mile Delivery Automation</t>
        </is>
      </c>
      <c r="C152" t="inlineStr">
        <is>
          <t>Amazon.com</t>
        </is>
      </c>
      <c r="D152" t="inlineStr">
        <is>
          <t>indeed</t>
        </is>
      </c>
      <c r="E152">
        <f>HYPERLINK("https://www.indeed.com/viewjob?jk=143ee94ebf436bec", "https://www.indeed.com/viewjob?jk=143ee94ebf436bec")</f>
        <v/>
      </c>
      <c r="F152">
        <f>HYPERLINK("https://www.amazon.jobs/jobs/3155354/applied-scientist-last-mile-delivery-automation?cmpid=DA_INAD200785B", "https://www.amazon.jobs/jobs/3155354/applied-scientist-last-mile-delivery-automation?cmpid=DA_INAD200785B")</f>
        <v/>
      </c>
      <c r="G152" t="inlineStr">
        <is>
          <t>Santa Clara, CA, US</t>
        </is>
      </c>
      <c r="H152" s="3" t="n">
        <v>46026</v>
      </c>
      <c r="I152"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in-eb3220e31fb51626</t>
        </is>
      </c>
      <c r="B153" t="inlineStr">
        <is>
          <t>Principal Data Scientist</t>
        </is>
      </c>
      <c r="C153" t="inlineStr">
        <is>
          <t>Blue Cross and Blue Shield of Minnesota</t>
        </is>
      </c>
      <c r="D153" t="inlineStr">
        <is>
          <t>indeed</t>
        </is>
      </c>
      <c r="E153">
        <f>HYPERLINK("https://www.indeed.com/viewjob?jk=eb3220e31fb51626", "https://www.indeed.com/viewjob?jk=eb3220e31fb51626")</f>
        <v/>
      </c>
      <c r="F153">
        <f>HYPERLINK("https://careers.bluecrossmn.com/job/eagan/principal-data-scientist/42354/89843770352", "https://careers.bluecrossmn.com/job/eagan/principal-data-scientist/42354/89843770352")</f>
        <v/>
      </c>
      <c r="G153" t="inlineStr">
        <is>
          <t>Eagan, MN, US</t>
        </is>
      </c>
      <c r="H153" s="3" t="n">
        <v>46013</v>
      </c>
      <c r="I153" t="inlineStr">
        <is>
          <t>Hybrid \| Eagan, Minnesota
Job ID: R0005770
 Career Area: Data Analytics \&amp; Business Intelligence
 Date Posted: 12/23/2025
**About Blue Cross and Blue Shield of Minnesota**  
At Blue Cross and Blue Shield of Minnesota, we are committed to paving the way for everyone to achieve their healthiest life. We are looking for dedicated and motivated individuals who share our vision of transforming healthcare. As a Blue Cross associate, you are joining a culture that is built on values of succeeding together, finding a better way, and doing the right thing. If you are ready to make a difference, join us. **The Impact You Will Have**
Blue Cross and Blue Shield of Minnesota is hiring a Principal Data Scientist in Eagan, MN. The Principal Data Scientist will lead the design and deployment of advanced AI solutions, leveraging Large Language Models (LLMs) and innovative agentic AI architectures. This individual will develop scalable systems where multiple AI models collaborate to produce insights and enhance efficiency across the organization.
In this role, you will drive the development of cutting\-edge AI models and scalable systems that enable collaboration across multiple models to deliver actionable insights. You will design and implement solutions that ensure accuracy, reliability, and performance while incorporating best practices for fairness and transparency. Working closely with cross\-functional teams, you will assess potential risks, optimize workflows, and establish governance processes for model monitoring and lifecycle management. Additionally, you will stay current with emerging technologies and regulatory requirements, mentor data scientists and engineers, and champion innovative approaches to integrating LLMs and agentic AI architectures into enterprise applications.
The ideal candidate brings at least seven years of experience in data science, progressing from predictive analytics and machine learning to sophisticated LLM\-driven AI applications. You excel at designing solutions that synthesize data, streamline operations, and deliver impactful insights. Success in this role requires strong partnership skills to translate complex business problems into effective data science and machine learning solutions, while maintaining a balance between innovative advancements and responsible governance for safe, scalable AI deployment.
As a hybrid‑first organization, BCBS of Minnesota prefers this role to be based in Eagan, MN in a hybrid arrangement; however, remote work will be considered.
**Your Responsibilities**
* Lead data science projects to design and implement models and experiments from end to end, including data ingestion and preparation, feature engineering, analysis and modeling, model deployment, performance tracking and documentation.
* Act as a mentor to junior data scientists around mature data science practices e.g., readable code, thorough documentation, comprehensive experimentation.
* Work with autonomy with business partners to convert ambiguous business problems in clear data science/ML specifications \- Use contextual business acumen to convert model predictions/results into impactful insights and provide actionable guidance on risks and limitations.
* Work hand\-in\-hand with product managers, data engineers, and subject matter experts to ship new models, algorithms and improvements continuously and collaboratively into production.
* Use combination of machine learning knowledge and contextual business acumen to convert results into impactful insights and provide actionable guidance on risks and limitations of model.
* Write narrative documents for model specification and performance analysis to communicate findings and recommendations to teammates, stakeholders and executive leadership.
**Required Skills and Experience**
* 7\+ years of related professional experience. All relevant experience including work, education, transferable skills, and military experience will be considered.
* Hands\-on experience in analytics and data science (specific areas of interest include classification/regression, unsupervised learning, time\-series/sequence models, NLP, explainability methods, deep learning).
* Advanced proficiency in data science tools such as Python, R, Spark, SQL.
* Experience implementing predictive algorithms and associated statistical analysis/inference in a data science/ML workflow manipulating both structured and unstructured data.
* Strong communication skills and ability to deliver highly technical results to a diverse audience.
* Ability to mentor junior data scientists and lead projects from end\-to\-end.
* High school diploma (or equivalency) and legal authorization to work in the U.S.
**Preferred Skills and Experience**
* Advanced degree in Data Science, Machine Learning, or related field.
* Proven experience in building and deploying AI/ML models at scale.
* Deep understanding of Responsible AI frameworks, bias detection, and explainability techniques.
* Strong communicationskillsto influencestakeholders and drive organizationalchange.
* Proven experience translating complex analyses into actionable insights.
* Ability to break down complex or unclear problems into data\-driven hypotheses.
* Python: End\-to\-End Data Workflows is strongly preferred
* Experience working with large language models (LLMs)
* CI/CD and Infrastructure as code – experience with Docker
* Author and maintainGithub
* Node.js experience
* React
* Terraform
* Database skills
* Experience with AWStools:AWS Bedrock is strongly preferred,DynamoDB,S3,Fargate
* Proven ability to work cross\-functionally with business stakeholders to understand needs, translate between technical and businessobjectives, and deliver solutions that align with strategic goals.
* Ability to craft compelling narratives using visuals and clear written summaries.Prior experience in healthcare or related field is strongly preferred.
**Compensation and Benefits:**
**Pay Range:** $102,400\.00 \- $138,300\.00 \- $174,200\.00 Annual
Pay is based on several factors which vary based on position, including skills, ability, and knowledge the selected individual is bringing to the specific job.
We offer a comprehensive benefits package which may include:
* Medical, dental, and vision insurance
* Life insurance
* 401k
* Paid Time Off (PTO)
* Volunteer Paid Time Off (VPTO)
* And more
**Role Designation**
Hybrid
**Anchored in Connection**
Our hybrid approach is designed to balance flexibility with meaningful in\-person connection and collaboration. We come together in the office two days each week – most teams designate at least one anchor day to ensure team interaction. These in\-person moments foster relationships, creativity, and alignment. The rest of the week you are empowered to work remote.
**Equal Employment Opportunity Statement**  
At Blue Cross and Blue Shield of Minnesota, we are committed to paving the way for everyone to achieve their healthiest life. Blue Cross of Minnesota is an Equal Opportunity Employer and maintains an Affirmative Action plan, as required by Minnesota law applicable to state contractors. All qualified applications will receive consideration for employment without regard to, and will not be discriminated against based on any legally protected characteristic.  
Individuals with a disability who need a reasonable accommodation in order to apply, please contact us at: talent.acquisition@bluecrossmn.com.  
Blue Cross® and Blue Shield® of Minnesota and Blue Plus® are nonprofit independent licensees of the Blue Cross and Blue Shield Association.</t>
        </is>
      </c>
    </row>
    <row r="154">
      <c r="A154" t="inlineStr">
        <is>
          <t>in-cadc827b7d2aa830</t>
        </is>
      </c>
      <c r="B154" t="inlineStr">
        <is>
          <t>Senior Applied Scientist, Distributed SQL</t>
        </is>
      </c>
      <c r="C154" t="inlineStr">
        <is>
          <t>Amazon Web Services</t>
        </is>
      </c>
      <c r="D154" t="inlineStr">
        <is>
          <t>indeed</t>
        </is>
      </c>
      <c r="E154">
        <f>HYPERLINK("https://www.indeed.com/viewjob?jk=cadc827b7d2aa830", "https://www.indeed.com/viewjob?jk=cadc827b7d2aa830")</f>
        <v/>
      </c>
      <c r="F154">
        <f>HYPERLINK("https://www.amazon.jobs/jobs/3148444/senior-applied-scientist-distributed-sql?cmpid=DA_INAD200785B", "https://www.amazon.jobs/jobs/3148444/senior-applied-scientist-distributed-sql?cmpid=DA_INAD200785B")</f>
        <v/>
      </c>
      <c r="G154" t="inlineStr">
        <is>
          <t>East Palo Alto, CA, US</t>
        </is>
      </c>
      <c r="H154" s="3" t="n">
        <v>46012</v>
      </c>
      <c r="I154"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155">
      <c r="A155" t="inlineStr">
        <is>
          <t>in-e02282b87417e489</t>
        </is>
      </c>
      <c r="B155" t="inlineStr">
        <is>
          <t>Senior Applied Scientist, Distributed SQL</t>
        </is>
      </c>
      <c r="C155" t="inlineStr">
        <is>
          <t>Amazon Web Services</t>
        </is>
      </c>
      <c r="D155" t="inlineStr">
        <is>
          <t>indeed</t>
        </is>
      </c>
      <c r="E155">
        <f>HYPERLINK("https://www.indeed.com/viewjob?jk=e02282b87417e489", "https://www.indeed.com/viewjob?jk=e02282b87417e489")</f>
        <v/>
      </c>
      <c r="F155">
        <f>HYPERLINK("https://www.amazon.jobs/jobs/3148444/senior-applied-scientist-distributed-sql?cmpid=DA_INAD200785B", "https://www.amazon.jobs/jobs/3148444/senior-applied-scientist-distributed-sql?cmpid=DA_INAD200785B")</f>
        <v/>
      </c>
      <c r="G155" t="inlineStr">
        <is>
          <t>Seattle, WA, US</t>
        </is>
      </c>
      <c r="H155" s="3" t="n">
        <v>46012</v>
      </c>
      <c r="I155"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156">
      <c r="A156" t="inlineStr">
        <is>
          <t>in-92cf1a069aab0ee9</t>
        </is>
      </c>
      <c r="B156" t="inlineStr">
        <is>
          <t>Applied Scientist II, Prime Video - Personalization and Discovery Science</t>
        </is>
      </c>
      <c r="C156" t="inlineStr">
        <is>
          <t>Amazon.com</t>
        </is>
      </c>
      <c r="D156" t="inlineStr">
        <is>
          <t>indeed</t>
        </is>
      </c>
      <c r="E156">
        <f>HYPERLINK("https://www.indeed.com/viewjob?jk=92cf1a069aab0ee9", "https://www.indeed.com/viewjob?jk=92cf1a069aab0ee9")</f>
        <v/>
      </c>
      <c r="F156">
        <f>HYPERLINK("https://www.amazon.jobs/jobs/3154128/applied-scientist-ii-prime-video--personalization-and-discovery-science?cmpid=DA_INAD200785B", "https://www.amazon.jobs/jobs/3154128/applied-scientist-ii-prime-video--personalization-and-discovery-science?cmpid=DA_INAD200785B")</f>
        <v/>
      </c>
      <c r="G156" t="inlineStr">
        <is>
          <t>Sunnyvale, CA, US</t>
        </is>
      </c>
      <c r="H156" s="3" t="n">
        <v>46012</v>
      </c>
      <c r="I15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57">
      <c r="A157" t="inlineStr">
        <is>
          <t>in-5222fe08fcda225d</t>
        </is>
      </c>
      <c r="B157" t="inlineStr">
        <is>
          <t>Applied Scientist II, Prime Video - Personalization and Discovery Science</t>
        </is>
      </c>
      <c r="C157" t="inlineStr">
        <is>
          <t>Amazon.com</t>
        </is>
      </c>
      <c r="D157" t="inlineStr">
        <is>
          <t>indeed</t>
        </is>
      </c>
      <c r="E157">
        <f>HYPERLINK("https://www.indeed.com/viewjob?jk=5222fe08fcda225d", "https://www.indeed.com/viewjob?jk=5222fe08fcda225d")</f>
        <v/>
      </c>
      <c r="F157">
        <f>HYPERLINK("https://www.amazon.jobs/jobs/3154128/applied-scientist-ii-prime-video--personalization-and-discovery-science?cmpid=DA_INAD200785B", "https://www.amazon.jobs/jobs/3154128/applied-scientist-ii-prime-video--personalization-and-discovery-science?cmpid=DA_INAD200785B")</f>
        <v/>
      </c>
      <c r="G157" t="inlineStr">
        <is>
          <t>Seattle, WA, US</t>
        </is>
      </c>
      <c r="H157" s="3" t="n">
        <v>46012</v>
      </c>
      <c r="I1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58">
      <c r="A158" t="inlineStr">
        <is>
          <t>in-fbcb21607eba8146</t>
        </is>
      </c>
      <c r="B158" t="inlineStr">
        <is>
          <t>Principal Applied Scientist, Kiro Science</t>
        </is>
      </c>
      <c r="C158" t="inlineStr">
        <is>
          <t>Amazon Web Services</t>
        </is>
      </c>
      <c r="D158" t="inlineStr">
        <is>
          <t>indeed</t>
        </is>
      </c>
      <c r="E158">
        <f>HYPERLINK("https://www.indeed.com/viewjob?jk=fbcb21607eba8146", "https://www.indeed.com/viewjob?jk=fbcb21607eba8146")</f>
        <v/>
      </c>
      <c r="F158">
        <f>HYPERLINK("https://www.amazon.jobs/jobs/3161064/principal-applied-scientist-kiro-science?cmpid=DA_INAD200785B", "https://www.amazon.jobs/jobs/3161064/principal-applied-scientist-kiro-science?cmpid=DA_INAD200785B")</f>
        <v/>
      </c>
      <c r="G158" t="inlineStr">
        <is>
          <t>New York, NY, US</t>
        </is>
      </c>
      <c r="H158" s="3" t="n">
        <v>45999</v>
      </c>
      <c r="I158"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59">
      <c r="A159" t="inlineStr">
        <is>
          <t>in-e9bfb9cb693d951d</t>
        </is>
      </c>
      <c r="B159" t="inlineStr">
        <is>
          <t>Principal Applied Scientist, Kiro Science</t>
        </is>
      </c>
      <c r="C159" t="inlineStr">
        <is>
          <t>Amazon Web Services</t>
        </is>
      </c>
      <c r="D159" t="inlineStr">
        <is>
          <t>indeed</t>
        </is>
      </c>
      <c r="E159">
        <f>HYPERLINK("https://www.indeed.com/viewjob?jk=e9bfb9cb693d951d", "https://www.indeed.com/viewjob?jk=e9bfb9cb693d951d")</f>
        <v/>
      </c>
      <c r="F159">
        <f>HYPERLINK("https://www.amazon.jobs/jobs/3161064/principal-applied-scientist-kiro-science?cmpid=DA_INAD200785B", "https://www.amazon.jobs/jobs/3161064/principal-applied-scientist-kiro-science?cmpid=DA_INAD200785B")</f>
        <v/>
      </c>
      <c r="G159" t="inlineStr">
        <is>
          <t>Santa Clara, CA, US</t>
        </is>
      </c>
      <c r="H159" s="3" t="n">
        <v>45999</v>
      </c>
      <c r="I159"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60">
      <c r="A160" t="inlineStr">
        <is>
          <t>in-db25e04370982dbf</t>
        </is>
      </c>
      <c r="B160" t="inlineStr">
        <is>
          <t>Sr. Applied Scientist, Amazon Ads</t>
        </is>
      </c>
      <c r="C160" t="inlineStr">
        <is>
          <t>Amazon.com</t>
        </is>
      </c>
      <c r="D160" t="inlineStr">
        <is>
          <t>indeed</t>
        </is>
      </c>
      <c r="E160">
        <f>HYPERLINK("https://www.indeed.com/viewjob?jk=db25e04370982dbf", "https://www.indeed.com/viewjob?jk=db25e04370982dbf")</f>
        <v/>
      </c>
      <c r="F160">
        <f>HYPERLINK("https://www.amazon.jobs/jobs/3139328/sr-applied-scientist-amazon-ads?cmpid=DA_INAD200785B", "https://www.amazon.jobs/jobs/3139328/sr-applied-scientist-amazon-ads?cmpid=DA_INAD200785B")</f>
        <v/>
      </c>
      <c r="G160" t="inlineStr">
        <is>
          <t>Santa Monica, CA, US</t>
        </is>
      </c>
      <c r="H160" s="3" t="n">
        <v>45998</v>
      </c>
      <c r="I16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1">
      <c r="A161" t="inlineStr">
        <is>
          <t>in-8e42806a7ee32c18</t>
        </is>
      </c>
      <c r="B161" t="inlineStr">
        <is>
          <t>Sr. Applied Scientist, Amazon Ads</t>
        </is>
      </c>
      <c r="C161" t="inlineStr">
        <is>
          <t>Amazon.com</t>
        </is>
      </c>
      <c r="D161" t="inlineStr">
        <is>
          <t>indeed</t>
        </is>
      </c>
      <c r="E161">
        <f>HYPERLINK("https://www.indeed.com/viewjob?jk=8e42806a7ee32c18", "https://www.indeed.com/viewjob?jk=8e42806a7ee32c18")</f>
        <v/>
      </c>
      <c r="F161">
        <f>HYPERLINK("https://www.amazon.jobs/jobs/3139328/sr-applied-scientist-amazon-ads?cmpid=DA_INAD200785B", "https://www.amazon.jobs/jobs/3139328/sr-applied-scientist-amazon-ads?cmpid=DA_INAD200785B")</f>
        <v/>
      </c>
      <c r="G161" t="inlineStr">
        <is>
          <t>Brooklyn, NY, US</t>
        </is>
      </c>
      <c r="H161" s="3" t="n">
        <v>45998</v>
      </c>
      <c r="I16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2">
      <c r="A162" t="inlineStr">
        <is>
          <t>in-a3403bfe8dec3b24</t>
        </is>
      </c>
      <c r="B162" t="inlineStr">
        <is>
          <t>Sr. Applied Scientist, Amazon Ads</t>
        </is>
      </c>
      <c r="C162" t="inlineStr">
        <is>
          <t>Amazon.com</t>
        </is>
      </c>
      <c r="D162" t="inlineStr">
        <is>
          <t>indeed</t>
        </is>
      </c>
      <c r="E162">
        <f>HYPERLINK("https://www.indeed.com/viewjob?jk=a3403bfe8dec3b24", "https://www.indeed.com/viewjob?jk=a3403bfe8dec3b24")</f>
        <v/>
      </c>
      <c r="F162">
        <f>HYPERLINK("https://www.amazon.jobs/jobs/3139328/sr-applied-scientist-amazon-ads?cmpid=DA_INAD200785B", "https://www.amazon.jobs/jobs/3139328/sr-applied-scientist-amazon-ads?cmpid=DA_INAD200785B")</f>
        <v/>
      </c>
      <c r="G162" t="inlineStr">
        <is>
          <t>Corvallis, OR, US</t>
        </is>
      </c>
      <c r="H162" s="3" t="n">
        <v>45998</v>
      </c>
      <c r="I16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3">
      <c r="A163" t="inlineStr">
        <is>
          <t>in-e5797242bd9c8f4a</t>
        </is>
      </c>
      <c r="B163" t="inlineStr">
        <is>
          <t>Sr. Applied Scientist, Amazon Ads</t>
        </is>
      </c>
      <c r="C163" t="inlineStr">
        <is>
          <t>Amazon.com</t>
        </is>
      </c>
      <c r="D163" t="inlineStr">
        <is>
          <t>indeed</t>
        </is>
      </c>
      <c r="E163">
        <f>HYPERLINK("https://www.indeed.com/viewjob?jk=e5797242bd9c8f4a", "https://www.indeed.com/viewjob?jk=e5797242bd9c8f4a")</f>
        <v/>
      </c>
      <c r="F163">
        <f>HYPERLINK("https://www.amazon.jobs/jobs/3139328/sr-applied-scientist-amazon-ads?cmpid=DA_INAD200785B", "https://www.amazon.jobs/jobs/3139328/sr-applied-scientist-amazon-ads?cmpid=DA_INAD200785B")</f>
        <v/>
      </c>
      <c r="G163" t="inlineStr">
        <is>
          <t>Seattle, WA, US</t>
        </is>
      </c>
      <c r="H163" s="3" t="n">
        <v>45998</v>
      </c>
      <c r="I16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4">
      <c r="A164" t="inlineStr">
        <is>
          <t>in-425e9fac3e00517d</t>
        </is>
      </c>
      <c r="B164" t="inlineStr">
        <is>
          <t>Sr. Applied Scientist, Amazon Ads</t>
        </is>
      </c>
      <c r="C164" t="inlineStr">
        <is>
          <t>Amazon.com</t>
        </is>
      </c>
      <c r="D164" t="inlineStr">
        <is>
          <t>indeed</t>
        </is>
      </c>
      <c r="E164">
        <f>HYPERLINK("https://www.indeed.com/viewjob?jk=425e9fac3e00517d", "https://www.indeed.com/viewjob?jk=425e9fac3e00517d")</f>
        <v/>
      </c>
      <c r="F164">
        <f>HYPERLINK("https://www.amazon.jobs/jobs/3139328/sr-applied-scientist-amazon-ads?cmpid=DA_INAD200785B", "https://www.amazon.jobs/jobs/3139328/sr-applied-scientist-amazon-ads?cmpid=DA_INAD200785B")</f>
        <v/>
      </c>
      <c r="G164" t="inlineStr">
        <is>
          <t>New York, NY, US</t>
        </is>
      </c>
      <c r="H164" s="3" t="n">
        <v>45998</v>
      </c>
      <c r="I16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5">
      <c r="A165" t="inlineStr">
        <is>
          <t>in-bb5a1cd9e0a6864b</t>
        </is>
      </c>
      <c r="B165" t="inlineStr">
        <is>
          <t>Sr. Applied Scientist, Amazon Ads</t>
        </is>
      </c>
      <c r="C165" t="inlineStr">
        <is>
          <t>Amazon.com</t>
        </is>
      </c>
      <c r="D165" t="inlineStr">
        <is>
          <t>indeed</t>
        </is>
      </c>
      <c r="E165">
        <f>HYPERLINK("https://www.indeed.com/viewjob?jk=bb5a1cd9e0a6864b", "https://www.indeed.com/viewjob?jk=bb5a1cd9e0a6864b")</f>
        <v/>
      </c>
      <c r="F165">
        <f>HYPERLINK("https://www.amazon.jobs/jobs/3139328/sr-applied-scientist-amazon-ads?cmpid=DA_INAD200785B", "https://www.amazon.jobs/jobs/3139328/sr-applied-scientist-amazon-ads?cmpid=DA_INAD200785B")</f>
        <v/>
      </c>
      <c r="G165" t="inlineStr">
        <is>
          <t>Palo Alto, CA, US</t>
        </is>
      </c>
      <c r="H165" s="3" t="n">
        <v>45998</v>
      </c>
      <c r="I16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6">
      <c r="A166" t="inlineStr">
        <is>
          <t>in-fde140aaf6e40828</t>
        </is>
      </c>
      <c r="B166" t="inlineStr">
        <is>
          <t>Sr. Applied Scientist, Amazon Ads</t>
        </is>
      </c>
      <c r="C166" t="inlineStr">
        <is>
          <t>Amazon.com</t>
        </is>
      </c>
      <c r="D166" t="inlineStr">
        <is>
          <t>indeed</t>
        </is>
      </c>
      <c r="E166">
        <f>HYPERLINK("https://www.indeed.com/viewjob?jk=fde140aaf6e40828", "https://www.indeed.com/viewjob?jk=fde140aaf6e40828")</f>
        <v/>
      </c>
      <c r="F166">
        <f>HYPERLINK("https://www.amazon.jobs/jobs/3139328/sr-applied-scientist-amazon-ads?cmpid=DA_INAD200785B", "https://www.amazon.jobs/jobs/3139328/sr-applied-scientist-amazon-ads?cmpid=DA_INAD200785B")</f>
        <v/>
      </c>
      <c r="G166" t="inlineStr">
        <is>
          <t>Boulder, CO, US</t>
        </is>
      </c>
      <c r="H166" s="3" t="n">
        <v>45998</v>
      </c>
      <c r="I16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7">
      <c r="A167" t="inlineStr">
        <is>
          <t>in-163abfa0c66cb91a</t>
        </is>
      </c>
      <c r="B167" t="inlineStr">
        <is>
          <t>Sr. Applied Scientist, Amazon Ads</t>
        </is>
      </c>
      <c r="C167" t="inlineStr">
        <is>
          <t>Amazon.com</t>
        </is>
      </c>
      <c r="D167" t="inlineStr">
        <is>
          <t>indeed</t>
        </is>
      </c>
      <c r="E167">
        <f>HYPERLINK("https://www.indeed.com/viewjob?jk=163abfa0c66cb91a", "https://www.indeed.com/viewjob?jk=163abfa0c66cb91a")</f>
        <v/>
      </c>
      <c r="F167">
        <f>HYPERLINK("https://www.amazon.jobs/jobs/3139328/sr-applied-scientist-amazon-ads?cmpid=DA_INAD200785B", "https://www.amazon.jobs/jobs/3139328/sr-applied-scientist-amazon-ads?cmpid=DA_INAD200785B")</f>
        <v/>
      </c>
      <c r="G167" t="inlineStr">
        <is>
          <t>Boston, MA, US</t>
        </is>
      </c>
      <c r="H167" s="3" t="n">
        <v>45998</v>
      </c>
      <c r="I16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8">
      <c r="A168" t="inlineStr">
        <is>
          <t>in-4d009d4880595eed</t>
        </is>
      </c>
      <c r="B168" t="inlineStr">
        <is>
          <t>Sr. Applied Scientist, Amazon Ads</t>
        </is>
      </c>
      <c r="C168" t="inlineStr">
        <is>
          <t>Amazon.com</t>
        </is>
      </c>
      <c r="D168" t="inlineStr">
        <is>
          <t>indeed</t>
        </is>
      </c>
      <c r="E168">
        <f>HYPERLINK("https://www.indeed.com/viewjob?jk=4d009d4880595eed", "https://www.indeed.com/viewjob?jk=4d009d4880595eed")</f>
        <v/>
      </c>
      <c r="F168">
        <f>HYPERLINK("https://www.amazon.jobs/jobs/3139328/sr-applied-scientist-amazon-ads?cmpid=DA_INAD200785B", "https://www.amazon.jobs/jobs/3139328/sr-applied-scientist-amazon-ads?cmpid=DA_INAD200785B")</f>
        <v/>
      </c>
      <c r="G168" t="inlineStr">
        <is>
          <t>Sunnyvale, CA, US</t>
        </is>
      </c>
      <c r="H168" s="3" t="n">
        <v>45998</v>
      </c>
      <c r="I16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9">
      <c r="A169" t="inlineStr">
        <is>
          <t>in-9eaeac9b65149660</t>
        </is>
      </c>
      <c r="B169" t="inlineStr">
        <is>
          <t>Sr. Applied Scientist, Amazon Ads</t>
        </is>
      </c>
      <c r="C169" t="inlineStr">
        <is>
          <t>Amazon.com</t>
        </is>
      </c>
      <c r="D169" t="inlineStr">
        <is>
          <t>indeed</t>
        </is>
      </c>
      <c r="E169">
        <f>HYPERLINK("https://www.indeed.com/viewjob?jk=9eaeac9b65149660", "https://www.indeed.com/viewjob?jk=9eaeac9b65149660")</f>
        <v/>
      </c>
      <c r="F169">
        <f>HYPERLINK("https://www.amazon.jobs/jobs/3139328/sr-applied-scientist-amazon-ads?cmpid=DA_INAD200785B", "https://www.amazon.jobs/jobs/3139328/sr-applied-scientist-amazon-ads?cmpid=DA_INAD200785B")</f>
        <v/>
      </c>
      <c r="G169" t="inlineStr">
        <is>
          <t>Tukwila, WA, US</t>
        </is>
      </c>
      <c r="H169" s="3" t="n">
        <v>45998</v>
      </c>
      <c r="I16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0">
      <c r="A170" t="inlineStr">
        <is>
          <t>in-f8353d8e99d9c8c7</t>
        </is>
      </c>
      <c r="B170" t="inlineStr">
        <is>
          <t>Principal Applied Scientist, Sponsored Products and Brands</t>
        </is>
      </c>
      <c r="C170" t="inlineStr">
        <is>
          <t>Amazon.com</t>
        </is>
      </c>
      <c r="D170" t="inlineStr">
        <is>
          <t>indeed</t>
        </is>
      </c>
      <c r="E170">
        <f>HYPERLINK("https://www.indeed.com/viewjob?jk=f8353d8e99d9c8c7", "https://www.indeed.com/viewjob?jk=f8353d8e99d9c8c7")</f>
        <v/>
      </c>
      <c r="F170">
        <f>HYPERLINK("https://www.amazon.jobs/jobs/3130855/principal-applied-scientist-sponsored-products-and-brands?cmpid=DA_INAD200785B", "https://www.amazon.jobs/jobs/3130855/principal-applied-scientist-sponsored-products-and-brands?cmpid=DA_INAD200785B")</f>
        <v/>
      </c>
      <c r="G170" t="inlineStr">
        <is>
          <t>New York, NY, US</t>
        </is>
      </c>
      <c r="H170" s="3" t="n">
        <v>45979</v>
      </c>
      <c r="I170"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in-038c345bcf8ca295</t>
        </is>
      </c>
      <c r="B171" t="inlineStr">
        <is>
          <t>Principal Applied Scientist, Sponsored Products and Brands</t>
        </is>
      </c>
      <c r="C171" t="inlineStr">
        <is>
          <t>Amazon.com</t>
        </is>
      </c>
      <c r="D171" t="inlineStr">
        <is>
          <t>indeed</t>
        </is>
      </c>
      <c r="E171">
        <f>HYPERLINK("https://www.indeed.com/viewjob?jk=038c345bcf8ca295", "https://www.indeed.com/viewjob?jk=038c345bcf8ca295")</f>
        <v/>
      </c>
      <c r="F171">
        <f>HYPERLINK("https://www.amazon.jobs/jobs/3130855/principal-applied-scientist-sponsored-products-and-brands?cmpid=DA_INAD200785B", "https://www.amazon.jobs/jobs/3130855/principal-applied-scientist-sponsored-products-and-brands?cmpid=DA_INAD200785B")</f>
        <v/>
      </c>
      <c r="G171" t="inlineStr">
        <is>
          <t>Seattle, WA, US</t>
        </is>
      </c>
      <c r="H171" s="3" t="n">
        <v>45979</v>
      </c>
      <c r="I171"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in-035cd4a7f79e32d4</t>
        </is>
      </c>
      <c r="B172" t="inlineStr">
        <is>
          <t>Applied Scientist, Personalization, DTx Science</t>
        </is>
      </c>
      <c r="C172" t="inlineStr">
        <is>
          <t>Amazon.com</t>
        </is>
      </c>
      <c r="D172" t="inlineStr">
        <is>
          <t>indeed</t>
        </is>
      </c>
      <c r="E172">
        <f>HYPERLINK("https://www.indeed.com/viewjob?jk=035cd4a7f79e32d4", "https://www.indeed.com/viewjob?jk=035cd4a7f79e32d4")</f>
        <v/>
      </c>
      <c r="F172">
        <f>HYPERLINK("https://www.amazon.jobs/jobs/3136853/applied-scientist-personalization-dtx-science?cmpid=DA_INAD200785B", "https://www.amazon.jobs/jobs/3136853/applied-scientist-personalization-dtx-science?cmpid=DA_INAD200785B")</f>
        <v/>
      </c>
      <c r="G172" t="inlineStr">
        <is>
          <t>New York, NY, US</t>
        </is>
      </c>
      <c r="H172" s="3" t="n">
        <v>45979</v>
      </c>
      <c r="I172"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73">
      <c r="A173" t="inlineStr">
        <is>
          <t>in-dfeb7fe80e6eb2c8</t>
        </is>
      </c>
      <c r="B173" t="inlineStr">
        <is>
          <t>Applied Scientist, Personalization, DTx Science</t>
        </is>
      </c>
      <c r="C173" t="inlineStr">
        <is>
          <t>Amazon.com</t>
        </is>
      </c>
      <c r="D173" t="inlineStr">
        <is>
          <t>indeed</t>
        </is>
      </c>
      <c r="E173">
        <f>HYPERLINK("https://www.indeed.com/viewjob?jk=dfeb7fe80e6eb2c8", "https://www.indeed.com/viewjob?jk=dfeb7fe80e6eb2c8")</f>
        <v/>
      </c>
      <c r="F173">
        <f>HYPERLINK("https://www.amazon.jobs/jobs/3136853/applied-scientist-personalization-dtx-science?cmpid=DA_INAD200785B", "https://www.amazon.jobs/jobs/3136853/applied-scientist-personalization-dtx-science?cmpid=DA_INAD200785B")</f>
        <v/>
      </c>
      <c r="G173" t="inlineStr">
        <is>
          <t>Seattle, WA, US</t>
        </is>
      </c>
      <c r="H173" s="3" t="n">
        <v>45979</v>
      </c>
      <c r="I173"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74">
      <c r="A174" t="inlineStr">
        <is>
          <t>in-b2f808b8566d10a2</t>
        </is>
      </c>
      <c r="B174" t="inlineStr">
        <is>
          <t>Senior Applied Scientist, Sponsored Products and Brands</t>
        </is>
      </c>
      <c r="C174" t="inlineStr">
        <is>
          <t>Amazon.com</t>
        </is>
      </c>
      <c r="D174" t="inlineStr">
        <is>
          <t>indeed</t>
        </is>
      </c>
      <c r="E174">
        <f>HYPERLINK("https://www.indeed.com/viewjob?jk=b2f808b8566d10a2", "https://www.indeed.com/viewjob?jk=b2f808b8566d10a2")</f>
        <v/>
      </c>
      <c r="F174">
        <f>HYPERLINK("https://www.amazon.jobs/jobs/3130062/senior-applied-scientist-sponsored-products-and-brands?cmpid=DA_INAD200785B", "https://www.amazon.jobs/jobs/3130062/senior-applied-scientist-sponsored-products-and-brands?cmpid=DA_INAD200785B")</f>
        <v/>
      </c>
      <c r="G174" t="inlineStr">
        <is>
          <t>New York, NY, US</t>
        </is>
      </c>
      <c r="H174" s="3" t="n">
        <v>45979</v>
      </c>
      <c r="I174"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75">
      <c r="A175" t="inlineStr">
        <is>
          <t>in-91580da3cf7e0ca3</t>
        </is>
      </c>
      <c r="B175" t="inlineStr">
        <is>
          <t>Senior Applied Scientist, Sponsored Products and Brands</t>
        </is>
      </c>
      <c r="C175" t="inlineStr">
        <is>
          <t>Amazon.com</t>
        </is>
      </c>
      <c r="D175" t="inlineStr">
        <is>
          <t>indeed</t>
        </is>
      </c>
      <c r="E175">
        <f>HYPERLINK("https://www.indeed.com/viewjob?jk=91580da3cf7e0ca3", "https://www.indeed.com/viewjob?jk=91580da3cf7e0ca3")</f>
        <v/>
      </c>
      <c r="F175">
        <f>HYPERLINK("https://www.amazon.jobs/jobs/3130062/senior-applied-scientist-sponsored-products-and-brands?cmpid=DA_INAD200785B", "https://www.amazon.jobs/jobs/3130062/senior-applied-scientist-sponsored-products-and-brands?cmpid=DA_INAD200785B")</f>
        <v/>
      </c>
      <c r="G175" t="inlineStr">
        <is>
          <t>Seattle, WA, US</t>
        </is>
      </c>
      <c r="H175" s="3" t="n">
        <v>45979</v>
      </c>
      <c r="I17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76">
      <c r="A176" t="inlineStr">
        <is>
          <t>in-0158cd3aea4c69c7</t>
        </is>
      </c>
      <c r="B176" t="inlineStr">
        <is>
          <t>Applied Scientist II, Prime Video Personalization and Discovery Science</t>
        </is>
      </c>
      <c r="C176" t="inlineStr">
        <is>
          <t>Amazon.com</t>
        </is>
      </c>
      <c r="D176" t="inlineStr">
        <is>
          <t>indeed</t>
        </is>
      </c>
      <c r="E176">
        <f>HYPERLINK("https://www.indeed.com/viewjob?jk=0158cd3aea4c69c7", "https://www.indeed.com/viewjob?jk=0158cd3aea4c69c7")</f>
        <v/>
      </c>
      <c r="F176">
        <f>HYPERLINK("https://www.amazon.jobs/jobs/3129475/applied-scientist-ii-prime-video-personalization-and-discovery-science?cmpid=DA_INAD200785B", "https://www.amazon.jobs/jobs/3129475/applied-scientist-ii-prime-video-personalization-and-discovery-science?cmpid=DA_INAD200785B")</f>
        <v/>
      </c>
      <c r="G176" t="inlineStr">
        <is>
          <t>Sunnyvale, CA, US</t>
        </is>
      </c>
      <c r="H176" s="3" t="n">
        <v>45978</v>
      </c>
      <c r="I1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77">
      <c r="A177" t="inlineStr">
        <is>
          <t>in-7b19634eb7558a9f</t>
        </is>
      </c>
      <c r="B177" t="inlineStr">
        <is>
          <t>Applied Scientist II, Prime Video Personalization and Discovery Science</t>
        </is>
      </c>
      <c r="C177" t="inlineStr">
        <is>
          <t>Amazon.com</t>
        </is>
      </c>
      <c r="D177" t="inlineStr">
        <is>
          <t>indeed</t>
        </is>
      </c>
      <c r="E177">
        <f>HYPERLINK("https://www.indeed.com/viewjob?jk=7b19634eb7558a9f", "https://www.indeed.com/viewjob?jk=7b19634eb7558a9f")</f>
        <v/>
      </c>
      <c r="F177">
        <f>HYPERLINK("https://www.amazon.jobs/jobs/3129475/applied-scientist-ii-prime-video-personalization-and-discovery-science?cmpid=DA_INAD200785B", "https://www.amazon.jobs/jobs/3129475/applied-scientist-ii-prime-video-personalization-and-discovery-science?cmpid=DA_INAD200785B")</f>
        <v/>
      </c>
      <c r="G177" t="inlineStr">
        <is>
          <t>New York, NY, US</t>
        </is>
      </c>
      <c r="H177" s="3" t="n">
        <v>45978</v>
      </c>
      <c r="I1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78">
      <c r="A178" t="inlineStr">
        <is>
          <t>in-3635856a132ed3fa</t>
        </is>
      </c>
      <c r="B178" t="inlineStr">
        <is>
          <t>Principal Applied Scientist, Amazon AGI</t>
        </is>
      </c>
      <c r="C178" t="inlineStr">
        <is>
          <t>Amazon.com</t>
        </is>
      </c>
      <c r="D178" t="inlineStr">
        <is>
          <t>indeed</t>
        </is>
      </c>
      <c r="E178">
        <f>HYPERLINK("https://www.indeed.com/viewjob?jk=3635856a132ed3fa", "https://www.indeed.com/viewjob?jk=3635856a132ed3fa")</f>
        <v/>
      </c>
      <c r="F178">
        <f>HYPERLINK("https://www.amazon.jobs/jobs/3128808/principal-applied-scientist-amazon-agi?cmpid=DA_INAD200785B", "https://www.amazon.jobs/jobs/3128808/principal-applied-scientist-amazon-agi?cmpid=DA_INAD200785B")</f>
        <v/>
      </c>
      <c r="G178" t="inlineStr">
        <is>
          <t>Boston, MA, US</t>
        </is>
      </c>
      <c r="H178" s="3" t="n">
        <v>45964</v>
      </c>
      <c r="I178"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in-1ee58eeb740afafc</t>
        </is>
      </c>
      <c r="B179" t="inlineStr">
        <is>
          <t>Principal Applied Scientist, Amazon AGI</t>
        </is>
      </c>
      <c r="C179" t="inlineStr">
        <is>
          <t>Amazon.com</t>
        </is>
      </c>
      <c r="D179" t="inlineStr">
        <is>
          <t>indeed</t>
        </is>
      </c>
      <c r="E179">
        <f>HYPERLINK("https://www.indeed.com/viewjob?jk=1ee58eeb740afafc", "https://www.indeed.com/viewjob?jk=1ee58eeb740afafc")</f>
        <v/>
      </c>
      <c r="F179">
        <f>HYPERLINK("https://www.amazon.jobs/jobs/3128808/principal-applied-scientist-amazon-agi?cmpid=DA_INAD200785B", "https://www.amazon.jobs/jobs/3128808/principal-applied-scientist-amazon-agi?cmpid=DA_INAD200785B")</f>
        <v/>
      </c>
      <c r="G179" t="inlineStr">
        <is>
          <t>San Francisco, CA, US</t>
        </is>
      </c>
      <c r="H179" s="3" t="n">
        <v>45964</v>
      </c>
      <c r="I179"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in-a8bc86c94ddae1df</t>
        </is>
      </c>
      <c r="B180" t="inlineStr">
        <is>
          <t>Applied Scientist, AWS Agentic AI</t>
        </is>
      </c>
      <c r="C180" t="inlineStr">
        <is>
          <t>Amazon Web Services</t>
        </is>
      </c>
      <c r="D180" t="inlineStr">
        <is>
          <t>indeed</t>
        </is>
      </c>
      <c r="E180">
        <f>HYPERLINK("https://www.indeed.com/viewjob?jk=a8bc86c94ddae1df", "https://www.indeed.com/viewjob?jk=a8bc86c94ddae1df")</f>
        <v/>
      </c>
      <c r="F180">
        <f>HYPERLINK("https://www.amazon.jobs/jobs/3141517/applied-scientist-aws-agentic-ai-?cmpid=DA_INAD200785B", "https://www.amazon.jobs/jobs/3141517/applied-scientist-aws-agentic-ai-?cmpid=DA_INAD200785B")</f>
        <v/>
      </c>
      <c r="G180" t="inlineStr">
        <is>
          <t>Seattle, WA, US</t>
        </is>
      </c>
      <c r="H180" s="3" t="n">
        <v>45962</v>
      </c>
      <c r="I18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in-9176e377988ee7f3</t>
        </is>
      </c>
      <c r="B181" t="inlineStr">
        <is>
          <t>Applied Scientist, AWS Agentic AI</t>
        </is>
      </c>
      <c r="C181" t="inlineStr">
        <is>
          <t>Amazon Web Services</t>
        </is>
      </c>
      <c r="D181" t="inlineStr">
        <is>
          <t>indeed</t>
        </is>
      </c>
      <c r="E181">
        <f>HYPERLINK("https://www.indeed.com/viewjob?jk=9176e377988ee7f3", "https://www.indeed.com/viewjob?jk=9176e377988ee7f3")</f>
        <v/>
      </c>
      <c r="F181">
        <f>HYPERLINK("https://www.amazon.jobs/jobs/3141517/applied-scientist-aws-agentic-ai-?cmpid=DA_INAD200785B", "https://www.amazon.jobs/jobs/3141517/applied-scientist-aws-agentic-ai-?cmpid=DA_INAD200785B")</f>
        <v/>
      </c>
      <c r="G181" t="inlineStr">
        <is>
          <t>New York, NY, US</t>
        </is>
      </c>
      <c r="H181" s="3" t="n">
        <v>45962</v>
      </c>
      <c r="I18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in-da1e2bdf699ea2e6</t>
        </is>
      </c>
      <c r="B182" t="inlineStr">
        <is>
          <t>Applied Scientist, AWS Agentic AI</t>
        </is>
      </c>
      <c r="C182" t="inlineStr">
        <is>
          <t>Amazon Web Services</t>
        </is>
      </c>
      <c r="D182" t="inlineStr">
        <is>
          <t>indeed</t>
        </is>
      </c>
      <c r="E182">
        <f>HYPERLINK("https://www.indeed.com/viewjob?jk=da1e2bdf699ea2e6", "https://www.indeed.com/viewjob?jk=da1e2bdf699ea2e6")</f>
        <v/>
      </c>
      <c r="F182">
        <f>HYPERLINK("https://www.amazon.jobs/jobs/3141517/applied-scientist-aws-agentic-ai-?cmpid=DA_INAD200785B", "https://www.amazon.jobs/jobs/3141517/applied-scientist-aws-agentic-ai-?cmpid=DA_INAD200785B")</f>
        <v/>
      </c>
      <c r="G182" t="inlineStr">
        <is>
          <t>Santa Clara, CA, US</t>
        </is>
      </c>
      <c r="H182" s="3" t="n">
        <v>45962</v>
      </c>
      <c r="I18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in-65ffc03843518ccc</t>
        </is>
      </c>
      <c r="B183" t="inlineStr">
        <is>
          <t>Sr. Applied Scientist, Prime Video - Personalization and Discovery Science</t>
        </is>
      </c>
      <c r="C183" t="inlineStr">
        <is>
          <t>Amazon.com</t>
        </is>
      </c>
      <c r="D183" t="inlineStr">
        <is>
          <t>indeed</t>
        </is>
      </c>
      <c r="E183">
        <f>HYPERLINK("https://www.indeed.com/viewjob?jk=65ffc03843518ccc", "https://www.indeed.com/viewjob?jk=65ffc03843518ccc")</f>
        <v/>
      </c>
      <c r="F183">
        <f>HYPERLINK("https://www.amazon.jobs/jobs/3118785/sr-applied-scientist-prime-video--personalization-and-discovery-science?cmpid=DA_INAD200785B", "https://www.amazon.jobs/jobs/3118785/sr-applied-scientist-prime-video--personalization-and-discovery-science?cmpid=DA_INAD200785B")</f>
        <v/>
      </c>
      <c r="G183" t="inlineStr">
        <is>
          <t>Sunnyvale, CA, US</t>
        </is>
      </c>
      <c r="H183" s="3" t="n">
        <v>45959</v>
      </c>
      <c r="I1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84">
      <c r="A184" t="inlineStr">
        <is>
          <t>in-89622ddef59b526c</t>
        </is>
      </c>
      <c r="B184" t="inlineStr">
        <is>
          <t>Sr. Applied Scientist, Prime Video - Personalization and Discovery Science</t>
        </is>
      </c>
      <c r="C184" t="inlineStr">
        <is>
          <t>Amazon.com</t>
        </is>
      </c>
      <c r="D184" t="inlineStr">
        <is>
          <t>indeed</t>
        </is>
      </c>
      <c r="E184">
        <f>HYPERLINK("https://www.indeed.com/viewjob?jk=89622ddef59b526c", "https://www.indeed.com/viewjob?jk=89622ddef59b526c")</f>
        <v/>
      </c>
      <c r="F184">
        <f>HYPERLINK("https://www.amazon.jobs/jobs/3118785/sr-applied-scientist-prime-video--personalization-and-discovery-science?cmpid=DA_INAD200785B", "https://www.amazon.jobs/jobs/3118785/sr-applied-scientist-prime-video--personalization-and-discovery-science?cmpid=DA_INAD200785B")</f>
        <v/>
      </c>
      <c r="G184" t="inlineStr">
        <is>
          <t>Seattle, WA, US</t>
        </is>
      </c>
      <c r="H184" s="3" t="n">
        <v>45959</v>
      </c>
      <c r="I1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85">
      <c r="A185" t="inlineStr">
        <is>
          <t>in-6595d87a3df2f392</t>
        </is>
      </c>
      <c r="B185" t="inlineStr">
        <is>
          <t>Sr. Applied Scientist, Prime Video - Personalization and Discovery Science</t>
        </is>
      </c>
      <c r="C185" t="inlineStr">
        <is>
          <t>Amazon.com</t>
        </is>
      </c>
      <c r="D185" t="inlineStr">
        <is>
          <t>indeed</t>
        </is>
      </c>
      <c r="E185">
        <f>HYPERLINK("https://www.indeed.com/viewjob?jk=6595d87a3df2f392", "https://www.indeed.com/viewjob?jk=6595d87a3df2f392")</f>
        <v/>
      </c>
      <c r="F185">
        <f>HYPERLINK("https://www.amazon.jobs/jobs/3118785/sr-applied-scientist-prime-video--personalization-and-discovery-science?cmpid=DA_INAD200785B", "https://www.amazon.jobs/jobs/3118785/sr-applied-scientist-prime-video--personalization-and-discovery-science?cmpid=DA_INAD200785B")</f>
        <v/>
      </c>
      <c r="G185" t="inlineStr">
        <is>
          <t>New York, NY, US</t>
        </is>
      </c>
      <c r="H185" s="3" t="n">
        <v>45959</v>
      </c>
      <c r="I1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86">
      <c r="A186" t="inlineStr">
        <is>
          <t>in-ab65b0422f360907</t>
        </is>
      </c>
      <c r="B186" t="inlineStr">
        <is>
          <t>Principal Applied Scientist, Advertiser Growth, Amazon Sponsored Products &amp; Brands</t>
        </is>
      </c>
      <c r="C186" t="inlineStr">
        <is>
          <t>Amazon.com</t>
        </is>
      </c>
      <c r="D186" t="inlineStr">
        <is>
          <t>indeed</t>
        </is>
      </c>
      <c r="E186">
        <f>HYPERLINK("https://www.indeed.com/viewjob?jk=ab65b0422f360907", "https://www.indeed.com/viewjob?jk=ab65b0422f360907")</f>
        <v/>
      </c>
      <c r="F186">
        <f>HYPERLINK("https://www.amazon.jobs/jobs/3115279/principal-applied-scientist-advertiser-growth-amazon-sponsored-products--brands?cmpid=DA_INAD200785B", "https://www.amazon.jobs/jobs/3115279/principal-applied-scientist-advertiser-growth-amazon-sponsored-products--brands?cmpid=DA_INAD200785B")</f>
        <v/>
      </c>
      <c r="G186" t="inlineStr">
        <is>
          <t>Palo Alto, CA, US</t>
        </is>
      </c>
      <c r="H186" s="3" t="n">
        <v>45942</v>
      </c>
      <c r="I18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in-a85260433d5e5bb3</t>
        </is>
      </c>
      <c r="B187" t="inlineStr">
        <is>
          <t>Principal Applied Scientist, Advertiser Growth, Amazon Sponsored Products &amp; Brands</t>
        </is>
      </c>
      <c r="C187" t="inlineStr">
        <is>
          <t>Amazon.com</t>
        </is>
      </c>
      <c r="D187" t="inlineStr">
        <is>
          <t>indeed</t>
        </is>
      </c>
      <c r="E187">
        <f>HYPERLINK("https://www.indeed.com/viewjob?jk=a85260433d5e5bb3", "https://www.indeed.com/viewjob?jk=a85260433d5e5bb3")</f>
        <v/>
      </c>
      <c r="F187">
        <f>HYPERLINK("https://www.amazon.jobs/jobs/3115279/principal-applied-scientist-advertiser-growth-amazon-sponsored-products--brands?cmpid=DA_INAD200785B", "https://www.amazon.jobs/jobs/3115279/principal-applied-scientist-advertiser-growth-amazon-sponsored-products--brands?cmpid=DA_INAD200785B")</f>
        <v/>
      </c>
      <c r="G187" t="inlineStr">
        <is>
          <t>Seattle, WA, US</t>
        </is>
      </c>
      <c r="H187" s="3" t="n">
        <v>45942</v>
      </c>
      <c r="I18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in-1f8ae9e513436ee0</t>
        </is>
      </c>
      <c r="B188" t="inlineStr">
        <is>
          <t>Principal Applied Scientist, Advertiser Growth, Amazon Sponsored Products &amp; Brands</t>
        </is>
      </c>
      <c r="C188" t="inlineStr">
        <is>
          <t>Amazon.com</t>
        </is>
      </c>
      <c r="D188" t="inlineStr">
        <is>
          <t>indeed</t>
        </is>
      </c>
      <c r="E188">
        <f>HYPERLINK("https://www.indeed.com/viewjob?jk=1f8ae9e513436ee0", "https://www.indeed.com/viewjob?jk=1f8ae9e513436ee0")</f>
        <v/>
      </c>
      <c r="F188">
        <f>HYPERLINK("https://www.amazon.jobs/jobs/3115279/principal-applied-scientist-advertiser-growth-amazon-sponsored-products--brands?cmpid=DA_INAD200785B", "https://www.amazon.jobs/jobs/3115279/principal-applied-scientist-advertiser-growth-amazon-sponsored-products--brands?cmpid=DA_INAD200785B")</f>
        <v/>
      </c>
      <c r="G188" t="inlineStr">
        <is>
          <t>New York, NY, US</t>
        </is>
      </c>
      <c r="H188" s="3" t="n">
        <v>45942</v>
      </c>
      <c r="I18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in-e31ac2605a3a5dcc</t>
        </is>
      </c>
      <c r="B189" t="inlineStr">
        <is>
          <t>Applied Scientist</t>
        </is>
      </c>
      <c r="C189" t="inlineStr">
        <is>
          <t>Amazon.com</t>
        </is>
      </c>
      <c r="D189" t="inlineStr">
        <is>
          <t>indeed</t>
        </is>
      </c>
      <c r="E189">
        <f>HYPERLINK("https://www.indeed.com/viewjob?jk=e31ac2605a3a5dcc", "https://www.indeed.com/viewjob?jk=e31ac2605a3a5dcc")</f>
        <v/>
      </c>
      <c r="F189">
        <f>HYPERLINK("https://www.amazon.jobs/jobs/3106501/applied-scientist?cmpid=DA_INAD200785B", "https://www.amazon.jobs/jobs/3106501/applied-scientist?cmpid=DA_INAD200785B")</f>
        <v/>
      </c>
      <c r="G189" t="inlineStr">
        <is>
          <t>Palo Alto, CA, US</t>
        </is>
      </c>
      <c r="H189" s="3" t="n">
        <v>45939</v>
      </c>
      <c r="I18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in-fceadfd6bae5ad76</t>
        </is>
      </c>
      <c r="B190" t="inlineStr">
        <is>
          <t>Applied Scientist</t>
        </is>
      </c>
      <c r="C190" t="inlineStr">
        <is>
          <t>Amazon.com</t>
        </is>
      </c>
      <c r="D190" t="inlineStr">
        <is>
          <t>indeed</t>
        </is>
      </c>
      <c r="E190">
        <f>HYPERLINK("https://www.indeed.com/viewjob?jk=fceadfd6bae5ad76", "https://www.indeed.com/viewjob?jk=fceadfd6bae5ad76")</f>
        <v/>
      </c>
      <c r="F190">
        <f>HYPERLINK("https://www.amazon.jobs/jobs/3106501/applied-scientist?cmpid=DA_INAD200785B", "https://www.amazon.jobs/jobs/3106501/applied-scientist?cmpid=DA_INAD200785B")</f>
        <v/>
      </c>
      <c r="G190" t="inlineStr">
        <is>
          <t>New York, NY, US</t>
        </is>
      </c>
      <c r="H190" s="3" t="n">
        <v>45939</v>
      </c>
      <c r="I19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in-a280041a11ea8bc4</t>
        </is>
      </c>
      <c r="B191" t="inlineStr">
        <is>
          <t>Applied Scientist</t>
        </is>
      </c>
      <c r="C191" t="inlineStr">
        <is>
          <t>Amazon.com</t>
        </is>
      </c>
      <c r="D191" t="inlineStr">
        <is>
          <t>indeed</t>
        </is>
      </c>
      <c r="E191">
        <f>HYPERLINK("https://www.indeed.com/viewjob?jk=a280041a11ea8bc4", "https://www.indeed.com/viewjob?jk=a280041a11ea8bc4")</f>
        <v/>
      </c>
      <c r="F191">
        <f>HYPERLINK("https://www.amazon.jobs/jobs/3106501/applied-scientist?cmpid=DA_INAD200785B", "https://www.amazon.jobs/jobs/3106501/applied-scientist?cmpid=DA_INAD200785B")</f>
        <v/>
      </c>
      <c r="G191" t="inlineStr">
        <is>
          <t>Seattle, WA, US</t>
        </is>
      </c>
      <c r="H191" s="3" t="n">
        <v>45939</v>
      </c>
      <c r="I19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in-4cbaa108f10cf08c</t>
        </is>
      </c>
      <c r="B192" t="inlineStr">
        <is>
          <t>Sr. Applied Scientist, SPB Advertiser Guidance</t>
        </is>
      </c>
      <c r="C192" t="inlineStr">
        <is>
          <t>Amazon.com</t>
        </is>
      </c>
      <c r="D192" t="inlineStr">
        <is>
          <t>indeed</t>
        </is>
      </c>
      <c r="E192">
        <f>HYPERLINK("https://www.indeed.com/viewjob?jk=4cbaa108f10cf08c", "https://www.indeed.com/viewjob?jk=4cbaa108f10cf08c")</f>
        <v/>
      </c>
      <c r="F192">
        <f>HYPERLINK("https://www.amazon.jobs/jobs/3106497/sr-applied-scientist-spb-advertiser-guidance?cmpid=DA_INAD200785B", "https://www.amazon.jobs/jobs/3106497/sr-applied-scientist-spb-advertiser-guidance?cmpid=DA_INAD200785B")</f>
        <v/>
      </c>
      <c r="G192" t="inlineStr">
        <is>
          <t>Palo Alto, CA, US</t>
        </is>
      </c>
      <c r="H192" s="3" t="n">
        <v>45939</v>
      </c>
      <c r="I19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in-5f2a85d22a69448b</t>
        </is>
      </c>
      <c r="B193" t="inlineStr">
        <is>
          <t>Sr. Applied Scientist, SPB Advertiser Guidance</t>
        </is>
      </c>
      <c r="C193" t="inlineStr">
        <is>
          <t>Amazon.com</t>
        </is>
      </c>
      <c r="D193" t="inlineStr">
        <is>
          <t>indeed</t>
        </is>
      </c>
      <c r="E193">
        <f>HYPERLINK("https://www.indeed.com/viewjob?jk=5f2a85d22a69448b", "https://www.indeed.com/viewjob?jk=5f2a85d22a69448b")</f>
        <v/>
      </c>
      <c r="F193">
        <f>HYPERLINK("https://www.amazon.jobs/jobs/3106497/sr-applied-scientist-spb-advertiser-guidance?cmpid=DA_INAD200785B", "https://www.amazon.jobs/jobs/3106497/sr-applied-scientist-spb-advertiser-guidance?cmpid=DA_INAD200785B")</f>
        <v/>
      </c>
      <c r="G193" t="inlineStr">
        <is>
          <t>New York, NY, US</t>
        </is>
      </c>
      <c r="H193" s="3" t="n">
        <v>45939</v>
      </c>
      <c r="I19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in-e7ab2ac3f1a17b08</t>
        </is>
      </c>
      <c r="B194" t="inlineStr">
        <is>
          <t>Sr. Applied Scientist, SPB Advertiser Guidance</t>
        </is>
      </c>
      <c r="C194" t="inlineStr">
        <is>
          <t>Amazon.com</t>
        </is>
      </c>
      <c r="D194" t="inlineStr">
        <is>
          <t>indeed</t>
        </is>
      </c>
      <c r="E194">
        <f>HYPERLINK("https://www.indeed.com/viewjob?jk=e7ab2ac3f1a17b08", "https://www.indeed.com/viewjob?jk=e7ab2ac3f1a17b08")</f>
        <v/>
      </c>
      <c r="F194">
        <f>HYPERLINK("https://www.amazon.jobs/jobs/3106497/sr-applied-scientist-spb-advertiser-guidance?cmpid=DA_INAD200785B", "https://www.amazon.jobs/jobs/3106497/sr-applied-scientist-spb-advertiser-guidance?cmpid=DA_INAD200785B")</f>
        <v/>
      </c>
      <c r="G194" t="inlineStr">
        <is>
          <t>Seattle, WA, US</t>
        </is>
      </c>
      <c r="H194" s="3" t="n">
        <v>45939</v>
      </c>
      <c r="I19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in-f4e23f8d19d54c9a</t>
        </is>
      </c>
      <c r="B195" t="inlineStr">
        <is>
          <t>Applied Scientist II, Prime Video - Personalization and Discovery Science, Personalization and Discovery Science</t>
        </is>
      </c>
      <c r="C195" t="inlineStr">
        <is>
          <t>Amazon.com</t>
        </is>
      </c>
      <c r="D195" t="inlineStr">
        <is>
          <t>indeed</t>
        </is>
      </c>
      <c r="E195">
        <f>HYPERLINK("https://www.indeed.com/viewjob?jk=f4e23f8d19d54c9a", "https://www.indeed.com/viewjob?jk=f4e23f8d19d54c9a")</f>
        <v/>
      </c>
      <c r="F195">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95" t="inlineStr">
        <is>
          <t>Seattle, WA, US</t>
        </is>
      </c>
      <c r="H195" s="3" t="n">
        <v>45930</v>
      </c>
      <c r="I1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in-36c03b96cc259bfc</t>
        </is>
      </c>
      <c r="B196" t="inlineStr">
        <is>
          <t>Applied Scientist II, Prime Video - Personalization and Discovery Science, Personalization and Discovery Science</t>
        </is>
      </c>
      <c r="C196" t="inlineStr">
        <is>
          <t>Amazon.com</t>
        </is>
      </c>
      <c r="D196" t="inlineStr">
        <is>
          <t>indeed</t>
        </is>
      </c>
      <c r="E196">
        <f>HYPERLINK("https://www.indeed.com/viewjob?jk=36c03b96cc259bfc", "https://www.indeed.com/viewjob?jk=36c03b96cc259bfc")</f>
        <v/>
      </c>
      <c r="F196">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96" t="inlineStr">
        <is>
          <t>New York, NY, US</t>
        </is>
      </c>
      <c r="H196" s="3" t="n">
        <v>45930</v>
      </c>
      <c r="I1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in-eed73b8933704b2d</t>
        </is>
      </c>
      <c r="B197" t="inlineStr">
        <is>
          <t>Applied Scientist II, Prime Video - Personalization and Discovery Science, Personalization and Discovery Science</t>
        </is>
      </c>
      <c r="C197" t="inlineStr">
        <is>
          <t>Amazon.com</t>
        </is>
      </c>
      <c r="D197" t="inlineStr">
        <is>
          <t>indeed</t>
        </is>
      </c>
      <c r="E197">
        <f>HYPERLINK("https://www.indeed.com/viewjob?jk=eed73b8933704b2d", "https://www.indeed.com/viewjob?jk=eed73b8933704b2d")</f>
        <v/>
      </c>
      <c r="F197">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97" t="inlineStr">
        <is>
          <t>Sunnyvale, CA, US</t>
        </is>
      </c>
      <c r="H197" s="3" t="n">
        <v>45930</v>
      </c>
      <c r="I1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in-2f5fc89c4dbbb756</t>
        </is>
      </c>
      <c r="B198" t="inlineStr">
        <is>
          <t>Applied Scientist, Workplace Health &amp; Safety</t>
        </is>
      </c>
      <c r="C198" t="inlineStr">
        <is>
          <t>Amazon.com</t>
        </is>
      </c>
      <c r="D198" t="inlineStr">
        <is>
          <t>indeed</t>
        </is>
      </c>
      <c r="E198">
        <f>HYPERLINK("https://www.indeed.com/viewjob?jk=2f5fc89c4dbbb756", "https://www.indeed.com/viewjob?jk=2f5fc89c4dbbb756")</f>
        <v/>
      </c>
      <c r="F198">
        <f>HYPERLINK("https://www.amazon.jobs/jobs/3144886/applied-scientist-workplace-health--safety-?cmpid=DA_INAD200785B", "https://www.amazon.jobs/jobs/3144886/applied-scientist-workplace-health--safety-?cmpid=DA_INAD200785B")</f>
        <v/>
      </c>
      <c r="G198" t="inlineStr">
        <is>
          <t>Nashville, TN, US</t>
        </is>
      </c>
      <c r="H198" s="3" t="n">
        <v>45917</v>
      </c>
      <c r="I198"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in-6593aae1540d8da6</t>
        </is>
      </c>
      <c r="B199" t="inlineStr">
        <is>
          <t>Applied Scientist, Workplace Health &amp; Safety</t>
        </is>
      </c>
      <c r="C199" t="inlineStr">
        <is>
          <t>Amazon.com</t>
        </is>
      </c>
      <c r="D199" t="inlineStr">
        <is>
          <t>indeed</t>
        </is>
      </c>
      <c r="E199">
        <f>HYPERLINK("https://www.indeed.com/viewjob?jk=6593aae1540d8da6", "https://www.indeed.com/viewjob?jk=6593aae1540d8da6")</f>
        <v/>
      </c>
      <c r="F199">
        <f>HYPERLINK("https://www.amazon.jobs/jobs/3144886/applied-scientist-workplace-health--safety-?cmpid=DA_INAD200785B", "https://www.amazon.jobs/jobs/3144886/applied-scientist-workplace-health--safety-?cmpid=DA_INAD200785B")</f>
        <v/>
      </c>
      <c r="G199" t="inlineStr">
        <is>
          <t>Bellevue, WA, US</t>
        </is>
      </c>
      <c r="H199" s="3" t="n">
        <v>45917</v>
      </c>
      <c r="I199"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in-d2347e255d96a563</t>
        </is>
      </c>
      <c r="B200" t="inlineStr">
        <is>
          <t>Sr. Applied Scientist, Prime Video - Personalization and Discovery Science</t>
        </is>
      </c>
      <c r="C200" t="inlineStr">
        <is>
          <t>Amazon.com</t>
        </is>
      </c>
      <c r="D200" t="inlineStr">
        <is>
          <t>indeed</t>
        </is>
      </c>
      <c r="E200">
        <f>HYPERLINK("https://www.indeed.com/viewjob?jk=d2347e255d96a563", "https://www.indeed.com/viewjob?jk=d2347e255d96a563")</f>
        <v/>
      </c>
      <c r="F200">
        <f>HYPERLINK("https://www.amazon.jobs/jobs/3084479/sr-applied-scientist-prime-video--personalization-and-discovery-science?cmpid=DA_INAD200785B", "https://www.amazon.jobs/jobs/3084479/sr-applied-scientist-prime-video--personalization-and-discovery-science?cmpid=DA_INAD200785B")</f>
        <v/>
      </c>
      <c r="G200" t="inlineStr">
        <is>
          <t>Seattle, WA, US</t>
        </is>
      </c>
      <c r="H200" s="3" t="n">
        <v>45896</v>
      </c>
      <c r="I2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01">
      <c r="A201" t="inlineStr">
        <is>
          <t>in-c252a778e1af71be</t>
        </is>
      </c>
      <c r="B201" t="inlineStr">
        <is>
          <t>Sr. Applied Scientist, Prime Video - Personalization and Discovery Science</t>
        </is>
      </c>
      <c r="C201" t="inlineStr">
        <is>
          <t>Amazon.com</t>
        </is>
      </c>
      <c r="D201" t="inlineStr">
        <is>
          <t>indeed</t>
        </is>
      </c>
      <c r="E201">
        <f>HYPERLINK("https://www.indeed.com/viewjob?jk=c252a778e1af71be", "https://www.indeed.com/viewjob?jk=c252a778e1af71be")</f>
        <v/>
      </c>
      <c r="F201">
        <f>HYPERLINK("https://www.amazon.jobs/jobs/3084479/sr-applied-scientist-prime-video--personalization-and-discovery-science?cmpid=DA_INAD200785B", "https://www.amazon.jobs/jobs/3084479/sr-applied-scientist-prime-video--personalization-and-discovery-science?cmpid=DA_INAD200785B")</f>
        <v/>
      </c>
      <c r="G201" t="inlineStr">
        <is>
          <t>New York, NY, US</t>
        </is>
      </c>
      <c r="H201" s="3" t="n">
        <v>45896</v>
      </c>
      <c r="I2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02">
      <c r="A202" t="inlineStr">
        <is>
          <t>in-278e21ad8935ab1c</t>
        </is>
      </c>
      <c r="B202" t="inlineStr">
        <is>
          <t>Applied Scientist II, Prime Video , Personalization and Discovery Science</t>
        </is>
      </c>
      <c r="C202" t="inlineStr">
        <is>
          <t>Amazon.com</t>
        </is>
      </c>
      <c r="D202" t="inlineStr">
        <is>
          <t>indeed</t>
        </is>
      </c>
      <c r="E202">
        <f>HYPERLINK("https://www.indeed.com/viewjob?jk=278e21ad8935ab1c", "https://www.indeed.com/viewjob?jk=278e21ad8935ab1c")</f>
        <v/>
      </c>
      <c r="F202">
        <f>HYPERLINK("https://www.amazon.jobs/jobs/3061303/applied-scientist-ii-prime-video--personalization-and-discovery-science?cmpid=DA_INAD200785B", "https://www.amazon.jobs/jobs/3061303/applied-scientist-ii-prime-video--personalization-and-discovery-science?cmpid=DA_INAD200785B")</f>
        <v/>
      </c>
      <c r="G202" t="inlineStr">
        <is>
          <t>Seattle, WA, US</t>
        </is>
      </c>
      <c r="H202" s="3" t="n">
        <v>45886</v>
      </c>
      <c r="I2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203">
      <c r="A203" t="inlineStr">
        <is>
          <t>in-148b828f5dda0807</t>
        </is>
      </c>
      <c r="B203" t="inlineStr">
        <is>
          <t>Applied Scientist II, Prime Video , Personalization and Discovery Science</t>
        </is>
      </c>
      <c r="C203" t="inlineStr">
        <is>
          <t>Amazon.com</t>
        </is>
      </c>
      <c r="D203" t="inlineStr">
        <is>
          <t>indeed</t>
        </is>
      </c>
      <c r="E203">
        <f>HYPERLINK("https://www.indeed.com/viewjob?jk=148b828f5dda0807", "https://www.indeed.com/viewjob?jk=148b828f5dda0807")</f>
        <v/>
      </c>
      <c r="F203">
        <f>HYPERLINK("https://www.amazon.jobs/jobs/3061303/applied-scientist-ii-prime-video--personalization-and-discovery-science?cmpid=DA_INAD200785B", "https://www.amazon.jobs/jobs/3061303/applied-scientist-ii-prime-video--personalization-and-discovery-science?cmpid=DA_INAD200785B")</f>
        <v/>
      </c>
      <c r="G203" t="inlineStr">
        <is>
          <t>Sunnyvale, CA, US</t>
        </is>
      </c>
      <c r="H203" s="3" t="n">
        <v>45886</v>
      </c>
      <c r="I20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204">
      <c r="A204" t="inlineStr">
        <is>
          <t>in-e86416e40cbe6c4f</t>
        </is>
      </c>
      <c r="B204" t="inlineStr">
        <is>
          <t>Applied Scientist II, Prime Video , Personalization and Discovery Science</t>
        </is>
      </c>
      <c r="C204" t="inlineStr">
        <is>
          <t>Amazon.com</t>
        </is>
      </c>
      <c r="D204" t="inlineStr">
        <is>
          <t>indeed</t>
        </is>
      </c>
      <c r="E204">
        <f>HYPERLINK("https://www.indeed.com/viewjob?jk=e86416e40cbe6c4f", "https://www.indeed.com/viewjob?jk=e86416e40cbe6c4f")</f>
        <v/>
      </c>
      <c r="F204">
        <f>HYPERLINK("https://www.amazon.jobs/jobs/3061303/applied-scientist-ii-prime-video--personalization-and-discovery-science?cmpid=DA_INAD200785B", "https://www.amazon.jobs/jobs/3061303/applied-scientist-ii-prime-video--personalization-and-discovery-science?cmpid=DA_INAD200785B")</f>
        <v/>
      </c>
      <c r="G204" t="inlineStr">
        <is>
          <t>New York, NY, US</t>
        </is>
      </c>
      <c r="H204" s="3" t="n">
        <v>45886</v>
      </c>
      <c r="I20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205">
      <c r="A205" t="inlineStr">
        <is>
          <t>in-85666df0eeb97e7a</t>
        </is>
      </c>
      <c r="B205" t="inlineStr">
        <is>
          <t>Applied Scientist II, Prime Video - Personalization and Discovery Science</t>
        </is>
      </c>
      <c r="C205" t="inlineStr">
        <is>
          <t>Amazon.com</t>
        </is>
      </c>
      <c r="D205" t="inlineStr">
        <is>
          <t>indeed</t>
        </is>
      </c>
      <c r="E205">
        <f>HYPERLINK("https://www.indeed.com/viewjob?jk=85666df0eeb97e7a", "https://www.indeed.com/viewjob?jk=85666df0eeb97e7a")</f>
        <v/>
      </c>
      <c r="F205">
        <f>HYPERLINK("https://www.amazon.jobs/jobs/3059253/applied-scientist-ii-prime-video--personalization-and-discovery-science?cmpid=DA_INAD200785B", "https://www.amazon.jobs/jobs/3059253/applied-scientist-ii-prime-video--personalization-and-discovery-science?cmpid=DA_INAD200785B")</f>
        <v/>
      </c>
      <c r="G205" t="inlineStr">
        <is>
          <t>New York, NY, US</t>
        </is>
      </c>
      <c r="H205" s="3" t="n">
        <v>45881</v>
      </c>
      <c r="I20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in-14c40773bf3cbcf4</t>
        </is>
      </c>
      <c r="B206" t="inlineStr">
        <is>
          <t>Sr. Applied Scientist, Prime Video - Personalization and Discovery Science</t>
        </is>
      </c>
      <c r="C206" t="inlineStr">
        <is>
          <t>Amazon.com</t>
        </is>
      </c>
      <c r="D206" t="inlineStr">
        <is>
          <t>indeed</t>
        </is>
      </c>
      <c r="E206">
        <f>HYPERLINK("https://www.indeed.com/viewjob?jk=14c40773bf3cbcf4", "https://www.indeed.com/viewjob?jk=14c40773bf3cbcf4")</f>
        <v/>
      </c>
      <c r="F206">
        <f>HYPERLINK("https://www.amazon.jobs/jobs/3059256/sr-applied-scientist-prime-video--personalization-and-discovery-science?cmpid=DA_INAD200785B", "https://www.amazon.jobs/jobs/3059256/sr-applied-scientist-prime-video--personalization-and-discovery-science?cmpid=DA_INAD200785B")</f>
        <v/>
      </c>
      <c r="G206" t="inlineStr">
        <is>
          <t>Seattle, WA, US</t>
        </is>
      </c>
      <c r="H206" s="3" t="n">
        <v>45881</v>
      </c>
      <c r="I20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in-203c7b03be9cc1ce</t>
        </is>
      </c>
      <c r="B207" t="inlineStr">
        <is>
          <t>Sr. Applied Scientist, Prime Video - Personalization and Discovery Science</t>
        </is>
      </c>
      <c r="C207" t="inlineStr">
        <is>
          <t>Amazon.com</t>
        </is>
      </c>
      <c r="D207" t="inlineStr">
        <is>
          <t>indeed</t>
        </is>
      </c>
      <c r="E207">
        <f>HYPERLINK("https://www.indeed.com/viewjob?jk=203c7b03be9cc1ce", "https://www.indeed.com/viewjob?jk=203c7b03be9cc1ce")</f>
        <v/>
      </c>
      <c r="F207">
        <f>HYPERLINK("https://www.amazon.jobs/jobs/3059256/sr-applied-scientist-prime-video--personalization-and-discovery-science?cmpid=DA_INAD200785B", "https://www.amazon.jobs/jobs/3059256/sr-applied-scientist-prime-video--personalization-and-discovery-science?cmpid=DA_INAD200785B")</f>
        <v/>
      </c>
      <c r="G207" t="inlineStr">
        <is>
          <t>Sunnyvale, CA, US</t>
        </is>
      </c>
      <c r="H207" s="3" t="n">
        <v>45881</v>
      </c>
      <c r="I20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in-a2b49922214ab0c4</t>
        </is>
      </c>
      <c r="B208" t="inlineStr">
        <is>
          <t>Applied Scientist II, Prime Video - Personalization and Discovery Science</t>
        </is>
      </c>
      <c r="C208" t="inlineStr">
        <is>
          <t>Amazon.com</t>
        </is>
      </c>
      <c r="D208" t="inlineStr">
        <is>
          <t>indeed</t>
        </is>
      </c>
      <c r="E208">
        <f>HYPERLINK("https://www.indeed.com/viewjob?jk=a2b49922214ab0c4", "https://www.indeed.com/viewjob?jk=a2b49922214ab0c4")</f>
        <v/>
      </c>
      <c r="F208">
        <f>HYPERLINK("https://www.amazon.jobs/jobs/3059253/applied-scientist-ii-prime-video--personalization-and-discovery-science?cmpid=DA_INAD200785B", "https://www.amazon.jobs/jobs/3059253/applied-scientist-ii-prime-video--personalization-and-discovery-science?cmpid=DA_INAD200785B")</f>
        <v/>
      </c>
      <c r="G208" t="inlineStr">
        <is>
          <t>Sunnyvale, CA, US</t>
        </is>
      </c>
      <c r="H208" s="3" t="n">
        <v>45881</v>
      </c>
      <c r="I20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in-d736e4f7f41d55bf</t>
        </is>
      </c>
      <c r="B209" t="inlineStr">
        <is>
          <t>Sr. Applied Scientist, Prime Video - Personalization and Discovery Science</t>
        </is>
      </c>
      <c r="C209" t="inlineStr">
        <is>
          <t>Amazon.com</t>
        </is>
      </c>
      <c r="D209" t="inlineStr">
        <is>
          <t>indeed</t>
        </is>
      </c>
      <c r="E209">
        <f>HYPERLINK("https://www.indeed.com/viewjob?jk=d736e4f7f41d55bf", "https://www.indeed.com/viewjob?jk=d736e4f7f41d55bf")</f>
        <v/>
      </c>
      <c r="F209">
        <f>HYPERLINK("https://www.amazon.jobs/jobs/3059256/sr-applied-scientist-prime-video--personalization-and-discovery-science?cmpid=DA_INAD200785B", "https://www.amazon.jobs/jobs/3059256/sr-applied-scientist-prime-video--personalization-and-discovery-science?cmpid=DA_INAD200785B")</f>
        <v/>
      </c>
      <c r="G209" t="inlineStr">
        <is>
          <t>New York, NY, US</t>
        </is>
      </c>
      <c r="H209" s="3" t="n">
        <v>45881</v>
      </c>
      <c r="I20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in-11651d7e68d8cb05</t>
        </is>
      </c>
      <c r="B210" t="inlineStr">
        <is>
          <t>Applied Scientist II, Prime Video - Personalization and Discovery Science</t>
        </is>
      </c>
      <c r="C210" t="inlineStr">
        <is>
          <t>Amazon.com</t>
        </is>
      </c>
      <c r="D210" t="inlineStr">
        <is>
          <t>indeed</t>
        </is>
      </c>
      <c r="E210">
        <f>HYPERLINK("https://www.indeed.com/viewjob?jk=11651d7e68d8cb05", "https://www.indeed.com/viewjob?jk=11651d7e68d8cb05")</f>
        <v/>
      </c>
      <c r="F210">
        <f>HYPERLINK("https://www.amazon.jobs/jobs/3059253/applied-scientist-ii-prime-video--personalization-and-discovery-science?cmpid=DA_INAD200785B", "https://www.amazon.jobs/jobs/3059253/applied-scientist-ii-prime-video--personalization-and-discovery-science?cmpid=DA_INAD200785B")</f>
        <v/>
      </c>
      <c r="G210" t="inlineStr">
        <is>
          <t>Seattle, WA, US</t>
        </is>
      </c>
      <c r="H210" s="3" t="n">
        <v>45881</v>
      </c>
      <c r="I2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in-4c7e9461f26f279b</t>
        </is>
      </c>
      <c r="B211" t="inlineStr">
        <is>
          <t>Applied Scientist III, StoreGen</t>
        </is>
      </c>
      <c r="C211" t="inlineStr">
        <is>
          <t>Amazon.com</t>
        </is>
      </c>
      <c r="D211" t="inlineStr">
        <is>
          <t>indeed</t>
        </is>
      </c>
      <c r="E211">
        <f>HYPERLINK("https://www.indeed.com/viewjob?jk=4c7e9461f26f279b", "https://www.indeed.com/viewjob?jk=4c7e9461f26f279b")</f>
        <v/>
      </c>
      <c r="F211">
        <f>HYPERLINK("https://www.amazon.jobs/jobs/3065534/applied-scientist-iii-storegen?cmpid=DA_INAD200785B", "https://www.amazon.jobs/jobs/3065534/applied-scientist-iii-storegen?cmpid=DA_INAD200785B")</f>
        <v/>
      </c>
      <c r="G211" t="inlineStr">
        <is>
          <t>Sunnyvale, CA, US</t>
        </is>
      </c>
      <c r="H211" s="3" t="n">
        <v>45868</v>
      </c>
      <c r="I211"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in-c0d607bc9add1de7</t>
        </is>
      </c>
      <c r="B212" t="inlineStr">
        <is>
          <t>Applied Scientist III, StoreGen</t>
        </is>
      </c>
      <c r="C212" t="inlineStr">
        <is>
          <t>Amazon.com</t>
        </is>
      </c>
      <c r="D212" t="inlineStr">
        <is>
          <t>indeed</t>
        </is>
      </c>
      <c r="E212">
        <f>HYPERLINK("https://www.indeed.com/viewjob?jk=c0d607bc9add1de7", "https://www.indeed.com/viewjob?jk=c0d607bc9add1de7")</f>
        <v/>
      </c>
      <c r="F212">
        <f>HYPERLINK("https://www.amazon.jobs/jobs/3065534/applied-scientist-iii-storegen?cmpid=DA_INAD200785B", "https://www.amazon.jobs/jobs/3065534/applied-scientist-iii-storegen?cmpid=DA_INAD200785B")</f>
        <v/>
      </c>
      <c r="G212" t="inlineStr">
        <is>
          <t>Seattle, WA, US</t>
        </is>
      </c>
      <c r="H212" s="3" t="n">
        <v>45868</v>
      </c>
      <c r="I212"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in-3686a9b4bee705b2</t>
        </is>
      </c>
      <c r="B213" t="inlineStr">
        <is>
          <t>Sr. Applied Scientist, Amazon Advertising</t>
        </is>
      </c>
      <c r="C213" t="inlineStr">
        <is>
          <t>Amazon.com</t>
        </is>
      </c>
      <c r="D213" t="inlineStr">
        <is>
          <t>indeed</t>
        </is>
      </c>
      <c r="E213">
        <f>HYPERLINK("https://www.indeed.com/viewjob?jk=3686a9b4bee705b2", "https://www.indeed.com/viewjob?jk=3686a9b4bee705b2")</f>
        <v/>
      </c>
      <c r="F213">
        <f>HYPERLINK("https://www.amazon.jobs/jobs/3035686/sr-applied-scientist-amazon-advertising?cmpid=DA_INAD200785B", "https://www.amazon.jobs/jobs/3035686/sr-applied-scientist-amazon-advertising?cmpid=DA_INAD200785B")</f>
        <v/>
      </c>
      <c r="G213" t="inlineStr">
        <is>
          <t>West Hollywood, CA, US</t>
        </is>
      </c>
      <c r="H213" s="3" t="n">
        <v>45851</v>
      </c>
      <c r="I21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in-4aaa758e51a728f4</t>
        </is>
      </c>
      <c r="B214" t="inlineStr">
        <is>
          <t>Sr. Applied Scientist, Amazon Advertising</t>
        </is>
      </c>
      <c r="C214" t="inlineStr">
        <is>
          <t>Amazon.com</t>
        </is>
      </c>
      <c r="D214" t="inlineStr">
        <is>
          <t>indeed</t>
        </is>
      </c>
      <c r="E214">
        <f>HYPERLINK("https://www.indeed.com/viewjob?jk=4aaa758e51a728f4", "https://www.indeed.com/viewjob?jk=4aaa758e51a728f4")</f>
        <v/>
      </c>
      <c r="F214">
        <f>HYPERLINK("https://www.amazon.jobs/jobs/3035686/sr-applied-scientist-amazon-advertising?cmpid=DA_INAD200785B", "https://www.amazon.jobs/jobs/3035686/sr-applied-scientist-amazon-advertising?cmpid=DA_INAD200785B")</f>
        <v/>
      </c>
      <c r="G214" t="inlineStr">
        <is>
          <t>Arlington, VA, US</t>
        </is>
      </c>
      <c r="H214" s="3" t="n">
        <v>45851</v>
      </c>
      <c r="I21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in-bae5f26053bde77e</t>
        </is>
      </c>
      <c r="B215" t="inlineStr">
        <is>
          <t>Sr. Applied Scientist, Amazon Advertising</t>
        </is>
      </c>
      <c r="C215" t="inlineStr">
        <is>
          <t>Amazon.com</t>
        </is>
      </c>
      <c r="D215" t="inlineStr">
        <is>
          <t>indeed</t>
        </is>
      </c>
      <c r="E215">
        <f>HYPERLINK("https://www.indeed.com/viewjob?jk=bae5f26053bde77e", "https://www.indeed.com/viewjob?jk=bae5f26053bde77e")</f>
        <v/>
      </c>
      <c r="F215">
        <f>HYPERLINK("https://www.amazon.jobs/jobs/3035686/sr-applied-scientist-amazon-advertising?cmpid=DA_INAD200785B", "https://www.amazon.jobs/jobs/3035686/sr-applied-scientist-amazon-advertising?cmpid=DA_INAD200785B")</f>
        <v/>
      </c>
      <c r="G215" t="inlineStr">
        <is>
          <t>Los Angeles, CA, US</t>
        </is>
      </c>
      <c r="H215" s="3" t="n">
        <v>45851</v>
      </c>
      <c r="I21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in-b4f3e18d3e3d56db</t>
        </is>
      </c>
      <c r="B216" t="inlineStr">
        <is>
          <t>Sr. Applied Scientist, Amazon Advertising</t>
        </is>
      </c>
      <c r="C216" t="inlineStr">
        <is>
          <t>Amazon.com</t>
        </is>
      </c>
      <c r="D216" t="inlineStr">
        <is>
          <t>indeed</t>
        </is>
      </c>
      <c r="E216">
        <f>HYPERLINK("https://www.indeed.com/viewjob?jk=b4f3e18d3e3d56db", "https://www.indeed.com/viewjob?jk=b4f3e18d3e3d56db")</f>
        <v/>
      </c>
      <c r="F216">
        <f>HYPERLINK("https://www.amazon.jobs/jobs/3035686/sr-applied-scientist-amazon-advertising?cmpid=DA_INAD200785B", "https://www.amazon.jobs/jobs/3035686/sr-applied-scientist-amazon-advertising?cmpid=DA_INAD200785B")</f>
        <v/>
      </c>
      <c r="G216" t="inlineStr">
        <is>
          <t>Seattle, WA, US</t>
        </is>
      </c>
      <c r="H216" s="3" t="n">
        <v>45851</v>
      </c>
      <c r="I21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in-9bfa91c90aa28659</t>
        </is>
      </c>
      <c r="B217" t="inlineStr">
        <is>
          <t>Sr. Applied Scientist, Amazon Advertising</t>
        </is>
      </c>
      <c r="C217" t="inlineStr">
        <is>
          <t>Amazon.com</t>
        </is>
      </c>
      <c r="D217" t="inlineStr">
        <is>
          <t>indeed</t>
        </is>
      </c>
      <c r="E217">
        <f>HYPERLINK("https://www.indeed.com/viewjob?jk=9bfa91c90aa28659", "https://www.indeed.com/viewjob?jk=9bfa91c90aa28659")</f>
        <v/>
      </c>
      <c r="F217">
        <f>HYPERLINK("https://www.amazon.jobs/jobs/3035686/sr-applied-scientist-amazon-advertising?cmpid=DA_INAD200785B", "https://www.amazon.jobs/jobs/3035686/sr-applied-scientist-amazon-advertising?cmpid=DA_INAD200785B")</f>
        <v/>
      </c>
      <c r="G217" t="inlineStr">
        <is>
          <t>New York, NY, US</t>
        </is>
      </c>
      <c r="H217" s="3" t="n">
        <v>45851</v>
      </c>
      <c r="I21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in-5bc1880e015a2afa</t>
        </is>
      </c>
      <c r="B218" t="inlineStr">
        <is>
          <t>Sr. Applied Scientist, Amazon Advertising</t>
        </is>
      </c>
      <c r="C218" t="inlineStr">
        <is>
          <t>Amazon.com</t>
        </is>
      </c>
      <c r="D218" t="inlineStr">
        <is>
          <t>indeed</t>
        </is>
      </c>
      <c r="E218">
        <f>HYPERLINK("https://www.indeed.com/viewjob?jk=5bc1880e015a2afa", "https://www.indeed.com/viewjob?jk=5bc1880e015a2afa")</f>
        <v/>
      </c>
      <c r="F218">
        <f>HYPERLINK("https://www.amazon.jobs/jobs/3035686/sr-applied-scientist-amazon-advertising?cmpid=DA_INAD200785B", "https://www.amazon.jobs/jobs/3035686/sr-applied-scientist-amazon-advertising?cmpid=DA_INAD200785B")</f>
        <v/>
      </c>
      <c r="G218" t="inlineStr">
        <is>
          <t>Simi Valley, CA, US</t>
        </is>
      </c>
      <c r="H218" s="3" t="n">
        <v>45851</v>
      </c>
      <c r="I21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in-b6dc8f787273476f</t>
        </is>
      </c>
      <c r="B219" t="inlineStr">
        <is>
          <t>Sr. Applied Scientist, Amazon Advertising</t>
        </is>
      </c>
      <c r="C219" t="inlineStr">
        <is>
          <t>Amazon.com</t>
        </is>
      </c>
      <c r="D219" t="inlineStr">
        <is>
          <t>indeed</t>
        </is>
      </c>
      <c r="E219">
        <f>HYPERLINK("https://www.indeed.com/viewjob?jk=b6dc8f787273476f", "https://www.indeed.com/viewjob?jk=b6dc8f787273476f")</f>
        <v/>
      </c>
      <c r="F219">
        <f>HYPERLINK("https://www.amazon.jobs/jobs/3035686/sr-applied-scientist-amazon-advertising?cmpid=DA_INAD200785B", "https://www.amazon.jobs/jobs/3035686/sr-applied-scientist-amazon-advertising?cmpid=DA_INAD200785B")</f>
        <v/>
      </c>
      <c r="G219" t="inlineStr">
        <is>
          <t>Austin, TX, US</t>
        </is>
      </c>
      <c r="H219" s="3" t="n">
        <v>45851</v>
      </c>
      <c r="I21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in-33490fa247ee5274</t>
        </is>
      </c>
      <c r="B220" t="inlineStr">
        <is>
          <t>Sr. Applied Scientist, Amazon Advertising</t>
        </is>
      </c>
      <c r="C220" t="inlineStr">
        <is>
          <t>Amazon.com</t>
        </is>
      </c>
      <c r="D220" t="inlineStr">
        <is>
          <t>indeed</t>
        </is>
      </c>
      <c r="E220">
        <f>HYPERLINK("https://www.indeed.com/viewjob?jk=33490fa247ee5274", "https://www.indeed.com/viewjob?jk=33490fa247ee5274")</f>
        <v/>
      </c>
      <c r="F220">
        <f>HYPERLINK("https://www.amazon.jobs/jobs/3035686/sr-applied-scientist-amazon-advertising?cmpid=DA_INAD200785B", "https://www.amazon.jobs/jobs/3035686/sr-applied-scientist-amazon-advertising?cmpid=DA_INAD200785B")</f>
        <v/>
      </c>
      <c r="G220" t="inlineStr">
        <is>
          <t>Palo Alto, CA, US</t>
        </is>
      </c>
      <c r="H220" s="3" t="n">
        <v>45851</v>
      </c>
      <c r="I22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in-3bf4f5101f867158</t>
        </is>
      </c>
      <c r="B221" t="inlineStr">
        <is>
          <t>Sr. Applied Scientist, Sales AI</t>
        </is>
      </c>
      <c r="C221" t="inlineStr">
        <is>
          <t>Amazon.com</t>
        </is>
      </c>
      <c r="D221" t="inlineStr">
        <is>
          <t>indeed</t>
        </is>
      </c>
      <c r="E221">
        <f>HYPERLINK("https://www.indeed.com/viewjob?jk=3bf4f5101f867158", "https://www.indeed.com/viewjob?jk=3bf4f5101f867158")</f>
        <v/>
      </c>
      <c r="F221">
        <f>HYPERLINK("https://www.amazon.jobs/jobs/3020528/sr-applied-scientist-sales-ai?cmpid=DA_INAD200785B", "https://www.amazon.jobs/jobs/3020528/sr-applied-scientist-sales-ai?cmpid=DA_INAD200785B")</f>
        <v/>
      </c>
      <c r="G221" t="inlineStr">
        <is>
          <t>New York, NY, US</t>
        </is>
      </c>
      <c r="H221" s="3" t="n">
        <v>45830</v>
      </c>
      <c r="I22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in-beb7c107da95641f</t>
        </is>
      </c>
      <c r="B222" t="inlineStr">
        <is>
          <t>Sr. Applied Scientist, Sales AI</t>
        </is>
      </c>
      <c r="C222" t="inlineStr">
        <is>
          <t>Amazon.com</t>
        </is>
      </c>
      <c r="D222" t="inlineStr">
        <is>
          <t>indeed</t>
        </is>
      </c>
      <c r="E222">
        <f>HYPERLINK("https://www.indeed.com/viewjob?jk=beb7c107da95641f", "https://www.indeed.com/viewjob?jk=beb7c107da95641f")</f>
        <v/>
      </c>
      <c r="F222">
        <f>HYPERLINK("https://www.amazon.jobs/jobs/3020528/sr-applied-scientist-sales-ai?cmpid=DA_INAD200785B", "https://www.amazon.jobs/jobs/3020528/sr-applied-scientist-sales-ai?cmpid=DA_INAD200785B")</f>
        <v/>
      </c>
      <c r="G222" t="inlineStr">
        <is>
          <t>Sunnyvale, CA, US</t>
        </is>
      </c>
      <c r="H222" s="3" t="n">
        <v>45830</v>
      </c>
      <c r="I22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in-8a8c22b51442aa43</t>
        </is>
      </c>
      <c r="B223" t="inlineStr">
        <is>
          <t>Sr. Applied Scientist, Sales AI</t>
        </is>
      </c>
      <c r="C223" t="inlineStr">
        <is>
          <t>Amazon.com</t>
        </is>
      </c>
      <c r="D223" t="inlineStr">
        <is>
          <t>indeed</t>
        </is>
      </c>
      <c r="E223">
        <f>HYPERLINK("https://www.indeed.com/viewjob?jk=8a8c22b51442aa43", "https://www.indeed.com/viewjob?jk=8a8c22b51442aa43")</f>
        <v/>
      </c>
      <c r="F223">
        <f>HYPERLINK("https://www.amazon.jobs/jobs/3020528/sr-applied-scientist-sales-ai?cmpid=DA_INAD200785B", "https://www.amazon.jobs/jobs/3020528/sr-applied-scientist-sales-ai?cmpid=DA_INAD200785B")</f>
        <v/>
      </c>
      <c r="G223" t="inlineStr">
        <is>
          <t>Seattle, WA, US</t>
        </is>
      </c>
      <c r="H223" s="3" t="n">
        <v>45830</v>
      </c>
      <c r="I22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in-2efd6c0b9f3cbcc0</t>
        </is>
      </c>
      <c r="B224" t="inlineStr">
        <is>
          <t>Senior Applied Scientist, Delivery Foundation Model</t>
        </is>
      </c>
      <c r="C224" t="inlineStr">
        <is>
          <t>Amazon.com</t>
        </is>
      </c>
      <c r="D224" t="inlineStr">
        <is>
          <t>indeed</t>
        </is>
      </c>
      <c r="E224">
        <f>HYPERLINK("https://www.indeed.com/viewjob?jk=2efd6c0b9f3cbcc0", "https://www.indeed.com/viewjob?jk=2efd6c0b9f3cbcc0")</f>
        <v/>
      </c>
      <c r="F224">
        <f>HYPERLINK("https://www.amazon.jobs/jobs/2998435/senior-applied-scientist-delivery-foundation-model-?cmpid=DA_INAD200785B", "https://www.amazon.jobs/jobs/2998435/senior-applied-scientist-delivery-foundation-model-?cmpid=DA_INAD200785B")</f>
        <v/>
      </c>
      <c r="G224" t="inlineStr">
        <is>
          <t>New York, NY, US</t>
        </is>
      </c>
      <c r="H224" s="3" t="n">
        <v>45806</v>
      </c>
      <c r="I22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in-123fcd71a733cbd9</t>
        </is>
      </c>
      <c r="B225" t="inlineStr">
        <is>
          <t>Senior Applied Scientist, Delivery Foundation Model</t>
        </is>
      </c>
      <c r="C225" t="inlineStr">
        <is>
          <t>Amazon.com</t>
        </is>
      </c>
      <c r="D225" t="inlineStr">
        <is>
          <t>indeed</t>
        </is>
      </c>
      <c r="E225">
        <f>HYPERLINK("https://www.indeed.com/viewjob?jk=123fcd71a733cbd9", "https://www.indeed.com/viewjob?jk=123fcd71a733cbd9")</f>
        <v/>
      </c>
      <c r="F225">
        <f>HYPERLINK("https://www.amazon.jobs/jobs/2998435/senior-applied-scientist-delivery-foundation-model-?cmpid=DA_INAD200785B", "https://www.amazon.jobs/jobs/2998435/senior-applied-scientist-delivery-foundation-model-?cmpid=DA_INAD200785B")</f>
        <v/>
      </c>
      <c r="G225" t="inlineStr">
        <is>
          <t>Santa Clara, CA, US</t>
        </is>
      </c>
      <c r="H225" s="3" t="n">
        <v>45806</v>
      </c>
      <c r="I22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in-4b707a6f960d8121</t>
        </is>
      </c>
      <c r="B226" t="inlineStr">
        <is>
          <t>Senior Applied Scientist, Delivery Foundation Model</t>
        </is>
      </c>
      <c r="C226" t="inlineStr">
        <is>
          <t>Amazon.com</t>
        </is>
      </c>
      <c r="D226" t="inlineStr">
        <is>
          <t>indeed</t>
        </is>
      </c>
      <c r="E226">
        <f>HYPERLINK("https://www.indeed.com/viewjob?jk=4b707a6f960d8121", "https://www.indeed.com/viewjob?jk=4b707a6f960d8121")</f>
        <v/>
      </c>
      <c r="F226">
        <f>HYPERLINK("https://www.amazon.jobs/jobs/2998435/senior-applied-scientist-delivery-foundation-model-?cmpid=DA_INAD200785B", "https://www.amazon.jobs/jobs/2998435/senior-applied-scientist-delivery-foundation-model-?cmpid=DA_INAD200785B")</f>
        <v/>
      </c>
      <c r="G226" t="inlineStr">
        <is>
          <t>Bellevue, WA, US</t>
        </is>
      </c>
      <c r="H226" s="3" t="n">
        <v>45806</v>
      </c>
      <c r="I22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in-dd3250a8b9b396f8</t>
        </is>
      </c>
      <c r="B227" t="inlineStr">
        <is>
          <t>Principal Applied Scientist, FAR (Frontier AI &amp; Robotics)</t>
        </is>
      </c>
      <c r="C227" t="inlineStr">
        <is>
          <t>Amazon.com</t>
        </is>
      </c>
      <c r="D227" t="inlineStr">
        <is>
          <t>indeed</t>
        </is>
      </c>
      <c r="E227">
        <f>HYPERLINK("https://www.indeed.com/viewjob?jk=dd3250a8b9b396f8", "https://www.indeed.com/viewjob?jk=dd3250a8b9b396f8")</f>
        <v/>
      </c>
      <c r="F227">
        <f>HYPERLINK("https://www.amazon.jobs/jobs/2938625/principal-applied-scientist-far-frontier-ai--robotics?cmpid=DA_INAD200785B", "https://www.amazon.jobs/jobs/2938625/principal-applied-scientist-far-frontier-ai--robotics?cmpid=DA_INAD200785B")</f>
        <v/>
      </c>
      <c r="G227" t="inlineStr">
        <is>
          <t>San Francisco, CA, US</t>
        </is>
      </c>
      <c r="H227" s="3" t="n">
        <v>45740</v>
      </c>
      <c r="I227"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in-cb71096affdbc812</t>
        </is>
      </c>
      <c r="B228" t="inlineStr">
        <is>
          <t>Principal Applied Scientist, FAR (Frontier AI &amp; Robotics)</t>
        </is>
      </c>
      <c r="C228" t="inlineStr">
        <is>
          <t>Amazon.com</t>
        </is>
      </c>
      <c r="D228" t="inlineStr">
        <is>
          <t>indeed</t>
        </is>
      </c>
      <c r="E228">
        <f>HYPERLINK("https://www.indeed.com/viewjob?jk=cb71096affdbc812", "https://www.indeed.com/viewjob?jk=cb71096affdbc812")</f>
        <v/>
      </c>
      <c r="F228">
        <f>HYPERLINK("https://www.amazon.jobs/jobs/2938625/principal-applied-scientist-far-frontier-ai--robotics?cmpid=DA_INAD200785B", "https://www.amazon.jobs/jobs/2938625/principal-applied-scientist-far-frontier-ai--robotics?cmpid=DA_INAD200785B")</f>
        <v/>
      </c>
      <c r="G228" t="inlineStr">
        <is>
          <t>Seattle, WA, US</t>
        </is>
      </c>
      <c r="H228" s="3" t="n">
        <v>45740</v>
      </c>
      <c r="I228"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in-7e742f8147e3aa1e</t>
        </is>
      </c>
      <c r="B229" t="inlineStr">
        <is>
          <t>Data Scientist</t>
        </is>
      </c>
      <c r="C229" t="inlineStr">
        <is>
          <t>The DarkStar Group</t>
        </is>
      </c>
      <c r="D229" t="inlineStr">
        <is>
          <t>indeed</t>
        </is>
      </c>
      <c r="E229">
        <f>HYPERLINK("https://www.indeed.com/viewjob?jk=7e742f8147e3aa1e", "https://www.indeed.com/viewjob?jk=7e742f8147e3aa1e")</f>
        <v/>
      </c>
      <c r="F229">
        <f>HYPERLINK("https://www.grvty.com/careers/listings/data-scientist-bkugltdr", "https://www.grvty.com/careers/listings/data-scientist-bkugltdr")</f>
        <v/>
      </c>
      <c r="G229" t="inlineStr">
        <is>
          <t>Tampa, FL, US</t>
        </is>
      </c>
      <c r="H229" s="3" t="n">
        <v>46063</v>
      </c>
      <c r="I229" t="inlineStr">
        <is>
          <t>**What You'll Be Owning:**
As a Data Science Lead, you will be responsible for overseeing the development of predictive and prescriptive analytics, ensure alignment with mission objectives, and manage data science strategy, governance, and collaboration with engineering teams.
**What You Must Have:**
* TS/SCI Security Clearance Required Master’s degree in Data Science, Artificial Intelligence, Computer Science, or a related field, or eleven (11\) years of equivalent experience in leading AI/ML\-driven analytics programs.
* Knowledge and capability to lead the development of predictive and prescriptive analytics, ensuring alignment with mission objectives and the integration of AI/ML\-driven insights.
* Proficient in advanced machine learning techniques, statistical modeling, and data science methodologies, with expertise in feature engineering, model validation, and data provenance tracking.
* Personnel must have experience implementing Agile methodologies, managing analytic sprints, and overseeing collaboration between data science and data engineering teams.
* Strong leadership, strategic planning, and stakeholder engagement skills are required to drive mission\-focused analytic innovation.
* Personnel must have demonstrated experience developing, deploying, and managing enterprise\-level predictive analytics solutions, ensuring governance compliance, and implementing AI/ML models at scale.
* Personnel must have experience overseeing sprint\-based Agile development cycles and working within cloud\-based data science environments such as AWS, Azure, or Databricks.
* Experience in mission\-focused analytics, data\-driven decision support, and integration of statistical and machine learning techniques is required.
**What Would Be Nice to Have:**
* Desirable but not required certifications include: AWS Certified Machine Learning – Specialty, Microsoft Certified: Azure AI Engineer Associate, or Certified Analytics Professional (CAP).</t>
        </is>
      </c>
    </row>
    <row r="230">
      <c r="A230" t="inlineStr">
        <is>
          <t>in-ad065ec57cc7aaa3</t>
        </is>
      </c>
      <c r="B230" t="inlineStr">
        <is>
          <t>Data Scientist - Computer Vision, Data &amp; Machine Learning (DML)</t>
        </is>
      </c>
      <c r="C230" t="inlineStr">
        <is>
          <t>Amazon Web Services</t>
        </is>
      </c>
      <c r="D230" t="inlineStr">
        <is>
          <t>indeed</t>
        </is>
      </c>
      <c r="E230">
        <f>HYPERLINK("https://www.indeed.com/viewjob?jk=ad065ec57cc7aaa3", "https://www.indeed.com/viewjob?jk=ad065ec57cc7aaa3")</f>
        <v/>
      </c>
      <c r="F230">
        <f>HYPERLINK("https://www.amazon.jobs/jobs/3171977/data-scientist--computer-vision-data--machine-learning-dml?cmpid=DA_INAD200785B", "https://www.amazon.jobs/jobs/3171977/data-scientist--computer-vision-data--machine-learning-dml?cmpid=DA_INAD200785B")</f>
        <v/>
      </c>
      <c r="G230" t="inlineStr">
        <is>
          <t>Arlington, VA, US</t>
        </is>
      </c>
      <c r="H230" s="3" t="n">
        <v>46051</v>
      </c>
      <c r="I230"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31">
      <c r="A231" t="inlineStr">
        <is>
          <t>in-5d3826b65e204094</t>
        </is>
      </c>
      <c r="B231" t="inlineStr">
        <is>
          <t>Data Scientist - Computer Vision, Data &amp; Machine Learning (DML)</t>
        </is>
      </c>
      <c r="C231" t="inlineStr">
        <is>
          <t>Amazon Web Services</t>
        </is>
      </c>
      <c r="D231" t="inlineStr">
        <is>
          <t>indeed</t>
        </is>
      </c>
      <c r="E231">
        <f>HYPERLINK("https://www.indeed.com/viewjob?jk=5d3826b65e204094", "https://www.indeed.com/viewjob?jk=5d3826b65e204094")</f>
        <v/>
      </c>
      <c r="F231">
        <f>HYPERLINK("https://www.amazon.jobs/jobs/3171977/data-scientist--computer-vision-data--machine-learning-dml?cmpid=DA_INAD200785B", "https://www.amazon.jobs/jobs/3171977/data-scientist--computer-vision-data--machine-learning-dml?cmpid=DA_INAD200785B")</f>
        <v/>
      </c>
      <c r="G231" t="inlineStr">
        <is>
          <t>Herndon, VA, US</t>
        </is>
      </c>
      <c r="H231" s="3" t="n">
        <v>46051</v>
      </c>
      <c r="I231"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32">
      <c r="A232" t="inlineStr">
        <is>
          <t>in-3f9ed82459fe6526</t>
        </is>
      </c>
      <c r="B232" t="inlineStr">
        <is>
          <t>Data Scientist- Vision Language Model Researcher, Data &amp; Machine Learning (DML)</t>
        </is>
      </c>
      <c r="C232" t="inlineStr">
        <is>
          <t>Amazon Web Services</t>
        </is>
      </c>
      <c r="D232" t="inlineStr">
        <is>
          <t>indeed</t>
        </is>
      </c>
      <c r="E232">
        <f>HYPERLINK("https://www.indeed.com/viewjob?jk=3f9ed82459fe6526", "https://www.indeed.com/viewjob?jk=3f9ed82459fe6526")</f>
        <v/>
      </c>
      <c r="F232">
        <f>HYPERLINK("https://www.amazon.jobs/jobs/3172308/data-scientist-vision-language-model-researcher-data--machine-learning-dml?cmpid=DA_INAD200785B", "https://www.amazon.jobs/jobs/3172308/data-scientist-vision-language-model-researcher-data--machine-learning-dml?cmpid=DA_INAD200785B")</f>
        <v/>
      </c>
      <c r="G232" t="inlineStr">
        <is>
          <t>Arlington, VA, US</t>
        </is>
      </c>
      <c r="H232" s="3" t="n">
        <v>46051</v>
      </c>
      <c r="I232"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33">
      <c r="A233" t="inlineStr">
        <is>
          <t>in-ae0a9b8d70c9134a</t>
        </is>
      </c>
      <c r="B233" t="inlineStr">
        <is>
          <t>Data Scientist- Vision Language Model Researcher, Data &amp; Machine Learning (DML)</t>
        </is>
      </c>
      <c r="C233" t="inlineStr">
        <is>
          <t>Amazon Web Services</t>
        </is>
      </c>
      <c r="D233" t="inlineStr">
        <is>
          <t>indeed</t>
        </is>
      </c>
      <c r="E233">
        <f>HYPERLINK("https://www.indeed.com/viewjob?jk=ae0a9b8d70c9134a", "https://www.indeed.com/viewjob?jk=ae0a9b8d70c9134a")</f>
        <v/>
      </c>
      <c r="F233">
        <f>HYPERLINK("https://www.amazon.jobs/jobs/3172308/data-scientist-vision-language-model-researcher-data--machine-learning-dml?cmpid=DA_INAD200785B", "https://www.amazon.jobs/jobs/3172308/data-scientist-vision-language-model-researcher-data--machine-learning-dml?cmpid=DA_INAD200785B")</f>
        <v/>
      </c>
      <c r="G233" t="inlineStr">
        <is>
          <t>Herndon, VA, US</t>
        </is>
      </c>
      <c r="H233" s="3" t="n">
        <v>46051</v>
      </c>
      <c r="I233"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34">
      <c r="A234" t="inlineStr">
        <is>
          <t>in-02ebaee896e7507d</t>
        </is>
      </c>
      <c r="B234" t="inlineStr">
        <is>
          <t>Data Scientist - Computer Vision, Data &amp; Machine Learning (DML)</t>
        </is>
      </c>
      <c r="C234" t="inlineStr">
        <is>
          <t>Amazon Web Services</t>
        </is>
      </c>
      <c r="D234" t="inlineStr">
        <is>
          <t>indeed</t>
        </is>
      </c>
      <c r="E234">
        <f>HYPERLINK("https://www.indeed.com/viewjob?jk=02ebaee896e7507d", "https://www.indeed.com/viewjob?jk=02ebaee896e7507d")</f>
        <v/>
      </c>
      <c r="F234">
        <f>HYPERLINK("https://www.amazon.jobs/jobs/3178354/data-scientist--computer-vision-data--machine-learning-dml?cmpid=DA_INAD200785B", "https://www.amazon.jobs/jobs/3178354/data-scientist--computer-vision-data--machine-learning-dml?cmpid=DA_INAD200785B")</f>
        <v/>
      </c>
      <c r="G234" t="inlineStr">
        <is>
          <t>Herndon, VA, US</t>
        </is>
      </c>
      <c r="H234" s="3" t="n">
        <v>46051</v>
      </c>
      <c r="I234"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Exploring the data and brainstorming and prioritizing ideas for model development
Implementing new features in our sizable code base
Training models in support of experimental or performance goals
T\&amp;E\-ing, packaging, and delivering models  
We perform this work on both unclassified and classified networks, with portions of our team working on each network.
We seek a new team member to work primarily on the unclassified networks.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AWS Services,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Run data conversion pipelines to transform customer data into the structure needed by models for training
Perform EDA on the customer data
Train deep neural network models on overhead imagery
Develop and implement hyper\-parameter optimization strategies
Test and Evaluate models and analyze results
Package and deliver models to the customer
Implement new features to the model development code base
Collaborate with the rest of the team on long term strategy and short\-medium term implementation.
Contribute to presentations to the customer regarding the team’s work.
**BASIC QUALIFICATIONS**
------------------------
* Bachelor's degree or above in computer science, computer engineering, or related field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with AWS services including S3, Redshift, Sagemaker, EMR, Kinesis, Lambda, and EC2
* Current, active US Government Security Clearance of Top Secret or above
**PREFERRED QUALIFICATIONS**
----------------------------
* Knowledge of machine learning concepts and their application to reasoning and problem\-solving
* Experience in a ML or data scientist role with a large technology company
* Experience working on multi\-team, cross\-disciplinary projects
* Master's degree or above in computer science, machine learning, engineering, or related fields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35">
      <c r="A235" t="inlineStr">
        <is>
          <t>in-b4b6804f6f34f821</t>
        </is>
      </c>
      <c r="B235" t="inlineStr">
        <is>
          <t>Data Scientist - Computer Vision, Data &amp; Machine Learning (DML)</t>
        </is>
      </c>
      <c r="C235" t="inlineStr">
        <is>
          <t>Amazon Web Services</t>
        </is>
      </c>
      <c r="D235" t="inlineStr">
        <is>
          <t>indeed</t>
        </is>
      </c>
      <c r="E235">
        <f>HYPERLINK("https://www.indeed.com/viewjob?jk=b4b6804f6f34f821", "https://www.indeed.com/viewjob?jk=b4b6804f6f34f821")</f>
        <v/>
      </c>
      <c r="F235">
        <f>HYPERLINK("https://www.amazon.jobs/jobs/3178354/data-scientist--computer-vision-data--machine-learning-dml?cmpid=DA_INAD200785B", "https://www.amazon.jobs/jobs/3178354/data-scientist--computer-vision-data--machine-learning-dml?cmpid=DA_INAD200785B")</f>
        <v/>
      </c>
      <c r="G235" t="inlineStr">
        <is>
          <t>Arlington, VA, US</t>
        </is>
      </c>
      <c r="H235" s="3" t="n">
        <v>46051</v>
      </c>
      <c r="I235"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Exploring the data and brainstorming and prioritizing ideas for model development
Implementing new features in our sizable code base
Training models in support of experimental or performance goals
T\&amp;E\-ing, packaging, and delivering models  
We perform this work on both unclassified and classified networks, with portions of our team working on each network.
We seek a new team member to work primarily on the unclassified networks.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AWS Services,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Run data conversion pipelines to transform customer data into the structure needed by models for training
Perform EDA on the customer data
Train deep neural network models on overhead imagery
Develop and implement hyper\-parameter optimization strategies
Test and Evaluate models and analyze results
Package and deliver models to the customer
Implement new features to the model development code base
Collaborate with the rest of the team on long term strategy and short\-medium term implementation.
Contribute to presentations to the customer regarding the team’s work.
**BASIC QUALIFICATIONS**
------------------------
* Bachelor's degree or above in computer science, computer engineering, or related field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with AWS services including S3, Redshift, Sagemaker, EMR, Kinesis, Lambda, and EC2
* Current, active US Government Security Clearance of Top Secret or above
**PREFERRED QUALIFICATIONS**
----------------------------
* Knowledge of machine learning concepts and their application to reasoning and problem\-solving
* Experience in a ML or data scientist role with a large technology company
* Experience working on multi\-team, cross\-disciplinary projects
* Master's degree or above in computer science, machine learning, engineering, or related fields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36">
      <c r="A236" t="inlineStr">
        <is>
          <t>in-3d72a98c5477215b</t>
        </is>
      </c>
      <c r="B236" t="inlineStr">
        <is>
          <t>Applied Scientist, Alexa Smart Home</t>
        </is>
      </c>
      <c r="C236" t="inlineStr">
        <is>
          <t>Amazon.com</t>
        </is>
      </c>
      <c r="D236" t="inlineStr">
        <is>
          <t>indeed</t>
        </is>
      </c>
      <c r="E236">
        <f>HYPERLINK("https://www.indeed.com/viewjob?jk=3d72a98c5477215b", "https://www.indeed.com/viewjob?jk=3d72a98c5477215b")</f>
        <v/>
      </c>
      <c r="F236">
        <f>HYPERLINK("https://www.amazon.jobs/jobs/3169205/applied-scientist-alexa-smart-home?cmpid=DA_INAD200785B", "https://www.amazon.jobs/jobs/3169205/applied-scientist-alexa-smart-home?cmpid=DA_INAD200785B")</f>
        <v/>
      </c>
      <c r="G236" t="inlineStr">
        <is>
          <t>Sunnyvale, CA, US</t>
        </is>
      </c>
      <c r="H236" s="3" t="n">
        <v>46033</v>
      </c>
      <c r="I236"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37">
      <c r="A237" t="inlineStr">
        <is>
          <t>in-c5408623b2a52aab</t>
        </is>
      </c>
      <c r="B237" t="inlineStr">
        <is>
          <t>Applied Scientist, Alexa Smart Home</t>
        </is>
      </c>
      <c r="C237" t="inlineStr">
        <is>
          <t>Amazon.com</t>
        </is>
      </c>
      <c r="D237" t="inlineStr">
        <is>
          <t>indeed</t>
        </is>
      </c>
      <c r="E237">
        <f>HYPERLINK("https://www.indeed.com/viewjob?jk=c5408623b2a52aab", "https://www.indeed.com/viewjob?jk=c5408623b2a52aab")</f>
        <v/>
      </c>
      <c r="F237">
        <f>HYPERLINK("https://www.amazon.jobs/jobs/3169205/applied-scientist-alexa-smart-home?cmpid=DA_INAD200785B", "https://www.amazon.jobs/jobs/3169205/applied-scientist-alexa-smart-home?cmpid=DA_INAD200785B")</f>
        <v/>
      </c>
      <c r="G237" t="inlineStr">
        <is>
          <t>Seattle, WA, US</t>
        </is>
      </c>
      <c r="H237" s="3" t="n">
        <v>46033</v>
      </c>
      <c r="I237"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li-4371481164</t>
        </is>
      </c>
      <c r="B2" t="inlineStr">
        <is>
          <t>Data Scientist</t>
        </is>
      </c>
      <c r="C2" t="inlineStr">
        <is>
          <t>Kia America</t>
        </is>
      </c>
      <c r="D2" t="inlineStr">
        <is>
          <t>linkedin</t>
        </is>
      </c>
      <c r="E2" t="inlineStr"/>
      <c r="F2" t="inlineStr"/>
      <c r="G2" t="inlineStr">
        <is>
          <t>Irvine, CA</t>
        </is>
      </c>
      <c r="H2" t="inlineStr"/>
      <c r="I2" t="inlineStr">
        <is>
          <t>At Kia, we’re creating award\-winning products and redefining what value means in the automotive industry. It takes a special group of individuals to do what we do, and we do it together. Our culture is fast\-paced, collaborative, and innovative. Our people thrive on thinking differently and challenging the status quo. We are creating something special here, a culture of learning and opportunity, where you can help Kia achieve big things and most importantly, feel passionate and connected to your work every day.
 Kia provides team members with competitive benefits including premium paid medical, dental and vision coverage for you and your dependents, 401(k) plan matching of 100% up to 6% of the salary deferral, and paid time off. Kia also offers company lease and purchase programs, company\-wide holiday shutdown, paid volunteer hours, and premium lifestyle amenities at our corporate campus in Irvine, California.
**Status**
 Exempt
****General Summary****
 The Data Scientist will play an important role in executing data analysis for Kia North America’s regional subsidiaries (KUS/KCA/KaGA/KMX). A future\-driven automotive company, Kia has access to vast and diverse datasets and is excited to fill this position with an individual that can derive business improvements and insights from this data. Strong applicants for this role will have statistics, machine learning, and computer science skills to leverage high\-performance compute clusters as well as perform reproducible data analysis at scale. With these requirements in mind, our mindset is that data, analytics, automation, and responsible AI can revolutionize our many lines of business.
**Essential Duties And Responsibilities**
**1st Priority \- 30%**
**Data wrangling and analysis**
* Assess the accuracy of new data sources
* Understand the relationship between the data and the business process
* Preprocess structured and unstructured data
* Analyze large amounts of data to discover trends and patterns
* Build prediction and classification models
* Coordinate with different functional teams for feature engineering
**2nd Priority \- 30%**
**Assess, visualize, and improve analysis**
* Test and continuously improve the accuracy of statistical and machine learning models
* Present information using Python notebooks and/or dashboards
* Simplify and explain complex statistics in an intuitive manner
* Continuously monitor and validate production analysis results
**3rd Priority \- 20%**
**Collaborate with IT Team to deploy analysis results**
* Build REST APIs for data and analysis result consumption
* Assist the IT system developers to deploy analysis as a service
**4th Priority \- 20%**
**Clear documentation, source code management, and reproducible analysis**
* Use git within GitLab
* Create virtual environments to isolate project dependencies and requirements
* Track model performance and hyperparameter configurations
* Track data versioning
**Qualifications/Education**
**Education:**
* Bachelor’s degree or equivalent experience in related field of technology required
* Master’s degree in analytics, data science, or computer science preferred
****Job Requirement****
**Overall Related Experience**
* Experience querying databases and using programming languages such as Python and SQL
* Experience using Hadoop ecosystem (Hadoop, Hive, Impala and Spark etc.)
* Experience using statistics, machine learning and deep learning algorithms
* Experience publishing results to stakeholders through dashboards (e.g. Power BI, MicroStrategy, Tableau)
**Directly Related Experience**
* 3\+ years of experience in data science preferred
**Specialized Skills And Knowledge Required**
* Proficiency in Python and SQL
* Knowledge of a variety of machine learning techniques including deep learning
* Knowledge of advanced statistical techniques
* Knowledge and experience with natural language processing (NLP)
* Experience with common Python libraries for data analysis such as Pandas and NumPy
* Experience with visualization libraries such as Matplotlib, Seaborn, Plotly, Bokeh and plotnine
* Experience developing and evaluating statistical and machine learning models using libraries such as stats models and Scikit\-learn
* Experience with deep learning frameworks such as PyTorch and TensorFlow
* Experience with big data processing tools: Hadoop ecosystem, Spark etc.
* Strong data\-driven problem\-solving skills
* Excellent written and verbal communication skills to coordinate across teams
**Competencies**
* Care for People
* Chase Excellence Every Day
* Dare to Push Boundaries
* Empower People to Act
* Move Further Together
**Pay Range**
 $82,382 \- $110,272
 Pay will be based on several variables that are unique to each candidate, including but not limited to, job\-related skills, experience, relevant education or training, etc.
**Equal Employment Opportunities**
 KUS provides equal employment opportunities (EEO) to all employees and applicants for employment without regard to race, color, religion, ancestry, national origin, sex, including pregnancy and childbirth and related medical conditions, gender, gender identity, gender expression, age, legally protected physical disability or mental disability, legally protected medical condition, marital status, sexual orientation, family care or medical leave status, protected veteran or military status, genetic information or any other characteristic protected by applicable law. KUS complies with applicable law governing non\-discrimination in employment in every location in which KUS has offices. The KUS EEO policy applies to all areas of employment, including recruitment, hiring, training, promotion, compensation, benefits, discipline, termination and all other privileges, terms and conditions of employment.
 Disclaimer: The above information on this job description has been designed to indicate the general nature and level of work performed by employees within this classification and for this position. It is not designed to contain or be interpreted as a comprehensive inventory of all duties, responsibilities, and qualifications required of employees assigned to this job.</t>
        </is>
      </c>
    </row>
    <row r="3">
      <c r="A3" t="inlineStr">
        <is>
          <t>li-4371462660</t>
        </is>
      </c>
      <c r="B3" t="inlineStr">
        <is>
          <t>Data Scientist</t>
        </is>
      </c>
      <c r="C3" t="inlineStr">
        <is>
          <t>WiserBrand</t>
        </is>
      </c>
      <c r="D3" t="inlineStr">
        <is>
          <t>linkedin</t>
        </is>
      </c>
      <c r="E3" t="inlineStr"/>
      <c r="F3" t="inlineStr"/>
      <c r="G3" t="inlineStr"/>
      <c r="H3" t="inlineStr"/>
      <c r="I3" t="inlineStr">
        <is>
          <t>We are looking for an experienced
 **Data Scientist** 
 to join our team.
**Requirements**
* 5–8\+ years of experience in Data Science/Analytics
* Strong background in Mathematics, Statistics, or related field
* Solid knowledge of statistical inference and hypothesis testing (p\-values, Z\-tests, Chi\-Square)
* Experience with machine learning for insight generation (e.g., clustering, segmentation, prediction)
* Strong skills in Python and SQL
* Strong stakeholder management and communication skills
* Proven experience creating executive\-ready reports and PowerPoint presentations
* Ability to explain complex analytics to non\-technical audiences
* Upper\-Intermediate level of English
**Responsibilities**
* Lead end\-to\-end analytics: from problem definition to insights and recommendations
* Apply statistical analysis and machine learning for segmentation, trend analysis, and predictive insights
* Design and interpret statistical tests (p\-values, Z\-tests, Chi\-Square, confidence intervals)
* Translate analytical results into clear business narratives
* Prepare analytical reports and executive\-level PowerPoint presentations (core part of the role) Partner with business teams to align analytics with commercial objectives
* Query, clean, and analyze data using SQL and Python
* Act as a trusted analytics partner; mentor junior team members when needed
**We Offer**
* A full\-time job and a long\-term contract
* Flexible working hours
* Paid vacation and sick leave
* Managing your taxes and accounting
* Career and professional growth opportunities
* Optional benefits package that includes Health insurance, Gym membership, English courses, compensation of certification, courses, and training
* Creative and lively team of IT specialists, adequate management, and zero unnecessary bureaucracy
**About Us**
 WiserBrand is a rapidly growing US\-UA web development company providing
 full\-cycle services all over the globe. The main direction of our company is eCommerce, but we also have expertise in other domains.
 We started 8 years ago as a small project providing digital marketing services. Therefore the project grew into an outsourcing \&amp; outstaffing company that provides web development, digital marketing, customer support, and outstaffing projects for clients all over the globe.
 Headquarters based in New York City. Also, we have development and support offices in Kharkiv and Buenos Aires with about 150 people in total.
 The differentiator in the relationship we value with our employees is our open, fair, and respectful people practices and our positive work environment. Our people are the foundation of our success.</t>
        </is>
      </c>
    </row>
    <row r="4">
      <c r="A4" t="inlineStr">
        <is>
          <t>li-4371444736</t>
        </is>
      </c>
      <c r="B4" t="inlineStr">
        <is>
          <t>Data Scientist I/II</t>
        </is>
      </c>
      <c r="C4" t="inlineStr">
        <is>
          <t>BNSF Railway</t>
        </is>
      </c>
      <c r="D4" t="inlineStr">
        <is>
          <t>linkedin</t>
        </is>
      </c>
      <c r="E4" t="inlineStr"/>
      <c r="F4" t="inlineStr"/>
      <c r="G4" t="inlineStr"/>
      <c r="H4" t="inlineStr"/>
      <c r="I4" t="inlineStr">
        <is>
          <t>**About The Company**
 BNSF Railway, one of the largest freight railroads in the United States, operates across 28 western states and three Canadian provinces. The company is dedicated to transporting essential goods and materials that support communities nationwide and globally. BNSF is committed to safety, inclusion, and operational excellence, ensuring reliable and efficient freight movement. The organization’s mission is to connect communities and industries through innovative transportation solutions, contributing significantly to the economy and daily life. As part of its strategic growth, BNSF has established BNSF \| Tech, its dedicated technology division focused on leveraging cutting\-edge technology to transform freight rail operations and logistics.
**About The Role**
 We are seeking a talented Data Scientist to join BNSF \| Tech's dynamic team. In this remote position based within the United States, you will play a pivotal role in developing and deploying data\-driven solutions to optimize freight operations and enhance decision\-making processes. Your responsibilities will include analyzing large datasets, building machine learning models, and collaborating with cross\-functional teams to identify opportunities for technological innovation. This role offers a unique opportunity to contribute to a forward\-thinking organization committed to technological advancement and industry leadership. The ideal candidate will have a passion for data science, a strong analytical mindset, and the ability to translate complex data into actionable insights that drive business value.
**Qualifications**
* Minimum of 2 years of experience in building data science solutions or relevant data analysis experience
* Proven understanding of statistical analysis and machine learning techniques
* Experience with data visualization tools and frameworks
* Proficiency in programming languages such as Python, R, SQL, and familiarity with Java or Scala
* Bachelor’s degree or higher in Operations Research, Computer Science, Industrial Engineering, or a related field (preferred)
* Hands\-on experience with AI/ML frameworks such as TensorFlow, PyTorch, or scikit\-learn (preferred)
* Experience working in transportation\-related industries such as Rail, Shipping, Airline, Logistics, or Warehousing (preferred)
* Knowledge of geospatial libraries in Python and open\-source data science tools (preferred)
* Experience working in Agile environments like Scrum, Kanban, or SAFe (preferred)
**Responsibilities**
* Collaborate with cross\-functional teams to identify and define business problems suitable for data science solutions
* Analyze complex datasets to uncover meaningful patterns and insights that inform strategic decisions
* Develop, train, and implement machine learning models to predict outcomes and optimize processes
* Create visualizations, dashboards, and reports to communicate findings effectively to stakeholders
* Maintain and update data pipelines to ensure data accuracy, integrity, and availability for analysis and modeling
* Stay current with industry trends, emerging technologies, and advancements in data science and machine learning
* Extract, aggregate, and synthesize data using SQL, NoSQL, and other data management tools to support analysis and model deployment
* Drive complex data science projects, including artificial intelligence and optimization, aligning solutions with business objectives
* Engage with stakeholders to understand their needs and translate them into technical solutions
**Benefits**
* Industry\-leading 401(k) plan and access to Railroad Retirement benefits
* Comprehensive health care options including medical, dental, vision, and telemedicine services
* Health savings accounts (HSA) with employer contributions, plus life and disability insurance
* Family support benefits such as parental leave, pediatric care, family building assistance, and adoption support
* Reimbursement programs for surrogacy and dependent care expenses
* Discounts on travel, gym memberships, counseling, and wellness services
* Annual incentive bonus program
* Generous leave policies and time\-off benefits
 Equal Opportunity
 BNSF Railway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disability, or protected veteran status. We encourage individuals from all backgrounds to apply and contribute to our innovative and supportive workplace.</t>
        </is>
      </c>
    </row>
    <row r="5">
      <c r="A5" t="inlineStr">
        <is>
          <t>li-4371174700</t>
        </is>
      </c>
      <c r="B5" t="inlineStr">
        <is>
          <t>Data Scientist, Product, Education, Data Science</t>
        </is>
      </c>
      <c r="C5" t="inlineStr">
        <is>
          <t>Google</t>
        </is>
      </c>
      <c r="D5" t="inlineStr">
        <is>
          <t>linkedin</t>
        </is>
      </c>
      <c r="E5" t="inlineStr"/>
      <c r="F5" t="inlineStr"/>
      <c r="G5" t="inlineStr">
        <is>
          <t>New York, NY</t>
        </is>
      </c>
      <c r="H5" t="inlineStr"/>
      <c r="I5" t="inlineStr">
        <is>
          <t>Note: By applying to this position you will have an opportunity to share your preferred working location from the following:
 **Mountain View, CA, USA; New York, NY, USA** 
 .
 **Minimum qualifications:**
* Bachelor's degree in Statistics, Mathematics, Data Science, Engineering, Physics, Economics, or a related quantitative field.
* 8 years of experience using analytics to solve product or business problems, performing statistical analysis, and coding (e.g., Python, R, SQL), or 5 years of experience with an advanced degree.
**Preferred qualifications:**
* Master's degree in Statistics, Mathematics, Data Science, Engineering, Physics, Economics, or a related quantitative field.
**About The Job**
 Help serve Google's worldwide user base of more than a billion people. Data Scientists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your fellow Googlers in Engineering and Product Management. You relish tallying up the numbers one minute and communicating your findings to a team leader the next.
 The Education Data Science team plays a fundamental role in the success of Google for Education, by providing understanding of our business and product performance, and developing insights to help drive strategic decisions.
 As a Data Scientist on the team, you will work closely with Product, Engineering and Business teams throughout the entire development process to help build products enjoyed by hundreds of millions of users globally. You will conduct proactive analyses to identify and size new opportunities. You will deliver data\-driven insights to help with product strategy and decisions focused on growing the customer base and identifying opportunities to increase business. You will perform an in\-depth search to better understand user behavior and how users engage with our products. You will research, develop, and validate metrics to define what success looks like. You will design and analyze experiments to measure the causal effects of product changes and democratize data access through developing dashboards and accurate reporting.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own and evolve product/business success metrics. Report, analyze and forecast trends of key product/business metrics and make recommendations to improve them.
* Lead the design, analysis, and interpretation of product experiments.
* Perform data exploration to understand user behavior and identify opportunities for improving and growing Education products. Identify critical business and product functionalities and assess their business impact.
* Develop analysis, forecasting, and human/auto evaluations to improve the quality of Google's AI/Large Language Model (LLM) products, for example Gemini/NotebookLM use\-cases for teachers and students, and live experiments.
* Apply technical expertise with observational data analysis, modeling, and causal inference to answer the most important product/business questions.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
      <c r="A6" t="inlineStr">
        <is>
          <t>li-4371456022</t>
        </is>
      </c>
      <c r="B6" t="inlineStr">
        <is>
          <t>Data Scientist</t>
        </is>
      </c>
      <c r="C6" t="inlineStr">
        <is>
          <t>Sedgwick</t>
        </is>
      </c>
      <c r="D6" t="inlineStr">
        <is>
          <t>linkedin</t>
        </is>
      </c>
      <c r="E6" t="inlineStr"/>
      <c r="F6" t="inlineStr"/>
      <c r="G6" t="inlineStr"/>
      <c r="H6" t="inlineStr"/>
      <c r="I6" t="inlineStr">
        <is>
          <t>**About The Company** 
 Join Sedgwick, a globally recognized leader in claims management and risk solutions, where your work directly impacts individuals and organizations facing unexpected challenges. With a dedicated team of over 33,000 colleagues worldwide, Sedgwick is committed to providing exceptional service and innovative solutions. Recognized by Newsweek as one of America's Greatest Workplaces and certified as a Great Place to Work, Sedgwick has also been listed among Fortune's Best Workplaces in Financial Services \&amp; Insurance. Our culture emphasizes growth, collaboration, and work\-life balance, fostering an environment where employees can thrive and make meaningful contributions.
**About The Role** 
 We are seeking a talented Data Scientist to join our remote team. In this role, you will be responsible for developing and managing predictive modeling projects from inception to completion. Your insights will enable Sedgwick to gain a competitive edge by spotting trends, optimizing processes, and making data\-driven recommendations to management. You will collaborate with senior data scientists, stakeholders, and cross\-functional teams to build, deploy, and monitor machine learning models in both sandbox and production environments. Your expertise will help enhance our data pipelines, explore new data sources, and communicate complex findings effectively. The ideal candidate will be enthusiastic, collaborative, customer\-oriented, and empathetic, with a passion for leveraging data to solve real\-world problems.
**Qualifications** 
* Minimum one year of experience in predictive modeling, data science, and data analysis
* Proficiency in Python or R programming languages
* Experience working with notebook environments such as Jupyter or RStudio
* Knowledge of data visualization tools and libraries
* Strong skills in data exploration, wrangling, and feature engineering
* Understanding of common supervised and unsupervised machine learning techniques
* Familiarity with insurance claims data is preferred
* Excellent communication skills to convey modeling challenges, findings, and insights
* Ability to work collaboratively in a team environment and meet project deadlines
**Responsibilities** 
* Execute data science projects as assigned by senior data scientists, leadership, and stakeholders
* Develop, prototype, and deploy machine learning models in sandbox and production environments
* Create reports and dashboards to communicate model performance and key metrics
* Assist in designing and maintaining end\-to\-end ETL data pipelines
* Explore and evaluate new internal data sources for potential project utility
* Identify trends and patterns within data to provide actionable insights
* Communicate complex modeling concepts and results effectively to non\-technical stakeholders
* Collaborate with cross\-functional teams to integrate data science solutions into business processes
**Benefits** 
* Comprehensive health, dental, and vision insurance plans
* 401(k) retirement savings plan with company match
* Paid time off and holidays to support work\-life balance
* Career development and promotional growth opportunities
* Access to ongoing training and professional development resources
* Inclusive and supportive work environment that values diversity
 Equal Opportunity
 Sedgwick is an Equal Opportunity Employer and a Drug\-Free Workplace. We are committed to fostering an inclusive environment where all employees are valued and respected. We encourage candidates from diverse backgrounds to apply, regardless of race, gender, age, religion, sexual orientation, disability, or any other protected characteristic.</t>
        </is>
      </c>
    </row>
    <row r="7">
      <c r="A7" t="inlineStr">
        <is>
          <t>li-4371471381</t>
        </is>
      </c>
      <c r="B7" t="inlineStr">
        <is>
          <t>Data Scientist</t>
        </is>
      </c>
      <c r="C7" t="inlineStr">
        <is>
          <t>Elder Research</t>
        </is>
      </c>
      <c r="D7" t="inlineStr">
        <is>
          <t>linkedin</t>
        </is>
      </c>
      <c r="E7" t="inlineStr"/>
      <c r="F7" t="inlineStr"/>
      <c r="G7" t="inlineStr">
        <is>
          <t>Lanham, MD</t>
        </is>
      </c>
      <c r="H7" t="inlineStr"/>
      <c r="I7" t="inlineStr">
        <is>
          <t>**General Information**
**Requisition** 
 \#659
**Locations** 
 USA\-MD\-Lanham
**Posting Date** 
 02/11/2026
**Security Clearance Required** 
 \- Active IRS Public Trust w/ Background Investigation
**Remote Type** 
 Hybrid
**Time Type** 
 Full time
**Description \&amp; Requirements**
 Elder Research Inc., a wholly owned subsidiary of MANTECH international Corporation seeks a motivated, career and customer\-oriented
 **Data Scientist** 
 to join our team in
 **Lanham, MD.** 
 This is a hybrid position with 1\-2 days onsite and 3\-4 days remote.
**Responsibilities Include But Are Not Limited To**
* The Data Scientist leads the Data Analytics team and is responsible for coordinating and collaborating with other members of the team including data engineers, cyber analysts, software developers and solutions architects.
* Develops and presents analytic findings, initiatives, and schedules to stakeholders. They must possess significant experience in the Insider Threat domain, including familiarity with typical Insider Threat data sources, behavioral analytics, UEBA tools, fraud detection, and risk scoring models.
* Plays a central role in developing and operationalizing advanced analytics and machine learning models to identify subtle or evolving insider threats.
* Builds and trains predictive models to support behavior\-based risk scoring, anomaly detection, and insider threat case prioritization.
* Validates models using operational data and collaborate closely with analysts and engineers to translate behavioral hypotheses into deployable, scalable algorithms that drive proactive threat detection within the Counter Insider Threat environment.
**Minimum Qualifications**
* Education: Bachelor’s degree in Data Science, Statistics, Computer Science or related field with demonstrated experience.
* Years of experience: 6 – 12
* Experience clustering large amount of user\-generated content and processing data in large\-scale environments using platforms and services like Amazon EC2, Storm, Hadoop, Spark etc.
* Experience performing explanatory data analyses, generate and test working hypotheses, prepare and analyze historical data and identify patterns and correlations.
* Experience implementing User Behavior Analytics governance processes; specifically, the discipline to organize reporting, analytics and manipulate data to support analytical models and filters.
* Ability to articulate as well as support a visionary data analytics approach that will position the IRS to successfully deter, detect, and mitigate near and long\-term cyber threats from a User Behavior Analytics perspective.
* Ability to perform machine learning, natural language, and statistical analysis methods, such as classification, collaborative filtering, association rules, topic modeling, time\-series analysis, regression, statistical inference, and validation methods.
* Capability to analyze big data using sophisticated analytical and algorithmic techniques.
* Ability to communicate the correlation of vast stores of log data creatively and cogently into succinct presentation models for informed and decisive management action to deter, detect, and mitigate User Behavior Analytics risk.
* Ability to assist with client engagements focused on Big Data and Advanced Business Analytics, in diverse domains such as cyber security, fraud analytics, service development, public policy, optimization, risk management.
**Preferred Qualifications**
* Master's degree in Data Science, Statistics, Computer Science or related field with demonstrated experience.
* Certification(s): CERT InT PgM (CERT Insider Threat Program Management) or CISSP.
**Clearance Requirements**
* Must have an active IRS Public Trust w/ Background Investigation
**Physical Requirements**
* The person in this position must be able to remain in a stationary position 50% of the time. Occasionally move about inside the office to access file cabinets, office machinery, or to communicate with co\-workers, management, and customers, via email, phone, and or virtual communication, which may involve delivering presentations.
**About Elder Research, Inc \- People Centered. Data Driven**
*Elder Research considers all qualified applicants for employment without regard to disability or veteran status or any other status protected under any federal, state, or local law or regulation.*
*If you need a reasonable accommodation to apply for a position with Elder Research, please email us at careers@elderresearch.com and provide your name and contact information.*</t>
        </is>
      </c>
    </row>
    <row r="8">
      <c r="A8" t="inlineStr">
        <is>
          <t>li-4371174701</t>
        </is>
      </c>
      <c r="B8" t="inlineStr">
        <is>
          <t>Data Scientist, Product, Education, Data Science</t>
        </is>
      </c>
      <c r="C8" t="inlineStr">
        <is>
          <t>Google</t>
        </is>
      </c>
      <c r="D8" t="inlineStr">
        <is>
          <t>linkedin</t>
        </is>
      </c>
      <c r="E8" t="inlineStr"/>
      <c r="F8" t="inlineStr"/>
      <c r="G8" t="inlineStr">
        <is>
          <t>Mountain View, CA</t>
        </is>
      </c>
      <c r="H8" t="inlineStr"/>
      <c r="I8" t="inlineStr">
        <is>
          <t>Note: By applying to this position you will have an opportunity to share your preferred working location from the following:
 **Mountain View, CA, USA; New York, NY, USA** 
 .
 **Minimum qualifications:**
* Bachelor's degree in Statistics, Mathematics, Data Science, Engineering, Physics, Economics, or a related quantitative field.
* 8 years of experience using analytics to solve product or business problems, performing statistical analysis, and coding (e.g., Python, R, SQL), or 5 years of experience with an advanced degree.
**Preferred qualifications:**
* Master's degree in Statistics, Mathematics, Data Science, Engineering, Physics, Economics, or a related quantitative field.
**About The Job**
 Help serve Google's worldwide user base of more than a billion people. Data Scientists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your fellow Googlers in Engineering and Product Management. You relish tallying up the numbers one minute and communicating your findings to a team leader the next.
 The Education Data Science team plays a fundamental role in the success of Google for Education, by providing understanding of our business and product performance, and developing insights to help drive strategic decisions.
 As a Data Scientist on the team, you will work closely with Product, Engineering and Business teams throughout the entire development process to help build products enjoyed by hundreds of millions of users globally. You will conduct proactive analyses to identify and size new opportunities. You will deliver data\-driven insights to help with product strategy and decisions focused on growing the customer base and identifying opportunities to increase business. You will perform an in\-depth search to better understand user behavior and how users engage with our products. You will research, develop, and validate metrics to define what success looks like. You will design and analyze experiments to measure the causal effects of product changes and democratize data access through developing dashboards and accurate reporting.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own and evolve product/business success metrics. Report, analyze and forecast trends of key product/business metrics and make recommendations to improve them.
* Lead the design, analysis, and interpretation of product experiments.
* Perform data exploration to understand user behavior and identify opportunities for improving and growing Education products. Identify critical business and product functionalities and assess their business impact.
* Develop analysis, forecasting, and human/auto evaluations to improve the quality of Google's AI/Large Language Model (LLM) products, for example Gemini/NotebookLM use\-cases for teachers and students, and live experiments.
* Apply technical expertise with observational data analysis, modeling, and causal inference to answer the most important product/business questions.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
      <c r="A9" t="inlineStr">
        <is>
          <t>li-4371163883</t>
        </is>
      </c>
      <c r="B9" t="inlineStr">
        <is>
          <t>Associate Data Scientist - Marketing</t>
        </is>
      </c>
      <c r="C9" t="inlineStr">
        <is>
          <t>Bumble Inc.</t>
        </is>
      </c>
      <c r="D9" t="inlineStr">
        <is>
          <t>linkedin</t>
        </is>
      </c>
      <c r="E9" t="inlineStr"/>
      <c r="F9" t="inlineStr"/>
      <c r="G9" t="inlineStr">
        <is>
          <t>Austin, TX</t>
        </is>
      </c>
      <c r="H9" t="inlineStr"/>
      <c r="I9" t="inlineStr">
        <is>
          <t>Bumble Inc. is looking for an Associate Data Scientist to join our Core Data Science team, supporting Marketing and User Acquisition (UA) measurement and insights. You’ll help uncover what drives acquisition performance across channels, improve how we evaluate spend and efficiency, and translate data into clear recommendations that support growth.
 This role is ideal for someone early in their data science career who’s excited by commercial problem\-solving and wants to work closely with marketing, product, and finance partners. You’ll use Python and SQL to explore data, build repeatable reporting/analysis workflows, and contribute to measurement frameworks that guide decision\-making.
**KEY ACCOUNTABILITIES** 
* Partner with Marketing/UA, Product, and Finance teams to define and investigate key questions related to acquisition performance and growth
* Support measurement of campaign performance (e.g., efficiency, quality, retention, LTV/ROI), and help improve how results are tracked and reported
* Build and maintain dashboards, datasets, and analysis pipelines that make performance data accessible and trusted
* Conduct deep\-dive analyses to identify patterns, drivers, and opportunities across channels, geos, and audience cohorts
* Help develop and operationalise experimentation and incrementality approaches (e.g., A/B tests, geo tests) to evaluate marketing impact
* Communicate insights clearly, turning analysis into practical recommendations for stakeholders
* Collaborate with Analytics and Data Engineering to improve data quality, definitions, and instrumentation relevant to acquisition and attribution
**EXPERIENCE WE ARE LOOKING FOR** 
* 1–3 years of experience in analytics, data science, marketing analytics, consulting, or a similar role (tech/digital consumer experience a plus)
* Strong Python skills for analysis and automation (e.g., pandas, notebooks) and strong SQL for data extraction and transformation
* Solid grounding in statistics and measurement concepts (e.g., confidence intervals, bias/confounding, experiment interpretation)
* Comfort working with marketing/UA metrics and funnels (e.g., CPI/CAC, conversion rate, payback, retention) or strong interest in learning quickly
* Experience with data visualisation/storytelling (e.g., Looker, Tableau) and presenting insights to non\-technical audiences
* Collaborative mindset, curiosity, and a practical approach to solving ambiguous business problems
**NICE TO HAVE** 
* Familiarity with attribution concepts and tooling (e.g., MMM outputs, SKAN\-style constraints, channel reporting nuances)
* Experience with causal/incrementality thinking
* Experience working with product funnels or lifecycle metrics in a consumer app environment
* Experience in a multi\-sided marketplace and understanding it’s nuance \&amp; trade\-offs
**LOCATION** 
* This role is based in Austin, and we ask that you’re within a commutable distance to this office, so that you’re able to come onsite regularly to collaborate across engineering teams
* We have a hybrid environment that requires you to be in the office Monday \- Wednesday
* *Please note: We are unable to offer Visa sponsorship at this time*
 For base compensation, we set standard ranges for all roles based on function, level, and geographic location. This position is also typically eligible to participate in our short\- and long\-term incentive programs. Benefits include Medical, Dental, Vision, 401(k) match, Unlimited Paid Time Off Policy.
 Maven Fertility: $10,000 lifetime benefit for fertility, adoption, abortion care, and more.26 Weeks Parental Leave: For both primary and secondary caregivers.Family \&amp; Compassionate Leave: Inclusive of domestic violence recovery.Unlimited Paid Time Off: Take the time you need.Company\-wide Week Off: Annual collective rest for the entire company.Focus Fridays: No meetings, emails, or deadlines—just deep work.</t>
        </is>
      </c>
    </row>
    <row r="10">
      <c r="A10" t="inlineStr">
        <is>
          <t>li-4371452653</t>
        </is>
      </c>
      <c r="B10" t="inlineStr">
        <is>
          <t>Lead Data Scientist</t>
        </is>
      </c>
      <c r="C10" t="inlineStr">
        <is>
          <t>Tiger Analytics</t>
        </is>
      </c>
      <c r="D10" t="inlineStr">
        <is>
          <t>linkedin</t>
        </is>
      </c>
      <c r="E10" t="inlineStr"/>
      <c r="F10" t="inlineStr"/>
      <c r="G10" t="inlineStr">
        <is>
          <t>Chicago, IL</t>
        </is>
      </c>
      <c r="H10" t="inlineStr"/>
      <c r="I10" t="inlineStr">
        <is>
          <t>Tiger Analytics is looking for experienced Data Scientists to join our fast\-growing advanced analytics consulting firm. Our consultants bring deep expertise in Data Science, Machine Learning and AI. We are the trusted analytics partner for multiple Fortune 500 companies, enabling them to generate business value from data. Our business value and leadership has been recognized by various market research firms, including Forrester and Gartner. We are looking for top\-notch talent as we continue to build the best global analytics consulting team in the world.
 We are seeking a highly skilled and experienced Lead Data Scientist with strong expertise in forecasting models, including ARIMA, time series modeling, and PMPM forecasting, preferably within the healthcare domain. The ideal candidate will have a proven track record of designing, developing, and deploying scalable forecasting solutions, while leading projects and mentoring teams. This role requires deep technical expertise, hands\-on coding experience, and the ability to collaborate closely with clients and stakeholders to translate business needs into robust analytical solutions.
**Key Responsibilities**
* Design, develop, and deploy advanced forecasting models (ARIMA, SARIMA, Prophet, and other time series techniques) for healthcare\-related use cases including PMPM forecasting.
* Analyze structured and large\-scale healthcare datasets (claims, membership, utilization, cost data) to generate actionable insights.
* Build scalable, production\-ready ML pipelines and automate forecasting workflows.
* Perform model validation, back\-testing, hyperparameter tuning, and performance monitoring to ensure accuracy and stability.
* Translate business problems into data science solutions and clearly communicate findings to clients and stakeholders.
* Lead end\-to\-end project execution, mentor junior data scientists, and ensure best practices in modeling and MLOps.
* Collaborate cross\-functionally with engineering, product, and business teams to drive data\-driven decision\-making
* Collaborate, coach, and learn with a growing team of experienced Data Scientists
**Requirements**
* 6\-8 years of experience in Data Science, Machine Learning, or Advanced Analytics.
* Strong expertise in time series forecasting techniques such as ARIMA/SARIMA, exponential smoothing, and other statistical models.
* Hands\-on experience in PMPM forecasting and healthcare analytics (claims, cost, utilization data preferred).
* Proficiency in Python (pandas, numpy, stats models, scikit\-learn) and SQL for data analysis and modeling.
* Experience in deploying models to production and building automated data pipelines (MLOps exposure preferred).
* Strong understanding of statistical concepts, model evaluation metrics (MAPE, RMSE, etc.), and model interpretability.
* Excellent communication skills with experience engaging business stakeholders or clients
* Proficiency in building data pipelines using tools such as Airflow, Databricks, Spark, or similar frameworks
* Experience working in agile environments with cross\-functional collaboration
**Benefits**
 This position offers an excellent opportunity for significant career development in a fast\-growing and challenging entrepreneurial environment with a high degree of individual responsibility.
***Tiger Analytics provides equal employment opportunities to applicants and employees without regard to race, color, religion, age, sex, sexual orientation, gender identity/expression, pregnancy, national origin, ancestry, marital status, protected veteran status, disability status, or any other basis as protected by federal, state, or local law.***</t>
        </is>
      </c>
    </row>
    <row r="11">
      <c r="A11" t="inlineStr">
        <is>
          <t>li-4371450632</t>
        </is>
      </c>
      <c r="B11" t="inlineStr">
        <is>
          <t>Data Scientist II</t>
        </is>
      </c>
      <c r="C11" t="inlineStr">
        <is>
          <t>Tempus AI</t>
        </is>
      </c>
      <c r="D11" t="inlineStr">
        <is>
          <t>linkedin</t>
        </is>
      </c>
      <c r="E11" t="inlineStr"/>
      <c r="F11" t="inlineStr"/>
      <c r="G11" t="inlineStr"/>
      <c r="H11" t="inlineStr"/>
      <c r="I11" t="inlineStr">
        <is>
          <t>**About The Company**
 Tempus is at the forefront of revolutionizing healthcare through the power of data and advanced analytics. Specializing in precision medicine, Tempus leverages proprietary technology and a vast ecosystem of real\-world evidence to deliver real\-time, actionable insights to healthcare providers and researchers. Our platform connects diverse datasets, including genomic, clinical, and imaging data, to facilitate personalized treatment strategies and improve patient outcomes. With a mission to empower clinicians and scientists with cutting\-edge tools, Tempus is committed to transforming the way healthcare decisions are made, ultimately advancing the industry towards more precise and individualized care.
**About The Role**
 The Data Scientist I, Real World Data Science position at Tempus offers an exciting opportunity for passionate individuals interested in applying data science to healthcare and biomedical research. As part of the Scientific and Technological Solutions team, you will act as a critical bridge between our analytical platform and the complex research questions posed by our clients. Your primary responsibility will be to facilitate seamless integration of client research needs with Tempus’s data ecosystem, ensuring that scientific hypotheses are effectively addressed through data analysis and platform utilization. You will serve as a technical and scientific resource, guiding clients through onboarding, platform navigation, and advanced data analysis workflows. This role requires a blend of scientific expertise, technical proficiency, and excellent communication skills to support research initiatives in areas such as biomarker discovery, clinical trial design, and target identification. The ideal candidate will be proactive, collaborative, and eager to contribute to the advancement of healthcare through data\-driven insights.
**Qualifications**
* Master’s or Ph.D. in Computational Biology, Bioinformatics, Genomics, Data Science, or related life sciences
* Proven experience analyzing large\-scale biomedical datasets, including genomic, clinical, or real\-world data
* Hands\-on experience with analytical programming languages such as R; familiarity with Python and SQL is a plus
* Knowledge of cloud computing environments like AWS or GCP
* Strong understanding of biomedical research workflows and data analysis techniques
* Excellent communication skills, capable of explaining complex concepts to diverse audiences
* Demonstrated ability to work collaboratively in a fast\-paced, team\-oriented environment
* Problem\-solving mindset with a focus on developing pragmatic solutions to scientific and technical challenges
**Responsibilities**
* Lead the technical and scientific onboarding process for new clients, ensuring smooth platform integration
* Engage with clients to understand their scientific hypotheses and research questions
* Translate client needs into actionable workflows and queries within the Tempus analytical platform
* Design and structure complex data analyses involving genomic, clinical, and imaging datasets
* Identify opportunities for platform and workflow optimization to enhance user experience
* Collaborate with product, engineering, and data science teams to prioritize features and resolve technical issues
* Create comprehensive technical documentation, tutorials, and training materials for clients
* Provide ongoing support and guidance to clients to facilitate scientific research and data analysis
**Benefits**
* Competitive salary based on experience and location
* Full benefits package including medical, dental, and vision insurance
* Incentive compensation and restricted stock units (RSUs) for eligible roles
* Opportunities for professional development and career growth
* Flexible work arrangements, including remote work options where applicable
* Collaborative and innovative work environment focused on impactful healthcare solutions
 Equal Opportunity
 Tempus is an equal opportunity employer. We celebrate diversity and are committed to creating an inclusive environment for all employees. We do not discriminate based on race, religion, color, national origin, gender, sexual orientation, age, marital status, veteran status, or disability status. We believe that diverse perspectives foster innovation and excellence in our mission to revolutionize healthcare through data science.</t>
        </is>
      </c>
    </row>
    <row r="12">
      <c r="A12" t="inlineStr">
        <is>
          <t>li-4371450507</t>
        </is>
      </c>
      <c r="B12" t="inlineStr">
        <is>
          <t>Data Scientist</t>
        </is>
      </c>
      <c r="C12" t="inlineStr">
        <is>
          <t>Shine Associates, LLC</t>
        </is>
      </c>
      <c r="D12" t="inlineStr">
        <is>
          <t>linkedin</t>
        </is>
      </c>
      <c r="E12" t="inlineStr"/>
      <c r="F12" t="inlineStr"/>
      <c r="G12" t="inlineStr"/>
      <c r="H12" t="inlineStr"/>
      <c r="I12" t="inlineStr">
        <is>
          <t>**POSITION SPECIFICATION**
**DATA SCIENTIST**
 Shine Associates, LLC has been retained to search, identify and recruit a Data Scientist on behalf of our client (‘Company’).
**CONFIDENTIALITY** 
 Shine Associates, LLC has been exclusively retained on this assignment. Information contained in this position specification as well as any other information concerning the Company provided or verbally discussed is confidential. All materials and discussions are to be utilized for the sole purpose of a candidate’s personal review of the career opportunity.
**CLIENT DESCRIPTION** 
 The Company is a privately\-held and vertically\-integrated real estate company that develops, owns, and operates a portfolio of multifamily, industrial, and mixed\-use developments. With corporate offices in Atlanta, Boston, Dallas, Dubai, New York, and San Francisco, the firm is an experienced real estate private equity investor and manager supported by an integrated operating platform and has 65\+ years of experience across multiple asset classes. The Company’s existing and under\-development properties are valued at over $31\.0 billion.
 During its 65\+\-year history, the Company has developed, managed or acquired over 96,000 residential units and 32\.5 million square feet of commercial space in twenty\-four states. The current portfolio includes over 57,000 residential units, 1 million square feet of retail and office space, and 26 million square feet of industrial space.
**DATA SCIENTIST** 
 As a member of the cross\-disciplined Strategic Analytics team,the Data Scientist will play a crucial role in analyzing complex datasets, uncovering valuable insights, and providing data\-driven solutions to drive business growth and innovation. The data scientist will work closely with business leaders to improve operating performance and foster data\-driven decision\-making processes across the firm’s investment and operating verticals. The successful candidate will bring curiosity and problem solving skills and able to transition from working with business and technology professionals to deliver actionable results.
**ESSENTIAL DUTIES AND RESPONSIBILITIES** 
* Data Analysisand Modeling: Utilizestatistical techniques and machine learning algorithms to analyze largeand complex datasets. Apply data preprocessing, feature engineering, and predictive modeling to extractmeaningful insights and develop robustmodels.
* Problem Solving: Contribute to the solution of business challenges through innovative solutions using data\-driven approaches. Collaborate withstakeholders to defineproblem statements, formulate hypotheses, and design experiments to validate solutions.
* Data Visualization: Create compelling visualizations and dashboards to communicate complex findings in a clearand concise manner.Present insights and recommendations to technical and non\-technical audiences, including senior management, to drive informed decision\-making.
* Machine LearningDevelopment: Support the creation anddeployment of machinelearning models, leveraging bothtraditional statistical techniques and cutting\-edge algorithms. Optimize modelsfor performance, scalability, and interpretability.
* Data Exploration and Cleansing: Work with in\-house data engineering teamto conduct exploratory dataanalysis to understand data characteristics, identify data quality issues, and address missing or inconsistent data. Implement data cleansing techniques and develop strategies to improve dataquality and integrity.
* Collaborative Approach: Collaborate with data engineers, software developers, data analysts, and business stakeholders, to integrate data science solutions into existing systems and processes. Provide guidance and support to team memberson best practices in data science methodologies and tools.
**PROFESSIONAL QUALIFICATIONS** 
* Bachelor's degreeor higher in Computer Science, Statistics, Mathematics, or a related field.
* Proficiency in programming languages such as SQL and Pythonor R. Strong knowledge of machine learning techniques, statistical analysis, and datavisualization tools (e.g.Power BI). Knowledge of Azure ML and Snowflake (Snowpark ML) a plus. Stronganalytical and problem\-solving abilities, with keen attention to detail. Ability to identify patterns, trends, and insights from complex datasets.
* Strong writtenand verbal communication skills. Ability to translate technical findings into actionable insights and present them effectively to both technical and non\-technical audiences.
* Ability to work effectively in cross\-functional teams.Strong interpersonal skillsand the ability to collaborate withindividuals at all levels of the organization.
* Ability to thrive in a fast\-paced and dynamic environment. Willingness to learnnew technologies and methodologies to stay aheadin the fieldof data science.
* 2\-3 years’experience in a data scienceor analytics role,applying statistical analysis and machine learning techniques to real\-world problems.
**COMPENSATION** 
 The Company is prepared to offer a competitive compensation package including salary, bonus and other benefits.
**CONTACT INFORMATION** 
 Shine Associates, LLC
 45 School St., Suite 301
 Boston, MA 02108
 www.shineassociatesllc.com
 Hillary H. Shine, Principal Kelsey Shine, Director
 Cell (203\) 613\-3562 Cell (508\) 494\-6569
 Hillary@shineassociatesllc.com Kelsey@shineassociatesllc.com
 Lillian Beck, Director Chandlee Gustafson, Senior Associate
 Cell (978\) 855\-8454 Cell (978\) 201\-3100
 Lillian@shineassociatesllc.com Chandlee@shineassociatesllc.com</t>
        </is>
      </c>
    </row>
    <row r="13">
      <c r="A13" t="inlineStr">
        <is>
          <t>li-4309802103</t>
        </is>
      </c>
      <c r="B13" t="inlineStr">
        <is>
          <t>Data Scientist</t>
        </is>
      </c>
      <c r="C13" t="inlineStr">
        <is>
          <t>DataAnnotation</t>
        </is>
      </c>
      <c r="D13" t="inlineStr">
        <is>
          <t>linkedin</t>
        </is>
      </c>
      <c r="E13" t="inlineStr"/>
      <c r="F13" t="inlineStr"/>
      <c r="G13" t="inlineStr">
        <is>
          <t>Nevada, United States</t>
        </is>
      </c>
      <c r="H13" t="inlineStr"/>
      <c r="I13"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14">
      <c r="A14" t="inlineStr">
        <is>
          <t>li-4309699353</t>
        </is>
      </c>
      <c r="B14" t="inlineStr">
        <is>
          <t>Applied Data Scientist</t>
        </is>
      </c>
      <c r="C14" t="inlineStr">
        <is>
          <t>DataAnnotation</t>
        </is>
      </c>
      <c r="D14" t="inlineStr">
        <is>
          <t>linkedin</t>
        </is>
      </c>
      <c r="E14" t="inlineStr"/>
      <c r="F14" t="inlineStr"/>
      <c r="G14" t="inlineStr">
        <is>
          <t>Connecticut, United States</t>
        </is>
      </c>
      <c r="H14" t="inlineStr"/>
      <c r="I14" t="inlineStr">
        <is>
          <t>We are looking for an Applied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15">
      <c r="A15" t="inlineStr">
        <is>
          <t>li-4309808127</t>
        </is>
      </c>
      <c r="B15" t="inlineStr">
        <is>
          <t>Applied Data Scientist</t>
        </is>
      </c>
      <c r="C15" t="inlineStr">
        <is>
          <t>DataAnnotation</t>
        </is>
      </c>
      <c r="D15" t="inlineStr">
        <is>
          <t>linkedin</t>
        </is>
      </c>
      <c r="E15" t="inlineStr"/>
      <c r="F15" t="inlineStr"/>
      <c r="G15" t="inlineStr">
        <is>
          <t>Nevada, United States</t>
        </is>
      </c>
      <c r="H15" t="inlineStr"/>
      <c r="I15" t="inlineStr">
        <is>
          <t>We are looking for an Applied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16">
      <c r="A16" t="inlineStr">
        <is>
          <t>li-4371194097</t>
        </is>
      </c>
      <c r="B16" t="inlineStr">
        <is>
          <t>Data Scientist</t>
        </is>
      </c>
      <c r="C16" t="inlineStr">
        <is>
          <t>Xcede</t>
        </is>
      </c>
      <c r="D16" t="inlineStr">
        <is>
          <t>linkedin</t>
        </is>
      </c>
      <c r="E16" t="inlineStr"/>
      <c r="F16" t="inlineStr"/>
      <c r="G16" t="inlineStr"/>
      <c r="H16" t="inlineStr"/>
      <c r="I16" t="inlineStr">
        <is>
          <t>Senior Data Scientist with deep experience in marketing analytics, product data science, machine learning, and growth strategy to lead our marketing data function and build product\-facing data capabilities at a fast\-growing Series A startup.
 This is a high\-impact role for a hands\-on data scientist who combines strong technical expertise in statistics, machine learning, and coding with strategic thinking. You will operate in a fast\-paced, ambiguous environment and play a critical role in shaping product direction, improving customer outcomes, and driving measurable growth.
**What you’ll do** 
* Own and scale the marketing data science function to support aggressive growth targets.
* Build and enhance product\-facing data features that deliver valuable financial insights to customers.
* Conduct deep\-dive analyses for risk modeling and underwriting, particularly for customer loans.
* Work with large, messy datasets to uncover actionable insights and opportunities.
* Partner with product, marketing, and leadership to drive strategy and inform product decisions.
* Develop and deploy statistical and machine learning models to support key business initiatives.
**What we’re looking for** 
* 5\+ years of experience in data science, marketing analytics, product analytics, or a related field.
* Building 0 to 1 data products or services.
* Analyzing financial markets or consumer research
* Experience at a fintech, e\- commerce, lending, or D2C business
* Strong foundation in statistics, machine learning, and experimental design.
* Advanced proficiency in SQL and Python (R is a plus).
* Experience working with large\-scale datasets and modern data stacks.
* Ability to translate complex data into clear, strategic recommendations.
* Comfortable operating in a fast\-paced, ambiguous startup environment.
**Tech stack** 
* SQL
* Python
* R
* Big data tools and distributed data systems</t>
        </is>
      </c>
    </row>
    <row r="17">
      <c r="A17" t="inlineStr">
        <is>
          <t>li-4309804211</t>
        </is>
      </c>
      <c r="B17" t="inlineStr">
        <is>
          <t>Applied Data Scientist</t>
        </is>
      </c>
      <c r="C17" t="inlineStr">
        <is>
          <t>DataAnnotation</t>
        </is>
      </c>
      <c r="D17" t="inlineStr">
        <is>
          <t>linkedin</t>
        </is>
      </c>
      <c r="E17" t="inlineStr"/>
      <c r="F17" t="inlineStr"/>
      <c r="G17" t="inlineStr">
        <is>
          <t>Hawaii, United States</t>
        </is>
      </c>
      <c r="H17" t="inlineStr"/>
      <c r="I17" t="inlineStr">
        <is>
          <t>We are looking for an Applied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18">
      <c r="A18" t="inlineStr">
        <is>
          <t>li-4371186070</t>
        </is>
      </c>
      <c r="B18" t="inlineStr">
        <is>
          <t>AI Data Scientist</t>
        </is>
      </c>
      <c r="C18" t="inlineStr">
        <is>
          <t>Philips</t>
        </is>
      </c>
      <c r="D18" t="inlineStr">
        <is>
          <t>linkedin</t>
        </is>
      </c>
      <c r="E18" t="inlineStr"/>
      <c r="F18" t="inlineStr"/>
      <c r="G18" t="inlineStr">
        <is>
          <t>Cambridge, MA</t>
        </is>
      </c>
      <c r="H18" t="inlineStr"/>
      <c r="I18" t="inlineStr">
        <is>
          <t>Job Title
 AI Data Scientist
**Job Description**
**AI Data Scientist, Acute Care Informatics (Cambridge, MA)**
 Drive real\-world impact in healthcare by building and deploying advanced machine learning and generative artificial intelligence solutions that power Philips’ Connected Care portfolio and improve patient outcomes across global clinical environments.
**Your Role**
* Design, develop, deploy, and continuously improve machine learning and generative artificial intelligence algorithms that support clinical care, patient management, and customer analytics across Philips Connected Care solutions.
* Partner closely with clinicians, epidemiologists, product managers, and software engineers to translate clinical needs into scalable, production\-ready analytics and decision support capabilities.
* Build high\-quality, compliant software by contributing hands\-on code aligned with quality management system processes and regulatory requirements.
* Contribute to scientific evidence generation, including abstracts, patents, and manuscripts, and support interactions with regulatory bodies as needed.
* Share knowledge and best practices with product development and professional services teams through training and collaboration across international markets.
**You're The Right Fit If**
* You’ve acquired 3\+ years of hands\-on, industry experience applying machine learning techniques (e.g., classification, regression, clustering, reinforcement learning, dimensionality reduction) as an individual contributor in production environments.
* Your skills include strong proficiency in Python machine learning frameworks, experience with at least one major programming language (e.g., C\#), familiarity with version control systems, and experience building big data pipelines and cloud\-based solutions. (Bonus: experience with Amazon Web Services machine learning environments such as SageMaker, and working in Agile/Scrum teams.)
* You have a PhD in Computer Science, Engineering, Informatics, Physics, Mathematics, or a related quantitative field.
* You’re a collaborative, patient\-first problem solver with strong communication skills in English and comfort working with regulated healthcare data environments. (Bonus: experience with healthcare data standards such as Fast Healthcare Interoperability Resources and Health Level Seven.)
* You must be able to successfully perform the following minimum Physical, Cognitive and Environmental job requirements with or without accommodation for this position.
**How We Work Together**
 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This is an office role.
**About Philips**
 We are a health technology company. We built our entire company around the belief that every human matters, and we won't stop until everybody everywhere has access to the quality healthcare that we all deserve. Do the work of your life to help improve the lives of others.
* Learn more about our business.
* Discover our rich and exciting history.
* Learn more about our purpose.
* Learn more about our culture.
**Philips Transparency Details**
 The pay range for this position in (MA) is $110,880 to $177,408
 The actual base pay offered may vary within the posted ranges depending on multiple factors including job\-related knowledge/skills, experience, business needs, geographical location, and internal equity.
 In addition, other compensation, such as an annual incentive bonus, sales commission or long\-term incentives may be offered. Employees are eligible to participate in our comprehensive Philips Total Rewards benefits program, which includes a generous PTO, 401k (up to 7% match), HSA (with company contribution), stock purchase plan, education reimbursement and much more. Details about our benefits can be found here.
 At Philips, it is not typical for an individual to be hired at or near the top end of the range for their role and compensation decisions are dependent upon the facts and circumstances of each case.
**Additional Information**
 US work authorization is a precondition of employment. The company will not consider candidates who require sponsorship for a work\-authorized visa, now or in the future.
 Company relocation benefits
 **will not** 
 be provided for this position. For this position, you must reside in
 **or** 
 within commuting distance to Cambridge, MA
 **.**
 \#healthcareinformatics
 This requisition is expected to stay active for 45 days but may close earlier if a successful candidate is selected or business necessity dictates. Interested candidates are encouraged to apply as soon as possible to ensure consideration.
*Philips is an Equal Employment and Opportunity Employer including Disability/Vets and maintains a drug\-free workplace.*</t>
        </is>
      </c>
    </row>
    <row r="19">
      <c r="A19" t="inlineStr">
        <is>
          <t>li-4309697423</t>
        </is>
      </c>
      <c r="B19" t="inlineStr">
        <is>
          <t>Data Scientist</t>
        </is>
      </c>
      <c r="C19" t="inlineStr">
        <is>
          <t>DataAnnotation</t>
        </is>
      </c>
      <c r="D19" t="inlineStr">
        <is>
          <t>linkedin</t>
        </is>
      </c>
      <c r="E19" t="inlineStr"/>
      <c r="F19" t="inlineStr"/>
      <c r="G19" t="inlineStr">
        <is>
          <t>Oregon, United States</t>
        </is>
      </c>
      <c r="H19" t="inlineStr"/>
      <c r="I19"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20">
      <c r="A20" t="inlineStr">
        <is>
          <t>li-4309692719</t>
        </is>
      </c>
      <c r="B20" t="inlineStr">
        <is>
          <t>Data Scientist</t>
        </is>
      </c>
      <c r="C20" t="inlineStr">
        <is>
          <t>DataAnnotation</t>
        </is>
      </c>
      <c r="D20" t="inlineStr">
        <is>
          <t>linkedin</t>
        </is>
      </c>
      <c r="E20" t="inlineStr"/>
      <c r="F20" t="inlineStr"/>
      <c r="G20" t="inlineStr">
        <is>
          <t>Connecticut, United States</t>
        </is>
      </c>
      <c r="H20" t="inlineStr"/>
      <c r="I20"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21">
      <c r="A21" t="inlineStr">
        <is>
          <t>li-4309698440</t>
        </is>
      </c>
      <c r="B21" t="inlineStr">
        <is>
          <t>Applied Data Scientist</t>
        </is>
      </c>
      <c r="C21" t="inlineStr">
        <is>
          <t>DataAnnotation</t>
        </is>
      </c>
      <c r="D21" t="inlineStr">
        <is>
          <t>linkedin</t>
        </is>
      </c>
      <c r="E21" t="inlineStr"/>
      <c r="F21" t="inlineStr"/>
      <c r="G21" t="inlineStr">
        <is>
          <t>Arizona, United States</t>
        </is>
      </c>
      <c r="H21" t="inlineStr"/>
      <c r="I21" t="inlineStr">
        <is>
          <t>We are looking for an Applied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22">
      <c r="A22" t="inlineStr">
        <is>
          <t>li-4309687892</t>
        </is>
      </c>
      <c r="B22" t="inlineStr">
        <is>
          <t>Data Scientist</t>
        </is>
      </c>
      <c r="C22" t="inlineStr">
        <is>
          <t>DataAnnotation</t>
        </is>
      </c>
      <c r="D22" t="inlineStr">
        <is>
          <t>linkedin</t>
        </is>
      </c>
      <c r="E22" t="inlineStr"/>
      <c r="F22" t="inlineStr"/>
      <c r="G22" t="inlineStr">
        <is>
          <t>Tennessee, United States</t>
        </is>
      </c>
      <c r="H22" t="inlineStr"/>
      <c r="I22"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23">
      <c r="A23" t="inlineStr">
        <is>
          <t>li-4309685982</t>
        </is>
      </c>
      <c r="B23" t="inlineStr">
        <is>
          <t>Data Scientist</t>
        </is>
      </c>
      <c r="C23" t="inlineStr">
        <is>
          <t>DataAnnotation</t>
        </is>
      </c>
      <c r="D23" t="inlineStr">
        <is>
          <t>linkedin</t>
        </is>
      </c>
      <c r="E23" t="inlineStr"/>
      <c r="F23" t="inlineStr"/>
      <c r="G23" t="inlineStr">
        <is>
          <t>Alaska, United States</t>
        </is>
      </c>
      <c r="H23" t="inlineStr"/>
      <c r="I23"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24">
      <c r="A24" t="inlineStr">
        <is>
          <t>li-4309806031</t>
        </is>
      </c>
      <c r="B24" t="inlineStr">
        <is>
          <t>Data Scientist</t>
        </is>
      </c>
      <c r="C24" t="inlineStr">
        <is>
          <t>DataAnnotation</t>
        </is>
      </c>
      <c r="D24" t="inlineStr">
        <is>
          <t>linkedin</t>
        </is>
      </c>
      <c r="E24" t="inlineStr"/>
      <c r="F24" t="inlineStr"/>
      <c r="G24" t="inlineStr">
        <is>
          <t>Michigan, United States</t>
        </is>
      </c>
      <c r="H24" t="inlineStr"/>
      <c r="I24"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25">
      <c r="A25" t="inlineStr">
        <is>
          <t>li-4309693778</t>
        </is>
      </c>
      <c r="B25" t="inlineStr">
        <is>
          <t>Applied Data Scientist</t>
        </is>
      </c>
      <c r="C25" t="inlineStr">
        <is>
          <t>DataAnnotation</t>
        </is>
      </c>
      <c r="D25" t="inlineStr">
        <is>
          <t>linkedin</t>
        </is>
      </c>
      <c r="E25" t="inlineStr"/>
      <c r="F25" t="inlineStr"/>
      <c r="G25" t="inlineStr">
        <is>
          <t>Rhode Island, United States</t>
        </is>
      </c>
      <c r="H25" t="inlineStr"/>
      <c r="I25" t="inlineStr">
        <is>
          <t>We are looking for an Applied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26">
      <c r="A26" t="inlineStr">
        <is>
          <t>li-4309697442</t>
        </is>
      </c>
      <c r="B26" t="inlineStr">
        <is>
          <t>Data Scientist</t>
        </is>
      </c>
      <c r="C26" t="inlineStr">
        <is>
          <t>DataAnnotation</t>
        </is>
      </c>
      <c r="D26" t="inlineStr">
        <is>
          <t>linkedin</t>
        </is>
      </c>
      <c r="E26" t="inlineStr"/>
      <c r="F26" t="inlineStr"/>
      <c r="G26" t="inlineStr">
        <is>
          <t>South Carolina, United States</t>
        </is>
      </c>
      <c r="H26" t="inlineStr"/>
      <c r="I26"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27">
      <c r="A27" t="inlineStr">
        <is>
          <t>li-4309808116</t>
        </is>
      </c>
      <c r="B27" t="inlineStr">
        <is>
          <t>Applied Data Scientist</t>
        </is>
      </c>
      <c r="C27" t="inlineStr">
        <is>
          <t>DataAnnotation</t>
        </is>
      </c>
      <c r="D27" t="inlineStr">
        <is>
          <t>linkedin</t>
        </is>
      </c>
      <c r="E27" t="inlineStr"/>
      <c r="F27" t="inlineStr"/>
      <c r="G27" t="inlineStr">
        <is>
          <t>Michigan, United States</t>
        </is>
      </c>
      <c r="H27" t="inlineStr"/>
      <c r="I27" t="inlineStr">
        <is>
          <t>We are looking for an Applied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28">
      <c r="A28" t="inlineStr">
        <is>
          <t>li-4309698324</t>
        </is>
      </c>
      <c r="B28" t="inlineStr">
        <is>
          <t>Data Scientist</t>
        </is>
      </c>
      <c r="C28" t="inlineStr">
        <is>
          <t>DataAnnotation</t>
        </is>
      </c>
      <c r="D28" t="inlineStr">
        <is>
          <t>linkedin</t>
        </is>
      </c>
      <c r="E28" t="inlineStr"/>
      <c r="F28" t="inlineStr"/>
      <c r="G28" t="inlineStr">
        <is>
          <t>Indiana, United States</t>
        </is>
      </c>
      <c r="H28" t="inlineStr"/>
      <c r="I28"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29">
      <c r="A29" t="inlineStr">
        <is>
          <t>li-4309805126</t>
        </is>
      </c>
      <c r="B29" t="inlineStr">
        <is>
          <t>Applied Data Scientist</t>
        </is>
      </c>
      <c r="C29" t="inlineStr">
        <is>
          <t>DataAnnotation</t>
        </is>
      </c>
      <c r="D29" t="inlineStr">
        <is>
          <t>linkedin</t>
        </is>
      </c>
      <c r="E29" t="inlineStr"/>
      <c r="F29" t="inlineStr"/>
      <c r="G29" t="inlineStr">
        <is>
          <t>Utah, United States</t>
        </is>
      </c>
      <c r="H29" t="inlineStr"/>
      <c r="I29" t="inlineStr">
        <is>
          <t>We are looking for an Applied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30">
      <c r="A30" t="inlineStr">
        <is>
          <t>li-4309801126</t>
        </is>
      </c>
      <c r="B30" t="inlineStr">
        <is>
          <t>Data Scientist</t>
        </is>
      </c>
      <c r="C30" t="inlineStr">
        <is>
          <t>DataAnnotation</t>
        </is>
      </c>
      <c r="D30" t="inlineStr">
        <is>
          <t>linkedin</t>
        </is>
      </c>
      <c r="E30" t="inlineStr"/>
      <c r="F30" t="inlineStr"/>
      <c r="G30" t="inlineStr">
        <is>
          <t>North Dakota, United States</t>
        </is>
      </c>
      <c r="H30" t="inlineStr"/>
      <c r="I30"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31">
      <c r="A31" t="inlineStr">
        <is>
          <t>li-4309691801</t>
        </is>
      </c>
      <c r="B31" t="inlineStr">
        <is>
          <t>Data Scientist</t>
        </is>
      </c>
      <c r="C31" t="inlineStr">
        <is>
          <t>DataAnnotation</t>
        </is>
      </c>
      <c r="D31" t="inlineStr">
        <is>
          <t>linkedin</t>
        </is>
      </c>
      <c r="E31" t="inlineStr"/>
      <c r="F31" t="inlineStr"/>
      <c r="G31" t="inlineStr">
        <is>
          <t>Kansas, United States</t>
        </is>
      </c>
      <c r="H31" t="inlineStr"/>
      <c r="I31"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32">
      <c r="A32" t="inlineStr">
        <is>
          <t>li-4309810042</t>
        </is>
      </c>
      <c r="B32" t="inlineStr">
        <is>
          <t>Applied Data Scientist</t>
        </is>
      </c>
      <c r="C32" t="inlineStr">
        <is>
          <t>DataAnnotation</t>
        </is>
      </c>
      <c r="D32" t="inlineStr">
        <is>
          <t>linkedin</t>
        </is>
      </c>
      <c r="E32" t="inlineStr"/>
      <c r="F32" t="inlineStr"/>
      <c r="G32" t="inlineStr">
        <is>
          <t>Minnesota, United States</t>
        </is>
      </c>
      <c r="H32" t="inlineStr"/>
      <c r="I32" t="inlineStr">
        <is>
          <t>We are looking for an Applied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33">
      <c r="A33" t="inlineStr">
        <is>
          <t>li-4309689856</t>
        </is>
      </c>
      <c r="B33" t="inlineStr">
        <is>
          <t>Data Scientist</t>
        </is>
      </c>
      <c r="C33" t="inlineStr">
        <is>
          <t>DataAnnotation</t>
        </is>
      </c>
      <c r="D33" t="inlineStr">
        <is>
          <t>linkedin</t>
        </is>
      </c>
      <c r="E33" t="inlineStr"/>
      <c r="F33" t="inlineStr"/>
      <c r="G33" t="inlineStr">
        <is>
          <t>Iowa, United States</t>
        </is>
      </c>
      <c r="H33" t="inlineStr"/>
      <c r="I33"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34">
      <c r="A34" t="inlineStr">
        <is>
          <t>li-4309807087</t>
        </is>
      </c>
      <c r="B34" t="inlineStr">
        <is>
          <t>Applied Data Scientist</t>
        </is>
      </c>
      <c r="C34" t="inlineStr">
        <is>
          <t>DataAnnotation</t>
        </is>
      </c>
      <c r="D34" t="inlineStr">
        <is>
          <t>linkedin</t>
        </is>
      </c>
      <c r="E34" t="inlineStr"/>
      <c r="F34" t="inlineStr"/>
      <c r="G34" t="inlineStr">
        <is>
          <t>Maryland, United States</t>
        </is>
      </c>
      <c r="H34" t="inlineStr"/>
      <c r="I34" t="inlineStr">
        <is>
          <t>We are looking for an Applied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35">
      <c r="A35" t="inlineStr">
        <is>
          <t>li-4309804047</t>
        </is>
      </c>
      <c r="B35" t="inlineStr">
        <is>
          <t>Data Scientist</t>
        </is>
      </c>
      <c r="C35" t="inlineStr">
        <is>
          <t>DataAnnotation</t>
        </is>
      </c>
      <c r="D35" t="inlineStr">
        <is>
          <t>linkedin</t>
        </is>
      </c>
      <c r="E35" t="inlineStr"/>
      <c r="F35" t="inlineStr"/>
      <c r="G35" t="inlineStr">
        <is>
          <t>Mississippi, United States</t>
        </is>
      </c>
      <c r="H35" t="inlineStr"/>
      <c r="I35"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36">
      <c r="A36" t="inlineStr">
        <is>
          <t>li-4365108126</t>
        </is>
      </c>
      <c r="B36" t="inlineStr">
        <is>
          <t>Data Scientist | Clinical AI</t>
        </is>
      </c>
      <c r="C36" t="inlineStr">
        <is>
          <t>Machinify</t>
        </is>
      </c>
      <c r="D36" t="inlineStr">
        <is>
          <t>linkedin</t>
        </is>
      </c>
      <c r="E36" t="inlineStr"/>
      <c r="F36" t="inlineStr"/>
      <c r="G36" t="inlineStr">
        <is>
          <t>Palo Alto, CA</t>
        </is>
      </c>
      <c r="H36" t="inlineStr"/>
      <c r="I36" t="inlineStr">
        <is>
          <t>Machinify is a leading healthcare intelligence company with expertise across the payment continuum, delivering unmatched value, transparency, and efficiency to health plan clients across the country. Deployed by over 60 health plans, including many of the top 20, and representing more than 160 million lives, Machinify brings together a fully configurable and content\-rich, AI\-powered platform along with best\-in\-class expertise. We’re constantly reimagining what’s possible in our industry, creating disruptively simple, powerfully clear ways to maximize financial outcomes and drive down healthcare costs.
 Machinify builds machine learning models for some of the largest health plans in the country to identify nearly $1B in erroneous healthcare payments. Our customers receive tens of millions of claims each year, many of which are billed with mistakes or fraud. Our production models detect and stop those errors on a daily basis, resulting in measurable healthcare savings that significantly outperform industry standards. Machinify has already had a huge impact as a small company, and we are growing quickly!
 We are hiring a Data Scientist to help advance our AI system for clinical criteria evaluation. This role sits at the intersection of medical policy interpretation, data science, and applied ML/LLM evaluation. You will translate policy requirements into correct, testable code (SQL and Python), and you will build the measurement and quality systems that continuously improve an AI pipeline that extracts structured clinical signals from medical records.
**What You'll Do**
* Translate medical policy into executable logic \- Read and interpret medical policies and clinical criteria (e.g., lab thresholds, temporal windows, trend logic, exclusions).
* Convert requirements into correct, maintainable SQL and Python implementations (e.g., creatinine\-based AKI rules, bilirubin thresholds, troponin dynamics, ABG\-derived criteria).
* Design rule representations that are composable and auditable (clear inputs, outputs, assumptions, edge cases).
* Prompt engineering and system parameter tuning for AI configuration that extracts clinical information from medical records.
* Build robust clinical feature pipelines
* Create and maintain pipelines that compute clinical features from extracted signals (labs, vitals, flowsheets, notes\-derived facts).
* Handle tricky realities: missing timestamps, multiple measurement sources, unit normalization, deduplication, conflicting values, provenance tracking.
* Own measurement, evaluation, and continuous quality improvement
* Define and instrument accuracy metrics for the AI system that extracts data from medical records
* Build gold datasets, sampling strategies, and review workflows with clinical/operations partners.
* Perform error analysis, identify root causes (retrieval failures, OCR issues, extraction ambiguity, policy interpretation gaps), and drive improvements.
* Establish engineering frameworks and tooling
* Create reusable tooling for policy\-to\-code translation: templates, test harnesses, validation suites, regression checks, and monitoring dashboards.
* Improve infrastructure for large\-scale runs: orchestration, logging, lineage, versioning, and reproducibility.
* Implement guardrails and QA gates so policy logic changes are safe, traceable, and measurable.
* Partner deeply with domain experts
* Work with clinicians, policy specialists, and operations to clarify ambiguous requirements and ensure implementations reflect real\-world intent.
* Produce clear documentation that explains what the code is doing and why, with examples and edge\-case handling.
**What You'll Bring**
* Strong SQL and Python engineering skills \- Ability to translate nuanced requirements into correct SQL (CTEs, window functions, joins at scale, performance tuning) and production\-quality Python. \- Experience building testable pipelines, not just ad hoc analysis.
* Experience operationalizing rules \+ models \- Track record of implementing complex business/clinical logic and deploying it reliably. \- Comfort working with imperfect, messy, high\-volume datasets.
* Evaluation/Metric mindset \- Experience designing metrics, building ground truth, running experiments, and improving system quality through structured iteration. \- Ability to connect technical quality measures to business outcomes (e.g., accuracy vs reviewer burden vs downstream decisions).
* Systems thinking and rigor \- You build frameworks that make other engineers/scientists faster: shared libraries, patterns, tooling, and clear interfaces.
* You sweat details: edge cases, provenance, temporal logic, unit conversions, and regression safety.
* Healthcare curiosity (and willingness to learn fast) \- Interest in medical records, clinical data, and how policies translate into decision criteria. \- Prior healthcare experience is a plus, but not required if you bring the aptitude and motivation.
**Nice to Have**
 Experience with clinical data standards or lab data normalization (LOINC familiarity, units conversion, reference ranges). \- Experience evaluating LLM/IE systems (information extraction) or building human\-in\-the\-loop QA workflows. \- Familiarity with distributed data systems (Spark, BigQuery/Snowflake, Databricks) and workflow orchestrators.
**Why This Role**
 If you enjoy turning ambiguous real\-world policies into precise code, building quality systems that make AI reliable, and operating at the boundary of clinical domain nuance and production engineering, this role is designed for you.
**Equal Employment Opportunity at Machinify**
 Machinify is committed to hiring talented and qualified individuals with diverse backgrounds for all of its positions. Machinify believes that the gathering and celebration of unique backgrounds, qualities, and cultures enriches the workplace.
 See our Candidate Privacy Notice at: https://www.machinify.com/candidate\-privacy\-notice/</t>
        </is>
      </c>
    </row>
    <row r="37">
      <c r="A37" t="inlineStr">
        <is>
          <t>li-4309800244</t>
        </is>
      </c>
      <c r="B37" t="inlineStr">
        <is>
          <t>Applied Data Scientist</t>
        </is>
      </c>
      <c r="C37" t="inlineStr">
        <is>
          <t>DataAnnotation</t>
        </is>
      </c>
      <c r="D37" t="inlineStr">
        <is>
          <t>linkedin</t>
        </is>
      </c>
      <c r="E37" t="inlineStr"/>
      <c r="F37" t="inlineStr"/>
      <c r="G37" t="inlineStr">
        <is>
          <t>Iowa, United States</t>
        </is>
      </c>
      <c r="H37" t="inlineStr"/>
      <c r="I37" t="inlineStr">
        <is>
          <t>We are looking for an Applied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38">
      <c r="A38" t="inlineStr">
        <is>
          <t>li-4309698412</t>
        </is>
      </c>
      <c r="B38" t="inlineStr">
        <is>
          <t>Applied Data Scientist</t>
        </is>
      </c>
      <c r="C38" t="inlineStr">
        <is>
          <t>DataAnnotation</t>
        </is>
      </c>
      <c r="D38" t="inlineStr">
        <is>
          <t>linkedin</t>
        </is>
      </c>
      <c r="E38" t="inlineStr"/>
      <c r="F38" t="inlineStr"/>
      <c r="G38" t="inlineStr">
        <is>
          <t>Kentucky, United States</t>
        </is>
      </c>
      <c r="H38" t="inlineStr"/>
      <c r="I38" t="inlineStr">
        <is>
          <t>We are looking for an Applied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39">
      <c r="A39" t="inlineStr">
        <is>
          <t>li-4309807133</t>
        </is>
      </c>
      <c r="B39" t="inlineStr">
        <is>
          <t>Applied Data Scientist</t>
        </is>
      </c>
      <c r="C39" t="inlineStr">
        <is>
          <t>DataAnnotation</t>
        </is>
      </c>
      <c r="D39" t="inlineStr">
        <is>
          <t>linkedin</t>
        </is>
      </c>
      <c r="E39" t="inlineStr"/>
      <c r="F39" t="inlineStr"/>
      <c r="G39" t="inlineStr">
        <is>
          <t>Vermont, United States</t>
        </is>
      </c>
      <c r="H39" t="inlineStr"/>
      <c r="I39" t="inlineStr">
        <is>
          <t>We are looking for an Applied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40">
      <c r="A40" t="inlineStr">
        <is>
          <t>li-4309693685</t>
        </is>
      </c>
      <c r="B40" t="inlineStr">
        <is>
          <t>Data Scientist</t>
        </is>
      </c>
      <c r="C40" t="inlineStr">
        <is>
          <t>DataAnnotation</t>
        </is>
      </c>
      <c r="D40" t="inlineStr">
        <is>
          <t>linkedin</t>
        </is>
      </c>
      <c r="E40" t="inlineStr"/>
      <c r="F40" t="inlineStr"/>
      <c r="G40" t="inlineStr">
        <is>
          <t>Alabama, United States</t>
        </is>
      </c>
      <c r="H40" t="inlineStr"/>
      <c r="I40"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41">
      <c r="A41" t="inlineStr">
        <is>
          <t>li-4309694825</t>
        </is>
      </c>
      <c r="B41" t="inlineStr">
        <is>
          <t>Applied Data Scientist</t>
        </is>
      </c>
      <c r="C41" t="inlineStr">
        <is>
          <t>DataAnnotation</t>
        </is>
      </c>
      <c r="D41" t="inlineStr">
        <is>
          <t>linkedin</t>
        </is>
      </c>
      <c r="E41" t="inlineStr"/>
      <c r="F41" t="inlineStr"/>
      <c r="G41" t="inlineStr">
        <is>
          <t>West Virginia, United States</t>
        </is>
      </c>
      <c r="H41" t="inlineStr"/>
      <c r="I41" t="inlineStr">
        <is>
          <t>We are looking for an Applied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42">
      <c r="A42" t="inlineStr">
        <is>
          <t>li-4369463093</t>
        </is>
      </c>
      <c r="B42" t="inlineStr">
        <is>
          <t>Data Scientist</t>
        </is>
      </c>
      <c r="C42" t="inlineStr">
        <is>
          <t>Haystack</t>
        </is>
      </c>
      <c r="D42" t="inlineStr">
        <is>
          <t>linkedin</t>
        </is>
      </c>
      <c r="E42" t="inlineStr"/>
      <c r="F42" t="inlineStr"/>
      <c r="G42" t="inlineStr"/>
      <c r="H42" t="inlineStr"/>
      <c r="I42" t="inlineStr">
        <is>
          <t>**Senior Data Scientist \| Orlando \| Hybrid**
 We're working with Disney Experiences on this exciting opportunity.
 Are you a seasoned Data Scientist with a passion for retail and a knack for creating magical customer experiences? Disney Experiences is seeking a Senior Data Scientist to spearhead advanced analytics and machine learning initiatives, optimizing customer segmentation, assortment rationalization, and promotion strategies across their iconic brick\-and\-mortar and e\-commerce platforms. If you're ready to leverage your expertise in Python, SQL, and cutting\-edge cloud platforms like Google Cloud Platform and Snowflake to drive impactful data\-driven decisions that shape the future of retail, this is your chance to shine!
**The Role**
* Lead the design, development, and deployment of advanced statistical and machine learning models for customer segmentation, promotion optimization, and demand forecasting.
* Architect and implement scalable data pipelines and model workflows using Python, SQL, and cloud platforms (GCP, Snowflake) for continuous data integration and retraining.
* Develop dynamic dashboards and self\-service analytics solutions using Tableau or Looker to provide actionable insights to cross\-functional partners.
* Collaborate with product, merchandising, marketing, and technology teams to translate business questions into structured analytics problems and drive strategic decisions.
* Mentor and guide data scientists and analysts, promoting best practices in code quality, model validation, reproducibility, and responsible AI.
**What You'll Need**
* 5\+ years as a Data Scientist with expertise in retail, covering customer segmentation, performance forecasting, and business optimization.
* Proven experience developing and optimizing retail strategies using advanced analytics across brick\-and\-mortar and e\-commerce channels.
* Proficient in developing insightful dashboards and visual analytics with tools like Tableau to monitor key retail metrics and support data\-driven decision\-making.
* Deep knowledge of predictive modeling techniques including regression, time series forecasting (ARIMA, Prophet), causal inference, and machine learning methods (XGBoost, LightGBM).
* Expert\-level skills in Python (pandas, scikit\-learn, statsmodels, PyMC) and SQL for large\-scale retail datasets, with hands\-on experience in GCP, Snowflake, BigQuery, and Spark.
**What's On Offer**
* Join a dynamic and innovative team at Disney Experiences, shaping the future of retail through cutting\-edge data science.
* Opportunity to work on high\-impact projects that directly enhance guest experience and drive revenue growth for beloved Disney brands.
* Comprehensive rewards package including health and savings benefits, educational opportunities, and exclusive Disney perks.
* Thrive in a collaborative hybrid work environment in the magical city of Orlando, FL.
**Apply via Haystack today!**</t>
        </is>
      </c>
    </row>
    <row r="43">
      <c r="A43" t="inlineStr">
        <is>
          <t>li-4323113248</t>
        </is>
      </c>
      <c r="B43" t="inlineStr">
        <is>
          <t>Data Scientist (Multiple Levels)</t>
        </is>
      </c>
      <c r="C43" t="inlineStr">
        <is>
          <t>Modern Technology Solutions, Inc. (MTSI)</t>
        </is>
      </c>
      <c r="D43" t="inlineStr">
        <is>
          <t>linkedin</t>
        </is>
      </c>
      <c r="E43" t="inlineStr"/>
      <c r="F43" t="inlineStr"/>
      <c r="G43" t="inlineStr">
        <is>
          <t>Colorado Springs, CO</t>
        </is>
      </c>
      <c r="H43" t="inlineStr"/>
      <c r="I43" t="inlineStr">
        <is>
          <t>Modern Technology Solutions Inc. (MTSI) is seeking a highly experienced Data Scientist (Multiple Levels) to provide Systems Engineering, Integration, \&amp; Test (SEIT) support to the United States Space Force (USSF) Operational Command and Control (C2\) Acquisition Delta responsible for developing software and the supporting architecture for the organize, understand, plan, decide, direct, and monitor capabilities within the C2 Joint Capability Areas (JCAs). This position is located in Colorado Springs, CO.
 Job responsibilities will include, but may not be limited to:
* Leading data analytics efforts and ensuring alignment with 2STS objectives and vision.
* Overseeing the development and integration of data analytics and business intelligence tools to support squadron strategies and goals.
* Participating in various staff meetings to influence data capabilities and competencies within the squadron.
* Collaborating with customers to refine analytical requirements dynamically in an iterative, agile process.
* Conducting research on cutting\-edge data science innovations and adapting them for government environments.
* Developing proposals to test hypotheses, prioritizing research projects, and establishing project goals.
* Performing data management tasks and activities required for operational success.
* Access data from different repositories through scripting or APIs to integrate data and present the data to leadership through data visualization tools.
**Required Experience**
* Minimum of 5 years of relevant DoD/IC or relevant industry work experience.
* Minimum of 5 years of data science experience.
* Proficiency in data science techniques to conceptualize, adapt, and apply new models for solving complex problems.
* Knowledge of DoD or private sector business systems, big data analytics, data pipelines, machine learning, Artificial Intelligence, cognitive sciences, and operational strategies.
* Advanced skill in articulating and defending complex concepts, often with diverse stakeholders.
* Strong ability to negotiate and secure executive support for challenging program concepts.
* Ability to lead interdisciplinary teams consisting of industry, academic, and government experts.
* Expertise in extracting actionable insights using data analytics methods aligned with squadron requirements.
* Experience in the following application frameworks:
* Microsoft Office products to include: SharePoint, Word, Excel, MS Project.
* Adobe Acrobat.
* Confluence and Jira.
* Demonstrated leadership and team\-building skills.
* Extremely motivated individual who is a self\-starter and works well in a fast\-paced team environment.
* Strong interpersonal skills to enable working, interfacing, and interrelating with diverse personnel and dynamic teams.
* Excellent analytical and organizational skills, specifically attention to detail, along with effective time and project management skills.
* Experience with presenting and communicating technical data to various audiences (government and leadership audience experience preferred).
* Willingness to mentor colleagues.
**Education Requirements**
* B.S. in Mathematics, Applied Mathematics, Statistics, Applied Statistics, Machine Learning, Data Science, Operations Research, or Computer Science (required).
* M.S. in Computer Science (desired).
**Security Clearance Level Required**
* An active TS/SCI security clearance is required to start.
* U.S. Citizenship is required for this position.
**Location / Travel Requirements:**
* Place of work is the Garden of the Gods, Colorado Springs, CO. This role is hybrid (on\-site/telework).
* May require travel up to 15% of the time within the continental United States.
***The pay range for this position in Colorado is $150,000/year to $185,000/year; however, base pay offered may vary depending on established government contract ranges, job\-related knowledge, skills, and experience, and other factors.***
***Compensation is competitive and may be adjusted for candidates with exceptional qualifications or expertise, including those at the SME level, with potential earnings up to $230,000/year.***
***MTSI also offers a full range of medical, financial, and other benefits, dependent on the position offered. Base pay information is based on market location. Applicants should apply via MTSI's internal or external careers site.***
 \#MTSI
 \#MTSIJOBS</t>
        </is>
      </c>
    </row>
    <row r="44">
      <c r="A44" t="inlineStr">
        <is>
          <t>li-4336675984</t>
        </is>
      </c>
      <c r="B44" t="inlineStr">
        <is>
          <t>Senior Forward-Deployed Data Scientist</t>
        </is>
      </c>
      <c r="C44" t="inlineStr">
        <is>
          <t>Braze</t>
        </is>
      </c>
      <c r="D44" t="inlineStr">
        <is>
          <t>linkedin</t>
        </is>
      </c>
      <c r="E44" t="inlineStr"/>
      <c r="F44" t="inlineStr"/>
      <c r="G44" t="inlineStr">
        <is>
          <t>Chicago, IL</t>
        </is>
      </c>
      <c r="H44" t="inlineStr"/>
      <c r="I44" t="inlineStr">
        <is>
          <t>At Braze, we have found our people. We’re a genuinely approachable, exceptionally kind, and intensely passionate crew.
 We seek to ignite that passion by setting high standards, championing teamwork, and creating work\-life harmony as we collectively navigate rapid growth on a global scale while striving for greater equity and opportunity – inside and outside our organization.
 To flourish here, you must be prepared to set a high bar for yourself and those around you. There is always a way to contribute: Acting with autonomy, having accountability and being open to new perspectives are essential to our continued success.
 Our deep curiosity to learn and our eagerness to share diverse passions with others gives us balance and injects a one\-of\-a\-kind vibrancy into our culture.
 If you are driven to solve exhilarating challenges and have a bias toward action in the face of change, you will be empowered to make a real impact here, with a sharp and passionate team at your back. If Braze sounds like a place where you can thrive, we can’t wait to meet you.
**What You'll Do**
 As our customer base continues to grow with the excitement around BrazeAI, we’re expanding our team! Join our Forward\-Deployed Data Scientist group of creative technical experts who partner with customers to ensure their success. In this role, you will:
* Collaborate with customer Analytics/BI teams and Braze colleagues on implementations, including use case definition, data integration, pipeline setup, and ML model configuration
* Extend product capabilities by improving architecture and developing reusable data pipelines, APIs, and components
* Work closely with the RL pipeline development team to refine and advance our reinforcement learning (self\-learning) algorithms
* Contribute to shaping BrazeAI product strategy and roadmap through customer\-facing insights and technical expertise
* Provide ongoing technical expertise to ensure successful adoption, measurable outcomes, and long\-term customer success
**Who You Are**
* Education: Bachelor’s degree in Computer Science, Data Science, Mathematics, Engineering, or a related field required; Master’s or PhD in a relevant technical discipline preferred
* Experience: 3–5\+ years of hands\-on experience as a Data Scientist, Machine Learning Engineer, or similar role working with large\-scale data and production environments. Experience in customer\-facing or consulting roles is strongly preferred
* Strong technical expertise: Proficient in Python (Pandas) and core ML libraries (TensorFlow, Keras, scikit\-learn, CatBoost, XGBoost). Skilled in SQL for querying/manipulating datasets, with experience in machine learning pipelines and model deployment
* Engineering best practices: You write well\-structured, modular, documented code; follow strong development practices (Git, CI/CD, testing frameworks, type\-hinting, code reviews); and can build scalable, maintainable solutions
* Nice\-to\-have skills: Experience with DevOps tools (Airflow, Kubernetes, Terraform, GCP), data integration/ETL and pipeline optimization, or reinforcement learning algorithms
* Customer collaborator: Comfortable working directly with clients and cross\-functional teams, aligning stakeholders, and translating technical concepts into clear business value
* Entrepreneurial problem\-solver: You identify opportunities and risks early, troubleshoot obstacles, and drive creative solutions
* Continuous learner: You stay current with industry trends, explore new tools/technologies, and thrive in environments that push you to grow
* Clear communicator: Able to explain complex technical ideas persuasively to both technical and non\-technical audiences
 For candidates based in the United States, the pay range for this position at the start of employment is expected to be between $180,900 \- $217,800/year with an expected On Target Earnings (OTE) between $201,000 \- $242,000/year (including bonus or commission). Your exact offer may vary depending on multiple individualized factors, including market location, job\-related knowledge, skills, and experience. In addition to cash compensation, Braze offers full\- and part\- time employees a comprehensive Total Rewards package that includes equity grants of restricted stock (RSUs) so that all Braze employees own a piece of our company.
**What We Offer**
 Braze benefits vary by location, and we encourage you to review our specific benefits offerings for each country here . More details on benefits plans will be provided if you receive an offer of employment.
**Benefits**
 From offering comprehensive benefits to fostering hybrid ways of working, we’ve got you covered so you can prioritize work\-life harmony. Braze offers benefits such as:
* Competitive compensation that may include equity
* Retirement and Employee Stock Purchase Plans
* Flexible paid time off
* Comprehensive benefit plans covering medical, dental, vision, life, and disability
* Family services that include fertility benefits and equal paid parental leave
* Professional development supported by formal career pathing, learning platforms, and a yearly learning stipend
* A curated in\-office employee experience, designed to foster community, team connections, and innovation
* Opportunities to give back to your community, including an annual company\-wide Volunteer Week and donation matching
* Employee Resource Groups that provide supportive communities within Braze
* Collaborative, transparent, and fun culture recognized as a Great Place to Work®
**About Braze**
 Braze is the leading customer engagement platform that empowers brands to Be Absolutely Engaging.™ Braze helps brands deliver great customer experiences that drive value both for consumers and for their businesses. Built on a foundation of composable intelligence, BrazeAI™ allows marketers to combine and activate AI agents, models, and features at every touchpoint throughout the Braze Customer Engagement Platform for smarter, faster, and more meaningful customer engagement. From cross\-channel messaging and journey orchestration to Al\-powered decisioning and optimization, Braze enables companies to turn action into interaction through autonomous, 1:1 personalized experiences.
 The company has repeatedly been recognized as a Leader in marketing technology by industry analysts, and was voted a G2 “Best of Marketing and Digital Advertising Software Product” in 2025\.
 Braze was also named a 2025 Best Companies To Work For by U.S. News \&amp; World Report, a 2025 America’s Greatest Companies by Newsweek, and a 2025 Fortune Best Workplace in Technology™ by Great Place To Work®, among other accolades. Braze is also proudly certified as a Great Place to Work® in the U.S., the UK, Australia, and Singapore.
 The company is headquartered in New York with offices in Austin, Berlin, Bucharest, Chicago, Dubai, Jakarta, London, Paris, San Francisco, São Paulo, Singapore, Seoul, Sydney and Tokyo.
**BRAZE IS AN EQUAL OPPORTUNITY EMPLOYER**
 At Braze, we strive to create equitable growth and opportunities inside and outside the organization.
 Building meaningful connections is at the heart of everything we do, and that includes our recruiting practices. We're committed to offering all candidates a fair, accessible, and inclusive experience – regardless of age, color, disability, gender identity, marital status, maternity, national origin, pregnancy, race, religion, sex, sexual orientation, or status as a protected veteran. When applying and interviewing with Braze, we want you to feel comfortable showcasing what makes you you .
 We know that sometimes different circumstances can lead talented people to hesitate to apply for a role unless they meet 100% of the criteria. If this sounds familiar, we encourage you to apply, as we’d love to meet you.
 Please see our Candidate Privacy Policy for more information on how Braze processes your personal information during the recruitment process and, if applicable based on your location, how you can exercise any privacy rights.</t>
        </is>
      </c>
    </row>
    <row r="45">
      <c r="A45" t="inlineStr">
        <is>
          <t>li-4336675173</t>
        </is>
      </c>
      <c r="B45" t="inlineStr">
        <is>
          <t>Staff Data Scientist, Forecasting</t>
        </is>
      </c>
      <c r="C45" t="inlineStr">
        <is>
          <t>Pinterest</t>
        </is>
      </c>
      <c r="D45" t="inlineStr">
        <is>
          <t>linkedin</t>
        </is>
      </c>
      <c r="E45" t="inlineStr"/>
      <c r="F45" t="inlineStr"/>
      <c r="G45" t="inlineStr">
        <is>
          <t>San Francisco, CA</t>
        </is>
      </c>
      <c r="H45" t="inlineStr"/>
      <c r="I45"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**What You’ll Do**
* Be the technical lead for the forecasting team. Own the strategy and implementation of forecasting models of key company metrics (e.g., monthly active users), delivering accurate, interpretable forecasts at scale.
* Lead the full modeling lifecycle end to end: problem framing, feature engineering, model development and prototyping, experimentation and backtesting, deployment, monitoring/drift detection, and explainability.
* Set the forecasting technical vision. Define model architectures and standards, and partner with Engineering to shape the forecasting platform for efficient training/inference today and the scalability needed for the next generation of models.
* Translate forecasts into decisions. Present outputs, scenario analyses, and recommendation frameworks to senior leadership with clarity and brevity. This is a high‑visibility role with regular VP\-level exposure.
* Drive broader time‑series impact beyond point forecasts—e.g., anomaly detection, automated root‑cause analysis, campaign/channel attribution, and early‑warning signals for business health.
* Embed forecasting into the business. Partner with BizOps/Finance and product teams to integrate forecasts and insights into operational rhythms, executive decision\-making, and strategic planning.
* Lead and mentor. Guide the work of at least two data scientists, raising the bar on technical quality, execution, and impact through candid, continuous feedback and coaching.
**What We’re Looking For**
* 8\+ years of combined post\-graduate academic and industry experience building and shipping production time‑series/forecasting models with web‑scale data.
* A track record of delivering adjustable, well‑calibrated, and explainable forecasting systems that informing decision\-making.
* Strong background in time‑series modeling and applied statistics/econometrics; advanced degree (MS or PhD) preferred.
* Expertise in at least one scripting language (ideally Python).
* Strong SQL skills (Hive/Presto/Spark SQL) and experience building reliable data pipelines/workflows (e.g., Airflow).
* Business acumen and ownership mindset—able to simplify complex problems, connect model outputs to business levers, and prioritize for impact.
* Excellent communication skills—able to distill complex analyses and uncertainty into concise narratives for executive audiences.
* Proven technical leadership—success leading critical projects and materially influencing the scope and output of other contributors.
**Relocation Statement:**
* This position is not eligible for relocation assistance. Visit our PinFlex page to learn more about our working model.
**In\-Office Requirement Statement**
* We let the type of work you do guide the collaboration style. That means we're not always working in an office, but we continue to gather for key moments of collaboration and connection.
* This role will need to be in the office for in\-person collaboration 1\-2 times/quarter and therefore can be situated anywhere in the country.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$164,695—$339,078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46">
      <c r="A46" t="inlineStr">
        <is>
          <t>li-4363271505</t>
        </is>
      </c>
      <c r="B46" t="inlineStr">
        <is>
          <t>Associate Data Scientist 2026</t>
        </is>
      </c>
      <c r="C46" t="inlineStr">
        <is>
          <t>IBM</t>
        </is>
      </c>
      <c r="D46" t="inlineStr">
        <is>
          <t>linkedin</t>
        </is>
      </c>
      <c r="E46" t="inlineStr"/>
      <c r="F46" t="inlineStr"/>
      <c r="G46" t="inlineStr">
        <is>
          <t>Chicago, IL</t>
        </is>
      </c>
      <c r="H46" t="inlineStr"/>
      <c r="I46" t="inlineStr">
        <is>
          <t>**Introduction**
 In this role, you will join IBM Consulting via our world\-class Associates Program for university hires. As an Associate Data Scientist at IBM Consulting, you will have the opportunity to work with a diverse range of clients worldwide. Our clients' technical and business needs are constantly evolving. We're hiring inspired, talented individuals who believe no problem is too big to solve.
 We focus on your professional development through ongoing learning, mentorship, development of technical skills, and continuous personal growth, all grounded in a culture of coaching and career advancement. If you see yourself as someone who never stops learning and who wants to unleash your potential, the IBM Consulting Associates Program is for you.
 A career in IBM Consulting is rooted in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
 Curiosity and a constant quest for knowledge serve as the foundation for success in IBM Consulting. In your role, you'll be encouraged to challenge the norm, investigate ideas outside of your role, and come up with creative solutions that result in ground\-breaking impact for a wide network of clients. Our culture of evolution and empathy centers on long\-term career growth and development opportunities in an environment that embraces your unique skills and experience.
**Your Role And Responsibilities**
 As an Associate Data Scientist at IBM, you will work to solve business problems using leading\-edge and open\-source tools such as Python, R, and TensorFlow, combined with IBM tools and our AI application suites. You will prepare, analyze, and understand data to deliver insight, predict emerging trends, and provide recommendations to stakeholders. In your role, you may be responsible for:
* Implementing and validating predictive and prescriptive models, creating and maintaining statistical models with a focus on big data and incorporating machine learning techniques in your projects
* Writing programs to cleanse and integrate data in an efficient and reusable manner
* Working in an Agile, collaborative environment, partnering with other data scientists, engineers, consultants, and database administrators of all backgrounds and disciplines to bring analytical rigor and statistical methods to the challenges of predicting behaviors
* Communicating with internal and external clients to understand and define business needs and appropriate modeling techniques to provide analytical solutions.
* Evaluating modeling results and communicating the results to technical and non\-technical audiences.
 These positions are anticipated to start in 2026\. We have positions open in these locations:
* Atlanta, GA
* Austin, TX
* Chicago, IL
* Houston, TX
* New York, NY
**Preferred Education**
 Bachelor's Degree
**Required Technical And Professional Expertise**
* Strong fundamentals in Mathematics and Computer Science (algorithms)
* You're proficient in least one of the statistical programming languages, such as R, Python, Scala, SAS, SPSS, or Matlab
* You have a basic understanding of or experience with predictive/prescriptive modeling skills
* You have strong technical and analytical abilities, a knack for driving impact and growth, and some experience with programming/scripting in a language such as Java or Python
* You're great at solving problems by looking at things differently, debugging, troubleshooting, and designing and implementing solutions to complex technical issues
* Willingness to travel up to 100%
**Preferred Technical And Professional Experience**
* You thrive on teamwork and have excellent verbal and written communication skills.
* You have a basic understanding of Cloud (AWS, Azure, etc.)
* Familiarity with constructing usable data sets from multiple structured and unstructured data sources</t>
        </is>
      </c>
    </row>
    <row r="47">
      <c r="A47" t="inlineStr">
        <is>
          <t>li-4363194545</t>
        </is>
      </c>
      <c r="B47" t="inlineStr">
        <is>
          <t>Sr Data Scientist, Analytics- Hybrid</t>
        </is>
      </c>
      <c r="C47" t="inlineStr">
        <is>
          <t>Vivint</t>
        </is>
      </c>
      <c r="D47" t="inlineStr">
        <is>
          <t>linkedin</t>
        </is>
      </c>
      <c r="E47" t="inlineStr"/>
      <c r="F47" t="inlineStr"/>
      <c r="G47" t="inlineStr">
        <is>
          <t>Lehi, UT</t>
        </is>
      </c>
      <c r="H47" t="inlineStr"/>
      <c r="I47" t="inlineStr">
        <is>
          <t>Welcome to the intersection of energy and home services. At NRG, we’re driven by our passion to create a smarter, cleaner and more connected future.
 Vivint Smart Home, an NRG owned company, is a leading smart home company in the United States, dedicated to redefining the home experience with intelligent products and services. We find purpose in proactively protecting and keeping our customers connected to home, no matter where they are. Join the Smart Home team to create smarter, safer and more sustainable homes.
**About This Role**
 We are seeking a senior data scientist to own mobile app performance metrics and unlock insights that drive engagement, retention and customer lifetime value. You will analyze how app reliability influences user behavior, measure engagement across features and product tiers and inform product and marketing decisions with rigorous data analysis.
**Key Responsibilities**
* Track and analyze mobile app performance metrics such as load times, crash rates and error rates; identify drivers of poor performance and work with engineering teams to improve reliability.
* Build models and analyses to understand how app performance influences user engagement, retention, upsells, upgrades and customer lifetime value across Home Protect Pro, Home Protect and Home Essentials.
* Design and maintain dashboards and reports that monitor engagement metrics (daily, weekly and monthly active users, sessions per day, stickiness) and feature usage across products.
* Perform cohort analyses, experiments and causal inference to quantify correlations between engagement and retention; recommend product improvements to increase customer value.
* Collaborate with product managers, mobile developers, marketing and finance to prioritize features, shape roadmaps and align analytics with business goals.
* Communicate insights effectively to technical and nontechnical stakeholders through visualizations, presentations and written reports.
**Required Qualifications**
* Advanced degree in Data Science, Statistics, Computer Science or a related field and at least five years of experience in product or mobile analytics.
* Proven expertise in statistical modeling, hypothesis testing, causal inference and cohort analysis.
* Strong proficiency in SQL and Python and experience with analytics platforms such as BigQuery, Databricks or similar; familiarity with mobile analytics tools (for example Firebase, Amplitude or Mixpanel).
* Ability to design and interpret A/B tests and experiments.
* Excellent communication skills and the ability to explain complex analyses to diverse audiences.
**Preferred Qualifications**
* Experience analyzing mobile app performance metrics and telemetry.
* Knowledge of retention modeling, customer lifetime value calculation and customer segmentation.
* Experience working in subscription or SaaS businesses with multiple product tiers.
* Familiarity with data visualization tools such as Tableau or Looker and scripting languages for automation.
**Hybrid role that requires 4 days in the office (Mon\-Thurs)**
 If you reside in or intend to work remotely from California, Colorado, Connecticut, Hawaii, Illinois, Minnesota, Nevada, New York, Ohio, Washington D.C., Washington State or another state or locality with a pay transparency law, you may contact Careers@nrg.com for compensation information related to this position and other information as required by applicable law. Please include the job title in your request.
 NRG Energy is committed to a drug and alcohol\-free workplace. To the extent permitted by law and any applicable collective bargaining agreement, employees are subject to periodic random drug testing, and post\-accident and reasonable suspicion drug and alcohol testing. EOE AA M/F/Vet/Disability. Level, Title and/or Salary may be adjusted based on the applicant's experience or skills.
 Official description on file with Talent.</t>
        </is>
      </c>
    </row>
    <row r="48">
      <c r="A48" t="inlineStr">
        <is>
          <t>li-4371199243</t>
        </is>
      </c>
      <c r="B48" t="inlineStr">
        <is>
          <t>Sr Data Scientist</t>
        </is>
      </c>
      <c r="C48" t="inlineStr">
        <is>
          <t>FetchJobs.co</t>
        </is>
      </c>
      <c r="D48" t="inlineStr">
        <is>
          <t>linkedin</t>
        </is>
      </c>
      <c r="E48" t="inlineStr"/>
      <c r="F48" t="inlineStr"/>
      <c r="G48" t="inlineStr"/>
      <c r="H48" t="inlineStr"/>
      <c r="I48" t="inlineStr">
        <is>
          <t>About The Company
 Disney Experiences is a globally renowned entertainment and media enterprise dedicated to creating magical moments and memorable experiences for families and fans worldwide. As a core part of The Walt Disney Company, Disney Experiences encompasses a diverse portfolio of products and services, including theme parks, resorts, merchandise, digital media, and retail operations. Committed to storytelling, innovation, and inclusivity, Disney Experiences strives to inspire imagination and bring joy to audiences across all generations. With a rich history of delivering exceptional entertainment and customer\-centric solutions, Disney Experiences continues to expand its reach through strategic initiatives, technological advancements, and a passionate team dedicated to excellence.
 About the Role
 At Disney Consumer Products, we inspire imagination around the world and are committed to creating happiness for families and fans by bringing captivating, inspiring, and inclusive products into their daily lives. From toys to t\-shirts, console games, books, and more, our team brings our beloved brands and franchises into the lives of families through products and experiences that can be found worldwide, such as the Disney Store e\-commerce platform, Disney Parks, local and international retailers, and Disney Store locations around the world. The Merchandise Business Insight and Analytics (MBIA) team supports the full retail lifecycle by providing analytics, reporting, and insights that empower data\-informed decision\-making for a broad community of stakeholders across Category and Location Planning, Product Development, Merchandising, and Retail Operations.
 We are seeking a Sr. Data Scientist to support and drive advanced analytics and data science initiatives for brick\-and\-mortar and ecommerce retail across Disney Experiences. This role will focus on developing and enhancing machine learning models and data\-driven solutions to optimize key areas such as customer segmentation, assortment rationalization, promotion optimization, and performance forecasting. The ideal candidate will have deep expertise in statistical modeling, machine learning, and retail strategy. This position plays a critical role in enabling data\-informed decisions that enhance guest experience, drive revenue growth, and support strategic business objectives across digital and physical retail environments. The role reports directly to the Sr. Manager, Data Science.
 Qualifications
 The ideal candidate will possess a minimum of 5\+ years of experience as a Data Scientist with a strong background in retail analytics. A solid understanding of customer segmentation, demand forecasting, and business optimization is essential. The candidate should have a deep knowledge of statistical modeling, machine learning, and data visualization tools. A Bachelor’s degree in Mathematics, Economics, Data Science, Computer Science, Operations Research, or a related field is required; a Master’s or PhD is preferred. Proficiency in Python, SQL, and cloud platforms such as Google Cloud Platform, Snowflake, and BigQuery is essential. Excellent communication skills, business acumen, and the ability to collaborate effectively with cross\-functional teams are also critical for success in this role.
 Responsibilities
* Lead end\-to\-end development of advanced statistical and machine learning models, including regression, classification, clustering, and time series forecasting, to address complex retail challenges such as customer segmentation, promotion planning, and demand prediction.
* Design and implement scalable data pipelines and model workflows utilizing Python, SQL, and cloud\-based platforms to support continuous data integration, model retraining, and large\-scale retail data analysis.
* Create dynamic dashboards and self\-service analytics tools using Tableau, Looker, or similar platforms to visualize key business metrics, monitor model performance, and facilitate data\-driven decision\-making across teams.
* Collaborate with stakeholders from product, merchandising, marketing, and technology teams to translate ambiguous business questions into structured analytics problems, providing actionable insights that influence strategic initiatives.
* Mentor junior data scientists and analysts, promoting best practices in code quality, model validation, reproducibility, and responsible AI practices including bias mitigation and performance monitoring.
* Stay updated with emerging trends and innovations in data science and retail analytics, applying new techniques to improve existing models and processes.
 Benefits
 Disney offers a comprehensive rewards package designed to support your personal and professional growth. Employees enjoy competitive health and savings benefits, including medical, dental, and vision coverage. The company also provides opportunities for ongoing education and training, fostering continuous development. Additional perks include access to exclusive Disney experiences, employee discounts, wellness programs, and a collaborative work environment that encourages creativity and innovation. Disney’s commitment to work\-life balance and employee well\-being makes it an ideal place to build a fulfilling career.
 Equal Opportunity
 Disney is an equal opportunity employer committed to fostering an inclusive environment for all employees. We celebrate diversity and are dedicated to providing equal employment opportunities regardless of race, color, religion, gender, gender identity or expression, sexual orientation, national origin, genetics, disability, age, or veteran status. We believe that a diverse workforce enhances our ability to innovate and serve our global community effectively. All employment decisions are made based on qualifications, merit, and business needs.</t>
        </is>
      </c>
    </row>
    <row r="49">
      <c r="A49" t="inlineStr">
        <is>
          <t>li-4371492439</t>
        </is>
      </c>
      <c r="B49" t="inlineStr">
        <is>
          <t>Data Scientist Senior</t>
        </is>
      </c>
      <c r="C49" t="inlineStr">
        <is>
          <t>FIS</t>
        </is>
      </c>
      <c r="D49" t="inlineStr">
        <is>
          <t>linkedin</t>
        </is>
      </c>
      <c r="E49" t="inlineStr"/>
      <c r="F49" t="inlineStr"/>
      <c r="G49" t="inlineStr">
        <is>
          <t>Jacksonville, FL</t>
        </is>
      </c>
      <c r="H49" t="inlineStr"/>
      <c r="I49" t="inlineStr">
        <is>
          <t>**Position Type**
 Full time
**Type Of Hire**
 Experienced (relevant combo of work and education)
**Job Description**
**About FIS**
 Are you curious, motivated, and forward\-thinking? At FIS you’ll have the opportunity to work on some of the most challenging and relevant issues in financial services and technology.
 Our talented people empower us, and we believe in being part of a team that is open, collaborative, entrepreneurial, passionate and above all fun.
**About The Team**
 Our Data Science team is a collaborative group of analytical problem\-solvers who partner closely across products, business stakeholders, and technical functions to deliver data\-driven insights and innovative solutions.
 We work across a diverse suite of products and business intelligence initiatives, teaming with cross\-functional partners in product, engineering, decision sciences, and client\-facing groups to ensure our work aligns with business goals and drives meaningful outcomes.
 Leveraging large and complex datasets, we apply advanced analytics, predictive modeling, machine learning, and AI to translate business challenges into scalable, data\-science solutions that support strategic decision\-making and deliver measurable value for both internal stakeholders and clients.
**What You Will Be Doing**
 Assess, review, analyze, and interpret large, complex datasets to uncover product\-level insights, quantify value, validate performance, and translate findings into actionable recommendations that help clients understand how to best leverage the data.
 Design, develop, and refine predictive models and algorithms that enhance existing products and power new data\-driven capabilities, ensuring scalability, reliability, and alignment with product strategy.
 Communicate analytical results, model decisions, and advanced techniques to internal stakeholders (product, engineering, leadership) and external clients, translating technical concepts into clear, actionable narratives that support product adoption and business outcomes.
 Lead, mentor, and coach team members, shaping modeling best practices, elevating technical quality, and guiding less\-experienced staff through complex analytical and product\-development work.
 Influence product roadmap and strategy by connecting analytical evidence to product opportunities, championing data\-driven decisions, and partnering with client\-facing teams to understand needs and shape future capabilities.
 Work hands\-on across multiple systems and platforms to lead analytical workflows, uphold rigorous data\-quality standards, and apply strong statistical methodologies that ensure reliable, scalable product insights. (Snowflake, Unix/Linux, AWS, SQL, Python/R, Tableau, Power BI, \&amp; SAS)
**What You Bring**
* 5\+ years of hands\-on data science experience
* Strong command of modern data science tools and languages. (SQL, Python/R, Snowflake, AWS, Tableau, \&amp; Power BI)
* Strong track record of delivering analytical and modeling solutions that support product strategy and client outcomes
* Deep proficiency in data mining, statistics, predictive modeling, and programming
* Ability to translate complex technical work into scalable, business\-aligned solutions
* Ability to interpret large complex datasets and transform them into actionable insights
* Ability to explain advanced analytical methods and results to technical and non\-technical audiences
* Leadership mindset with experience mentoring, influencing cross\-functional partners, and contributing to high\-quality data\-driven product development
**Bonus if you have**
* Experience with SAS for teams or products that integrate legacy analytical workflows or require cross\-platform model support
**What We Offer You**
* A multifaceted job with a high degree of responsibility and a broad spectrum of opportunities
* A competitive salary and benefits
* A variety of career development tools, resources and opportunities
* The chance to work on some of the most challenging, relevant issues in financial services \&amp; technology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t>
        </is>
      </c>
    </row>
    <row r="50">
      <c r="A50" t="inlineStr">
        <is>
          <t>li-4363213574</t>
        </is>
      </c>
      <c r="B50" t="inlineStr">
        <is>
          <t>Associate Data Scientist 2026</t>
        </is>
      </c>
      <c r="C50" t="inlineStr">
        <is>
          <t>IBM</t>
        </is>
      </c>
      <c r="D50" t="inlineStr">
        <is>
          <t>linkedin</t>
        </is>
      </c>
      <c r="E50" t="inlineStr"/>
      <c r="F50" t="inlineStr"/>
      <c r="G50" t="inlineStr">
        <is>
          <t>Austin, TX</t>
        </is>
      </c>
      <c r="H50" t="inlineStr"/>
      <c r="I50" t="inlineStr">
        <is>
          <t>**Introduction**
 In this role, you will join IBM Consulting via our world\-class Associates Program for university hires. As an Associate Data Scientist at IBM Consulting, you will have the opportunity to work with a diverse range of clients worldwide. Our clients' technical and business needs are constantly evolving. We're hiring inspired, talented individuals who believe no problem is too big to solve.
 We focus on your professional development through ongoing learning, mentorship, development of technical skills, and continuous personal growth, all grounded in a culture of coaching and career advancement. If you see yourself as someone who never stops learning and who wants to unleash your potential, the IBM Consulting Associates Program is for you.
 A career in IBM Consulting is rooted in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
 Curiosity and a constant quest for knowledge serve as the foundation for success in IBM Consulting. In your role, you'll be encouraged to challenge the norm, investigate ideas outside of your role, and come up with creative solutions that result in ground\-breaking impact for a wide network of clients. Our culture of evolution and empathy centers on long\-term career growth and development opportunities in an environment that embraces your unique skills and experience.
**Your Role And Responsibilities**
 As an Associate Data Scientist at IBM, you will work to solve business problems using leading\-edge and open\-source tools such as Python, R, and TensorFlow, combined with IBM tools and our AI application suites. You will prepare, analyze, and understand data to deliver insight, predict emerging trends, and provide recommendations to stakeholders. In your role, you may be responsible for:
* Implementing and validating predictive and prescriptive models, creating and maintaining statistical models with a focus on big data and incorporating machine learning techniques in your projects
* Writing programs to cleanse and integrate data in an efficient and reusable manner
* Working in an Agile, collaborative environment, partnering with other data scientists, engineers, consultants, and database administrators of all backgrounds and disciplines to bring analytical rigor and statistical methods to the challenges of predicting behaviors
* Communicating with internal and external clients to understand and define business needs and appropriate modeling techniques to provide analytical solutions.
* Evaluating modeling results and communicating the results to technical and non\-technical audiences.
 These positions are anticipated to start in 2026\. We have positions open in these locations:
* Atlanta, GA
* Austin, TX
* Chicago, IL
* Houston, TX
* New York, NY
**Preferred Education**
 Bachelor's Degree
**Required Technical And Professional Expertise**
* Strong fundamentals in Mathematics and Computer Science (algorithms)
* You're proficient in least one of the statistical programming languages, such as R, Python, Scala, SAS, SPSS, or Matlab
* You have a basic understanding of or experience with predictive/prescriptive modeling skills
* You have strong technical and analytical abilities, a knack for driving impact and growth, and some experience with programming/scripting in a language such as Java or Python
* You're great at solving problems by looking at things differently, debugging, troubleshooting, and designing and implementing solutions to complex technical issues
* Willingness to travel up to 100%
**Preferred Technical And Professional Experience**
* You thrive on teamwork and have excellent verbal and written communication skills.
* You have a basic understanding of Cloud (AWS, Azure, etc.)
* Familiarity with constructing usable data sets from multiple structured and unstructured data sources</t>
        </is>
      </c>
    </row>
    <row r="51">
      <c r="A51" t="inlineStr">
        <is>
          <t>li-4371184700</t>
        </is>
      </c>
      <c r="B51" t="inlineStr">
        <is>
          <t>Data Scientist (Python, AI/ML)</t>
        </is>
      </c>
      <c r="C51" t="inlineStr">
        <is>
          <t>Jobs via Dice</t>
        </is>
      </c>
      <c r="D51" t="inlineStr">
        <is>
          <t>linkedin</t>
        </is>
      </c>
      <c r="E51" t="inlineStr"/>
      <c r="F51" t="inlineStr"/>
      <c r="G51" t="inlineStr">
        <is>
          <t>Charlotte, NC</t>
        </is>
      </c>
      <c r="H51" t="inlineStr"/>
      <c r="I51" t="inlineStr">
        <is>
          <t>Dice is the leading career destination for tech experts at every stage of their careers. Our client, System Edge (USA) L.L.C., is seeking the following. Apply via Dice today!
**Data Scientist (Python, AI/ML)**
**Location** 
 – Charlotte NC
 Client : Wells Fargo
 Visa: ,EAD no H1B and OPT(Need Candidate On Our W2\)
**Interview Mode: In\-Person**
**Job Overview**
 We are looking for a highly capable
 **– Python \&amp; AI/ML** 
 with deep expertise in backend engineering, LLM\-based applications, RAG architectures, and AI agent frameworks.
 You will lead the design, development, and deployment of production\-grade AI systems built on Python, modern LLM tooling, retrieval engines, embeddings, and vector databases. This is a hands\-on leadership role focused on building scalable and intelligent AI products.
**Key Responsibilities**
* Lead the architecture and development of LLM\-driven applications, AI agents, and RAG\-based systems.
* Provide technical guidance, conduct code reviews, and mentor junior team members.
* Drive best practices in Python backend engineering, API development, and AI system design.
**Backend Engineering (Python)**
* Build and maintain backend services using FastAPI or Flask.
* Develop scalable API endpoints for AI applications, embeddings, and retrieval systems.
* Ensure backend code quality, modularity, performance, and maintainability.
**LLMs, RAG, and AI Agent Development**
* Build AI applications using: LangChain, LangGraph, Semantic Kernel, Haystack, LlamaIndex, AutoGen
* Develop autonomous or semi\-autonomous AI agents with tool calling and workflow graphs.
* Implement Retrieval\-Augmented Generation (RAG), embedding pipelines, chunking strategies, reranking, and grounding techniques.
* Work with OpenAI SDK and other LLM providers (Anthropic, Azure OpenAI, Cohere, etc.).
* Manage prompt engineering, prompt routing, safety guardrails, and evaluation metrics.
**Data \&amp; Vector Search Engineering**
* Build data pipelines for indexing, embeddings, and retrieval workflows.
* Work with SQL databases (PostgreSQL, MySQL, etc.) for metadata and application storage.
* Work with vector databases such as: Redis, Postgres with pgvector, Elasticsearch, Neo4j, or others.
* Implement and optimize search workflows using FAISS or similar similarity search libraries.
**MLOps, Deployment \&amp; Observability**
* Deploy AI services using Docker, container orchestration, and cloud environments.
* Implement monitoring for AI behavior, performance, error rates, and retrieval accuracy.
* Set up CI/CD pipelines for backend and AI components.
* Optimize inference cost, latency, and reliability.
**Cross\-Functional Collaboration**
* Collaborate with product, data engineering, and business teams to understand requirements.
* Translate business problems into scalable AI architectures and deliver practical solutions.
* Communicate technical decisions, trade\-offs, and progress to stakeholders.
**Required Qualifications**
* Bachelor’s/Master’s degree in Computer Science, AI/ML, Data Science, or related fields.
* 10\+ years of experience in Python backend development.
* Strong proficiency in FastAPI or Flask.
* Strong working knowledge of SQL databases (Postgres, MySQL, etc.).
 Hands\-on expertise with
 **vector databases** 
 :
* Practical experience with FAISS for similarity search.
* Hands\-on experience with modern LLM frameworks:
**LangChain, LangGraph, Semantic Kernel, Haystack, LlamaIndex, AutoGen** 
 .
* Strong understanding of:
* Embeddings \&amp; vector search
* RAG pipelines
* Retrieval optimization
* Chunking strategies
* Document loaders \&amp; indexing
* Experience building AI apps using OpenAI SDK or similar.
* Experience deploying APIs/services using Docker and cloud environments.
* Leadership experience: guiding teams, conducting reviews, driving architecture decisions</t>
        </is>
      </c>
    </row>
    <row r="52">
      <c r="A52" t="inlineStr">
        <is>
          <t>li-4371300035</t>
        </is>
      </c>
      <c r="B52" t="inlineStr">
        <is>
          <t>Data Scientist</t>
        </is>
      </c>
      <c r="C52" t="inlineStr">
        <is>
          <t>Jobs via Dice</t>
        </is>
      </c>
      <c r="D52" t="inlineStr">
        <is>
          <t>linkedin</t>
        </is>
      </c>
      <c r="E52" t="inlineStr"/>
      <c r="F52" t="inlineStr"/>
      <c r="G52" t="inlineStr">
        <is>
          <t>Raleigh, NC</t>
        </is>
      </c>
      <c r="H52" t="inlineStr"/>
      <c r="I52" t="inlineStr">
        <is>
          <t>Dice is the leading career destination for tech experts at every stage of their careers. Our client, RiseIT Solutions, is seeking the following. Apply via Dice today!
**Company: iTech US, Inc.**
**Job Title:** 
**Data Scientist**
**Location** 
**:** 
**Raleigh, NC (Onsite)**
**Job Responsibilities:**
* Serve as the primary senior data scientist, coordinating the work of a small team of data scientists responsible for designing and delivering LLM\-based models and AI Enrichments.
* Define and oversee AI workflows for legal research, impact analysis, and content update recommendations, ensuring high accuracy and editorial quality.
* Design models and agentic or multi\-agent LLM workflows that are ready for deployment by software engineers into the Agentic Content Platform.
* Partner with platform and software engineering teams to align on interfaces, constraints, and integration requirements.
* Collaborate with other teams to align approaches, reuse patterns, and share learnings.
* Establish clear standards for model evaluation, quality thresholds, and handoff criteria from data science to engineering.
* Provide hands\-on technical guidance and mentorship to ensure the team operates cohesively and efficiently.
**Required Skills:**
* Strong experience working with large language models and transformer\-based architectures (e.g., GPT\-style models, BERT, T5\).
* Hands\-on experience applying LLMs such as ChatGPT, GPT\-4/3\.5, Claude, or Mistral in applied or production\-adjacent environments.
* Experience designing agentic or multi\-agent LLM workflows for research, drafting, and automated review, with attention to reliability and evaluation.
* Experience with retrieval\-augmented generation (RAG), semantic search, and vector\-based retrieval.
* Proven ability to collaborate effectively with software engineers and platform teams.
* Strong communication skills and experience leading small teams in cross\-functional environments.
**Required Education:** 
 At least a Bachelor’s Degree (or equivalent experience) in Computer Science, Software/Electronics Engineering, Information Systems or closely related field is required.
**Necessary Skills:** 
 LLM, GPT, RAG</t>
        </is>
      </c>
    </row>
    <row r="53">
      <c r="A53" t="inlineStr">
        <is>
          <t>li-4371300075</t>
        </is>
      </c>
      <c r="B53" t="inlineStr">
        <is>
          <t>Data Scientist</t>
        </is>
      </c>
      <c r="C53" t="inlineStr">
        <is>
          <t>Jobs via Dice</t>
        </is>
      </c>
      <c r="D53" t="inlineStr">
        <is>
          <t>linkedin</t>
        </is>
      </c>
      <c r="E53" t="inlineStr"/>
      <c r="F53" t="inlineStr"/>
      <c r="G53" t="inlineStr">
        <is>
          <t>The Woodlands, TX</t>
        </is>
      </c>
      <c r="H53" t="inlineStr"/>
      <c r="I53" t="inlineStr">
        <is>
          <t>Dice is the leading career destination for tech experts at every stage of their careers. Our client, Vaco by Highspring, is seeking the following. Apply via Dice today!
**DIRECT HIRE ROLE IN HOUSTON, TX
 Overview:**
 We have a client seeking an intelligent, proactive, and results\-driven Data Scientist to join a fast\-growing team. This role focuses on transforming raw data into actionable insights, optimizing processes, and supporting business objectives using advanced analytics and machine learning. You will partner closely with cross\-functional teams, including Financial Planning, Analysis \&amp; Performance Optimization and IT, to integrate data solutions and drive measurable business impact.
**Key Responsibilities:**
**Data Analysis \&amp; Insights:**
* Analyze large and complex datasets to identify trends, inefficiencies, and opportunities for operational and financial improvement.
* Provide actionable recommendations to improve business performance and decision\-making.
**Model Development \&amp; Deployment:**
* Design, develop, and deploy predictive models and machine learning algorithms to solve real\-world business problems, such as customer segmentation, pricing optimization, and logistics solutions.
* Implement error handling, documentation, and production\-ready processes for deployed models.
**Data Integration \&amp; Collaboration:**
* Collaborate with IT and cross\-functional teams to integrate data solutions into existing systems, workflows, and analytics platforms.
* Join and process data from multiple sources, including SQL, AWS, Salesforce, Workday, and transactional or voice/logistics datasets.
**Reporting \&amp; Visualization:**
* Design and maintain dashboards, visualizations, and reports for stakeholders using tools such as Power BI or Tableau.
* Communicate technical concepts clearly to non\-technical audiences.
**Data/AI Strategy \&amp; Innovation:**
* Identify, prioritize, and develop future AI use cases across the organization.
* Stay current with industry trends and emerging technologies to enhance analytics capabilities and inform the company’s long\-term data strategy.
**Qualifications:**
* Bachelor’s degree in Data Science, Computer Science, Statistics, Mathematics, or a related field.
* 3\+ years of industry experience in Data Science, with hands\-on experience building and deploying production\-ready models.
* Expertise in Python, SQL, and statistical/machine learning methods (e.g., regression, GLMs, random forests, clustering, mixed\-integer optimization).
* Experience with analytics platforms (e.g., Databricks), Spark/PySpark, and data pipeline development (e.g., AWS Glue).
* Strong data visualization skills (Power BI, Tableau) and experience communicating insights to business stakeholders.
* Proven ability to drive measurable business impact through analytics.
* Proactive, self\-starter with strong problem\-solving and collaboration skills.
* Bonus: Familiarity with Pigment or similar business planning tools.
**Compensation \&amp; Benefits:**
* Flexible PTO
* 401(k) with company match
* Paid parental leave (12 weeks)
* Gym membership
**Additional Information:**
* Direct\-hire position with minimal travel required.
* Candidates must be legally authorized to work in the U.S. without sponsorship.
* Opportunity to make a real impact, work on cutting\-edge analytics, and grow within a dynamic, innovative team.</t>
        </is>
      </c>
    </row>
    <row r="54">
      <c r="A54" t="inlineStr">
        <is>
          <t>li-4326512782</t>
        </is>
      </c>
      <c r="B54" t="inlineStr">
        <is>
          <t>Lead Applied Scientist</t>
        </is>
      </c>
      <c r="C54" t="inlineStr">
        <is>
          <t>Thomson Reuters</t>
        </is>
      </c>
      <c r="D54" t="inlineStr">
        <is>
          <t>linkedin</t>
        </is>
      </c>
      <c r="E54" t="inlineStr"/>
      <c r="F54" t="inlineStr"/>
      <c r="G54" t="inlineStr">
        <is>
          <t>Ann Arbor, MI</t>
        </is>
      </c>
      <c r="H54" t="inlineStr"/>
      <c r="I54" t="inlineStr">
        <is>
          <t>**Job Description**
 Thomson Reuters is seeking a Lead Applied Scientist. This is where emergent intelligence meets real\-world impact. You'll work at the cutting edge of GenAI and machine learning agents, building systems that combine neural and symbolic reasoning, understand multiple modalities, and personalize themselves to individual users and evolving contexts.
 Your work will transform how millions of legal, tax, and compliance professionals interact with information—not through static tools, but through intelligent agents that understand their domain, anticipate their needs, and evolve with their workflows.
**About The Role**
 As a
 **Lead Applied Scientist** 
 , you will:
* Design and deploy neuro\-symbolic AI systems that seamlessly integrate neural learning with structured knowledge representation and ontologies
* Build multi\-modal models that synthesize insights across text, documents, structured data, and domain\-specific artifacts
* Explore the emergent intelligence at the intersection of GenAI and machine learning agents, creating autonomous systems that reason and act
* Develop adaptive domain\-specific reasoning capabilities that understand the nuances of legal, regulatory, and financial contexts
* Own and lead end\-to\-end research deliverables—from ideation and experimentation to production deployment
* Establish comprehensive AI evaluation frameworks, quality assessment methodologies, and observability systems that ensure reliability, fairness, and transparency
* Leverage advanced information retrieval techniques, prompting workflows, and model training strategies to optimize solutions
* Shape long\-term AI strategy by providing strategic input to business and Labs leadership
* Champion AI personalization and continual learning approaches that make products smarter with every interaction
* Lead stakeholder engagement across UX, Product, and Engineering teams to align AI capabilities with user needs
* Develop in\-depth knowledge of customer problems and data
* Mentor scientists and engineers on best practices in applied AI research and production ML systems
* Build expertise in knowledge representation, domain reasoning, and agentic AI architectures
* Foster a culture that balances scientific rigor with pragmatic delivery and customer value
**About You**
 You're a fit for the role
 **Lead Applied Scientist** 
 if your background includes:
* PhD in Computer Science, Machine Learning, AI, or related field (or Master's with equivalent depth of experience)
* 7\+ years building production IR/NLP systems for commercial applications with demonstrated business impact
* Strong software engineering capabilities with experience in production code, MLOps, and managed delivery pipelines
* Proven track record translating complex, ambiguous problems into successful AI applications
* Proficiency in AI evaluation, quality assessment, and observability for production systems
* Neuro\-symbolic AI architectures that combine learning and reasoning
* Expertise in multi\-modal modeling across diverse data types and representation formats
* Hands\-on experience with knowledge representation, ontologies, and semantic reasoning systems
* Track record implementing AI personalization and continual learning that adapts to user behavior and feedback
* Experience with adaptive domain\-specific reasoning in specialized professional contexts
* Familiarity with emergent intelligence at the intersection of GenAI and machine learning agents—including agentic frameworks, tool use, and autonomous decision\-making
* Demonstrated ability to scale impact through others in applied research or advanced development settings
* Outstanding communication skills—you translate complex technical concepts for diverse audiences
* Proven success collaborating with Product, Engineering, and Business stakeholders in agile environments
* Strong problem\-solving and analytical thinking with a bias toward action and iteration
**What’s in it For You?**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$147,600 USD \- $274,200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This job posting will close 03/18/2026\.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is>
      </c>
    </row>
    <row r="55">
      <c r="A55" t="inlineStr">
        <is>
          <t>li-4326356373</t>
        </is>
      </c>
      <c r="B55" t="inlineStr">
        <is>
          <t>Lead Applied Scientist, NLP</t>
        </is>
      </c>
      <c r="C55" t="inlineStr">
        <is>
          <t>Thomson Reuters</t>
        </is>
      </c>
      <c r="D55" t="inlineStr">
        <is>
          <t>linkedin</t>
        </is>
      </c>
      <c r="E55" t="inlineStr"/>
      <c r="F55" t="inlineStr"/>
      <c r="G55" t="inlineStr">
        <is>
          <t>Ann Arbor, MI</t>
        </is>
      </c>
      <c r="H55" t="inlineStr"/>
      <c r="I55" t="inlineStr">
        <is>
          <t>Are you excited about working at the forefront of applied research in an industry setting? Thomson Reuters Labs is seeking scientists with a passion for solving problems using state\-of\-the\-art information retrieval, natural language processing and generative AI. What does Thomson Reuters Labs do? We experiment, we build, we deliver. We support the organization and our customers through applied research and innovation. We work closely with product and domain experts to identify compelling solutions at the intersection of user needs and technical feasibility. Our team is responsible for clearing obstacles to innovation. We incubate AI solutions from the ground up, and accelerate their development at any stage. This work requires great breadth of modern machine learning problem solving skills, and great savvy in communicating across functions.
 Lead Applied Scientists are experts in Machine Learning / NLP, responsible for the design and delivery of AI solutions that enhance Thomson Reuters' products. They leverage information retrieval techniques, context engineering, model development and evaluation design to build and optimize solutions. Their work ensures AI technologies are effectively aligned with business objectives, driving product innovation and value.
**About The Role**
 As a
 **Lead Applied Scientist** 
 , you will:
* Innovate and drive solution delivery as a technical leader
* Provide input to the business and Labs leadership on long term AI strategy.
* Lead and drive stakeholder engagement with other functions (UX, Product, Tech)
* Develop in\-depth knowledge of customer problems and data
* Maintain scientific and technical expertise in one or more relevant areas as demonstrated through product deliverables, published research, and/or intellectual property.
* Mentor and coach other scientists and engineers on best practices
* Have opportunities to attend relevant conferences, such as ACL, EMNLP, NAACL, NeurIPS, ICLR, SIGIR, KDD.
**About You**
 You’re a fit for the role of
 **Lead Applied Scientist** 
 if your background includes:
* PhD in a relevant discipline or Master’s plus a comparable level of experience
* 7\+ years of hands\-on experience building IR / NLP systems for commercial applications
* A demonstrated impact\-focused and velocity\-first mindset with the the ability and inclination to architect/develop end\-to\-end solutions for problems in focused workshop settings
* Experience writing production code and ensuring well\-managed software delivery
* Demonstrable experience translating complex problems into successful AI applications
* Professional experience scaling yourself and leading through others, in an applied research setting
* Outstanding communication, problem solving, and analysis skills
* Collaborating with Product, Engineering and Business Stakeholders in an agile manner to demonstrate value and iterate with customer feedback
**What’s in it For You?**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$147,600 USD \- $274,200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This job posting will close 03/18/2026\.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is>
      </c>
    </row>
    <row r="56">
      <c r="A56" t="inlineStr">
        <is>
          <t>li-4326316431</t>
        </is>
      </c>
      <c r="B56" t="inlineStr">
        <is>
          <t>Lead Applied Scientist</t>
        </is>
      </c>
      <c r="C56" t="inlineStr">
        <is>
          <t>Thomson Reuters</t>
        </is>
      </c>
      <c r="D56" t="inlineStr">
        <is>
          <t>linkedin</t>
        </is>
      </c>
      <c r="E56" t="inlineStr"/>
      <c r="F56" t="inlineStr"/>
      <c r="G56" t="inlineStr">
        <is>
          <t>Frisco, TX</t>
        </is>
      </c>
      <c r="H56" t="inlineStr"/>
      <c r="I56" t="inlineStr">
        <is>
          <t>**Job Description**
 Thomson Reuters is seeking a Lead Applied Scientist. This is where emergent intelligence meets real\-world impact. You'll work at the cutting edge of GenAI and machine learning agents, building systems that combine neural and symbolic reasoning, understand multiple modalities, and personalize themselves to individual users and evolving contexts.
 Your work will transform how millions of legal, tax, and compliance professionals interact with information—not through static tools, but through intelligent agents that understand their domain, anticipate their needs, and evolve with their workflows.
**About The Role**
 As a
 **Lead Applied Scientist** 
 , you will:
* Design and deploy neuro\-symbolic AI systems that seamlessly integrate neural learning with structured knowledge representation and ontologies
* Build multi\-modal models that synthesize insights across text, documents, structured data, and domain\-specific artifacts
* Explore the emergent intelligence at the intersection of GenAI and machine learning agents, creating autonomous systems that reason and act
* Develop adaptive domain\-specific reasoning capabilities that understand the nuances of legal, regulatory, and financial contexts
* Own and lead end\-to\-end research deliverables—from ideation and experimentation to production deployment
* Establish comprehensive AI evaluation frameworks, quality assessment methodologies, and observability systems that ensure reliability, fairness, and transparency
* Leverage advanced information retrieval techniques, prompting workflows, and model training strategies to optimize solutions
* Shape long\-term AI strategy by providing strategic input to business and Labs leadership
* Champion AI personalization and continual learning approaches that make products smarter with every interaction
* Lead stakeholder engagement across UX, Product, and Engineering teams to align AI capabilities with user needs
* Develop in\-depth knowledge of customer problems and data
* Mentor scientists and engineers on best practices in applied AI research and production ML systems
* Build expertise in knowledge representation, domain reasoning, and agentic AI architectures
* Foster a culture that balances scientific rigor with pragmatic delivery and customer value
**About You**
 You're a fit for the role
 **Lead Applied Scientist** 
 if your background includes:
* PhD in Computer Science, Machine Learning, AI, or related field (or Master's with equivalent depth of experience)
* 7\+ years building production IR/NLP systems for commercial applications with demonstrated business impact
* Strong software engineering capabilities with experience in production code, MLOps, and managed delivery pipelines
* Proven track record translating complex, ambiguous problems into successful AI applications
* Proficiency in AI evaluation, quality assessment, and observability for production systems
* Neuro\-symbolic AI architectures that combine learning and reasoning
* Expertise in multi\-modal modeling across diverse data types and representation formats
* Hands\-on experience with knowledge representation, ontologies, and semantic reasoning systems
* Track record implementing AI personalization and continual learning that adapts to user behavior and feedback
* Experience with adaptive domain\-specific reasoning in specialized professional contexts
* Familiarity with emergent intelligence at the intersection of GenAI and machine learning agents—including agentic frameworks, tool use, and autonomous decision\-making
* Demonstrated ability to scale impact through others in applied research or advanced development settings
* Outstanding communication skills—you translate complex technical concepts for diverse audiences
* Proven success collaborating with Product, Engineering, and Business stakeholders in agile environments
* Strong problem\-solving and analytical thinking with a bias toward action and iteration
**What’s in it For You?**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$147,600 USD \- $274,200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This job posting will close 03/18/2026\.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is>
      </c>
    </row>
    <row r="57">
      <c r="A57" t="inlineStr">
        <is>
          <t>li-4342815329</t>
        </is>
      </c>
      <c r="B57" t="inlineStr">
        <is>
          <t>Compliance - AI ML Lead (Data Scientist) - Vice President</t>
        </is>
      </c>
      <c r="C57" t="inlineStr">
        <is>
          <t>JPMorganChase</t>
        </is>
      </c>
      <c r="D57" t="inlineStr">
        <is>
          <t>linkedin</t>
        </is>
      </c>
      <c r="E57" t="inlineStr"/>
      <c r="F57" t="inlineStr"/>
      <c r="G57" t="inlineStr">
        <is>
          <t>Jersey City, NJ</t>
        </is>
      </c>
      <c r="H57" t="inlineStr"/>
      <c r="I57" t="inlineStr">
        <is>
          <t>**Job Description**
 Bring your expertise to JPMorgan Chase. As part of Risk Management and Compliance,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thinking outside the box, challenging the status quo and striving to be best\-in\-class.
 As a Data Scientist Vice President within the Compliance, Conduct Operational Risk (CCOR) Data Analytics team, you will be responsible for devising and developing Proofs of Concept (POCs) and deployable models using AI/Gen AI/ ML techniques, algorithms and other statistical and numerical methods. You will need to be able to extract and work with large volumes of data (both structured and unstructured) from multiple sources, transforming it into an analysis\-ready format to develop the data pipeline. Additionally, you are expected to independently formulate methodologies, and quantitative and analytical tasks, from business problems.
**Job Responsibilities**
* Analyze complex/unstructured data to understand the business problem and use case
* Analyze business requirements, design, and develop appropriate methodology
* Develop deployable, scalable and effective models/ analytical methods as part of technology managed system or as a self\-served application of a business user
* Work collaboratively and creatively with other data scientists, technology partners, risk professionals, model validation teams, etc.
* Prepare technical documentation of quantitative models for internal model risk and governance review
**Required Qualifications, Capabilities, And Skills**
* 6\+ years of related experience in Python, R or Scala with Bachelor of Science degree in Computer Science, Physical Sciences, Econometrics, Statistics, or other any quantitative discipline.
* Demonstrable theoretical and application knowledge of AL/ ML, Gen AI and Statistical Models
* Demonstrable hands\-on experience with Transformer or other deep learning architectures in real applications
* Demonstrable hands\-on experience with using or fine tuning multimodal LLM in real business applications with scale and performance
* Demonstrable hands\-on experience and familiarity with any or all of the following packages, algorithms, and/or alternatives, including Graph Learning Packages : (NetworkX, Torch\-Geometric, Graphframes, Graphistry),ML Packages (Pandas, Scikit\-Learn, XGBoost, catboost, lightgbm, automl, Optuna, Hyperopt), Visualization Packages (Matplotlib, Seaborn, Geopandas), Algorithm (Ensemble Louvian / Hierarchical Clustering, Label Propagation, Connected Component Analysis, Graph Neural net (Graph Attention Network), Page Rank, Centrality Analysis, Tree based Analysis, Outlier Detection Methods, Zero Shot/ Few Shot learning)
* Demonstrable experience with graph analytics, graph\-based learning, and graph representation/visualization
* Experience in graph Database: TigerGraph, Neo4j
* Experience in Query Language: Hive, Cypher (Graph Query Language)
* Experience in developing and operationalization of data pipelines
* Familiarity and experience of assimilating large amounts of data from multiple databases and utilize them for creating actionable outcome; Adhering to a standardized analysis and project methodology; and documenting quantitative analysis
* Experience with processes, controls and governance of a highly regulated environment; Self\-starter and strong influencing skills with strong communication skills
**Preferred Qualifications, Capabilities, And Skills**
* Hands\-on professional experience in software development especially with analytical \&amp; computationally intensive systems, digital transformations leveraging cloud technologies (AWS, GCP, Azure, Databricks etc.). Experience with EKS or AKS provisioning is a plus
* Post graduate degrees such as Master’s Degree, PhD, etc. is preferred
* Real life exposure to Agile SDLC, ModelOps and /Or Design Thinking is desirable.
* Working knowledge of C/C\#/C\+\+ or others is a plus
* Experience in financial services industry especially in Operational Risk Management, Anti\-Money Laundering \&amp; Know Your Customer, Trade Surveillance model development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
 Our Compliance teams work globally across all lines of business to advise internal stakeholders on the impact of regulatory requirements and how to balance these with the firm’s needs. Their diverse mandate means they also provide input on new business strategies, product lines, policies, training, operational processes, risk mitigation and control.</t>
        </is>
      </c>
    </row>
    <row r="58">
      <c r="A58" t="inlineStr">
        <is>
          <t>li-4370409462</t>
        </is>
      </c>
      <c r="B58" t="inlineStr">
        <is>
          <t>Data Scientist III-68200-1</t>
        </is>
      </c>
      <c r="C58" t="inlineStr">
        <is>
          <t>Jobs via Dice</t>
        </is>
      </c>
      <c r="D58" t="inlineStr">
        <is>
          <t>linkedin</t>
        </is>
      </c>
      <c r="E58" t="inlineStr"/>
      <c r="F58" t="inlineStr"/>
      <c r="G58" t="inlineStr">
        <is>
          <t>Menlo Park, CA</t>
        </is>
      </c>
      <c r="H58" t="inlineStr"/>
      <c r="I58" t="inlineStr">
        <is>
          <t>**Job Description**
**Onsite at MPK.**
 5\+ years data science experience (SQL, Python/R)
 Strong analytical \&amp; modeling skills
 Skilled in data visualization (Tableau, Unidash, Metrics360\)
 Excellent communicator \&amp; collaborator
 Experience with large\-scale datasets
 Able to work independently, fast\-paced environment
 Previous Meta is highly preferred
 Products analysis experience
**Responsibilities**
* Data Analysis \&amp; Modeling:
 Conduct rigorous analysis of complex datasets to identify trends, patterns, and actionable insights pertinent to Meta's ecosystem (products, partners, platforms, and user interactions).
* Metric Development:
 Design, implement, and meticulously maintain critical metrics to accurately measure ecosystem health, growth, and engagement.
* Experimentation:
 Develop and execute structured experiments to rigorously evaluate new features, strategic partnerships, and ecosystem strategies.
* Stakeholder Collaboration:
 Engage closely with cross\-functional teams (Product, Engineering) to formally define requirements, deliver comprehensive insights, and inform strategic decision\-making.
* Reporting \&amp; Visualization:
 Construct sophisticated dashboards and detailed reports to effectively communicate findings to both technical and non\-technical stakeholders.
* Ad Hoc Analysis:
 Provide timely, high\-quality analytical responses to urgent business inquiries.
**Minimum Qualifications**
* A Bachelor's or Master's degree is required in Data Science, Statistics, Computer Science, Economics, or a closely related quantitative field.
* A minimum of five (5\) years of professional experience in data science, analytics, or a functionally equivalent role (either contract or full\-time employment).
* Demonstrated proficiency in SQL and at least one high\-level programming language (e.g., Python, R).
* Practical experience utilizing data visualization platforms (e.g., Tableau, Unidash, Metrics360\).
* Exceptional communication skills, with the proven ability to articulate and present complex findings with clarity and precision.
* The capacity to operate autonomously and effectively manage competing priorities within a dynamic, high\-velocity operational environment.
* Preferred Qualifications
* Significant experience working with large\-scale data infrastructure within technology or platform ecosystems.
* Familiarity with Meta's proprietary internal data tools (e.g., Presto, Scuba, Hive).
* Previous professional engagement in a contractor or consulting capacity.
* Substantive knowledge of formal experimentation design principles and causal inference methodologies.
**Must\-Have Skills**
 Advanced Data Analysis \&amp; Modeling: Strong proficiency in SQL and at least one programming language (Python, R, etc.).
 Data Visualization: Experience with tools like Tableau, Unidash, or Metrics360\.
 Communication \&amp; Collaboration: Ability to present complex findings clearly and work cross\-functionally.
**Nice\-to\-Have Skills**
 Large\-Scale Data Experience: Prior work with big data in tech/platform ecosystems.
 Meta Internal Tools: Familiarity with Presto, Scuba, Hive, etc.
 Experimentation \&amp; Causal Inference: Knowledge of experiment design and causal analysis.</t>
        </is>
      </c>
    </row>
    <row r="59">
      <c r="A59" t="inlineStr">
        <is>
          <t>li-4371481164</t>
        </is>
      </c>
      <c r="B59" t="inlineStr">
        <is>
          <t>Data Scientist</t>
        </is>
      </c>
      <c r="C59" t="inlineStr">
        <is>
          <t>Kia America</t>
        </is>
      </c>
      <c r="D59" t="inlineStr">
        <is>
          <t>linkedin</t>
        </is>
      </c>
      <c r="E59">
        <f>HYPERLINK("https://www.linkedin.com/jobs/view/4371481164", "https://www.linkedin.com/jobs/view/4371481164")</f>
        <v/>
      </c>
      <c r="F59" t="inlineStr"/>
      <c r="G59" t="inlineStr">
        <is>
          <t>Irvine, CA</t>
        </is>
      </c>
      <c r="H59" t="inlineStr"/>
      <c r="I59" t="inlineStr">
        <is>
          <t>At Kia, we’re creating award\-winning products and redefining what value means in the automotive industry. It takes a special group of individuals to do what we do, and we do it together. Our culture is fast\-paced, collaborative, and innovative. Our people thrive on thinking differently and challenging the status quo. We are creating something special here, a culture of learning and opportunity, where you can help Kia achieve big things and most importantly, feel passionate and connected to your work every day.
 Kia provides team members with competitive benefits including premium paid medical, dental and vision coverage for you and your dependents, 401(k) plan matching of 100% up to 6% of the salary deferral, and paid time off. Kia also offers company lease and purchase programs, company\-wide holiday shutdown, paid volunteer hours, and premium lifestyle amenities at our corporate campus in Irvine, California.
**Status**
 Exempt
****General Summary****
 The Data Scientist will play an important role in executing data analysis for Kia North America’s regional subsidiaries (KUS/KCA/KaGA/KMX). A future\-driven automotive company, Kia has access to vast and diverse datasets and is excited to fill this position with an individual that can derive business improvements and insights from this data. Strong applicants for this role will have statistics, machine learning, and computer science skills to leverage high\-performance compute clusters as well as perform reproducible data analysis at scale. With these requirements in mind, our mindset is that data, analytics, automation, and responsible AI can revolutionize our many lines of business.
**Essential Duties And Responsibilities**
**1st Priority \- 30%**
**Data wrangling and analysis**
* Assess the accuracy of new data sources
* Understand the relationship between the data and the business process
* Preprocess structured and unstructured data
* Analyze large amounts of data to discover trends and patterns
* Build prediction and classification models
* Coordinate with different functional teams for feature engineering
**2nd Priority \- 30%**
**Assess, visualize, and improve analysis**
* Test and continuously improve the accuracy of statistical and machine learning models
* Present information using Python notebooks and/or dashboards
* Simplify and explain complex statistics in an intuitive manner
* Continuously monitor and validate production analysis results
**3rd Priority \- 20%**
**Collaborate with IT Team to deploy analysis results**
* Build REST APIs for data and analysis result consumption
* Assist the IT system developers to deploy analysis as a service
**4th Priority \- 20%**
**Clear documentation, source code management, and reproducible analysis**
* Use git within GitLab
* Create virtual environments to isolate project dependencies and requirements
* Track model performance and hyperparameter configurations
* Track data versioning
**Qualifications/Education**
**Education:**
* Bachelor’s degree or equivalent experience in related field of technology required
* Master’s degree in analytics, data science, or computer science preferred
****Job Requirement****
**Overall Related Experience**
* Experience querying databases and using programming languages such as Python and SQL
* Experience using Hadoop ecosystem (Hadoop, Hive, Impala and Spark etc.)
* Experience using statistics, machine learning and deep learning algorithms
* Experience publishing results to stakeholders through dashboards (e.g. Power BI, MicroStrategy, Tableau)
**Directly Related Experience**
* 3\+ years of experience in data science preferred
**Specialized Skills And Knowledge Required**
* Proficiency in Python and SQL
* Knowledge of a variety of machine learning techniques including deep learning
* Knowledge of advanced statistical techniques
* Knowledge and experience with natural language processing (NLP)
* Experience with common Python libraries for data analysis such as Pandas and NumPy
* Experience with visualization libraries such as Matplotlib, Seaborn, Plotly, Bokeh and plotnine
* Experience developing and evaluating statistical and machine learning models using libraries such as stats models and Scikit\-learn
* Experience with deep learning frameworks such as PyTorch and TensorFlow
* Experience with big data processing tools: Hadoop ecosystem, Spark etc.
* Strong data\-driven problem\-solving skills
* Excellent written and verbal communication skills to coordinate across teams
**Competencies**
* Care for People
* Chase Excellence Every Day
* Dare to Push Boundaries
* Empower People to Act
* Move Further Together
**Pay Range**
 $82,382 \- $110,272
 Pay will be based on several variables that are unique to each candidate, including but not limited to, job\-related skills, experience, relevant education or training, etc.
**Equal Employment Opportunities**
 KUS provides equal employment opportunities (EEO) to all employees and applicants for employment without regard to race, color, religion, ancestry, national origin, sex, including pregnancy and childbirth and related medical conditions, gender, gender identity, gender expression, age, legally protected physical disability or mental disability, legally protected medical condition, marital status, sexual orientation, family care or medical leave status, protected veteran or military status, genetic information or any other characteristic protected by applicable law. KUS complies with applicable law governing non\-discrimination in employment in every location in which KUS has offices. The KUS EEO policy applies to all areas of employment, including recruitment, hiring, training, promotion, compensation, benefits, discipline, termination and all other privileges, terms and conditions of employment.
 Disclaimer: The above information on this job description has been designed to indicate the general nature and level of work performed by employees within this classification and for this position. It is not designed to contain or be interpreted as a comprehensive inventory of all duties, responsibilities, and qualifications required of employees assigned to this job.</t>
        </is>
      </c>
    </row>
    <row r="60">
      <c r="A60" t="inlineStr">
        <is>
          <t>li-4371462660</t>
        </is>
      </c>
      <c r="B60" t="inlineStr">
        <is>
          <t>Data Scientist</t>
        </is>
      </c>
      <c r="C60" t="inlineStr">
        <is>
          <t>WiserBrand</t>
        </is>
      </c>
      <c r="D60" t="inlineStr">
        <is>
          <t>linkedin</t>
        </is>
      </c>
      <c r="E60">
        <f>HYPERLINK("https://www.linkedin.com/jobs/view/4371462660", "https://www.linkedin.com/jobs/view/4371462660")</f>
        <v/>
      </c>
      <c r="F60" t="inlineStr"/>
      <c r="G60" t="inlineStr"/>
      <c r="H60" t="inlineStr"/>
      <c r="I60" t="inlineStr">
        <is>
          <t>We are looking for an experienced
 **Data Scientist** 
 to join our team.
**Requirements**
* 5–8\+ years of experience in Data Science/Analytics
* Strong background in Mathematics, Statistics, or related field
* Solid knowledge of statistical inference and hypothesis testing (p\-values, Z\-tests, Chi\-Square)
* Experience with machine learning for insight generation (e.g., clustering, segmentation, prediction)
* Strong skills in Python and SQL
* Strong stakeholder management and communication skills
* Proven experience creating executive\-ready reports and PowerPoint presentations
* Ability to explain complex analytics to non\-technical audiences
* Upper\-Intermediate level of English
**Responsibilities**
* Lead end\-to\-end analytics: from problem definition to insights and recommendations
* Apply statistical analysis and machine learning for segmentation, trend analysis, and predictive insights
* Design and interpret statistical tests (p\-values, Z\-tests, Chi\-Square, confidence intervals)
* Translate analytical results into clear business narratives
* Prepare analytical reports and executive\-level PowerPoint presentations (core part of the role) Partner with business teams to align analytics with commercial objectives
* Query, clean, and analyze data using SQL and Python
* Act as a trusted analytics partner; mentor junior team members when needed
**We Offer**
* A full\-time job and a long\-term contract
* Flexible working hours
* Paid vacation and sick leave
* Managing your taxes and accounting
* Career and professional growth opportunities
* Optional benefits package that includes Health insurance, Gym membership, English courses, compensation of certification, courses, and training
* Creative and lively team of IT specialists, adequate management, and zero unnecessary bureaucracy
**About Us**
 WiserBrand is a rapidly growing US\-UA web development company providing
 full\-cycle services all over the globe. The main direction of our company is eCommerce, but we also have expertise in other domains.
 We started 8 years ago as a small project providing digital marketing services. Therefore the project grew into an outsourcing \&amp; outstaffing company that provides web development, digital marketing, customer support, and outstaffing projects for clients all over the globe.
 Headquarters based in New York City. Also, we have development and support offices in Kharkiv and Buenos Aires with about 150 people in total.
 The differentiator in the relationship we value with our employees is our open, fair, and respectful people practices and our positive work environment. Our people are the foundation of our success.</t>
        </is>
      </c>
    </row>
    <row r="61">
      <c r="A61" t="inlineStr">
        <is>
          <t>li-4371444736</t>
        </is>
      </c>
      <c r="B61" t="inlineStr">
        <is>
          <t>Data Scientist I/II</t>
        </is>
      </c>
      <c r="C61" t="inlineStr">
        <is>
          <t>BNSF Railway</t>
        </is>
      </c>
      <c r="D61" t="inlineStr">
        <is>
          <t>linkedin</t>
        </is>
      </c>
      <c r="E61">
        <f>HYPERLINK("https://www.linkedin.com/jobs/view/4371444736", "https://www.linkedin.com/jobs/view/4371444736")</f>
        <v/>
      </c>
      <c r="F61">
        <f>HYPERLINK("https://www.wiraa.com/job-description/us54C9F89AC32477F2C1D8C79EC047D853?source=Linkedin&amp;urlHash=Pz4B", "https://www.wiraa.com/job-description/us54C9F89AC32477F2C1D8C79EC047D853?source=Linkedin&amp;urlHash=Pz4B")</f>
        <v/>
      </c>
      <c r="G61" t="inlineStr"/>
      <c r="H61" t="inlineStr"/>
      <c r="I61" t="inlineStr">
        <is>
          <t>**About The Company**
 BNSF Railway, one of the largest freight railroads in the United States, operates across 28 western states and three Canadian provinces. The company is dedicated to transporting essential goods and materials that support communities nationwide and globally. BNSF is committed to safety, inclusion, and operational excellence, ensuring reliable and efficient freight movement. The organization’s mission is to connect communities and industries through innovative transportation solutions, contributing significantly to the economy and daily life. As part of its strategic growth, BNSF has established BNSF \| Tech, its dedicated technology division focused on leveraging cutting\-edge technology to transform freight rail operations and logistics.
**About The Role**
 We are seeking a talented Data Scientist to join BNSF \| Tech's dynamic team. In this remote position based within the United States, you will play a pivotal role in developing and deploying data\-driven solutions to optimize freight operations and enhance decision\-making processes. Your responsibilities will include analyzing large datasets, building machine learning models, and collaborating with cross\-functional teams to identify opportunities for technological innovation. This role offers a unique opportunity to contribute to a forward\-thinking organization committed to technological advancement and industry leadership. The ideal candidate will have a passion for data science, a strong analytical mindset, and the ability to translate complex data into actionable insights that drive business value.
**Qualifications**
* Minimum of 2 years of experience in building data science solutions or relevant data analysis experience
* Proven understanding of statistical analysis and machine learning techniques
* Experience with data visualization tools and frameworks
* Proficiency in programming languages such as Python, R, SQL, and familiarity with Java or Scala
* Bachelor’s degree or higher in Operations Research, Computer Science, Industrial Engineering, or a related field (preferred)
* Hands\-on experience with AI/ML frameworks such as TensorFlow, PyTorch, or scikit\-learn (preferred)
* Experience working in transportation\-related industries such as Rail, Shipping, Airline, Logistics, or Warehousing (preferred)
* Knowledge of geospatial libraries in Python and open\-source data science tools (preferred)
* Experience working in Agile environments like Scrum, Kanban, or SAFe (preferred)
**Responsibilities**
* Collaborate with cross\-functional teams to identify and define business problems suitable for data science solutions
* Analyze complex datasets to uncover meaningful patterns and insights that inform strategic decisions
* Develop, train, and implement machine learning models to predict outcomes and optimize processes
* Create visualizations, dashboards, and reports to communicate findings effectively to stakeholders
* Maintain and update data pipelines to ensure data accuracy, integrity, and availability for analysis and modeling
* Stay current with industry trends, emerging technologies, and advancements in data science and machine learning
* Extract, aggregate, and synthesize data using SQL, NoSQL, and other data management tools to support analysis and model deployment
* Drive complex data science projects, including artificial intelligence and optimization, aligning solutions with business objectives
* Engage with stakeholders to understand their needs and translate them into technical solutions
**Benefits**
* Industry\-leading 401(k) plan and access to Railroad Retirement benefits
* Comprehensive health care options including medical, dental, vision, and telemedicine services
* Health savings accounts (HSA) with employer contributions, plus life and disability insurance
* Family support benefits such as parental leave, pediatric care, family building assistance, and adoption support
* Reimbursement programs for surrogacy and dependent care expenses
* Discounts on travel, gym memberships, counseling, and wellness services
* Annual incentive bonus program
* Generous leave policies and time\-off benefits
 Equal Opportunity
 BNSF Railway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disability, or protected veteran status. We encourage individuals from all backgrounds to apply and contribute to our innovative and supportive workplace.</t>
        </is>
      </c>
    </row>
    <row r="62">
      <c r="A62" t="inlineStr">
        <is>
          <t>li-4371174700</t>
        </is>
      </c>
      <c r="B62" t="inlineStr">
        <is>
          <t>Data Scientist, Product, Education, Data Science</t>
        </is>
      </c>
      <c r="C62" t="inlineStr">
        <is>
          <t>Google</t>
        </is>
      </c>
      <c r="D62" t="inlineStr">
        <is>
          <t>linkedin</t>
        </is>
      </c>
      <c r="E62">
        <f>HYPERLINK("https://www.linkedin.com/jobs/view/4371174700", "https://www.linkedin.com/jobs/view/4371174700")</f>
        <v/>
      </c>
      <c r="F62">
        <f>HYPERLINK("https://careers.google.com/jobs/results/105366743093781190-data-scientist/?src=Online/LinkedIn/linkedin_us&amp;utm_source=linkedin&amp;utm_medium=jobposting&amp;utm_campaign=contract&amp;urlHash=T6v0", "https://careers.google.com/jobs/results/105366743093781190-data-scientist/?src=Online/LinkedIn/linkedin_us&amp;utm_source=linkedin&amp;utm_medium=jobposting&amp;utm_campaign=contract&amp;urlHash=T6v0")</f>
        <v/>
      </c>
      <c r="G62" t="inlineStr">
        <is>
          <t>New York, NY</t>
        </is>
      </c>
      <c r="H62" t="inlineStr"/>
      <c r="I62" t="inlineStr">
        <is>
          <t>Note: By applying to this position you will have an opportunity to share your preferred working location from the following:
 **Mountain View, CA, USA; New York, NY, USA** 
 .
 **Minimum qualifications:**
* Bachelor's degree in Statistics, Mathematics, Data Science, Engineering, Physics, Economics, or a related quantitative field.
* 8 years of experience using analytics to solve product or business problems, performing statistical analysis, and coding (e.g., Python, R, SQL), or 5 years of experience with an advanced degree.
**Preferred qualifications:**
* Master's degree in Statistics, Mathematics, Data Science, Engineering, Physics, Economics, or a related quantitative field.
**About The Job**
 Help serve Google's worldwide user base of more than a billion people. Data Scientists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your fellow Googlers in Engineering and Product Management. You relish tallying up the numbers one minute and communicating your findings to a team leader the next.
 The Education Data Science team plays a fundamental role in the success of Google for Education, by providing understanding of our business and product performance, and developing insights to help drive strategic decisions.
 As a Data Scientist on the team, you will work closely with Product, Engineering and Business teams throughout the entire development process to help build products enjoyed by hundreds of millions of users globally. You will conduct proactive analyses to identify and size new opportunities. You will deliver data\-driven insights to help with product strategy and decisions focused on growing the customer base and identifying opportunities to increase business. You will perform an in\-depth search to better understand user behavior and how users engage with our products. You will research, develop, and validate metrics to define what success looks like. You will design and analyze experiments to measure the causal effects of product changes and democratize data access through developing dashboards and accurate reporting.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own and evolve product/business success metrics. Report, analyze and forecast trends of key product/business metrics and make recommendations to improve them.
* Lead the design, analysis, and interpretation of product experiments.
* Perform data exploration to understand user behavior and identify opportunities for improving and growing Education products. Identify critical business and product functionalities and assess their business impact.
* Develop analysis, forecasting, and human/auto evaluations to improve the quality of Google's AI/Large Language Model (LLM) products, for example Gemini/NotebookLM use\-cases for teachers and students, and live experiments.
* Apply technical expertise with observational data analysis, modeling, and causal inference to answer the most important product/business questions.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3">
      <c r="A63" t="inlineStr">
        <is>
          <t>li-4371456022</t>
        </is>
      </c>
      <c r="B63" t="inlineStr">
        <is>
          <t>Data Scientist</t>
        </is>
      </c>
      <c r="C63" t="inlineStr">
        <is>
          <t>Sedgwick</t>
        </is>
      </c>
      <c r="D63" t="inlineStr">
        <is>
          <t>linkedin</t>
        </is>
      </c>
      <c r="E63">
        <f>HYPERLINK("https://www.linkedin.com/jobs/view/4371456022", "https://www.linkedin.com/jobs/view/4371456022")</f>
        <v/>
      </c>
      <c r="F63">
        <f>HYPERLINK("https://www.wiraa.com/job-description/us7B2DE2EAE978363838DFAA856AE3DAEB?source=Linkedin&amp;urlHash=lkRS", "https://www.wiraa.com/job-description/us7B2DE2EAE978363838DFAA856AE3DAEB?source=Linkedin&amp;urlHash=lkRS")</f>
        <v/>
      </c>
      <c r="G63" t="inlineStr"/>
      <c r="H63" t="inlineStr"/>
      <c r="I63" t="inlineStr">
        <is>
          <t>**About The Company** 
 Join Sedgwick, a globally recognized leader in claims management and risk solutions, where your work directly impacts individuals and organizations facing unexpected challenges. With a dedicated team of over 33,000 colleagues worldwide, Sedgwick is committed to providing exceptional service and innovative solutions. Recognized by Newsweek as one of America's Greatest Workplaces and certified as a Great Place to Work, Sedgwick has also been listed among Fortune's Best Workplaces in Financial Services \&amp; Insurance. Our culture emphasizes growth, collaboration, and work\-life balance, fostering an environment where employees can thrive and make meaningful contributions.
**About The Role** 
 We are seeking a talented Data Scientist to join our remote team. In this role, you will be responsible for developing and managing predictive modeling projects from inception to completion. Your insights will enable Sedgwick to gain a competitive edge by spotting trends, optimizing processes, and making data\-driven recommendations to management. You will collaborate with senior data scientists, stakeholders, and cross\-functional teams to build, deploy, and monitor machine learning models in both sandbox and production environments. Your expertise will help enhance our data pipelines, explore new data sources, and communicate complex findings effectively. The ideal candidate will be enthusiastic, collaborative, customer\-oriented, and empathetic, with a passion for leveraging data to solve real\-world problems.
**Qualifications** 
* Minimum one year of experience in predictive modeling, data science, and data analysis
* Proficiency in Python or R programming languages
* Experience working with notebook environments such as Jupyter or RStudio
* Knowledge of data visualization tools and libraries
* Strong skills in data exploration, wrangling, and feature engineering
* Understanding of common supervised and unsupervised machine learning techniques
* Familiarity with insurance claims data is preferred
* Excellent communication skills to convey modeling challenges, findings, and insights
* Ability to work collaboratively in a team environment and meet project deadlines
**Responsibilities** 
* Execute data science projects as assigned by senior data scientists, leadership, and stakeholders
* Develop, prototype, and deploy machine learning models in sandbox and production environments
* Create reports and dashboards to communicate model performance and key metrics
* Assist in designing and maintaining end\-to\-end ETL data pipelines
* Explore and evaluate new internal data sources for potential project utility
* Identify trends and patterns within data to provide actionable insights
* Communicate complex modeling concepts and results effectively to non\-technical stakeholders
* Collaborate with cross\-functional teams to integrate data science solutions into business processes
**Benefits** 
* Comprehensive health, dental, and vision insurance plans
* 401(k) retirement savings plan with company match
* Paid time off and holidays to support work\-life balance
* Career development and promotional growth opportunities
* Access to ongoing training and professional development resources
* Inclusive and supportive work environment that values diversity
 Equal Opportunity
 Sedgwick is an Equal Opportunity Employer and a Drug\-Free Workplace. We are committed to fostering an inclusive environment where all employees are valued and respected. We encourage candidates from diverse backgrounds to apply, regardless of race, gender, age, religion, sexual orientation, disability, or any other protected characteristic.</t>
        </is>
      </c>
    </row>
    <row r="64">
      <c r="A64" t="inlineStr">
        <is>
          <t>li-4371471381</t>
        </is>
      </c>
      <c r="B64" t="inlineStr">
        <is>
          <t>Data Scientist</t>
        </is>
      </c>
      <c r="C64" t="inlineStr">
        <is>
          <t>Elder Research</t>
        </is>
      </c>
      <c r="D64" t="inlineStr">
        <is>
          <t>linkedin</t>
        </is>
      </c>
      <c r="E64">
        <f>HYPERLINK("https://www.linkedin.com/jobs/view/4371471381", "https://www.linkedin.com/jobs/view/4371471381")</f>
        <v/>
      </c>
      <c r="F64" t="inlineStr"/>
      <c r="G64" t="inlineStr">
        <is>
          <t>Lanham, MD</t>
        </is>
      </c>
      <c r="H64" t="inlineStr"/>
      <c r="I64" t="inlineStr">
        <is>
          <t>**General Information**
**Requisition** 
 \#659
**Locations** 
 USA\-MD\-Lanham
**Posting Date** 
 02/11/2026
**Security Clearance Required** 
 \- Active IRS Public Trust w/ Background Investigation
**Remote Type** 
 Hybrid
**Time Type** 
 Full time
**Description \&amp; Requirements**
 Elder Research Inc., a wholly owned subsidiary of MANTECH international Corporation seeks a motivated, career and customer\-oriented
 **Data Scientist** 
 to join our team in
 **Lanham, MD.** 
 This is a hybrid position with 1\-2 days onsite and 3\-4 days remote.
**Responsibilities Include But Are Not Limited To**
* The Data Scientist leads the Data Analytics team and is responsible for coordinating and collaborating with other members of the team including data engineers, cyber analysts, software developers and solutions architects.
* Develops and presents analytic findings, initiatives, and schedules to stakeholders. They must possess significant experience in the Insider Threat domain, including familiarity with typical Insider Threat data sources, behavioral analytics, UEBA tools, fraud detection, and risk scoring models.
* Plays a central role in developing and operationalizing advanced analytics and machine learning models to identify subtle or evolving insider threats.
* Builds and trains predictive models to support behavior\-based risk scoring, anomaly detection, and insider threat case prioritization.
* Validates models using operational data and collaborate closely with analysts and engineers to translate behavioral hypotheses into deployable, scalable algorithms that drive proactive threat detection within the Counter Insider Threat environment.
**Minimum Qualifications**
* Education: Bachelor’s degree in Data Science, Statistics, Computer Science or related field with demonstrated experience.
* Years of experience: 6 – 12
* Experience clustering large amount of user\-generated content and processing data in large\-scale environments using platforms and services like Amazon EC2, Storm, Hadoop, Spark etc.
* Experience performing explanatory data analyses, generate and test working hypotheses, prepare and analyze historical data and identify patterns and correlations.
* Experience implementing User Behavior Analytics governance processes; specifically, the discipline to organize reporting, analytics and manipulate data to support analytical models and filters.
* Ability to articulate as well as support a visionary data analytics approach that will position the IRS to successfully deter, detect, and mitigate near and long\-term cyber threats from a User Behavior Analytics perspective.
* Ability to perform machine learning, natural language, and statistical analysis methods, such as classification, collaborative filtering, association rules, topic modeling, time\-series analysis, regression, statistical inference, and validation methods.
* Capability to analyze big data using sophisticated analytical and algorithmic techniques.
* Ability to communicate the correlation of vast stores of log data creatively and cogently into succinct presentation models for informed and decisive management action to deter, detect, and mitigate User Behavior Analytics risk.
* Ability to assist with client engagements focused on Big Data and Advanced Business Analytics, in diverse domains such as cyber security, fraud analytics, service development, public policy, optimization, risk management.
**Preferred Qualifications**
* Master's degree in Data Science, Statistics, Computer Science or related field with demonstrated experience.
* Certification(s): CERT InT PgM (CERT Insider Threat Program Management) or CISSP.
**Clearance Requirements**
* Must have an active IRS Public Trust w/ Background Investigation
**Physical Requirements**
* The person in this position must be able to remain in a stationary position 50% of the time. Occasionally move about inside the office to access file cabinets, office machinery, or to communicate with co\-workers, management, and customers, via email, phone, and or virtual communication, which may involve delivering presentations.
**About Elder Research, Inc \- People Centered. Data Driven**
*Elder Research considers all qualified applicants for employment without regard to disability or veteran status or any other status protected under any federal, state, or local law or regulation.*
*If you need a reasonable accommodation to apply for a position with Elder Research, please email us at careers@elderresearch.com and provide your name and contact information.*</t>
        </is>
      </c>
    </row>
    <row r="65">
      <c r="A65" t="inlineStr">
        <is>
          <t>li-4371174701</t>
        </is>
      </c>
      <c r="B65" t="inlineStr">
        <is>
          <t>Data Scientist, Product, Education, Data Science</t>
        </is>
      </c>
      <c r="C65" t="inlineStr">
        <is>
          <t>Google</t>
        </is>
      </c>
      <c r="D65" t="inlineStr">
        <is>
          <t>linkedin</t>
        </is>
      </c>
      <c r="E65">
        <f>HYPERLINK("https://www.linkedin.com/jobs/view/4371174701", "https://www.linkedin.com/jobs/view/4371174701")</f>
        <v/>
      </c>
      <c r="F65" t="inlineStr"/>
      <c r="G65" t="inlineStr">
        <is>
          <t>Mountain View, CA</t>
        </is>
      </c>
      <c r="H65" t="inlineStr"/>
      <c r="I65" t="inlineStr">
        <is>
          <t>Note: By applying to this position you will have an opportunity to share your preferred working location from the following:
 **Mountain View, CA, USA; New York, NY, USA** 
 .
 **Minimum qualifications:**
* Bachelor's degree in Statistics, Mathematics, Data Science, Engineering, Physics, Economics, or a related quantitative field.
* 8 years of experience using analytics to solve product or business problems, performing statistical analysis, and coding (e.g., Python, R, SQL), or 5 years of experience with an advanced degree.
**Preferred qualifications:**
* Master's degree in Statistics, Mathematics, Data Science, Engineering, Physics, Economics, or a related quantitative field.
**About The Job**
 Help serve Google's worldwide user base of more than a billion people. Data Scientists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your fellow Googlers in Engineering and Product Management. You relish tallying up the numbers one minute and communicating your findings to a team leader the next.
 The Education Data Science team plays a fundamental role in the success of Google for Education, by providing understanding of our business and product performance, and developing insights to help drive strategic decisions.
 As a Data Scientist on the team, you will work closely with Product, Engineering and Business teams throughout the entire development process to help build products enjoyed by hundreds of millions of users globally. You will conduct proactive analyses to identify and size new opportunities. You will deliver data\-driven insights to help with product strategy and decisions focused on growing the customer base and identifying opportunities to increase business. You will perform an in\-depth search to better understand user behavior and how users engage with our products. You will research, develop, and validate metrics to define what success looks like. You will design and analyze experiments to measure the causal effects of product changes and democratize data access through developing dashboards and accurate reporting.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own and evolve product/business success metrics. Report, analyze and forecast trends of key product/business metrics and make recommendations to improve them.
* Lead the design, analysis, and interpretation of product experiments.
* Perform data exploration to understand user behavior and identify opportunities for improving and growing Education products. Identify critical business and product functionalities and assess their business impact.
* Develop analysis, forecasting, and human/auto evaluations to improve the quality of Google's AI/Large Language Model (LLM) products, for example Gemini/NotebookLM use\-cases for teachers and students, and live experiments.
* Apply technical expertise with observational data analysis, modeling, and causal inference to answer the most important product/business questions.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6">
      <c r="A66" t="inlineStr">
        <is>
          <t>li-4371163883</t>
        </is>
      </c>
      <c r="B66" t="inlineStr">
        <is>
          <t>Associate Data Scientist - Marketing</t>
        </is>
      </c>
      <c r="C66" t="inlineStr">
        <is>
          <t>Bumble Inc.</t>
        </is>
      </c>
      <c r="D66" t="inlineStr">
        <is>
          <t>linkedin</t>
        </is>
      </c>
      <c r="E66">
        <f>HYPERLINK("https://www.linkedin.com/jobs/view/4371163883", "https://www.linkedin.com/jobs/view/4371163883")</f>
        <v/>
      </c>
      <c r="F66" t="inlineStr"/>
      <c r="G66" t="inlineStr">
        <is>
          <t>Austin, TX</t>
        </is>
      </c>
      <c r="H66" t="inlineStr"/>
      <c r="I66" t="inlineStr">
        <is>
          <t>Bumble Inc. is looking for an Associate Data Scientist to join our Core Data Science team, supporting Marketing and User Acquisition (UA) measurement and insights. You’ll help uncover what drives acquisition performance across channels, improve how we evaluate spend and efficiency, and translate data into clear recommendations that support growth.
 This role is ideal for someone early in their data science career who’s excited by commercial problem\-solving and wants to work closely with marketing, product, and finance partners. You’ll use Python and SQL to explore data, build repeatable reporting/analysis workflows, and contribute to measurement frameworks that guide decision\-making.
**KEY ACCOUNTABILITIES** 
* Partner with Marketing/UA, Product, and Finance teams to define and investigate key questions related to acquisition performance and growth
* Support measurement of campaign performance (e.g., efficiency, quality, retention, LTV/ROI), and help improve how results are tracked and reported
* Build and maintain dashboards, datasets, and analysis pipelines that make performance data accessible and trusted
* Conduct deep\-dive analyses to identify patterns, drivers, and opportunities across channels, geos, and audience cohorts
* Help develop and operationalise experimentation and incrementality approaches (e.g., A/B tests, geo tests) to evaluate marketing impact
* Communicate insights clearly, turning analysis into practical recommendations for stakeholders
* Collaborate with Analytics and Data Engineering to improve data quality, definitions, and instrumentation relevant to acquisition and attribution
**EXPERIENCE WE ARE LOOKING FOR** 
* 1–3 years of experience in analytics, data science, marketing analytics, consulting, or a similar role (tech/digital consumer experience a plus)
* Strong Python skills for analysis and automation (e.g., pandas, notebooks) and strong SQL for data extraction and transformation
* Solid grounding in statistics and measurement concepts (e.g., confidence intervals, bias/confounding, experiment interpretation)
* Comfort working with marketing/UA metrics and funnels (e.g., CPI/CAC, conversion rate, payback, retention) or strong interest in learning quickly
* Experience with data visualisation/storytelling (e.g., Looker, Tableau) and presenting insights to non\-technical audiences
* Collaborative mindset, curiosity, and a practical approach to solving ambiguous business problems
**NICE TO HAVE** 
* Familiarity with attribution concepts and tooling (e.g., MMM outputs, SKAN\-style constraints, channel reporting nuances)
* Experience with causal/incrementality thinking
* Experience working with product funnels or lifecycle metrics in a consumer app environment
* Experience in a multi\-sided marketplace and understanding it’s nuance \&amp; trade\-offs
**LOCATION** 
* This role is based in Austin, and we ask that you’re within a commutable distance to this office, so that you’re able to come onsite regularly to collaborate across engineering teams
* We have a hybrid environment that requires you to be in the office Monday \- Wednesday
* *Please note: We are unable to offer Visa sponsorship at this time*
 For base compensation, we set standard ranges for all roles based on function, level, and geographic location. This position is also typically eligible to participate in our short\- and long\-term incentive programs. Benefits include Medical, Dental, Vision, 401(k) match, Unlimited Paid Time Off Policy.
 Maven Fertility: $10,000 lifetime benefit for fertility, adoption, abortion care, and more.26 Weeks Parental Leave: For both primary and secondary caregivers.Family \&amp; Compassionate Leave: Inclusive of domestic violence recovery.Unlimited Paid Time Off: Take the time you need.Company\-wide Week Off: Annual collective rest for the entire company.Focus Fridays: No meetings, emails, or deadlines—just deep work.</t>
        </is>
      </c>
    </row>
    <row r="67">
      <c r="A67" t="inlineStr">
        <is>
          <t>li-4371452653</t>
        </is>
      </c>
      <c r="B67" t="inlineStr">
        <is>
          <t>Lead Data Scientist</t>
        </is>
      </c>
      <c r="C67" t="inlineStr">
        <is>
          <t>Tiger Analytics</t>
        </is>
      </c>
      <c r="D67" t="inlineStr">
        <is>
          <t>linkedin</t>
        </is>
      </c>
      <c r="E67">
        <f>HYPERLINK("https://www.linkedin.com/jobs/view/4371452653", "https://www.linkedin.com/jobs/view/4371452653")</f>
        <v/>
      </c>
      <c r="F67" t="inlineStr"/>
      <c r="G67" t="inlineStr">
        <is>
          <t>Chicago, IL</t>
        </is>
      </c>
      <c r="H67" t="inlineStr"/>
      <c r="I67" t="inlineStr">
        <is>
          <t>Tiger Analytics is looking for experienced Data Scientists to join our fast\-growing advanced analytics consulting firm. Our consultants bring deep expertise in Data Science, Machine Learning and AI. We are the trusted analytics partner for multiple Fortune 500 companies, enabling them to generate business value from data. Our business value and leadership has been recognized by various market research firms, including Forrester and Gartner. We are looking for top\-notch talent as we continue to build the best global analytics consulting team in the world.
 We are seeking a highly skilled and experienced Lead Data Scientist with strong expertise in forecasting models, including ARIMA, time series modeling, and PMPM forecasting, preferably within the healthcare domain. The ideal candidate will have a proven track record of designing, developing, and deploying scalable forecasting solutions, while leading projects and mentoring teams. This role requires deep technical expertise, hands\-on coding experience, and the ability to collaborate closely with clients and stakeholders to translate business needs into robust analytical solutions.
**Key Responsibilities**
* Design, develop, and deploy advanced forecasting models (ARIMA, SARIMA, Prophet, and other time series techniques) for healthcare\-related use cases including PMPM forecasting.
* Analyze structured and large\-scale healthcare datasets (claims, membership, utilization, cost data) to generate actionable insights.
* Build scalable, production\-ready ML pipelines and automate forecasting workflows.
* Perform model validation, back\-testing, hyperparameter tuning, and performance monitoring to ensure accuracy and stability.
* Translate business problems into data science solutions and clearly communicate findings to clients and stakeholders.
* Lead end\-to\-end project execution, mentor junior data scientists, and ensure best practices in modeling and MLOps.
* Collaborate cross\-functionally with engineering, product, and business teams to drive data\-driven decision\-making
* Collaborate, coach, and learn with a growing team of experienced Data Scientists
**Requirements**
* 6\-8 years of experience in Data Science, Machine Learning, or Advanced Analytics.
* Strong expertise in time series forecasting techniques such as ARIMA/SARIMA, exponential smoothing, and other statistical models.
* Hands\-on experience in PMPM forecasting and healthcare analytics (claims, cost, utilization data preferred).
* Proficiency in Python (pandas, numpy, stats models, scikit\-learn) and SQL for data analysis and modeling.
* Experience in deploying models to production and building automated data pipelines (MLOps exposure preferred).
* Strong understanding of statistical concepts, model evaluation metrics (MAPE, RMSE, etc.), and model interpretability.
* Excellent communication skills with experience engaging business stakeholders or clients
* Proficiency in building data pipelines using tools such as Airflow, Databricks, Spark, or similar frameworks
* Experience working in agile environments with cross\-functional collaboration
**Benefits**
 This position offers an excellent opportunity for significant career development in a fast\-growing and challenging entrepreneurial environment with a high degree of individual responsibility.
***Tiger Analytics provides equal employment opportunities to applicants and employees without regard to race, color, religion, age, sex, sexual orientation, gender identity/expression, pregnancy, national origin, ancestry, marital status, protected veteran status, disability status, or any other basis as protected by federal, state, or local law.***</t>
        </is>
      </c>
    </row>
    <row r="68">
      <c r="A68" t="inlineStr">
        <is>
          <t>li-4371450632</t>
        </is>
      </c>
      <c r="B68" t="inlineStr">
        <is>
          <t>Data Scientist II</t>
        </is>
      </c>
      <c r="C68" t="inlineStr">
        <is>
          <t>Tempus AI</t>
        </is>
      </c>
      <c r="D68" t="inlineStr">
        <is>
          <t>linkedin</t>
        </is>
      </c>
      <c r="E68">
        <f>HYPERLINK("https://www.linkedin.com/jobs/view/4371450632", "https://www.linkedin.com/jobs/view/4371450632")</f>
        <v/>
      </c>
      <c r="F68">
        <f>HYPERLINK("https://www.wiraa.com/job-description/us25306D878F40EE623510493FDC65FAAE?source=Linkedin&amp;urlHash=TMtA", "https://www.wiraa.com/job-description/us25306D878F40EE623510493FDC65FAAE?source=Linkedin&amp;urlHash=TMtA")</f>
        <v/>
      </c>
      <c r="G68" t="inlineStr"/>
      <c r="H68" t="inlineStr"/>
      <c r="I68" t="inlineStr">
        <is>
          <t>**About The Company**
 Tempus is at the forefront of revolutionizing healthcare through the power of data and advanced analytics. Specializing in precision medicine, Tempus leverages proprietary technology and a vast ecosystem of real\-world evidence to deliver real\-time, actionable insights to healthcare providers and researchers. Our platform connects diverse datasets, including genomic, clinical, and imaging data, to facilitate personalized treatment strategies and improve patient outcomes. With a mission to empower clinicians and scientists with cutting\-edge tools, Tempus is committed to transforming the way healthcare decisions are made, ultimately advancing the industry towards more precise and individualized care.
**About The Role**
 The Data Scientist I, Real World Data Science position at Tempus offers an exciting opportunity for passionate individuals interested in applying data science to healthcare and biomedical research. As part of the Scientific and Technological Solutions team, you will act as a critical bridge between our analytical platform and the complex research questions posed by our clients. Your primary responsibility will be to facilitate seamless integration of client research needs with Tempus’s data ecosystem, ensuring that scientific hypotheses are effectively addressed through data analysis and platform utilization. You will serve as a technical and scientific resource, guiding clients through onboarding, platform navigation, and advanced data analysis workflows. This role requires a blend of scientific expertise, technical proficiency, and excellent communication skills to support research initiatives in areas such as biomarker discovery, clinical trial design, and target identification. The ideal candidate will be proactive, collaborative, and eager to contribute to the advancement of healthcare through data\-driven insights.
**Qualifications**
* Master’s or Ph.D. in Computational Biology, Bioinformatics, Genomics, Data Science, or related life sciences
* Proven experience analyzing large\-scale biomedical datasets, including genomic, clinical, or real\-world data
* Hands\-on experience with analytical programming languages such as R; familiarity with Python and SQL is a plus
* Knowledge of cloud computing environments like AWS or GCP
* Strong understanding of biomedical research workflows and data analysis techniques
* Excellent communication skills, capable of explaining complex concepts to diverse audiences
* Demonstrated ability to work collaboratively in a fast\-paced, team\-oriented environment
* Problem\-solving mindset with a focus on developing pragmatic solutions to scientific and technical challenges
**Responsibilities**
* Lead the technical and scientific onboarding process for new clients, ensuring smooth platform integration
* Engage with clients to understand their scientific hypotheses and research questions
* Translate client needs into actionable workflows and queries within the Tempus analytical platform
* Design and structure complex data analyses involving genomic, clinical, and imaging datasets
* Identify opportunities for platform and workflow optimization to enhance user experience
* Collaborate with product, engineering, and data science teams to prioritize features and resolve technical issues
* Create comprehensive technical documentation, tutorials, and training materials for clients
* Provide ongoing support and guidance to clients to facilitate scientific research and data analysis
**Benefits**
* Competitive salary based on experience and location
* Full benefits package including medical, dental, and vision insurance
* Incentive compensation and restricted stock units (RSUs) for eligible roles
* Opportunities for professional development and career growth
* Flexible work arrangements, including remote work options where applicable
* Collaborative and innovative work environment focused on impactful healthcare solutions
 Equal Opportunity
 Tempus is an equal opportunity employer. We celebrate diversity and are committed to creating an inclusive environment for all employees. We do not discriminate based on race, religion, color, national origin, gender, sexual orientation, age, marital status, veteran status, or disability status. We believe that diverse perspectives foster innovation and excellence in our mission to revolutionize healthcare through data science.</t>
        </is>
      </c>
    </row>
    <row r="69">
      <c r="A69" t="inlineStr">
        <is>
          <t>li-4371450507</t>
        </is>
      </c>
      <c r="B69" t="inlineStr">
        <is>
          <t>Data Scientist</t>
        </is>
      </c>
      <c r="C69" t="inlineStr">
        <is>
          <t>Shine Associates, LLC</t>
        </is>
      </c>
      <c r="D69" t="inlineStr">
        <is>
          <t>linkedin</t>
        </is>
      </c>
      <c r="E69">
        <f>HYPERLINK("https://www.linkedin.com/jobs/view/4371450507", "https://www.linkedin.com/jobs/view/4371450507")</f>
        <v/>
      </c>
      <c r="F69" t="inlineStr"/>
      <c r="G69" t="inlineStr"/>
      <c r="H69" t="inlineStr"/>
      <c r="I69" t="inlineStr">
        <is>
          <t>**POSITION SPECIFICATION**
**DATA SCIENTIST**
 Shine Associates, LLC has been retained to search, identify and recruit a Data Scientist on behalf of our client (‘Company’).
**CONFIDENTIALITY** 
 Shine Associates, LLC has been exclusively retained on this assignment. Information contained in this position specification as well as any other information concerning the Company provided or verbally discussed is confidential. All materials and discussions are to be utilized for the sole purpose of a candidate’s personal review of the career opportunity.
**CLIENT DESCRIPTION** 
 The Company is a privately\-held and vertically\-integrated real estate company that develops, owns, and operates a portfolio of multifamily, industrial, and mixed\-use developments. With corporate offices in Atlanta, Boston, Dallas, Dubai, New York, and San Francisco, the firm is an experienced real estate private equity investor and manager supported by an integrated operating platform and has 65\+ years of experience across multiple asset classes. The Company’s existing and under\-development properties are valued at over $31\.0 billion.
 During its 65\+\-year history, the Company has developed, managed or acquired over 96,000 residential units and 32\.5 million square feet of commercial space in twenty\-four states. The current portfolio includes over 57,000 residential units, 1 million square feet of retail and office space, and 26 million square feet of industrial space.
**DATA SCIENTIST** 
 As a member of the cross\-disciplined Strategic Analytics team,the Data Scientist will play a crucial role in analyzing complex datasets, uncovering valuable insights, and providing data\-driven solutions to drive business growth and innovation. The data scientist will work closely with business leaders to improve operating performance and foster data\-driven decision\-making processes across the firm’s investment and operating verticals. The successful candidate will bring curiosity and problem solving skills and able to transition from working with business and technology professionals to deliver actionable results.
**ESSENTIAL DUTIES AND RESPONSIBILITIES** 
* Data Analysisand Modeling: Utilizestatistical techniques and machine learning algorithms to analyze largeand complex datasets. Apply data preprocessing, feature engineering, and predictive modeling to extractmeaningful insights and develop robustmodels.
* Problem Solving: Contribute to the solution of business challenges through innovative solutions using data\-driven approaches. Collaborate withstakeholders to defineproblem statements, formulate hypotheses, and design experiments to validate solutions.
* Data Visualization: Create compelling visualizations and dashboards to communicate complex findings in a clearand concise manner.Present insights and recommendations to technical and non\-technical audiences, including senior management, to drive informed decision\-making.
* Machine LearningDevelopment: Support the creation anddeployment of machinelearning models, leveraging bothtraditional statistical techniques and cutting\-edge algorithms. Optimize modelsfor performance, scalability, and interpretability.
* Data Exploration and Cleansing: Work with in\-house data engineering teamto conduct exploratory dataanalysis to understand data characteristics, identify data quality issues, and address missing or inconsistent data. Implement data cleansing techniques and develop strategies to improve dataquality and integrity.
* Collaborative Approach: Collaborate with data engineers, software developers, data analysts, and business stakeholders, to integrate data science solutions into existing systems and processes. Provide guidance and support to team memberson best practices in data science methodologies and tools.
**PROFESSIONAL QUALIFICATIONS** 
* Bachelor's degreeor higher in Computer Science, Statistics, Mathematics, or a related field.
* Proficiency in programming languages such as SQL and Pythonor R. Strong knowledge of machine learning techniques, statistical analysis, and datavisualization tools (e.g.Power BI). Knowledge of Azure ML and Snowflake (Snowpark ML) a plus. Stronganalytical and problem\-solving abilities, with keen attention to detail. Ability to identify patterns, trends, and insights from complex datasets.
* Strong writtenand verbal communication skills. Ability to translate technical findings into actionable insights and present them effectively to both technical and non\-technical audiences.
* Ability to work effectively in cross\-functional teams.Strong interpersonal skillsand the ability to collaborate withindividuals at all levels of the organization.
* Ability to thrive in a fast\-paced and dynamic environment. Willingness to learnnew technologies and methodologies to stay aheadin the fieldof data science.
* 2\-3 years’experience in a data scienceor analytics role,applying statistical analysis and machine learning techniques to real\-world problems.
**COMPENSATION** 
 The Company is prepared to offer a competitive compensation package including salary, bonus and other benefits.
**CONTACT INFORMATION** 
 Shine Associates, LLC
 45 School St., Suite 301
 Boston, MA 02108
 www.shineassociatesllc.com
 Hillary H. Shine, Principal Kelsey Shine, Director
 Cell (203\) 613\-3562 Cell (508\) 494\-6569
 Hillary@shineassociatesllc.com Kelsey@shineassociatesllc.com
 Lillian Beck, Director Chandlee Gustafson, Senior Associate
 Cell (978\) 855\-8454 Cell (978\) 201\-3100
 Lillian@shineassociatesllc.com Chandlee@shineassociatesllc.com</t>
        </is>
      </c>
    </row>
    <row r="70">
      <c r="A70" t="inlineStr">
        <is>
          <t>li-4309802103</t>
        </is>
      </c>
      <c r="B70" t="inlineStr">
        <is>
          <t>Data Scientist</t>
        </is>
      </c>
      <c r="C70" t="inlineStr">
        <is>
          <t>DataAnnotation</t>
        </is>
      </c>
      <c r="D70" t="inlineStr">
        <is>
          <t>linkedin</t>
        </is>
      </c>
      <c r="E70">
        <f>HYPERLINK("https://www.linkedin.com/jobs/view/4309802103", "https://www.linkedin.com/jobs/view/4309802103")</f>
        <v/>
      </c>
      <c r="F70">
        <f>HYPERLINK("https://app.dataannotation.tech/worker_signup?projects=MATH&amp;worker_src=L&amp;utm_source=linkedin&amp;utm_medium=listing&amp;utm_campaign=math&amp;utm_adgroup=data_scientist&amp;utm_content=United_States&amp;jt=Data%20Scientist&amp;urlHash=xZ0N", "https://app.dataannotation.tech/worker_signup?projects=MATH&amp;worker_src=L&amp;utm_source=linkedin&amp;utm_medium=listing&amp;utm_campaign=math&amp;utm_adgroup=data_scientist&amp;utm_content=United_States&amp;jt=Data%20Scientist&amp;urlHash=xZ0N")</f>
        <v/>
      </c>
      <c r="G70" t="inlineStr">
        <is>
          <t>Nevada, United States</t>
        </is>
      </c>
      <c r="H70" t="inlineStr"/>
      <c r="I70"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71">
      <c r="A71" t="inlineStr">
        <is>
          <t>li-4309699353</t>
        </is>
      </c>
      <c r="B71" t="inlineStr">
        <is>
          <t>Applied Data Scientist</t>
        </is>
      </c>
      <c r="C71" t="inlineStr">
        <is>
          <t>DataAnnotation</t>
        </is>
      </c>
      <c r="D71" t="inlineStr">
        <is>
          <t>linkedin</t>
        </is>
      </c>
      <c r="E71">
        <f>HYPERLINK("https://www.linkedin.com/jobs/view/4309699353", "https://www.linkedin.com/jobs/view/4309699353")</f>
        <v/>
      </c>
      <c r="F71" t="inlineStr"/>
      <c r="G71" t="inlineStr">
        <is>
          <t>Connecticut, United States</t>
        </is>
      </c>
      <c r="H71" t="inlineStr"/>
      <c r="I71" t="inlineStr">
        <is>
          <t>We are looking for an Applied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72">
      <c r="A72" t="inlineStr">
        <is>
          <t>li-4371194097</t>
        </is>
      </c>
      <c r="B72" t="inlineStr">
        <is>
          <t>Data Scientist</t>
        </is>
      </c>
      <c r="C72" t="inlineStr">
        <is>
          <t>Xcede</t>
        </is>
      </c>
      <c r="D72" t="inlineStr">
        <is>
          <t>linkedin</t>
        </is>
      </c>
      <c r="E72">
        <f>HYPERLINK("https://www.linkedin.com/jobs/view/4371194097", "https://www.linkedin.com/jobs/view/4371194097")</f>
        <v/>
      </c>
      <c r="F72" t="inlineStr"/>
      <c r="G72" t="inlineStr"/>
      <c r="H72" t="inlineStr"/>
      <c r="I72" t="inlineStr">
        <is>
          <t>Senior Data Scientist with deep experience in marketing analytics, product data science, machine learning, and growth strategy to lead our marketing data function and build product\-facing data capabilities at a fast\-growing Series A startup.
 This is a high\-impact role for a hands\-on data scientist who combines strong technical expertise in statistics, machine learning, and coding with strategic thinking. You will operate in a fast\-paced, ambiguous environment and play a critical role in shaping product direction, improving customer outcomes, and driving measurable growth.
**What you’ll do** 
* Own and scale the marketing data science function to support aggressive growth targets.
* Build and enhance product\-facing data features that deliver valuable financial insights to customers.
* Conduct deep\-dive analyses for risk modeling and underwriting, particularly for customer loans.
* Work with large, messy datasets to uncover actionable insights and opportunities.
* Partner with product, marketing, and leadership to drive strategy and inform product decisions.
* Develop and deploy statistical and machine learning models to support key business initiatives.
**What we’re looking for** 
* 5\+ years of experience in data science, marketing analytics, product analytics, or a related field.
* Building 0 to 1 data products or services.
* Analyzing financial markets or consumer research
* Experience at a fintech, e\- commerce, lending, or D2C business
* Strong foundation in statistics, machine learning, and experimental design.
* Advanced proficiency in SQL and Python (R is a plus).
* Experience working with large\-scale datasets and modern data stacks.
* Ability to translate complex data into clear, strategic recommendations.
* Comfortable operating in a fast\-paced, ambiguous startup environment.
**Tech stack** 
* SQL
* Python
* R
* Big data tools and distributed data systems</t>
        </is>
      </c>
    </row>
    <row r="73">
      <c r="A73" t="inlineStr">
        <is>
          <t>li-4309808127</t>
        </is>
      </c>
      <c r="B73" t="inlineStr">
        <is>
          <t>Applied Data Scientist</t>
        </is>
      </c>
      <c r="C73" t="inlineStr">
        <is>
          <t>DataAnnotation</t>
        </is>
      </c>
      <c r="D73" t="inlineStr">
        <is>
          <t>linkedin</t>
        </is>
      </c>
      <c r="E73">
        <f>HYPERLINK("https://www.linkedin.com/jobs/view/4309808127", "https://www.linkedin.com/jobs/view/4309808127")</f>
        <v/>
      </c>
      <c r="F73" t="inlineStr"/>
      <c r="G73" t="inlineStr">
        <is>
          <t>Nevada, United States</t>
        </is>
      </c>
      <c r="H73" t="inlineStr"/>
      <c r="I73" t="inlineStr">
        <is>
          <t>We are looking for an Applied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74">
      <c r="A74" t="inlineStr">
        <is>
          <t>li-4309804211</t>
        </is>
      </c>
      <c r="B74" t="inlineStr">
        <is>
          <t>Applied Data Scientist</t>
        </is>
      </c>
      <c r="C74" t="inlineStr">
        <is>
          <t>DataAnnotation</t>
        </is>
      </c>
      <c r="D74" t="inlineStr">
        <is>
          <t>linkedin</t>
        </is>
      </c>
      <c r="E74">
        <f>HYPERLINK("https://www.linkedin.com/jobs/view/4309804211", "https://www.linkedin.com/jobs/view/4309804211")</f>
        <v/>
      </c>
      <c r="F74">
        <f>HYPERLINK("https://app.dataannotation.tech/worker_signup?projects=PROG_SA&amp;worker_src=L&amp;utm_source=linkedin&amp;utm_medium=listing&amp;utm_campaign=coder&amp;utm_adgroup=applied_data_scientist&amp;utm_content=united_states&amp;jt=Applied%20Data%20Scientist&amp;urlHash=ZlCL", "https://app.dataannotation.tech/worker_signup?projects=PROG_SA&amp;worker_src=L&amp;utm_source=linkedin&amp;utm_medium=listing&amp;utm_campaign=coder&amp;utm_adgroup=applied_data_scientist&amp;utm_content=united_states&amp;jt=Applied%20Data%20Scientist&amp;urlHash=ZlCL")</f>
        <v/>
      </c>
      <c r="G74" t="inlineStr">
        <is>
          <t>Hawaii, United States</t>
        </is>
      </c>
      <c r="H74" t="inlineStr"/>
      <c r="I74" t="inlineStr">
        <is>
          <t>We are looking for an Applied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75">
      <c r="A75" t="inlineStr">
        <is>
          <t>li-4309697423</t>
        </is>
      </c>
      <c r="B75" t="inlineStr">
        <is>
          <t>Data Scientist</t>
        </is>
      </c>
      <c r="C75" t="inlineStr">
        <is>
          <t>DataAnnotation</t>
        </is>
      </c>
      <c r="D75" t="inlineStr">
        <is>
          <t>linkedin</t>
        </is>
      </c>
      <c r="E75">
        <f>HYPERLINK("https://www.linkedin.com/jobs/view/4309697423", "https://www.linkedin.com/jobs/view/4309697423")</f>
        <v/>
      </c>
      <c r="F75" t="inlineStr"/>
      <c r="G75" t="inlineStr">
        <is>
          <t>Oregon, United States</t>
        </is>
      </c>
      <c r="H75" t="inlineStr"/>
      <c r="I75"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76">
      <c r="A76" t="inlineStr">
        <is>
          <t>li-4371186070</t>
        </is>
      </c>
      <c r="B76" t="inlineStr">
        <is>
          <t>AI Data Scientist</t>
        </is>
      </c>
      <c r="C76" t="inlineStr">
        <is>
          <t>Philips</t>
        </is>
      </c>
      <c r="D76" t="inlineStr">
        <is>
          <t>linkedin</t>
        </is>
      </c>
      <c r="E76">
        <f>HYPERLINK("https://www.linkedin.com/jobs/view/4371186070", "https://www.linkedin.com/jobs/view/4371186070")</f>
        <v/>
      </c>
      <c r="F76" t="inlineStr"/>
      <c r="G76" t="inlineStr">
        <is>
          <t>Cambridge, MA</t>
        </is>
      </c>
      <c r="H76" t="inlineStr"/>
      <c r="I76" t="inlineStr">
        <is>
          <t>Job Title
 AI Data Scientist
**Job Description**
**AI Data Scientist, Acute Care Informatics (Cambridge, MA)**
 Drive real\-world impact in healthcare by building and deploying advanced machine learning and generative artificial intelligence solutions that power Philips’ Connected Care portfolio and improve patient outcomes across global clinical environments.
**Your Role**
* Design, develop, deploy, and continuously improve machine learning and generative artificial intelligence algorithms that support clinical care, patient management, and customer analytics across Philips Connected Care solutions.
* Partner closely with clinicians, epidemiologists, product managers, and software engineers to translate clinical needs into scalable, production\-ready analytics and decision support capabilities.
* Build high\-quality, compliant software by contributing hands\-on code aligned with quality management system processes and regulatory requirements.
* Contribute to scientific evidence generation, including abstracts, patents, and manuscripts, and support interactions with regulatory bodies as needed.
* Share knowledge and best practices with product development and professional services teams through training and collaboration across international markets.
**You're The Right Fit If**
* You’ve acquired 3\+ years of hands\-on, industry experience applying machine learning techniques (e.g., classification, regression, clustering, reinforcement learning, dimensionality reduction) as an individual contributor in production environments.
* Your skills include strong proficiency in Python machine learning frameworks, experience with at least one major programming language (e.g., C\#), familiarity with version control systems, and experience building big data pipelines and cloud\-based solutions. (Bonus: experience with Amazon Web Services machine learning environments such as SageMaker, and working in Agile/Scrum teams.)
* You have a PhD in Computer Science, Engineering, Informatics, Physics, Mathematics, or a related quantitative field.
* You’re a collaborative, patient\-first problem solver with strong communication skills in English and comfort working with regulated healthcare data environments. (Bonus: experience with healthcare data standards such as Fast Healthcare Interoperability Resources and Health Level Seven.)
* You must be able to successfully perform the following minimum Physical, Cognitive and Environmental job requirements with or without accommodation for this position.
**How We Work Together**
 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This is an office role.
**About Philips**
 We are a health technology company. We built our entire company around the belief that every human matters, and we won't stop until everybody everywhere has access to the quality healthcare that we all deserve. Do the work of your life to help improve the lives of others.
* Learn more about our business.
* Discover our rich and exciting history.
* Learn more about our purpose.
* Learn more about our culture.
**Philips Transparency Details**
 The pay range for this position in (MA) is $110,880 to $177,408
 The actual base pay offered may vary within the posted ranges depending on multiple factors including job\-related knowledge/skills, experience, business needs, geographical location, and internal equity.
 In addition, other compensation, such as an annual incentive bonus, sales commission or long\-term incentives may be offered. Employees are eligible to participate in our comprehensive Philips Total Rewards benefits program, which includes a generous PTO, 401k (up to 7% match), HSA (with company contribution), stock purchase plan, education reimbursement and much more. Details about our benefits can be found here.
 At Philips, it is not typical for an individual to be hired at or near the top end of the range for their role and compensation decisions are dependent upon the facts and circumstances of each case.
**Additional Information**
 US work authorization is a precondition of employment. The company will not consider candidates who require sponsorship for a work\-authorized visa, now or in the future.
 Company relocation benefits
 **will not** 
 be provided for this position. For this position, you must reside in
 **or** 
 within commuting distance to Cambridge, MA
 **.**
 \#healthcareinformatics
 This requisition is expected to stay active for 45 days but may close earlier if a successful candidate is selected or business necessity dictates. Interested candidates are encouraged to apply as soon as possible to ensure consideration.
*Philips is an Equal Employment and Opportunity Employer including Disability/Vets and maintains a drug\-free workplace.*</t>
        </is>
      </c>
    </row>
    <row r="77">
      <c r="A77" t="inlineStr">
        <is>
          <t>li-4309692719</t>
        </is>
      </c>
      <c r="B77" t="inlineStr">
        <is>
          <t>Data Scientist</t>
        </is>
      </c>
      <c r="C77" t="inlineStr">
        <is>
          <t>DataAnnotation</t>
        </is>
      </c>
      <c r="D77" t="inlineStr">
        <is>
          <t>linkedin</t>
        </is>
      </c>
      <c r="E77">
        <f>HYPERLINK("https://www.linkedin.com/jobs/view/4309692719", "https://www.linkedin.com/jobs/view/4309692719")</f>
        <v/>
      </c>
      <c r="F77" t="inlineStr"/>
      <c r="G77" t="inlineStr">
        <is>
          <t>Connecticut, United States</t>
        </is>
      </c>
      <c r="H77" t="inlineStr"/>
      <c r="I77"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78">
      <c r="A78" t="inlineStr">
        <is>
          <t>li-4309698440</t>
        </is>
      </c>
      <c r="B78" t="inlineStr">
        <is>
          <t>Applied Data Scientist</t>
        </is>
      </c>
      <c r="C78" t="inlineStr">
        <is>
          <t>DataAnnotation</t>
        </is>
      </c>
      <c r="D78" t="inlineStr">
        <is>
          <t>linkedin</t>
        </is>
      </c>
      <c r="E78">
        <f>HYPERLINK("https://www.linkedin.com/jobs/view/4309698440", "https://www.linkedin.com/jobs/view/4309698440")</f>
        <v/>
      </c>
      <c r="F78">
        <f>HYPERLINK("https://app.dataannotation.tech/worker_signup?projects=PROG_SA&amp;worker_src=L&amp;utm_source=linkedin&amp;utm_medium=listing&amp;utm_campaign=coder&amp;utm_adgroup=applied_data_scientist&amp;utm_content=united_states&amp;jt=Applied%20Data%20Scientist&amp;urlHash=ZlCL", "https://app.dataannotation.tech/worker_signup?projects=PROG_SA&amp;worker_src=L&amp;utm_source=linkedin&amp;utm_medium=listing&amp;utm_campaign=coder&amp;utm_adgroup=applied_data_scientist&amp;utm_content=united_states&amp;jt=Applied%20Data%20Scientist&amp;urlHash=ZlCL")</f>
        <v/>
      </c>
      <c r="G78" t="inlineStr">
        <is>
          <t>Arizona, United States</t>
        </is>
      </c>
      <c r="H78" t="inlineStr"/>
      <c r="I78" t="inlineStr">
        <is>
          <t>We are looking for an Applied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79">
      <c r="A79" t="inlineStr">
        <is>
          <t>li-4309687892</t>
        </is>
      </c>
      <c r="B79" t="inlineStr">
        <is>
          <t>Data Scientist</t>
        </is>
      </c>
      <c r="C79" t="inlineStr">
        <is>
          <t>DataAnnotation</t>
        </is>
      </c>
      <c r="D79" t="inlineStr">
        <is>
          <t>linkedin</t>
        </is>
      </c>
      <c r="E79">
        <f>HYPERLINK("https://www.linkedin.com/jobs/view/4309687892", "https://www.linkedin.com/jobs/view/4309687892")</f>
        <v/>
      </c>
      <c r="F79">
        <f>HYPERLINK("https://app.dataannotation.tech/worker_signup?projects=MATH&amp;worker_src=L&amp;utm_source=linkedin&amp;utm_medium=listing&amp;utm_campaign=math&amp;utm_adgroup=data_scientist&amp;utm_content=United_States&amp;jt=Data%20Scientist&amp;urlHash=xZ0N", "https://app.dataannotation.tech/worker_signup?projects=MATH&amp;worker_src=L&amp;utm_source=linkedin&amp;utm_medium=listing&amp;utm_campaign=math&amp;utm_adgroup=data_scientist&amp;utm_content=United_States&amp;jt=Data%20Scientist&amp;urlHash=xZ0N")</f>
        <v/>
      </c>
      <c r="G79" t="inlineStr">
        <is>
          <t>Tennessee, United States</t>
        </is>
      </c>
      <c r="H79" t="inlineStr"/>
      <c r="I79"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80">
      <c r="A80" t="inlineStr">
        <is>
          <t>li-4309685982</t>
        </is>
      </c>
      <c r="B80" t="inlineStr">
        <is>
          <t>Data Scientist</t>
        </is>
      </c>
      <c r="C80" t="inlineStr">
        <is>
          <t>DataAnnotation</t>
        </is>
      </c>
      <c r="D80" t="inlineStr">
        <is>
          <t>linkedin</t>
        </is>
      </c>
      <c r="E80">
        <f>HYPERLINK("https://www.linkedin.com/jobs/view/4309685982", "https://www.linkedin.com/jobs/view/4309685982")</f>
        <v/>
      </c>
      <c r="F80">
        <f>HYPERLINK("https://app.dataannotation.tech/worker_signup?projects=MATH&amp;worker_src=L&amp;utm_source=linkedin&amp;utm_medium=listing&amp;utm_campaign=math&amp;utm_adgroup=data_scientist&amp;utm_content=United_States&amp;jt=Data%20Scientist&amp;urlHash=xZ0N", "https://app.dataannotation.tech/worker_signup?projects=MATH&amp;worker_src=L&amp;utm_source=linkedin&amp;utm_medium=listing&amp;utm_campaign=math&amp;utm_adgroup=data_scientist&amp;utm_content=United_States&amp;jt=Data%20Scientist&amp;urlHash=xZ0N")</f>
        <v/>
      </c>
      <c r="G80" t="inlineStr">
        <is>
          <t>Alaska, United States</t>
        </is>
      </c>
      <c r="H80" t="inlineStr"/>
      <c r="I80"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81">
      <c r="A81" t="inlineStr">
        <is>
          <t>li-4309806031</t>
        </is>
      </c>
      <c r="B81" t="inlineStr">
        <is>
          <t>Data Scientist</t>
        </is>
      </c>
      <c r="C81" t="inlineStr">
        <is>
          <t>DataAnnotation</t>
        </is>
      </c>
      <c r="D81" t="inlineStr">
        <is>
          <t>linkedin</t>
        </is>
      </c>
      <c r="E81">
        <f>HYPERLINK("https://www.linkedin.com/jobs/view/4309806031", "https://www.linkedin.com/jobs/view/4309806031")</f>
        <v/>
      </c>
      <c r="F81">
        <f>HYPERLINK("https://app.dataannotation.tech/worker_signup?projects=MATH&amp;worker_src=L&amp;utm_source=linkedin&amp;utm_medium=listing&amp;utm_campaign=math&amp;utm_adgroup=data_scientist&amp;utm_content=United_States&amp;jt=Data%20Scientist&amp;urlHash=xZ0N", "https://app.dataannotation.tech/worker_signup?projects=MATH&amp;worker_src=L&amp;utm_source=linkedin&amp;utm_medium=listing&amp;utm_campaign=math&amp;utm_adgroup=data_scientist&amp;utm_content=United_States&amp;jt=Data%20Scientist&amp;urlHash=xZ0N")</f>
        <v/>
      </c>
      <c r="G81" t="inlineStr">
        <is>
          <t>Michigan, United States</t>
        </is>
      </c>
      <c r="H81" t="inlineStr"/>
      <c r="I81"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82">
      <c r="A82" t="inlineStr">
        <is>
          <t>li-4309693778</t>
        </is>
      </c>
      <c r="B82" t="inlineStr">
        <is>
          <t>Applied Data Scientist</t>
        </is>
      </c>
      <c r="C82" t="inlineStr">
        <is>
          <t>DataAnnotation</t>
        </is>
      </c>
      <c r="D82" t="inlineStr">
        <is>
          <t>linkedin</t>
        </is>
      </c>
      <c r="E82">
        <f>HYPERLINK("https://www.linkedin.com/jobs/view/4309693778", "https://www.linkedin.com/jobs/view/4309693778")</f>
        <v/>
      </c>
      <c r="F82">
        <f>HYPERLINK("https://app.dataannotation.tech/worker_signup?projects=PROG_SA&amp;worker_src=L&amp;utm_source=linkedin&amp;utm_medium=listing&amp;utm_campaign=coder&amp;utm_adgroup=applied_data_scientist&amp;utm_content=united_states&amp;jt=Applied%20Data%20Scientist&amp;urlHash=ZlCL", "https://app.dataannotation.tech/worker_signup?projects=PROG_SA&amp;worker_src=L&amp;utm_source=linkedin&amp;utm_medium=listing&amp;utm_campaign=coder&amp;utm_adgroup=applied_data_scientist&amp;utm_content=united_states&amp;jt=Applied%20Data%20Scientist&amp;urlHash=ZlCL")</f>
        <v/>
      </c>
      <c r="G82" t="inlineStr">
        <is>
          <t>Rhode Island, United States</t>
        </is>
      </c>
      <c r="H82" t="inlineStr"/>
      <c r="I82" t="inlineStr">
        <is>
          <t>We are looking for an Applied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83">
      <c r="A83" t="inlineStr">
        <is>
          <t>li-4309697442</t>
        </is>
      </c>
      <c r="B83" t="inlineStr">
        <is>
          <t>Data Scientist</t>
        </is>
      </c>
      <c r="C83" t="inlineStr">
        <is>
          <t>DataAnnotation</t>
        </is>
      </c>
      <c r="D83" t="inlineStr">
        <is>
          <t>linkedin</t>
        </is>
      </c>
      <c r="E83">
        <f>HYPERLINK("https://www.linkedin.com/jobs/view/4309697442", "https://www.linkedin.com/jobs/view/4309697442")</f>
        <v/>
      </c>
      <c r="F83">
        <f>HYPERLINK("https://app.dataannotation.tech/worker_signup?projects=MATH&amp;worker_src=L&amp;utm_source=linkedin&amp;utm_medium=listing&amp;utm_campaign=math&amp;utm_adgroup=data_scientist&amp;utm_content=United_States&amp;jt=Data%20Scientist&amp;urlHash=xZ0N", "https://app.dataannotation.tech/worker_signup?projects=MATH&amp;worker_src=L&amp;utm_source=linkedin&amp;utm_medium=listing&amp;utm_campaign=math&amp;utm_adgroup=data_scientist&amp;utm_content=United_States&amp;jt=Data%20Scientist&amp;urlHash=xZ0N")</f>
        <v/>
      </c>
      <c r="G83" t="inlineStr">
        <is>
          <t>South Carolina, United States</t>
        </is>
      </c>
      <c r="H83" t="inlineStr"/>
      <c r="I83"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84">
      <c r="A84" t="inlineStr">
        <is>
          <t>li-4309808116</t>
        </is>
      </c>
      <c r="B84" t="inlineStr">
        <is>
          <t>Applied Data Scientist</t>
        </is>
      </c>
      <c r="C84" t="inlineStr">
        <is>
          <t>DataAnnotation</t>
        </is>
      </c>
      <c r="D84" t="inlineStr">
        <is>
          <t>linkedin</t>
        </is>
      </c>
      <c r="E84">
        <f>HYPERLINK("https://www.linkedin.com/jobs/view/4309808116", "https://www.linkedin.com/jobs/view/4309808116")</f>
        <v/>
      </c>
      <c r="F84">
        <f>HYPERLINK("https://app.dataannotation.tech/worker_signup?projects=PROG_SA&amp;worker_src=L&amp;utm_source=linkedin&amp;utm_medium=listing&amp;utm_campaign=coder&amp;utm_adgroup=applied_data_scientist&amp;utm_content=united_states&amp;jt=Applied%20Data%20Scientist&amp;urlHash=ZlCL", "https://app.dataannotation.tech/worker_signup?projects=PROG_SA&amp;worker_src=L&amp;utm_source=linkedin&amp;utm_medium=listing&amp;utm_campaign=coder&amp;utm_adgroup=applied_data_scientist&amp;utm_content=united_states&amp;jt=Applied%20Data%20Scientist&amp;urlHash=ZlCL")</f>
        <v/>
      </c>
      <c r="G84" t="inlineStr">
        <is>
          <t>Michigan, United States</t>
        </is>
      </c>
      <c r="H84" t="inlineStr"/>
      <c r="I84" t="inlineStr">
        <is>
          <t>We are looking for an Applied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85">
      <c r="A85" t="inlineStr">
        <is>
          <t>li-4309698324</t>
        </is>
      </c>
      <c r="B85" t="inlineStr">
        <is>
          <t>Data Scientist</t>
        </is>
      </c>
      <c r="C85" t="inlineStr">
        <is>
          <t>DataAnnotation</t>
        </is>
      </c>
      <c r="D85" t="inlineStr">
        <is>
          <t>linkedin</t>
        </is>
      </c>
      <c r="E85">
        <f>HYPERLINK("https://www.linkedin.com/jobs/view/4309698324", "https://www.linkedin.com/jobs/view/4309698324")</f>
        <v/>
      </c>
      <c r="F85">
        <f>HYPERLINK("https://app.dataannotation.tech/worker_signup?projects=MATH&amp;worker_src=L&amp;utm_source=linkedin&amp;utm_medium=listing&amp;utm_campaign=math&amp;utm_adgroup=data_scientist&amp;utm_content=United_States&amp;jt=Data%20Scientist&amp;urlHash=xZ0N", "https://app.dataannotation.tech/worker_signup?projects=MATH&amp;worker_src=L&amp;utm_source=linkedin&amp;utm_medium=listing&amp;utm_campaign=math&amp;utm_adgroup=data_scientist&amp;utm_content=United_States&amp;jt=Data%20Scientist&amp;urlHash=xZ0N")</f>
        <v/>
      </c>
      <c r="G85" t="inlineStr">
        <is>
          <t>Indiana, United States</t>
        </is>
      </c>
      <c r="H85" t="inlineStr"/>
      <c r="I85"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86">
      <c r="A86" t="inlineStr">
        <is>
          <t>li-4309801126</t>
        </is>
      </c>
      <c r="B86" t="inlineStr">
        <is>
          <t>Data Scientist</t>
        </is>
      </c>
      <c r="C86" t="inlineStr">
        <is>
          <t>DataAnnotation</t>
        </is>
      </c>
      <c r="D86" t="inlineStr">
        <is>
          <t>linkedin</t>
        </is>
      </c>
      <c r="E86">
        <f>HYPERLINK("https://www.linkedin.com/jobs/view/4309801126", "https://www.linkedin.com/jobs/view/4309801126")</f>
        <v/>
      </c>
      <c r="F86" t="inlineStr"/>
      <c r="G86" t="inlineStr">
        <is>
          <t>North Dakota, United States</t>
        </is>
      </c>
      <c r="H86" t="inlineStr"/>
      <c r="I86"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87">
      <c r="A87" t="inlineStr">
        <is>
          <t>li-4309805126</t>
        </is>
      </c>
      <c r="B87" t="inlineStr">
        <is>
          <t>Applied Data Scientist</t>
        </is>
      </c>
      <c r="C87" t="inlineStr">
        <is>
          <t>DataAnnotation</t>
        </is>
      </c>
      <c r="D87" t="inlineStr">
        <is>
          <t>linkedin</t>
        </is>
      </c>
      <c r="E87">
        <f>HYPERLINK("https://www.linkedin.com/jobs/view/4309805126", "https://www.linkedin.com/jobs/view/4309805126")</f>
        <v/>
      </c>
      <c r="F87" t="inlineStr"/>
      <c r="G87" t="inlineStr">
        <is>
          <t>Utah, United States</t>
        </is>
      </c>
      <c r="H87" t="inlineStr"/>
      <c r="I87" t="inlineStr">
        <is>
          <t>We are looking for an Applied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88">
      <c r="A88" t="inlineStr">
        <is>
          <t>li-4309691801</t>
        </is>
      </c>
      <c r="B88" t="inlineStr">
        <is>
          <t>Data Scientist</t>
        </is>
      </c>
      <c r="C88" t="inlineStr">
        <is>
          <t>DataAnnotation</t>
        </is>
      </c>
      <c r="D88" t="inlineStr">
        <is>
          <t>linkedin</t>
        </is>
      </c>
      <c r="E88">
        <f>HYPERLINK("https://www.linkedin.com/jobs/view/4309691801", "https://www.linkedin.com/jobs/view/4309691801")</f>
        <v/>
      </c>
      <c r="F88">
        <f>HYPERLINK("https://app.dataannotation.tech/worker_signup?projects=MATH&amp;worker_src=L&amp;utm_source=linkedin&amp;utm_medium=listing&amp;utm_campaign=math&amp;utm_adgroup=data_scientist&amp;utm_content=United_States&amp;jt=Data%20Scientist&amp;urlHash=xZ0N", "https://app.dataannotation.tech/worker_signup?projects=MATH&amp;worker_src=L&amp;utm_source=linkedin&amp;utm_medium=listing&amp;utm_campaign=math&amp;utm_adgroup=data_scientist&amp;utm_content=United_States&amp;jt=Data%20Scientist&amp;urlHash=xZ0N")</f>
        <v/>
      </c>
      <c r="G88" t="inlineStr">
        <is>
          <t>Kansas, United States</t>
        </is>
      </c>
      <c r="H88" t="inlineStr"/>
      <c r="I88"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89">
      <c r="A89" t="inlineStr">
        <is>
          <t>li-4309810042</t>
        </is>
      </c>
      <c r="B89" t="inlineStr">
        <is>
          <t>Applied Data Scientist</t>
        </is>
      </c>
      <c r="C89" t="inlineStr">
        <is>
          <t>DataAnnotation</t>
        </is>
      </c>
      <c r="D89" t="inlineStr">
        <is>
          <t>linkedin</t>
        </is>
      </c>
      <c r="E89">
        <f>HYPERLINK("https://www.linkedin.com/jobs/view/4309810042", "https://www.linkedin.com/jobs/view/4309810042")</f>
        <v/>
      </c>
      <c r="F89" t="inlineStr"/>
      <c r="G89" t="inlineStr">
        <is>
          <t>Minnesota, United States</t>
        </is>
      </c>
      <c r="H89" t="inlineStr"/>
      <c r="I89" t="inlineStr">
        <is>
          <t>We are looking for an Applied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90">
      <c r="A90" t="inlineStr">
        <is>
          <t>li-4309689856</t>
        </is>
      </c>
      <c r="B90" t="inlineStr">
        <is>
          <t>Data Scientist</t>
        </is>
      </c>
      <c r="C90" t="inlineStr">
        <is>
          <t>DataAnnotation</t>
        </is>
      </c>
      <c r="D90" t="inlineStr">
        <is>
          <t>linkedin</t>
        </is>
      </c>
      <c r="E90">
        <f>HYPERLINK("https://www.linkedin.com/jobs/view/4309689856", "https://www.linkedin.com/jobs/view/4309689856")</f>
        <v/>
      </c>
      <c r="F90">
        <f>HYPERLINK("https://app.dataannotation.tech/worker_signup?projects=MATH&amp;worker_src=L&amp;utm_source=linkedin&amp;utm_medium=listing&amp;utm_campaign=math&amp;utm_adgroup=data_scientist&amp;utm_content=United_States&amp;jt=Data%20Scientist&amp;urlHash=xZ0N", "https://app.dataannotation.tech/worker_signup?projects=MATH&amp;worker_src=L&amp;utm_source=linkedin&amp;utm_medium=listing&amp;utm_campaign=math&amp;utm_adgroup=data_scientist&amp;utm_content=United_States&amp;jt=Data%20Scientist&amp;urlHash=xZ0N")</f>
        <v/>
      </c>
      <c r="G90" t="inlineStr">
        <is>
          <t>Iowa, United States</t>
        </is>
      </c>
      <c r="H90" t="inlineStr"/>
      <c r="I90"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91">
      <c r="A91" t="inlineStr">
        <is>
          <t>li-4309807087</t>
        </is>
      </c>
      <c r="B91" t="inlineStr">
        <is>
          <t>Applied Data Scientist</t>
        </is>
      </c>
      <c r="C91" t="inlineStr">
        <is>
          <t>DataAnnotation</t>
        </is>
      </c>
      <c r="D91" t="inlineStr">
        <is>
          <t>linkedin</t>
        </is>
      </c>
      <c r="E91">
        <f>HYPERLINK("https://www.linkedin.com/jobs/view/4309807087", "https://www.linkedin.com/jobs/view/4309807087")</f>
        <v/>
      </c>
      <c r="F91">
        <f>HYPERLINK("https://app.dataannotation.tech/worker_signup?projects=PROG_SA&amp;worker_src=L&amp;utm_source=linkedin&amp;utm_medium=listing&amp;utm_campaign=coder&amp;utm_adgroup=applied_data_scientist&amp;utm_content=united_states&amp;jt=Applied%20Data%20Scientist&amp;urlHash=ZlCL", "https://app.dataannotation.tech/worker_signup?projects=PROG_SA&amp;worker_src=L&amp;utm_source=linkedin&amp;utm_medium=listing&amp;utm_campaign=coder&amp;utm_adgroup=applied_data_scientist&amp;utm_content=united_states&amp;jt=Applied%20Data%20Scientist&amp;urlHash=ZlCL")</f>
        <v/>
      </c>
      <c r="G91" t="inlineStr">
        <is>
          <t>Maryland, United States</t>
        </is>
      </c>
      <c r="H91" t="inlineStr"/>
      <c r="I91" t="inlineStr">
        <is>
          <t>We are looking for an Applied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92">
      <c r="A92" t="inlineStr">
        <is>
          <t>li-4309804047</t>
        </is>
      </c>
      <c r="B92" t="inlineStr">
        <is>
          <t>Data Scientist</t>
        </is>
      </c>
      <c r="C92" t="inlineStr">
        <is>
          <t>DataAnnotation</t>
        </is>
      </c>
      <c r="D92" t="inlineStr">
        <is>
          <t>linkedin</t>
        </is>
      </c>
      <c r="E92">
        <f>HYPERLINK("https://www.linkedin.com/jobs/view/4309804047", "https://www.linkedin.com/jobs/view/4309804047")</f>
        <v/>
      </c>
      <c r="F92" t="inlineStr"/>
      <c r="G92" t="inlineStr">
        <is>
          <t>Mississippi, United States</t>
        </is>
      </c>
      <c r="H92" t="inlineStr"/>
      <c r="I92"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93">
      <c r="A93" t="inlineStr">
        <is>
          <t>li-4365108126</t>
        </is>
      </c>
      <c r="B93" t="inlineStr">
        <is>
          <t>Data Scientist | Clinical AI</t>
        </is>
      </c>
      <c r="C93" t="inlineStr">
        <is>
          <t>Machinify</t>
        </is>
      </c>
      <c r="D93" t="inlineStr">
        <is>
          <t>linkedin</t>
        </is>
      </c>
      <c r="E93">
        <f>HYPERLINK("https://www.linkedin.com/jobs/view/4365108126", "https://www.linkedin.com/jobs/view/4365108126")</f>
        <v/>
      </c>
      <c r="F93" t="inlineStr"/>
      <c r="G93" t="inlineStr">
        <is>
          <t>Palo Alto, CA</t>
        </is>
      </c>
      <c r="H93" t="inlineStr"/>
      <c r="I93" t="inlineStr">
        <is>
          <t>Machinify is a leading healthcare intelligence company with expertise across the payment continuum, delivering unmatched value, transparency, and efficiency to health plan clients across the country. Deployed by over 60 health plans, including many of the top 20, and representing more than 160 million lives, Machinify brings together a fully configurable and content\-rich, AI\-powered platform along with best\-in\-class expertise. We’re constantly reimagining what’s possible in our industry, creating disruptively simple, powerfully clear ways to maximize financial outcomes and drive down healthcare costs.
 Machinify builds machine learning models for some of the largest health plans in the country to identify nearly $1B in erroneous healthcare payments. Our customers receive tens of millions of claims each year, many of which are billed with mistakes or fraud. Our production models detect and stop those errors on a daily basis, resulting in measurable healthcare savings that significantly outperform industry standards. Machinify has already had a huge impact as a small company, and we are growing quickly!
 We are hiring a Data Scientist to help advance our AI system for clinical criteria evaluation. This role sits at the intersection of medical policy interpretation, data science, and applied ML/LLM evaluation. You will translate policy requirements into correct, testable code (SQL and Python), and you will build the measurement and quality systems that continuously improve an AI pipeline that extracts structured clinical signals from medical records.
**What You'll Do**
* Translate medical policy into executable logic \- Read and interpret medical policies and clinical criteria (e.g., lab thresholds, temporal windows, trend logic, exclusions).
* Convert requirements into correct, maintainable SQL and Python implementations (e.g., creatinine\-based AKI rules, bilirubin thresholds, troponin dynamics, ABG\-derived criteria).
* Design rule representations that are composable and auditable (clear inputs, outputs, assumptions, edge cases).
* Prompt engineering and system parameter tuning for AI configuration that extracts clinical information from medical records.
* Build robust clinical feature pipelines
* Create and maintain pipelines that compute clinical features from extracted signals (labs, vitals, flowsheets, notes\-derived facts).
* Handle tricky realities: missing timestamps, multiple measurement sources, unit normalization, deduplication, conflicting values, provenance tracking.
* Own measurement, evaluation, and continuous quality improvement
* Define and instrument accuracy metrics for the AI system that extracts data from medical records
* Build gold datasets, sampling strategies, and review workflows with clinical/operations partners.
* Perform error analysis, identify root causes (retrieval failures, OCR issues, extraction ambiguity, policy interpretation gaps), and drive improvements.
* Establish engineering frameworks and tooling
* Create reusable tooling for policy\-to\-code translation: templates, test harnesses, validation suites, regression checks, and monitoring dashboards.
* Improve infrastructure for large\-scale runs: orchestration, logging, lineage, versioning, and reproducibility.
* Implement guardrails and QA gates so policy logic changes are safe, traceable, and measurable.
* Partner deeply with domain experts
* Work with clinicians, policy specialists, and operations to clarify ambiguous requirements and ensure implementations reflect real\-world intent.
* Produce clear documentation that explains what the code is doing and why, with examples and edge\-case handling.
**What You'll Bring**
* Strong SQL and Python engineering skills \- Ability to translate nuanced requirements into correct SQL (CTEs, window functions, joins at scale, performance tuning) and production\-quality Python. \- Experience building testable pipelines, not just ad hoc analysis.
* Experience operationalizing rules \+ models \- Track record of implementing complex business/clinical logic and deploying it reliably. \- Comfort working with imperfect, messy, high\-volume datasets.
* Evaluation/Metric mindset \- Experience designing metrics, building ground truth, running experiments, and improving system quality through structured iteration. \- Ability to connect technical quality measures to business outcomes (e.g., accuracy vs reviewer burden vs downstream decisions).
* Systems thinking and rigor \- You build frameworks that make other engineers/scientists faster: shared libraries, patterns, tooling, and clear interfaces.
* You sweat details: edge cases, provenance, temporal logic, unit conversions, and regression safety.
* Healthcare curiosity (and willingness to learn fast) \- Interest in medical records, clinical data, and how policies translate into decision criteria. \- Prior healthcare experience is a plus, but not required if you bring the aptitude and motivation.
**Nice to Have**
 Experience with clinical data standards or lab data normalization (LOINC familiarity, units conversion, reference ranges). \- Experience evaluating LLM/IE systems (information extraction) or building human\-in\-the\-loop QA workflows. \- Familiarity with distributed data systems (Spark, BigQuery/Snowflake, Databricks) and workflow orchestrators.
**Why This Role**
 If you enjoy turning ambiguous real\-world policies into precise code, building quality systems that make AI reliable, and operating at the boundary of clinical domain nuance and production engineering, this role is designed for you.
**Equal Employment Opportunity at Machinify**
 Machinify is committed to hiring talented and qualified individuals with diverse backgrounds for all of its positions. Machinify believes that the gathering and celebration of unique backgrounds, qualities, and cultures enriches the workplace.
 See our Candidate Privacy Notice at: https://www.machinify.com/candidate\-privacy\-notice/</t>
        </is>
      </c>
    </row>
    <row r="94">
      <c r="A94" t="inlineStr">
        <is>
          <t>li-4309800244</t>
        </is>
      </c>
      <c r="B94" t="inlineStr">
        <is>
          <t>Applied Data Scientist</t>
        </is>
      </c>
      <c r="C94" t="inlineStr">
        <is>
          <t>DataAnnotation</t>
        </is>
      </c>
      <c r="D94" t="inlineStr">
        <is>
          <t>linkedin</t>
        </is>
      </c>
      <c r="E94">
        <f>HYPERLINK("https://www.linkedin.com/jobs/view/4309800244", "https://www.linkedin.com/jobs/view/4309800244")</f>
        <v/>
      </c>
      <c r="F94">
        <f>HYPERLINK("https://app.dataannotation.tech/worker_signup?projects=PROG_SA&amp;worker_src=L&amp;utm_source=linkedin&amp;utm_medium=listing&amp;utm_campaign=coder&amp;utm_adgroup=applied_data_scientist&amp;utm_content=united_states&amp;jt=Applied%20Data%20Scientist&amp;urlHash=ZlCL", "https://app.dataannotation.tech/worker_signup?projects=PROG_SA&amp;worker_src=L&amp;utm_source=linkedin&amp;utm_medium=listing&amp;utm_campaign=coder&amp;utm_adgroup=applied_data_scientist&amp;utm_content=united_states&amp;jt=Applied%20Data%20Scientist&amp;urlHash=ZlCL")</f>
        <v/>
      </c>
      <c r="G94" t="inlineStr">
        <is>
          <t>Iowa, United States</t>
        </is>
      </c>
      <c r="H94" t="inlineStr"/>
      <c r="I94" t="inlineStr">
        <is>
          <t>We are looking for an Applied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95">
      <c r="A95" t="inlineStr">
        <is>
          <t>li-4309698412</t>
        </is>
      </c>
      <c r="B95" t="inlineStr">
        <is>
          <t>Applied Data Scientist</t>
        </is>
      </c>
      <c r="C95" t="inlineStr">
        <is>
          <t>DataAnnotation</t>
        </is>
      </c>
      <c r="D95" t="inlineStr">
        <is>
          <t>linkedin</t>
        </is>
      </c>
      <c r="E95">
        <f>HYPERLINK("https://www.linkedin.com/jobs/view/4309698412", "https://www.linkedin.com/jobs/view/4309698412")</f>
        <v/>
      </c>
      <c r="F95">
        <f>HYPERLINK("https://app.dataannotation.tech/worker_signup?projects=PROG_SA&amp;worker_src=L&amp;utm_source=linkedin&amp;utm_medium=listing&amp;utm_campaign=coder&amp;utm_adgroup=applied_data_scientist&amp;utm_content=united_states&amp;jt=Applied%20Data%20Scientist&amp;urlHash=ZlCL", "https://app.dataannotation.tech/worker_signup?projects=PROG_SA&amp;worker_src=L&amp;utm_source=linkedin&amp;utm_medium=listing&amp;utm_campaign=coder&amp;utm_adgroup=applied_data_scientist&amp;utm_content=united_states&amp;jt=Applied%20Data%20Scientist&amp;urlHash=ZlCL")</f>
        <v/>
      </c>
      <c r="G95" t="inlineStr">
        <is>
          <t>Kentucky, United States</t>
        </is>
      </c>
      <c r="H95" t="inlineStr"/>
      <c r="I95" t="inlineStr">
        <is>
          <t>We are looking for an Applied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96">
      <c r="A96" t="inlineStr">
        <is>
          <t>li-4309807133</t>
        </is>
      </c>
      <c r="B96" t="inlineStr">
        <is>
          <t>Applied Data Scientist</t>
        </is>
      </c>
      <c r="C96" t="inlineStr">
        <is>
          <t>DataAnnotation</t>
        </is>
      </c>
      <c r="D96" t="inlineStr">
        <is>
          <t>linkedin</t>
        </is>
      </c>
      <c r="E96">
        <f>HYPERLINK("https://www.linkedin.com/jobs/view/4309807133", "https://www.linkedin.com/jobs/view/4309807133")</f>
        <v/>
      </c>
      <c r="F96" t="inlineStr"/>
      <c r="G96" t="inlineStr">
        <is>
          <t>Vermont, United States</t>
        </is>
      </c>
      <c r="H96" t="inlineStr"/>
      <c r="I96" t="inlineStr">
        <is>
          <t>We are looking for an Applied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97">
      <c r="A97" t="inlineStr">
        <is>
          <t>li-4309693685</t>
        </is>
      </c>
      <c r="B97" t="inlineStr">
        <is>
          <t>Data Scientist</t>
        </is>
      </c>
      <c r="C97" t="inlineStr">
        <is>
          <t>DataAnnotation</t>
        </is>
      </c>
      <c r="D97" t="inlineStr">
        <is>
          <t>linkedin</t>
        </is>
      </c>
      <c r="E97">
        <f>HYPERLINK("https://www.linkedin.com/jobs/view/4309693685", "https://www.linkedin.com/jobs/view/4309693685")</f>
        <v/>
      </c>
      <c r="F97" t="inlineStr"/>
      <c r="G97" t="inlineStr">
        <is>
          <t>Alabama, United States</t>
        </is>
      </c>
      <c r="H97" t="inlineStr"/>
      <c r="I97"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98">
      <c r="A98" t="inlineStr">
        <is>
          <t>li-4309694825</t>
        </is>
      </c>
      <c r="B98" t="inlineStr">
        <is>
          <t>Applied Data Scientist</t>
        </is>
      </c>
      <c r="C98" t="inlineStr">
        <is>
          <t>DataAnnotation</t>
        </is>
      </c>
      <c r="D98" t="inlineStr">
        <is>
          <t>linkedin</t>
        </is>
      </c>
      <c r="E98">
        <f>HYPERLINK("https://www.linkedin.com/jobs/view/4309694825", "https://www.linkedin.com/jobs/view/4309694825")</f>
        <v/>
      </c>
      <c r="F98" t="inlineStr"/>
      <c r="G98" t="inlineStr">
        <is>
          <t>West Virginia, United States</t>
        </is>
      </c>
      <c r="H98" t="inlineStr"/>
      <c r="I98" t="inlineStr">
        <is>
          <t>We are looking for an Applied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99">
      <c r="A99" t="inlineStr">
        <is>
          <t>li-4371185941</t>
        </is>
      </c>
      <c r="B99" t="inlineStr">
        <is>
          <t>Data Scientist | Clinical AI</t>
        </is>
      </c>
      <c r="C99" t="inlineStr">
        <is>
          <t>RemoteHunter</t>
        </is>
      </c>
      <c r="D99" t="inlineStr">
        <is>
          <t>linkedin</t>
        </is>
      </c>
      <c r="E99">
        <f>HYPERLINK("https://www.linkedin.com/jobs/view/4371185941", "https://www.linkedin.com/jobs/view/4371185941")</f>
        <v/>
      </c>
      <c r="F99">
        <f>HYPERLINK("https://www.remotehunter.com/apply-with-ai/cf094ff5-38f5-4ef1-8209-fa5243b1ae57?utm_medium=job_posting&amp;utm_source=linkedin&amp;utm_campaign=data_scientist_remote&amp;utm_category=data_scientist&amp;utm_term=data_scientist_clinical_ai&amp;urlHash=paiY", "https://www.remotehunter.com/apply-with-ai/cf094ff5-38f5-4ef1-8209-fa5243b1ae57?utm_medium=job_posting&amp;utm_source=linkedin&amp;utm_campaign=data_scientist_remote&amp;utm_category=data_scientist&amp;utm_term=data_scientist_clinical_ai&amp;urlHash=paiY")</f>
        <v/>
      </c>
      <c r="G99" t="inlineStr"/>
      <c r="H99" t="inlineStr"/>
      <c r="I99" t="inlineStr">
        <is>
          <t>About the Opportunity:
 A healthcare intelligence organization with expertise across the payment continuum seeks a Data Scientist to advance an AI system for clinical criteria evaluation. The role involves translating medical policy into testable code and building measurement and quality systems to improve an AI pipeline that extracts structured clinical signals from medical records.
 Responsibilities:
 • Translate medical policy into executable logic by interpreting clinical criteria such as lab thresholds, temporal windows, trend logic, and exclusions
 • Convert requirements into maintainable SQL and Python code (e.g., creatinine\-based AKI rules, bilirubin thresholds, troponin dynamics, ABG\-derived criteria)
 • Design composable and auditable rule representations with clear inputs, outputs, assumptions, and edge cases
 • Perform prompt engineering and tune system parameters for AI extraction of clinical information from medical records
 • Build and maintain robust clinical feature pipelines computing features from labs, vitals, flowsheets, and notes\-derived facts
 • Handle data challenges including missing timestamps, multiple sources, unit normalization, deduplication, conflicting values, and provenance tracking
 • Define and instrument accuracy metrics for the AI extraction system
 • Develop gold datasets, sampling strategies, and review workflows with clinical and operations partners
 • Conduct error analysis to identify root causes such as retrieval failures, OCR issues, extraction ambiguity, and policy gaps, and drive improvements
 • Create reusable tooling for policy\-to\-code translation including templates, test harnesses, validation suites, regression checks, and monitoring dashboards
 • Improve infrastructure for large\-scale runs covering orchestration, logging, lineage, versioning, and reproducibility
 • Implement guardrails and QA gates to ensure safe, traceable, and measurable policy logic changes
 • Collaborate with clinicians, policy specialists, and operations to clarify ambiguous requirements and ensure implementations reflect real\-world intent
 • Produce clear documentation explaining code functionality with examples and edge\-case handling
 Requirements:
 • Strong SQL and Python skills with ability to write correct, efficient, and maintainable code using CTEs, window functions, joins, and performance tuning
 • Experience building testable, production\-quality pipelines rather than ad hoc analyses
 • Proven record of operationalizing complex business or clinical logic reliably
 • Comfort working with imperfect, high\-volume, messy datasets
 • Experience designing metrics, building ground truth, running experiments, and improving system quality through structured iteration
 • Ability to link technical quality metrics to business outcomes such as accuracy versus reviewer burden
 • Systems thinking to develop shared libraries, patterns, tooling, and clear interfaces that accelerate team productivity
 • Attention to detail in handling edge cases, provenance, temporal logic, unit conversion, and regression safety
 • Interest in healthcare data, medical records, and policy\-to\-decision translation; prior healthcare experience is a plus but not required
 Nice to Have:
 • Familiarity with clinical data standards or lab data normalization (e.g., LOINC, units conversion, reference ranges)
 • Experience evaluating large language models or information extraction systems and building human\-in\-the\-loop QA workflows
 • Knowledge of distributed data systems such as Spark, BigQuery, Snowflake, Databricks, and workflow orchestrators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00">
      <c r="A100" t="inlineStr">
        <is>
          <t>li-4369463093</t>
        </is>
      </c>
      <c r="B100" t="inlineStr">
        <is>
          <t>Data Scientist</t>
        </is>
      </c>
      <c r="C100" t="inlineStr">
        <is>
          <t>Haystack</t>
        </is>
      </c>
      <c r="D100" t="inlineStr">
        <is>
          <t>linkedin</t>
        </is>
      </c>
      <c r="E100">
        <f>HYPERLINK("https://www.linkedin.com/jobs/view/4369463093", "https://www.linkedin.com/jobs/view/4369463093")</f>
        <v/>
      </c>
      <c r="F100" t="inlineStr"/>
      <c r="G100" t="inlineStr"/>
      <c r="H100" t="inlineStr"/>
      <c r="I100" t="inlineStr">
        <is>
          <t>**Senior Data Scientist \| Orlando \| Hybrid**
 We're working with Disney Experiences on this exciting opportunity.
 Are you a seasoned Data Scientist with a passion for retail and a knack for creating magical customer experiences? Disney Experiences is seeking a Senior Data Scientist to spearhead advanced analytics and machine learning initiatives, optimizing customer segmentation, assortment rationalization, and promotion strategies across their iconic brick\-and\-mortar and e\-commerce platforms. If you're ready to leverage your expertise in Python, SQL, and cutting\-edge cloud platforms like Google Cloud Platform and Snowflake to drive impactful data\-driven decisions that shape the future of retail, this is your chance to shine!
**The Role**
* Lead the design, development, and deployment of advanced statistical and machine learning models for customer segmentation, promotion optimization, and demand forecasting.
* Architect and implement scalable data pipelines and model workflows using Python, SQL, and cloud platforms (GCP, Snowflake) for continuous data integration and retraining.
* Develop dynamic dashboards and self\-service analytics solutions using Tableau or Looker to provide actionable insights to cross\-functional partners.
* Collaborate with product, merchandising, marketing, and technology teams to translate business questions into structured analytics problems and drive strategic decisions.
* Mentor and guide data scientists and analysts, promoting best practices in code quality, model validation, reproducibility, and responsible AI.
**What You'll Need**
* 5\+ years as a Data Scientist with expertise in retail, covering customer segmentation, performance forecasting, and business optimization.
* Proven experience developing and optimizing retail strategies using advanced analytics across brick\-and\-mortar and e\-commerce channels.
* Proficient in developing insightful dashboards and visual analytics with tools like Tableau to monitor key retail metrics and support data\-driven decision\-making.
* Deep knowledge of predictive modeling techniques including regression, time series forecasting (ARIMA, Prophet), causal inference, and machine learning methods (XGBoost, LightGBM).
* Expert\-level skills in Python (pandas, scikit\-learn, statsmodels, PyMC) and SQL for large\-scale retail datasets, with hands\-on experience in GCP, Snowflake, BigQuery, and Spark.
**What's On Offer**
* Join a dynamic and innovative team at Disney Experiences, shaping the future of retail through cutting\-edge data science.
* Opportunity to work on high\-impact projects that directly enhance guest experience and drive revenue growth for beloved Disney brands.
* Comprehensive rewards package including health and savings benefits, educational opportunities, and exclusive Disney perks.
* Thrive in a collaborative hybrid work environment in the magical city of Orlando, FL.
**Apply via Haystack today!**</t>
        </is>
      </c>
    </row>
    <row r="101">
      <c r="A101" t="inlineStr">
        <is>
          <t>li-4323113248</t>
        </is>
      </c>
      <c r="B101" t="inlineStr">
        <is>
          <t>Data Scientist (Multiple Levels)</t>
        </is>
      </c>
      <c r="C101" t="inlineStr">
        <is>
          <t>Modern Technology Solutions, Inc. (MTSI)</t>
        </is>
      </c>
      <c r="D101" t="inlineStr">
        <is>
          <t>linkedin</t>
        </is>
      </c>
      <c r="E101">
        <f>HYPERLINK("https://www.linkedin.com/jobs/view/4323113248", "https://www.linkedin.com/jobs/view/4323113248")</f>
        <v/>
      </c>
      <c r="F101" t="inlineStr"/>
      <c r="G101" t="inlineStr">
        <is>
          <t>Colorado Springs, CO</t>
        </is>
      </c>
      <c r="H101" t="inlineStr"/>
      <c r="I101" t="inlineStr">
        <is>
          <t>Modern Technology Solutions Inc. (MTSI) is seeking a highly experienced Data Scientist (Multiple Levels) to provide Systems Engineering, Integration, \&amp; Test (SEIT) support to the United States Space Force (USSF) Operational Command and Control (C2\) Acquisition Delta responsible for developing software and the supporting architecture for the organize, understand, plan, decide, direct, and monitor capabilities within the C2 Joint Capability Areas (JCAs). This position is located in Colorado Springs, CO.
 Job responsibilities will include, but may not be limited to:
* Leading data analytics efforts and ensuring alignment with 2STS objectives and vision.
* Overseeing the development and integration of data analytics and business intelligence tools to support squadron strategies and goals.
* Participating in various staff meetings to influence data capabilities and competencies within the squadron.
* Collaborating with customers to refine analytical requirements dynamically in an iterative, agile process.
* Conducting research on cutting\-edge data science innovations and adapting them for government environments.
* Developing proposals to test hypotheses, prioritizing research projects, and establishing project goals.
* Performing data management tasks and activities required for operational success.
* Access data from different repositories through scripting or APIs to integrate data and present the data to leadership through data visualization tools.
**Required Experience**
* Minimum of 5 years of relevant DoD/IC or relevant industry work experience.
* Minimum of 5 years of data science experience.
* Proficiency in data science techniques to conceptualize, adapt, and apply new models for solving complex problems.
* Knowledge of DoD or private sector business systems, big data analytics, data pipelines, machine learning, Artificial Intelligence, cognitive sciences, and operational strategies.
* Advanced skill in articulating and defending complex concepts, often with diverse stakeholders.
* Strong ability to negotiate and secure executive support for challenging program concepts.
* Ability to lead interdisciplinary teams consisting of industry, academic, and government experts.
* Expertise in extracting actionable insights using data analytics methods aligned with squadron requirements.
* Experience in the following application frameworks:
* Microsoft Office products to include: SharePoint, Word, Excel, MS Project.
* Adobe Acrobat.
* Confluence and Jira.
* Demonstrated leadership and team\-building skills.
* Extremely motivated individual who is a self\-starter and works well in a fast\-paced team environment.
* Strong interpersonal skills to enable working, interfacing, and interrelating with diverse personnel and dynamic teams.
* Excellent analytical and organizational skills, specifically attention to detail, along with effective time and project management skills.
* Experience with presenting and communicating technical data to various audiences (government and leadership audience experience preferred).
* Willingness to mentor colleagues.
**Education Requirements**
* B.S. in Mathematics, Applied Mathematics, Statistics, Applied Statistics, Machine Learning, Data Science, Operations Research, or Computer Science (required).
* M.S. in Computer Science (desired).
**Security Clearance Level Required**
* An active TS/SCI security clearance is required to start.
* U.S. Citizenship is required for this position.
**Location / Travel Requirements:**
* Place of work is the Garden of the Gods, Colorado Springs, CO. This role is hybrid (on\-site/telework).
* May require travel up to 15% of the time within the continental United States.
***The pay range for this position in Colorado is $150,000/year to $185,000/year; however, base pay offered may vary depending on established government contract ranges, job\-related knowledge, skills, and experience, and other factors.***
***Compensation is competitive and may be adjusted for candidates with exceptional qualifications or expertise, including those at the SME level, with potential earnings up to $230,000/year.***
***MTSI also offers a full range of medical, financial, and other benefits, dependent on the position offered. Base pay information is based on market location. Applicants should apply via MTSI's internal or external careers site.***
 \#MTSI
 \#MTSIJOBS</t>
        </is>
      </c>
    </row>
    <row r="102">
      <c r="A102" t="inlineStr">
        <is>
          <t>li-4336675984</t>
        </is>
      </c>
      <c r="B102" t="inlineStr">
        <is>
          <t>Senior Forward-Deployed Data Scientist</t>
        </is>
      </c>
      <c r="C102" t="inlineStr">
        <is>
          <t>Braze</t>
        </is>
      </c>
      <c r="D102" t="inlineStr">
        <is>
          <t>linkedin</t>
        </is>
      </c>
      <c r="E102">
        <f>HYPERLINK("https://www.linkedin.com/jobs/view/4336675984", "https://www.linkedin.com/jobs/view/4336675984")</f>
        <v/>
      </c>
      <c r="F102" t="inlineStr"/>
      <c r="G102" t="inlineStr">
        <is>
          <t>Chicago, IL</t>
        </is>
      </c>
      <c r="H102" t="inlineStr"/>
      <c r="I102" t="inlineStr">
        <is>
          <t>At Braze, we have found our people. We’re a genuinely approachable, exceptionally kind, and intensely passionate crew.
 We seek to ignite that passion by setting high standards, championing teamwork, and creating work\-life harmony as we collectively navigate rapid growth on a global scale while striving for greater equity and opportunity – inside and outside our organization.
 To flourish here, you must be prepared to set a high bar for yourself and those around you. There is always a way to contribute: Acting with autonomy, having accountability and being open to new perspectives are essential to our continued success.
 Our deep curiosity to learn and our eagerness to share diverse passions with others gives us balance and injects a one\-of\-a\-kind vibrancy into our culture.
 If you are driven to solve exhilarating challenges and have a bias toward action in the face of change, you will be empowered to make a real impact here, with a sharp and passionate team at your back. If Braze sounds like a place where you can thrive, we can’t wait to meet you.
**What You'll Do**
 As our customer base continues to grow with the excitement around BrazeAI, we’re expanding our team! Join our Forward\-Deployed Data Scientist group of creative technical experts who partner with customers to ensure their success. In this role, you will:
* Collaborate with customer Analytics/BI teams and Braze colleagues on implementations, including use case definition, data integration, pipeline setup, and ML model configuration
* Extend product capabilities by improving architecture and developing reusable data pipelines, APIs, and components
* Work closely with the RL pipeline development team to refine and advance our reinforcement learning (self\-learning) algorithms
* Contribute to shaping BrazeAI product strategy and roadmap through customer\-facing insights and technical expertise
* Provide ongoing technical expertise to ensure successful adoption, measurable outcomes, and long\-term customer success
**Who You Are**
* Education: Bachelor’s degree in Computer Science, Data Science, Mathematics, Engineering, or a related field required; Master’s or PhD in a relevant technical discipline preferred
* Experience: 3–5\+ years of hands\-on experience as a Data Scientist, Machine Learning Engineer, or similar role working with large\-scale data and production environments. Experience in customer\-facing or consulting roles is strongly preferred
* Strong technical expertise: Proficient in Python (Pandas) and core ML libraries (TensorFlow, Keras, scikit\-learn, CatBoost, XGBoost). Skilled in SQL for querying/manipulating datasets, with experience in machine learning pipelines and model deployment
* Engineering best practices: You write well\-structured, modular, documented code; follow strong development practices (Git, CI/CD, testing frameworks, type\-hinting, code reviews); and can build scalable, maintainable solutions
* Nice\-to\-have skills: Experience with DevOps tools (Airflow, Kubernetes, Terraform, GCP), data integration/ETL and pipeline optimization, or reinforcement learning algorithms
* Customer collaborator: Comfortable working directly with clients and cross\-functional teams, aligning stakeholders, and translating technical concepts into clear business value
* Entrepreneurial problem\-solver: You identify opportunities and risks early, troubleshoot obstacles, and drive creative solutions
* Continuous learner: You stay current with industry trends, explore new tools/technologies, and thrive in environments that push you to grow
* Clear communicator: Able to explain complex technical ideas persuasively to both technical and non\-technical audiences
 For candidates based in the United States, the pay range for this position at the start of employment is expected to be between $180,900 \- $217,800/year with an expected On Target Earnings (OTE) between $201,000 \- $242,000/year (including bonus or commission). Your exact offer may vary depending on multiple individualized factors, including market location, job\-related knowledge, skills, and experience. In addition to cash compensation, Braze offers full\- and part\- time employees a comprehensive Total Rewards package that includes equity grants of restricted stock (RSUs) so that all Braze employees own a piece of our company.
**What We Offer**
 Braze benefits vary by location, and we encourage you to review our specific benefits offerings for each country here . More details on benefits plans will be provided if you receive an offer of employment.
**Benefits**
 From offering comprehensive benefits to fostering hybrid ways of working, we’ve got you covered so you can prioritize work\-life harmony. Braze offers benefits such as:
* Competitive compensation that may include equity
* Retirement and Employee Stock Purchase Plans
* Flexible paid time off
* Comprehensive benefit plans covering medical, dental, vision, life, and disability
* Family services that include fertility benefits and equal paid parental leave
* Professional development supported by formal career pathing, learning platforms, and a yearly learning stipend
* A curated in\-office employee experience, designed to foster community, team connections, and innovation
* Opportunities to give back to your community, including an annual company\-wide Volunteer Week and donation matching
* Employee Resource Groups that provide supportive communities within Braze
* Collaborative, transparent, and fun culture recognized as a Great Place to Work®
**About Braze**
 Braze is the leading customer engagement platform that empowers brands to Be Absolutely Engaging.™ Braze helps brands deliver great customer experiences that drive value both for consumers and for their businesses. Built on a foundation of composable intelligence, BrazeAI™ allows marketers to combine and activate AI agents, models, and features at every touchpoint throughout the Braze Customer Engagement Platform for smarter, faster, and more meaningful customer engagement. From cross\-channel messaging and journey orchestration to Al\-powered decisioning and optimization, Braze enables companies to turn action into interaction through autonomous, 1:1 personalized experiences.
 The company has repeatedly been recognized as a Leader in marketing technology by industry analysts, and was voted a G2 “Best of Marketing and Digital Advertising Software Product” in 2025\.
 Braze was also named a 2025 Best Companies To Work For by U.S. News \&amp; World Report, a 2025 America’s Greatest Companies by Newsweek, and a 2025 Fortune Best Workplace in Technology™ by Great Place To Work®, among other accolades. Braze is also proudly certified as a Great Place to Work® in the U.S., the UK, Australia, and Singapore.
 The company is headquartered in New York with offices in Austin, Berlin, Bucharest, Chicago, Dubai, Jakarta, London, Paris, San Francisco, São Paulo, Singapore, Seoul, Sydney and Tokyo.
**BRAZE IS AN EQUAL OPPORTUNITY EMPLOYER**
 At Braze, we strive to create equitable growth and opportunities inside and outside the organization.
 Building meaningful connections is at the heart of everything we do, and that includes our recruiting practices. We're committed to offering all candidates a fair, accessible, and inclusive experience – regardless of age, color, disability, gender identity, marital status, maternity, national origin, pregnancy, race, religion, sex, sexual orientation, or status as a protected veteran. When applying and interviewing with Braze, we want you to feel comfortable showcasing what makes you you .
 We know that sometimes different circumstances can lead talented people to hesitate to apply for a role unless they meet 100% of the criteria. If this sounds familiar, we encourage you to apply, as we’d love to meet you.
 Please see our Candidate Privacy Policy for more information on how Braze processes your personal information during the recruitment process and, if applicable based on your location, how you can exercise any privacy rights.</t>
        </is>
      </c>
    </row>
    <row r="103">
      <c r="A103" t="inlineStr">
        <is>
          <t>li-4336675173</t>
        </is>
      </c>
      <c r="B103" t="inlineStr">
        <is>
          <t>Staff Data Scientist, Forecasting</t>
        </is>
      </c>
      <c r="C103" t="inlineStr">
        <is>
          <t>Pinterest</t>
        </is>
      </c>
      <c r="D103" t="inlineStr">
        <is>
          <t>linkedin</t>
        </is>
      </c>
      <c r="E103">
        <f>HYPERLINK("https://www.linkedin.com/jobs/view/4336675173", "https://www.linkedin.com/jobs/view/4336675173")</f>
        <v/>
      </c>
      <c r="F103" t="inlineStr"/>
      <c r="G103" t="inlineStr">
        <is>
          <t>San Francisco, CA</t>
        </is>
      </c>
      <c r="H103" t="inlineStr"/>
      <c r="I103"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**What You’ll Do**
* Be the technical lead for the forecasting team. Own the strategy and implementation of forecasting models of key company metrics (e.g., monthly active users), delivering accurate, interpretable forecasts at scale.
* Lead the full modeling lifecycle end to end: problem framing, feature engineering, model development and prototyping, experimentation and backtesting, deployment, monitoring/drift detection, and explainability.
* Set the forecasting technical vision. Define model architectures and standards, and partner with Engineering to shape the forecasting platform for efficient training/inference today and the scalability needed for the next generation of models.
* Translate forecasts into decisions. Present outputs, scenario analyses, and recommendation frameworks to senior leadership with clarity and brevity. This is a high‑visibility role with regular VP\-level exposure.
* Drive broader time‑series impact beyond point forecasts—e.g., anomaly detection, automated root‑cause analysis, campaign/channel attribution, and early‑warning signals for business health.
* Embed forecasting into the business. Partner with BizOps/Finance and product teams to integrate forecasts and insights into operational rhythms, executive decision\-making, and strategic planning.
* Lead and mentor. Guide the work of at least two data scientists, raising the bar on technical quality, execution, and impact through candid, continuous feedback and coaching.
**What We’re Looking For**
* 8\+ years of combined post\-graduate academic and industry experience building and shipping production time‑series/forecasting models with web‑scale data.
* A track record of delivering adjustable, well‑calibrated, and explainable forecasting systems that informing decision\-making.
* Strong background in time‑series modeling and applied statistics/econometrics; advanced degree (MS or PhD) preferred.
* Expertise in at least one scripting language (ideally Python).
* Strong SQL skills (Hive/Presto/Spark SQL) and experience building reliable data pipelines/workflows (e.g., Airflow).
* Business acumen and ownership mindset—able to simplify complex problems, connect model outputs to business levers, and prioritize for impact.
* Excellent communication skills—able to distill complex analyses and uncertainty into concise narratives for executive audiences.
* Proven technical leadership—success leading critical projects and materially influencing the scope and output of other contributors.
**Relocation Statement:**
* This position is not eligible for relocation assistance. Visit our PinFlex page to learn more about our working model.
**In\-Office Requirement Statement**
* We let the type of work you do guide the collaboration style. That means we're not always working in an office, but we continue to gather for key moments of collaboration and connection.
* This role will need to be in the office for in\-person collaboration 1\-2 times/quarter and therefore can be situated anywhere in the country.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$164,695—$339,078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104">
      <c r="A104" t="inlineStr">
        <is>
          <t>li-4363271505</t>
        </is>
      </c>
      <c r="B104" t="inlineStr">
        <is>
          <t>Associate Data Scientist 2026</t>
        </is>
      </c>
      <c r="C104" t="inlineStr">
        <is>
          <t>IBM</t>
        </is>
      </c>
      <c r="D104" t="inlineStr">
        <is>
          <t>linkedin</t>
        </is>
      </c>
      <c r="E104">
        <f>HYPERLINK("https://www.linkedin.com/jobs/view/4363271505", "https://www.linkedin.com/jobs/view/4363271505")</f>
        <v/>
      </c>
      <c r="F104" t="inlineStr"/>
      <c r="G104" t="inlineStr">
        <is>
          <t>Chicago, IL</t>
        </is>
      </c>
      <c r="H104" t="inlineStr"/>
      <c r="I104" t="inlineStr">
        <is>
          <t>**Introduction**
 In this role, you will join IBM Consulting via our world\-class Associates Program for university hires. As an Associate Data Scientist at IBM Consulting, you will have the opportunity to work with a diverse range of clients worldwide. Our clients' technical and business needs are constantly evolving. We're hiring inspired, talented individuals who believe no problem is too big to solve.
 We focus on your professional development through ongoing learning, mentorship, development of technical skills, and continuous personal growth, all grounded in a culture of coaching and career advancement. If you see yourself as someone who never stops learning and who wants to unleash your potential, the IBM Consulting Associates Program is for you.
 A career in IBM Consulting is rooted in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
 Curiosity and a constant quest for knowledge serve as the foundation for success in IBM Consulting. In your role, you'll be encouraged to challenge the norm, investigate ideas outside of your role, and come up with creative solutions that result in ground\-breaking impact for a wide network of clients. Our culture of evolution and empathy centers on long\-term career growth and development opportunities in an environment that embraces your unique skills and experience.
**Your Role And Responsibilities**
 As an Associate Data Scientist at IBM, you will work to solve business problems using leading\-edge and open\-source tools such as Python, R, and TensorFlow, combined with IBM tools and our AI application suites. You will prepare, analyze, and understand data to deliver insight, predict emerging trends, and provide recommendations to stakeholders. In your role, you may be responsible for:
* Implementing and validating predictive and prescriptive models, creating and maintaining statistical models with a focus on big data and incorporating machine learning techniques in your projects
* Writing programs to cleanse and integrate data in an efficient and reusable manner
* Working in an Agile, collaborative environment, partnering with other data scientists, engineers, consultants, and database administrators of all backgrounds and disciplines to bring analytical rigor and statistical methods to the challenges of predicting behaviors
* Communicating with internal and external clients to understand and define business needs and appropriate modeling techniques to provide analytical solutions.
* Evaluating modeling results and communicating the results to technical and non\-technical audiences.
 These positions are anticipated to start in 2026\. We have positions open in these locations:
* Atlanta, GA
* Austin, TX
* Chicago, IL
* Houston, TX
* New York, NY
**Preferred Education**
 Bachelor's Degree
**Required Technical And Professional Expertise**
* Strong fundamentals in Mathematics and Computer Science (algorithms)
* You're proficient in least one of the statistical programming languages, such as R, Python, Scala, SAS, SPSS, or Matlab
* You have a basic understanding of or experience with predictive/prescriptive modeling skills
* You have strong technical and analytical abilities, a knack for driving impact and growth, and some experience with programming/scripting in a language such as Java or Python
* You're great at solving problems by looking at things differently, debugging, troubleshooting, and designing and implementing solutions to complex technical issues
* Willingness to travel up to 100%
**Preferred Technical And Professional Experience**
* You thrive on teamwork and have excellent verbal and written communication skills.
* You have a basic understanding of Cloud (AWS, Azure, etc.)
* Familiarity with constructing usable data sets from multiple structured and unstructured data sources</t>
        </is>
      </c>
    </row>
    <row r="105">
      <c r="A105" t="inlineStr">
        <is>
          <t>li-4363194545</t>
        </is>
      </c>
      <c r="B105" t="inlineStr">
        <is>
          <t>Sr Data Scientist, Analytics- Hybrid</t>
        </is>
      </c>
      <c r="C105" t="inlineStr">
        <is>
          <t>Vivint</t>
        </is>
      </c>
      <c r="D105" t="inlineStr">
        <is>
          <t>linkedin</t>
        </is>
      </c>
      <c r="E105">
        <f>HYPERLINK("https://www.linkedin.com/jobs/view/4363194545", "https://www.linkedin.com/jobs/view/4363194545")</f>
        <v/>
      </c>
      <c r="F105">
        <f>HYPERLINK("https://careers.nrgenergy.com/SMARTHOMES/job/Sr-Data-Scientist%2C-Analytics-Hybrid-UT-84043/1364033700/?utm_source=LINKEDIN&amp;utm_medium=referrer&amp;urlHash=322w", "https://careers.nrgenergy.com/SMARTHOMES/job/Sr-Data-Scientist%2C-Analytics-Hybrid-UT-84043/1364033700/?utm_source=LINKEDIN&amp;utm_medium=referrer&amp;urlHash=322w")</f>
        <v/>
      </c>
      <c r="G105" t="inlineStr">
        <is>
          <t>Lehi, UT</t>
        </is>
      </c>
      <c r="H105" t="inlineStr"/>
      <c r="I105" t="inlineStr">
        <is>
          <t>Welcome to the intersection of energy and home services. At NRG, we’re driven by our passion to create a smarter, cleaner and more connected future.
 Vivint Smart Home, an NRG owned company, is a leading smart home company in the United States, dedicated to redefining the home experience with intelligent products and services. We find purpose in proactively protecting and keeping our customers connected to home, no matter where they are. Join the Smart Home team to create smarter, safer and more sustainable homes.
**About This Role**
 We are seeking a senior data scientist to own mobile app performance metrics and unlock insights that drive engagement, retention and customer lifetime value. You will analyze how app reliability influences user behavior, measure engagement across features and product tiers and inform product and marketing decisions with rigorous data analysis.
**Key Responsibilities**
* Track and analyze mobile app performance metrics such as load times, crash rates and error rates; identify drivers of poor performance and work with engineering teams to improve reliability.
* Build models and analyses to understand how app performance influences user engagement, retention, upsells, upgrades and customer lifetime value across Home Protect Pro, Home Protect and Home Essentials.
* Design and maintain dashboards and reports that monitor engagement metrics (daily, weekly and monthly active users, sessions per day, stickiness) and feature usage across products.
* Perform cohort analyses, experiments and causal inference to quantify correlations between engagement and retention; recommend product improvements to increase customer value.
* Collaborate with product managers, mobile developers, marketing and finance to prioritize features, shape roadmaps and align analytics with business goals.
* Communicate insights effectively to technical and nontechnical stakeholders through visualizations, presentations and written reports.
**Required Qualifications**
* Advanced degree in Data Science, Statistics, Computer Science or a related field and at least five years of experience in product or mobile analytics.
* Proven expertise in statistical modeling, hypothesis testing, causal inference and cohort analysis.
* Strong proficiency in SQL and Python and experience with analytics platforms such as BigQuery, Databricks or similar; familiarity with mobile analytics tools (for example Firebase, Amplitude or Mixpanel).
* Ability to design and interpret A/B tests and experiments.
* Excellent communication skills and the ability to explain complex analyses to diverse audiences.
**Preferred Qualifications**
* Experience analyzing mobile app performance metrics and telemetry.
* Knowledge of retention modeling, customer lifetime value calculation and customer segmentation.
* Experience working in subscription or SaaS businesses with multiple product tiers.
* Familiarity with data visualization tools such as Tableau or Looker and scripting languages for automation.
**Hybrid role that requires 4 days in the office (Mon\-Thurs)**
 If you reside in or intend to work remotely from California, Colorado, Connecticut, Hawaii, Illinois, Minnesota, Nevada, New York, Ohio, Washington D.C., Washington State or another state or locality with a pay transparency law, you may contact Careers@nrg.com for compensation information related to this position and other information as required by applicable law. Please include the job title in your request.
 NRG Energy is committed to a drug and alcohol\-free workplace. To the extent permitted by law and any applicable collective bargaining agreement, employees are subject to periodic random drug testing, and post\-accident and reasonable suspicion drug and alcohol testing. EOE AA M/F/Vet/Disability. Level, Title and/or Salary may be adjusted based on the applicant's experience or skills.
 Official description on file with Talent.</t>
        </is>
      </c>
    </row>
    <row r="106">
      <c r="A106" t="inlineStr">
        <is>
          <t>li-4363213574</t>
        </is>
      </c>
      <c r="B106" t="inlineStr">
        <is>
          <t>Associate Data Scientist 2026</t>
        </is>
      </c>
      <c r="C106" t="inlineStr">
        <is>
          <t>IBM</t>
        </is>
      </c>
      <c r="D106" t="inlineStr">
        <is>
          <t>linkedin</t>
        </is>
      </c>
      <c r="E106">
        <f>HYPERLINK("https://www.linkedin.com/jobs/view/4363213574", "https://www.linkedin.com/jobs/view/4363213574")</f>
        <v/>
      </c>
      <c r="F106" t="inlineStr"/>
      <c r="G106" t="inlineStr">
        <is>
          <t>Austin, TX</t>
        </is>
      </c>
      <c r="H106" t="inlineStr"/>
      <c r="I106" t="inlineStr">
        <is>
          <t>**Introduction**
 In this role, you will join IBM Consulting via our world\-class Associates Program for university hires. As an Associate Data Scientist at IBM Consulting, you will have the opportunity to work with a diverse range of clients worldwide. Our clients' technical and business needs are constantly evolving. We're hiring inspired, talented individuals who believe no problem is too big to solve.
 We focus on your professional development through ongoing learning, mentorship, development of technical skills, and continuous personal growth, all grounded in a culture of coaching and career advancement. If you see yourself as someone who never stops learning and who wants to unleash your potential, the IBM Consulting Associates Program is for you.
 A career in IBM Consulting is rooted in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
 Curiosity and a constant quest for knowledge serve as the foundation for success in IBM Consulting. In your role, you'll be encouraged to challenge the norm, investigate ideas outside of your role, and come up with creative solutions that result in ground\-breaking impact for a wide network of clients. Our culture of evolution and empathy centers on long\-term career growth and development opportunities in an environment that embraces your unique skills and experience.
**Your Role And Responsibilities**
 As an Associate Data Scientist at IBM, you will work to solve business problems using leading\-edge and open\-source tools such as Python, R, and TensorFlow, combined with IBM tools and our AI application suites. You will prepare, analyze, and understand data to deliver insight, predict emerging trends, and provide recommendations to stakeholders. In your role, you may be responsible for:
* Implementing and validating predictive and prescriptive models, creating and maintaining statistical models with a focus on big data and incorporating machine learning techniques in your projects
* Writing programs to cleanse and integrate data in an efficient and reusable manner
* Working in an Agile, collaborative environment, partnering with other data scientists, engineers, consultants, and database administrators of all backgrounds and disciplines to bring analytical rigor and statistical methods to the challenges of predicting behaviors
* Communicating with internal and external clients to understand and define business needs and appropriate modeling techniques to provide analytical solutions.
* Evaluating modeling results and communicating the results to technical and non\-technical audiences.
 These positions are anticipated to start in 2026\. We have positions open in these locations:
* Atlanta, GA
* Austin, TX
* Chicago, IL
* Houston, TX
* New York, NY
**Preferred Education**
 Bachelor's Degree
**Required Technical And Professional Expertise**
* Strong fundamentals in Mathematics and Computer Science (algorithms)
* You're proficient in least one of the statistical programming languages, such as R, Python, Scala, SAS, SPSS, or Matlab
* You have a basic understanding of or experience with predictive/prescriptive modeling skills
* You have strong technical and analytical abilities, a knack for driving impact and growth, and some experience with programming/scripting in a language such as Java or Python
* You're great at solving problems by looking at things differently, debugging, troubleshooting, and designing and implementing solutions to complex technical issues
* Willingness to travel up to 100%
**Preferred Technical And Professional Experience**
* You thrive on teamwork and have excellent verbal and written communication skills.
* You have a basic understanding of Cloud (AWS, Azure, etc.)
* Familiarity with constructing usable data sets from multiple structured and unstructured data sources</t>
        </is>
      </c>
    </row>
    <row r="107">
      <c r="A107" t="inlineStr">
        <is>
          <t>li-4371492439</t>
        </is>
      </c>
      <c r="B107" t="inlineStr">
        <is>
          <t>Data Scientist Senior</t>
        </is>
      </c>
      <c r="C107" t="inlineStr">
        <is>
          <t>FIS</t>
        </is>
      </c>
      <c r="D107" t="inlineStr">
        <is>
          <t>linkedin</t>
        </is>
      </c>
      <c r="E107">
        <f>HYPERLINK("https://www.linkedin.com/jobs/view/4371492439", "https://www.linkedin.com/jobs/view/4371492439")</f>
        <v/>
      </c>
      <c r="F107" t="inlineStr"/>
      <c r="G107" t="inlineStr">
        <is>
          <t>Jacksonville, FL</t>
        </is>
      </c>
      <c r="H107" t="inlineStr"/>
      <c r="I107" t="inlineStr">
        <is>
          <t>**Position Type**
 Full time
**Type Of Hire**
 Experienced (relevant combo of work and education)
**Job Description**
**About FIS**
 Are you curious, motivated, and forward\-thinking? At FIS you’ll have the opportunity to work on some of the most challenging and relevant issues in financial services and technology.
 Our talented people empower us, and we believe in being part of a team that is open, collaborative, entrepreneurial, passionate and above all fun.
**About The Team**
 Our Data Science team is a collaborative group of analytical problem\-solvers who partner closely across products, business stakeholders, and technical functions to deliver data\-driven insights and innovative solutions.
 We work across a diverse suite of products and business intelligence initiatives, teaming with cross\-functional partners in product, engineering, decision sciences, and client\-facing groups to ensure our work aligns with business goals and drives meaningful outcomes.
 Leveraging large and complex datasets, we apply advanced analytics, predictive modeling, machine learning, and AI to translate business challenges into scalable, data\-science solutions that support strategic decision\-making and deliver measurable value for both internal stakeholders and clients.
**What You Will Be Doing**
 Assess, review, analyze, and interpret large, complex datasets to uncover product\-level insights, quantify value, validate performance, and translate findings into actionable recommendations that help clients understand how to best leverage the data.
 Design, develop, and refine predictive models and algorithms that enhance existing products and power new data\-driven capabilities, ensuring scalability, reliability, and alignment with product strategy.
 Communicate analytical results, model decisions, and advanced techniques to internal stakeholders (product, engineering, leadership) and external clients, translating technical concepts into clear, actionable narratives that support product adoption and business outcomes.
 Lead, mentor, and coach team members, shaping modeling best practices, elevating technical quality, and guiding less\-experienced staff through complex analytical and product\-development work.
 Influence product roadmap and strategy by connecting analytical evidence to product opportunities, championing data\-driven decisions, and partnering with client\-facing teams to understand needs and shape future capabilities.
 Work hands\-on across multiple systems and platforms to lead analytical workflows, uphold rigorous data\-quality standards, and apply strong statistical methodologies that ensure reliable, scalable product insights. (Snowflake, Unix/Linux, AWS, SQL, Python/R, Tableau, Power BI, \&amp; SAS)
**What You Bring**
* 5\+ years of hands\-on data science experience
* Strong command of modern data science tools and languages. (SQL, Python/R, Snowflake, AWS, Tableau, \&amp; Power BI)
* Strong track record of delivering analytical and modeling solutions that support product strategy and client outcomes
* Deep proficiency in data mining, statistics, predictive modeling, and programming
* Ability to translate complex technical work into scalable, business\-aligned solutions
* Ability to interpret large complex datasets and transform them into actionable insights
* Ability to explain advanced analytical methods and results to technical and non\-technical audiences
* Leadership mindset with experience mentoring, influencing cross\-functional partners, and contributing to high\-quality data\-driven product development
**Bonus if you have**
* Experience with SAS for teams or products that integrate legacy analytical workflows or require cross\-platform model support
**What We Offer You**
* A multifaceted job with a high degree of responsibility and a broad spectrum of opportunities
* A competitive salary and benefits
* A variety of career development tools, resources and opportunities
* The chance to work on some of the most challenging, relevant issues in financial services \&amp; technology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t>
        </is>
      </c>
    </row>
    <row r="108">
      <c r="A108" t="inlineStr">
        <is>
          <t>li-4371197157</t>
        </is>
      </c>
      <c r="B108" t="inlineStr">
        <is>
          <t>Data Scientist SQL, PySpark &amp; Basic ML Modeling</t>
        </is>
      </c>
      <c r="C108" t="inlineStr">
        <is>
          <t>Jobs via Dice</t>
        </is>
      </c>
      <c r="D108" t="inlineStr">
        <is>
          <t>linkedin</t>
        </is>
      </c>
      <c r="E108">
        <f>HYPERLINK("https://www.linkedin.com/jobs/view/4371197157", "https://www.linkedin.com/jobs/view/4371197157")</f>
        <v/>
      </c>
      <c r="F108">
        <f>HYPERLINK("https://click.appcast.io/t/9gY0uUlSBnhISGm22ikMFOutmTg5NQW_Sn_r1ZxU-sw=&amp;urlHash=P0DY", "https://click.appcast.io/t/9gY0uUlSBnhISGm22ikMFOutmTg5NQW_Sn_r1ZxU-sw=&amp;urlHash=P0DY")</f>
        <v/>
      </c>
      <c r="G108" t="inlineStr">
        <is>
          <t>San Jose, CA</t>
        </is>
      </c>
      <c r="H108" t="inlineStr"/>
      <c r="I108" t="inlineStr">
        <is>
          <t>Dice is the leading career destination for tech experts at every stage of their careers. Our client, Intellectt INC, is seeking the following. Apply via Dice today!
**Job Description:**
 We are seeking a skilled
 **Data Scientist** 
 to analyze complex data sets and provide actionable insights. The ideal candidate is proficient in SQL, has knowledge of PySpark, and can perform basic modeling such as Regression, Decision Trees, and Clustering. This is a business\-facing role that requires collaboration with project teams and stakeholders.
**Responsibilities:**
* Collect, process, and analyze large datasets to identify trends, patterns, and insights.
* Develop and implement machine learning models and algorithms to solve business problems.
* Create data visualizations and dashboards to communicate findings to stakeholders.
* Collaborate with teams to understand data requirements and deliver analytical solutions.
* Ensure data accuracy and integrity through validation and quality checks.
**Required Skills:**
* Advanced SQL (6 9 years experience)
* Knowledge of PySpark is a plus
* Basic modeling: Regression, Decision Tree, Clustering
* Strong business understanding and ability to communicate insights to stakeholders
**Additional Skills:**
* Data Analytics advanced statistical analysis \&amp; modeling
* Business\-facing, collaborative approach
**Work Requirements:**
* Onsite presence at Cupertino office minimum 3 days per week (Tuesday, Wednesday, Thursday)
**Experience Level:** 
 Mid to Senior (6 9 years in relevant analytics and SQL experience)</t>
        </is>
      </c>
    </row>
    <row r="109">
      <c r="A109" t="inlineStr">
        <is>
          <t>li-4365045966</t>
        </is>
      </c>
      <c r="B109" t="inlineStr">
        <is>
          <t>Senior AI Applied Scientist</t>
        </is>
      </c>
      <c r="C109" t="inlineStr">
        <is>
          <t>Microsoft</t>
        </is>
      </c>
      <c r="D109" t="inlineStr">
        <is>
          <t>linkedin</t>
        </is>
      </c>
      <c r="E109">
        <f>HYPERLINK("https://www.linkedin.com/jobs/view/4365045966", "https://www.linkedin.com/jobs/view/4365045966")</f>
        <v/>
      </c>
      <c r="F109">
        <f>HYPERLINK("https://apply.careers.microsoft.com/careers/job/1970393556621453?utm_source=linkedin&amp;domain=microsoft.com&amp;src=LinkedIn&amp;urlHash=8OwP", "https://apply.careers.microsoft.com/careers/job/1970393556621453?utm_source=linkedin&amp;domain=microsoft.com&amp;src=LinkedIn&amp;urlHash=8OwP")</f>
        <v/>
      </c>
      <c r="G109" t="inlineStr">
        <is>
          <t>Redmond, WA</t>
        </is>
      </c>
      <c r="H109" t="inlineStr"/>
      <c r="I109" t="inlineStr">
        <is>
          <t>**Overview**
 As a Senior AI Applied Scientist for The Customer Service Applications Team, you will play a pivotal role in advancing Microsoft's mission to empower every individual and organization on the planet to achieve more. You will contribute to the development and integration of cutting\-edge AI technologies into Microsoft products and services, ensuring they are inclusive, ethical, and impactful. You will collaborate across product, research and engineering teams to bring innovative solutions to life, applying your expertise in machine learning, data science, and AI to solve complex problems. Your work will directly influence product direction and customer experiences. AI Mission and Impact: We are in an era of unprecedented innovation and openness. As Microsoft continues to lead in AI, we are seeking individuals to help tackle some of the most exciting and meaningful challenges in the field. Our vision is to build a truly open architecture platform that enables users to summon tailored AI agents to drive real\-world outcomes.
 We are looking for a Senior AI Applied Scientist to join our team! This role will combine AI knowledge with applied science expertise, and demonstrate a growth mindset and customer empathy. Join us in shaping the future of AI agents.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Bringing the State of the Art to Products.
* Build collaborative relationships with product and business groups to deliver AI\-driven impact.
* Research and implement state\-of\-the\-art using foundation models, prompt engineering, RAG, graphs, multi\-agent architectures, as well as classical machine learning techniques.
* Fine\-tune foundation models using domain\-specific datasets.
* Evaluate model behavior on relevance, bias, hallucination, and response quality via offline evaluations, shadow experiments, online experiments, and ROI analysis.
* Build rapid AI solution prototypes, contribute to production deployment of these solutions, debug production code, support MLOps/AIOps.
* Contribute to papers, patents, and conference presentations.
* Translate research into production\-ready solutions and measure their impact through A/B testing and telemetry that address customer needs.
* Ability to use data to identify gaps in AI quality, uncover insights and implement PoCs to show proof of concepts.
* Leveraging Research in real\-world problems
* Demonstrate deep expertise in AI subfields (e.g., deep learning, Generative AI, NLP, muti\-modal models) to translate cutting\-edge research into practical, real\-world solutions that drive product innovation and business impact.
* Share insights on industry trends and applied technologies with engineering and product teams.
* Formulate strategic plans that integrate state\-of\-the\-art research to meet business goals.
* Documentation \- Maintain clear documentation of experiments, results, and methodologies.
* Share findings through internal forums, newsletters, and demos to promote innovation and knowledge sharing
* Ethics, Privacy and Security
* Apply a deep understanding of fairness and bias in AI by proactively identifying and mitigating ethical and security risks—including XPIA (Cross\-Prompt Injection Attack) unfairness, bias, and privacy concerns—to ensure equitable and responsible outcomes.
* Ensure responsible AI practices throughout the development lifecycle, from data collection to deployment and monitoring.
* Contribute to internal ethics and privacy policies and ensure responsible AI practice throughout AI development cycle from data collection to model development, deployment, and monitoring.
* Specialty Responsibilities
+ Design, develop, and integrate generative AI solutions using foundation models and more.
+ Deep understanding of small and large language models architecture, Deep learning, fine tuning techniques, multi\-agent architectures, classical ML, and optimization techniques to adapt out\-of\-the\-box solutions to particular business problems
+ Prepare and analyze data for machine learning, identifying optimal features and addressing data gaps.
+ Develop, train, and evaluate machine learning models and algorithms to solve complex business problems, using modern frameworks and state\-of\-the\-art models, open\-source libraries, statistical tools, and rigorous metrics
+ Address scalability and performance issues using large\-scale computing frameworks.
+ Monitor model behavior, guide product monitoring and alerting, and adapt to changes in data streams.
+ Embody our culture and values.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1\+ years of experience with generative AI OR LLM/ML algorithms.
* 1\+ research and implement state\-of\-the\-art using foundation models, prompt engineering, RAG, graphs, multi\-agent architectures, as well as classical machine learning techniques.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with MLOps Workflows, including CI/CD, monitoring, and retraining pipelines.
* Familiarity with modern LLMOps frameworks (e.g., LangChain, PromptFlow).
* 3\+ years of experience publishing in peer\-reviewed venues or filing patents.
* Experience presenting at conferences or industry events.
* 3\+ years of experience conducting research in academic or industry settings.
* 1\+ year of experience developing and deploying live production systems.
* 1\+ years of experience working with Generative AI models and ML stacks.
* Experience across the product lifecycle from ideation to shipping.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\#BIC \#BICJOBS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10">
      <c r="A110" t="inlineStr">
        <is>
          <t>li-4371435845</t>
        </is>
      </c>
      <c r="B110" t="inlineStr">
        <is>
          <t>Data Scientist II for Published Clinical Evidence &amp; Competitive Intelligence Insights</t>
        </is>
      </c>
      <c r="C110" t="inlineStr">
        <is>
          <t>BioSpace</t>
        </is>
      </c>
      <c r="D110" t="inlineStr">
        <is>
          <t>linkedin</t>
        </is>
      </c>
      <c r="E110">
        <f>HYPERLINK("https://www.linkedin.com/jobs/view/4371435845", "https://www.linkedin.com/jobs/view/4371435845")</f>
        <v/>
      </c>
      <c r="F110" t="inlineStr"/>
      <c r="G110" t="inlineStr">
        <is>
          <t>North Chicago, IL</t>
        </is>
      </c>
      <c r="H110" t="inlineStr"/>
      <c r="I110"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immunology, oncology, neuroscience, and eye care and products and services in our Allergan Aesthetics portfolio. For more information about AbbVie, please visit us atwww.abbvie.com. Follow @abbvie onX,Facebook,Instagram,YouTube,LinkedInandTik Tok.
**Job Description**
 AbbViesglobalInformation Research (IR) group has a mission to unlock information that makes cures possible. Within IR, the Enterprise Knowledge Accelerator (EKA) team is the trusted knowledge partner for clients in R\&amp;D and the Corporate Business \&amp; Strategy Office (CBSO). EKA drives innovation and enhances knowledge\-sharing across the value chain, for better and faster decisions thatimpactadvancement in our pipeline. The team is a global organization, with presences at the Lake County, Illinois headquarters and Boston, Massachusetts areas (US), as well as the Ludwigshafen site (Germany). Leveragingcutting\-edgetechnologies and scientificexpertise, we deliver industry\-leading capabilities to harness insights from published content for high\-impact decision\-making.Our teampossessesthe scientific and technicalexpertisetoutilizeand provide guidance on a wide range of knowledge sources, ensuring high\-quality answers for our clients.
 The Data Scientist will join the Solutions for Published Insights and Client Enablement (SPICE) team, supporting AbbVies R\&amp;D, CBSO and other business functions enterprise wide. SPICE provides business partnership, resource consultancy, ad\-hoc research support for business\-critical questions, knowledge and insights mining and analysis, as well as designing and building innovative self\-service solutions for insights generation from published resources and internal knowledge. This includes literature,patent,conference, news, clinicaltrial, and competitive intelligence data such as competitor pipelines.
 The Data Scientist should have sufficiently strong background in both science and technology to fulfil this role anddemonstratehigh motivation to expand their knowledge in a pharma context and as SME for key client groups. The role is expected to collaborate effectively within SPICE, EKA, and the larger IR organization, driving impactful results for all of AbbVie. Responsibilities include developing novel AI\-based capabilities for extracting, harmonizing, andmonitoringpublished clinical trial data, real\-world evidence, and other competitive insights. They will closely collaborate with internal expert teams to define requirements and integrate manually curated data and insights, thereby supporting pipeline strategy, corporate strategy, and commercial teams with essential intelligence for advancing AbbVies pipeline.
**Responsibilities**
* Leverage scientific domain and technical knowledge to support clients across AbbVie with the most relevant information and published insights for decision\-making. Key focus: Competitive Intelligence, Corporate and Pipeline Strategy groups and data.
* Build and design new methods and automated workflows to systematicallyidentify, extract, normalize and database key insights and evidence from publications as well as other published sources using GenAI and otherstate\-of\-the\-arttechnology and data science solutions
* Work with key stakeholders and expert teams toidentifynovel sources for manually curated competitive intelligence and clinical trial data and integrate in existing workflows to democratize access across AbbVie
* Support efforts for streamlining AbbVies systematic literature review process and knowledge extraction from (full\-text) publication resources
* Provide unique scientific insights andexpertiseby designing and developing solutions for finding, extracting, curating, and visualizing knowledge from published and internal data
* Monitor and be attuned tonewtechnologytrends relevant for knowledge analysis and insights discovery
* Achievegreat results,while overwhelminglydemonstratingkey AbbVie values and behaviors.
**Qualifications**
 Required:
* Bachelors degree (with 5 years of experience), Masters (4years), or Ph.D. (0\-2 years) in life sciences, medicine, pharmacy, bioinformatics, biomedical/clinical data science, or related field
* Solid scientific domain knowledge in late\-stage pharmaceutical developmentMedical Affairs, Clinical Development, Pharmacovigilance, HEOR, Epidemiologyproven by education or work experience
* Solid programming and informatics/data science/computer science background. Proficiency in Python.
* Experience analyzing publications, especially scientific literature
* Proven ability to translate complex scientific or clinical questions into actionable solutions and insights
* Initial experience with data consolidation, standardization, optimization, or exploratory data analysis
* Experience with relational databases and SQL (e.g., Oracle, Apache Hadoop)
* Strong analytical skills to process, analyze, visualize, and present results
* Systematic problem\-solving mindset, reliability, superior attention to detail
* Good communication skills for interdisciplinary teams and various audiences
* Good organizational skills: balance taking direction (from sponsors, partners, clients) with initiative for multiple projects
* Comfortable working in a dynamic, collaborative, fast\-paced environment with constantly shifting priorities
* Innate scientific curiosity, technical creativity, and innovative thinking. Motivated to break new ground in the field of information analysis and insights generation.
* Fluency in English
**Beneficial**
* Pharmaceutical industry experience.
* Experience with front\-end technologies (HTML, JavaScript, CSS, React)
* Basic working experience with Linux/Unix\-based OS and Docker
* Experience with GenAI models for knowledge extraction, their pitfalls, prompting and embedding them within Python workflows
* Basic understanding of agents/agentic workflows (MCP, A2A)
* Experience with drug pipeline or trial competitive intelligence databases (e.g., Clarivates Cortellis, Citelines Trialtrove, Pharmaprojects)
* Experience with data pipeline frameworks, text mining, NLP, semantic enrichment, ontologies, or data mining
* Knowledge of technologies for retrieval, analysis, and visualization (e.g., REST APIs, XML, JSON, Python libraries like Pydantic)
 Additional Information
 Applicable only to applicants applying to a position in any location with pay disclosure requirements under state orlocal law:
* The compensation range described below is the range of possible base pay compensation that the Companybelieves ingood faith it will pay for this role at the timeof this posting based on the job grade for this position.Individualcompensation paid within this range will depend on many factors including geographic location, andwemayultimatelypaymore or less than the posted range. This range may bemodifiedin thefuture.
* We offer a comprehensive package of benefits including paid time off (vacation, holidays, sick),medical/dental/visioninsurance and 401(k) to eligibleemployees.
* This job is eligible toparticipatein our short\-term incentiveprograms.
 Note: No amount of payis considered to bewages or compensation until such amount is earned, vested, anddeterminable.The amount and availability of any bonus,commission, incentive, benefits, or any other form ofcompensation and benefitsthat are allocable to a particular employeeremainsin the Company's sole andabsolutediscretion unless and until paid andmay bemodifiedat the Companys sole and absolute discretion, consistent withapplicable law.
 AbbVie is an equal opportunity employer and is committed to operating with integrity, driving innovation, transforming lives and serving our community. Equal Opportunity Employer/Veterans/Disabled.
 US \&amp; Puerto Rico only \- to learn more, visithttps://www.abbvie.com/join\-us/equal\-employment\-opportunity\-employer.html
 US \&amp; Puerto Rico applicants seeking a reasonable accommodation, click here to learn more:
 https://www.abbvie.com/join\-us/reasonable\-accommodations.html</t>
        </is>
      </c>
    </row>
    <row r="111">
      <c r="A111" t="inlineStr">
        <is>
          <t>li-4371477958</t>
        </is>
      </c>
      <c r="B111" t="inlineStr">
        <is>
          <t>Reporting Developer III - Data Scientist</t>
        </is>
      </c>
      <c r="C111" t="inlineStr">
        <is>
          <t>Gulfstream Aerospace</t>
        </is>
      </c>
      <c r="D111" t="inlineStr">
        <is>
          <t>linkedin</t>
        </is>
      </c>
      <c r="E111">
        <f>HYPERLINK("https://www.linkedin.com/jobs/view/4371477958", "https://www.linkedin.com/jobs/view/4371477958")</f>
        <v/>
      </c>
      <c r="F111" t="inlineStr"/>
      <c r="G111" t="inlineStr">
        <is>
          <t>Savannah, GA</t>
        </is>
      </c>
      <c r="H111" t="inlineStr"/>
      <c r="I111" t="inlineStr">
        <is>
          <t>**Reporting Developer III \- Data Scientist in GAC Savannah**
**General**
**Unique Skills:**
* Minimum 3 years experience in Data Science
* Programming: Python for ML and data engineering; strong modular coding practices, packaging, unit testing (pytest).
* Databricks (Azure) or Microsoft Fabric or AWS Sagemaker: Hands‑on experience with Lakehouse / Warehouse patterns, Spark DataFrames, MLflow for experiment tracking, model registry, and jobs/workflows.
* ML Tooling: Scikit‑learn, XGBoost/LightGBM, statsmodels; feature engineering at scale; model selection, cross‑validation, hyperparameter tuning; robust performance diagnostics (ROC/AUC, PR, F1, lift, residual/error analysis).
* Data Ops \&amp; MLOps: MLflow, model packaging, job orchestration, CI/CD for notebooks/repos.
 Machine Learning Expertise
* Classical ML focus (non‑GenAI): Time‑series forecasting (ARIMA/SARIMA/ETS/Prophet, gradient boosting for forecast blending), supervised learning (classification, regression), unsupervised learning (clustering, anomaly detection), survival/reliability analysis, and design‑of‑experiments (DOE).
* Feature engineering: Lag/lead features, calendar/maintenance cycles, treatment of missingness/outliers, and robust scaling for heteroscedastic industrial data. Synthetic data generation.
* Evaluation in production contexts: Cost‑sensitive metrics (false‑alarm vs miss costs), and explainability suitable for engineering review boards. Optimization of Type 1 vs. Type 2 errors.
**Manufacturing \&amp; Aerospace Domain (Preferred)**
* Industrial analytics: Experience with predictive maintenance, condition‑based monitoring, yield/throughput improvement, quality/defect analytics, SPC, first‑pass yield, and takt‑time bottleneck analysis in complex discrete manufacturing.
* Aerospace value chain: Practical familiarity with E2E flows: design → supply chain → assembly → test/flight → field operations \&amp; MRO; interpreting sensor/telemetry (AHTMS), maintenance logs, and part lifecycle histories.
* ERP/MES/PLM context: Working knowledge of SAP/ERP data constructs (orders, routings, WIP, inventory), MES event logs, and engineering change impacts on data semantics.
 Collaboration, Communication \&amp; Leadership
* Stakeholder engagement: Translate business problems into solvable ML formulations; quantify expected value; define acceptance criteria.
* Cross‑functional teaming: Close collaboration with Data Engineering (ETL, CDC, quality, security) and Citizen Data Scientists for enablement and review cycles.
* Documentation \&amp; training: Produce clear technical docs, model cards, and operational runbooks; coach citizen developers.
**Education And Experience Requirements**
 Bachelor's Degree in Information Technology, Computer Science, Engineering or relevant curriculum required or equivalent combination of education and experience sufficient to successfully perform the essential functions of the job. 6 years relevant business/technical experience to include three (3\) years specific reporting, data analytics, or related technical development/deployment experience. Master's Degree may be used to offset one (1\) year of experience; PhD may offset two (2\) years of experience.
 **Position Purpose** 
 :This is a data and analytics development role within the Gulfstream Business Technology organization for the Enterprise Reporting team. This role directly supports the suite of Gulfstream Enterprise Reporting applications. Responsible for developing requirements, solution development, testing, deployment, and support of enterprise reporting solutions.
**Job Description**
 Principle Duties and Responsibilities:Essential Functions:
* Engages stakeholders and technology users in identifying, analyzing, and documenting business requirements.
* Ensures applications processes are followed consistently and are in compliance with applicable policies, procedures, standards, etc.
* Performs normal administration tasks and system maintenance for reporting and data analytics applications and solutions.
* Documents, develops, tests, deploys, and supports reporting and data analytics development using a variety of technical tools in support of business requirements.
 Additional Functions:
* Conducts briefings and participates in technical meetings concerning specific projects or other activities. .
 Perform other duties as assigned.Other Requirements:
* Experience with Agile development methodology and working on an agile team preferred.
* Demonstrated understanding of software development lifecycle methodologies (SDLC).
* Experience in conducting testing including design and execution of test cases.
* Demonstrated capability to understand data structures and create effective visualizations and reports that drive business insight and value.
* Excellent presentation design and delivery skills.
* Ability to lead/facilitate cross\-functional teams and meetings.
 A credit history check from a national credit bureau will be conducted for all candidates for this position including new hires and current employees seeking promotion or transfer. This job requires one to be able to read, write, speak, and understand the English language.
**Additional Information**
 Requisition Number: 230960
 Category: Information Systems
 Percentage of Travel: Up to 25%
 Shift: First
 Employment Type: Full\-time
 Posting End Date: 02/25/2026
 Equal Opportunity Employer / Individuals with Disabilities / Protected Veterans
 Gulfstream does not provide work visa sponsorship for this position, unless the applicant is a currently sponsored Gulfstream employee.
 Copyright © 2025 Gulfstream Aerospace Corporation. All Rights Reserved.
 Gulfstream Aerospace Corporation, a wholly\-owned subsidiary of General Dynamics (NYSE: GD), designs, develops, manufactures, markets, services and supports the world's most technologically\-advanced business jet aircraft</t>
        </is>
      </c>
    </row>
    <row r="112">
      <c r="A112" t="inlineStr">
        <is>
          <t>li-4371184700</t>
        </is>
      </c>
      <c r="B112" t="inlineStr">
        <is>
          <t>Data Scientist (Python, AI/ML)</t>
        </is>
      </c>
      <c r="C112" t="inlineStr">
        <is>
          <t>Jobs via Dice</t>
        </is>
      </c>
      <c r="D112" t="inlineStr">
        <is>
          <t>linkedin</t>
        </is>
      </c>
      <c r="E112">
        <f>HYPERLINK("https://www.linkedin.com/jobs/view/4371184700", "https://www.linkedin.com/jobs/view/4371184700")</f>
        <v/>
      </c>
      <c r="F112" t="inlineStr"/>
      <c r="G112" t="inlineStr">
        <is>
          <t>Charlotte, NC</t>
        </is>
      </c>
      <c r="H112" t="inlineStr"/>
      <c r="I112" t="inlineStr">
        <is>
          <t>Dice is the leading career destination for tech experts at every stage of their careers. Our client, System Edge (USA) L.L.C., is seeking the following. Apply via Dice today!
**Data Scientist (Python, AI/ML)**
**Location** 
 – Charlotte NC
 Client : Wells Fargo
 Visa: ,EAD no H1B and OPT(Need Candidate On Our W2\)
**Interview Mode: In\-Person**
**Job Overview**
 We are looking for a highly capable
 **– Python \&amp; AI/ML** 
 with deep expertise in backend engineering, LLM\-based applications, RAG architectures, and AI agent frameworks.
 You will lead the design, development, and deployment of production\-grade AI systems built on Python, modern LLM tooling, retrieval engines, embeddings, and vector databases. This is a hands\-on leadership role focused on building scalable and intelligent AI products.
**Key Responsibilities**
* Lead the architecture and development of LLM\-driven applications, AI agents, and RAG\-based systems.
* Provide technical guidance, conduct code reviews, and mentor junior team members.
* Drive best practices in Python backend engineering, API development, and AI system design.
**Backend Engineering (Python)**
* Build and maintain backend services using FastAPI or Flask.
* Develop scalable API endpoints for AI applications, embeddings, and retrieval systems.
* Ensure backend code quality, modularity, performance, and maintainability.
**LLMs, RAG, and AI Agent Development**
* Build AI applications using: LangChain, LangGraph, Semantic Kernel, Haystack, LlamaIndex, AutoGen
* Develop autonomous or semi\-autonomous AI agents with tool calling and workflow graphs.
* Implement Retrieval\-Augmented Generation (RAG), embedding pipelines, chunking strategies, reranking, and grounding techniques.
* Work with OpenAI SDK and other LLM providers (Anthropic, Azure OpenAI, Cohere, etc.).
* Manage prompt engineering, prompt routing, safety guardrails, and evaluation metrics.
**Data \&amp; Vector Search Engineering**
* Build data pipelines for indexing, embeddings, and retrieval workflows.
* Work with SQL databases (PostgreSQL, MySQL, etc.) for metadata and application storage.
* Work with vector databases such as: Redis, Postgres with pgvector, Elasticsearch, Neo4j, or others.
* Implement and optimize search workflows using FAISS or similar similarity search libraries.
**MLOps, Deployment \&amp; Observability**
* Deploy AI services using Docker, container orchestration, and cloud environments.
* Implement monitoring for AI behavior, performance, error rates, and retrieval accuracy.
* Set up CI/CD pipelines for backend and AI components.
* Optimize inference cost, latency, and reliability.
**Cross\-Functional Collaboration**
* Collaborate with product, data engineering, and business teams to understand requirements.
* Translate business problems into scalable AI architectures and deliver practical solutions.
* Communicate technical decisions, trade\-offs, and progress to stakeholders.
**Required Qualifications**
* Bachelor’s/Master’s degree in Computer Science, AI/ML, Data Science, or related fields.
* 10\+ years of experience in Python backend development.
* Strong proficiency in FastAPI or Flask.
* Strong working knowledge of SQL databases (Postgres, MySQL, etc.).
 Hands\-on expertise with
 **vector databases** 
 :
* Practical experience with FAISS for similarity search.
* Hands\-on experience with modern LLM frameworks:
**LangChain, LangGraph, Semantic Kernel, Haystack, LlamaIndex, AutoGen** 
 .
* Strong understanding of:
* Embeddings \&amp; vector search
* RAG pipelines
* Retrieval optimization
* Chunking strategies
* Document loaders \&amp; indexing
* Experience building AI apps using OpenAI SDK or similar.
* Experience deploying APIs/services using Docker and cloud environments.
* Leadership experience: guiding teams, conducting reviews, driving architecture decisions</t>
        </is>
      </c>
    </row>
    <row r="113">
      <c r="A113" t="inlineStr">
        <is>
          <t>li-4371300035</t>
        </is>
      </c>
      <c r="B113" t="inlineStr">
        <is>
          <t>Data Scientist</t>
        </is>
      </c>
      <c r="C113" t="inlineStr">
        <is>
          <t>Jobs via Dice</t>
        </is>
      </c>
      <c r="D113" t="inlineStr">
        <is>
          <t>linkedin</t>
        </is>
      </c>
      <c r="E113">
        <f>HYPERLINK("https://www.linkedin.com/jobs/view/4371300035", "https://www.linkedin.com/jobs/view/4371300035")</f>
        <v/>
      </c>
      <c r="F113" t="inlineStr"/>
      <c r="G113" t="inlineStr">
        <is>
          <t>Raleigh, NC</t>
        </is>
      </c>
      <c r="H113" t="inlineStr"/>
      <c r="I113" t="inlineStr">
        <is>
          <t>Dice is the leading career destination for tech experts at every stage of their careers. Our client, RiseIT Solutions, is seeking the following. Apply via Dice today!
**Company: iTech US, Inc.**
**Job Title:** 
**Data Scientist**
**Location** 
**:** 
**Raleigh, NC (Onsite)**
**Job Responsibilities:**
* Serve as the primary senior data scientist, coordinating the work of a small team of data scientists responsible for designing and delivering LLM\-based models and AI Enrichments.
* Define and oversee AI workflows for legal research, impact analysis, and content update recommendations, ensuring high accuracy and editorial quality.
* Design models and agentic or multi\-agent LLM workflows that are ready for deployment by software engineers into the Agentic Content Platform.
* Partner with platform and software engineering teams to align on interfaces, constraints, and integration requirements.
* Collaborate with other teams to align approaches, reuse patterns, and share learnings.
* Establish clear standards for model evaluation, quality thresholds, and handoff criteria from data science to engineering.
* Provide hands\-on technical guidance and mentorship to ensure the team operates cohesively and efficiently.
**Required Skills:**
* Strong experience working with large language models and transformer\-based architectures (e.g., GPT\-style models, BERT, T5\).
* Hands\-on experience applying LLMs such as ChatGPT, GPT\-4/3\.5, Claude, or Mistral in applied or production\-adjacent environments.
* Experience designing agentic or multi\-agent LLM workflows for research, drafting, and automated review, with attention to reliability and evaluation.
* Experience with retrieval\-augmented generation (RAG), semantic search, and vector\-based retrieval.
* Proven ability to collaborate effectively with software engineers and platform teams.
* Strong communication skills and experience leading small teams in cross\-functional environments.
**Required Education:** 
 At least a Bachelor’s Degree (or equivalent experience) in Computer Science, Software/Electronics Engineering, Information Systems or closely related field is required.
**Necessary Skills:** 
 LLM, GPT, RAG</t>
        </is>
      </c>
    </row>
    <row r="114">
      <c r="A114" t="inlineStr">
        <is>
          <t>li-4371300075</t>
        </is>
      </c>
      <c r="B114" t="inlineStr">
        <is>
          <t>Data Scientist</t>
        </is>
      </c>
      <c r="C114" t="inlineStr">
        <is>
          <t>Jobs via Dice</t>
        </is>
      </c>
      <c r="D114" t="inlineStr">
        <is>
          <t>linkedin</t>
        </is>
      </c>
      <c r="E114">
        <f>HYPERLINK("https://www.linkedin.com/jobs/view/4371300075", "https://www.linkedin.com/jobs/view/4371300075")</f>
        <v/>
      </c>
      <c r="F114">
        <f>HYPERLINK("https://click.appcast.io/t/yk9NGQ-P8Hs5nc_XEZ00koG_3hnKHU5JJnRjfABD0c4=&amp;urlHash=-9Jj", "https://click.appcast.io/t/yk9NGQ-P8Hs5nc_XEZ00koG_3hnKHU5JJnRjfABD0c4=&amp;urlHash=-9Jj")</f>
        <v/>
      </c>
      <c r="G114" t="inlineStr">
        <is>
          <t>The Woodlands, TX</t>
        </is>
      </c>
      <c r="H114" t="inlineStr"/>
      <c r="I114" t="inlineStr">
        <is>
          <t>Dice is the leading career destination for tech experts at every stage of their careers. Our client, Vaco by Highspring, is seeking the following. Apply via Dice today!
**DIRECT HIRE ROLE IN HOUSTON, TX
 Overview:**
 We have a client seeking an intelligent, proactive, and results\-driven Data Scientist to join a fast\-growing team. This role focuses on transforming raw data into actionable insights, optimizing processes, and supporting business objectives using advanced analytics and machine learning. You will partner closely with cross\-functional teams, including Financial Planning, Analysis \&amp; Performance Optimization and IT, to integrate data solutions and drive measurable business impact.
**Key Responsibilities:**
**Data Analysis \&amp; Insights:**
* Analyze large and complex datasets to identify trends, inefficiencies, and opportunities for operational and financial improvement.
* Provide actionable recommendations to improve business performance and decision\-making.
**Model Development \&amp; Deployment:**
* Design, develop, and deploy predictive models and machine learning algorithms to solve real\-world business problems, such as customer segmentation, pricing optimization, and logistics solutions.
* Implement error handling, documentation, and production\-ready processes for deployed models.
**Data Integration \&amp; Collaboration:**
* Collaborate with IT and cross\-functional teams to integrate data solutions into existing systems, workflows, and analytics platforms.
* Join and process data from multiple sources, including SQL, AWS, Salesforce, Workday, and transactional or voice/logistics datasets.
**Reporting \&amp; Visualization:**
* Design and maintain dashboards, visualizations, and reports for stakeholders using tools such as Power BI or Tableau.
* Communicate technical concepts clearly to non\-technical audiences.
**Data/AI Strategy \&amp; Innovation:**
* Identify, prioritize, and develop future AI use cases across the organization.
* Stay current with industry trends and emerging technologies to enhance analytics capabilities and inform the company’s long\-term data strategy.
**Qualifications:**
* Bachelor’s degree in Data Science, Computer Science, Statistics, Mathematics, or a related field.
* 3\+ years of industry experience in Data Science, with hands\-on experience building and deploying production\-ready models.
* Expertise in Python, SQL, and statistical/machine learning methods (e.g., regression, GLMs, random forests, clustering, mixed\-integer optimization).
* Experience with analytics platforms (e.g., Databricks), Spark/PySpark, and data pipeline development (e.g., AWS Glue).
* Strong data visualization skills (Power BI, Tableau) and experience communicating insights to business stakeholders.
* Proven ability to drive measurable business impact through analytics.
* Proactive, self\-starter with strong problem\-solving and collaboration skills.
* Bonus: Familiarity with Pigment or similar business planning tools.
**Compensation \&amp; Benefits:**
* Flexible PTO
* 401(k) with company match
* Paid parental leave (12 weeks)
* Gym membership
**Additional Information:**
* Direct\-hire position with minimal travel required.
* Candidates must be legally authorized to work in the U.S. without sponsorship.
* Opportunity to make a real impact, work on cutting\-edge analytics, and grow within a dynamic, innovative team.</t>
        </is>
      </c>
    </row>
    <row r="115">
      <c r="A115" t="inlineStr">
        <is>
          <t>li-4326512782</t>
        </is>
      </c>
      <c r="B115" t="inlineStr">
        <is>
          <t>Lead Applied Scientist</t>
        </is>
      </c>
      <c r="C115" t="inlineStr">
        <is>
          <t>Thomson Reuters</t>
        </is>
      </c>
      <c r="D115" t="inlineStr">
        <is>
          <t>linkedin</t>
        </is>
      </c>
      <c r="E115">
        <f>HYPERLINK("https://www.linkedin.com/jobs/view/4326512782", "https://www.linkedin.com/jobs/view/4326512782")</f>
        <v/>
      </c>
      <c r="F115" t="inlineStr"/>
      <c r="G115" t="inlineStr">
        <is>
          <t>Ann Arbor, MI</t>
        </is>
      </c>
      <c r="H115" t="inlineStr"/>
      <c r="I115" t="inlineStr">
        <is>
          <t>**Job Description**
 Thomson Reuters is seeking a Lead Applied Scientist. This is where emergent intelligence meets real\-world impact. You'll work at the cutting edge of GenAI and machine learning agents, building systems that combine neural and symbolic reasoning, understand multiple modalities, and personalize themselves to individual users and evolving contexts.
 Your work will transform how millions of legal, tax, and compliance professionals interact with information—not through static tools, but through intelligent agents that understand their domain, anticipate their needs, and evolve with their workflows.
**About The Role**
 As a
 **Lead Applied Scientist** 
 , you will:
* Design and deploy neuro\-symbolic AI systems that seamlessly integrate neural learning with structured knowledge representation and ontologies
* Build multi\-modal models that synthesize insights across text, documents, structured data, and domain\-specific artifacts
* Explore the emergent intelligence at the intersection of GenAI and machine learning agents, creating autonomous systems that reason and act
* Develop adaptive domain\-specific reasoning capabilities that understand the nuances of legal, regulatory, and financial contexts
* Own and lead end\-to\-end research deliverables—from ideation and experimentation to production deployment
* Establish comprehensive AI evaluation frameworks, quality assessment methodologies, and observability systems that ensure reliability, fairness, and transparency
* Leverage advanced information retrieval techniques, prompting workflows, and model training strategies to optimize solutions
* Shape long\-term AI strategy by providing strategic input to business and Labs leadership
* Champion AI personalization and continual learning approaches that make products smarter with every interaction
* Lead stakeholder engagement across UX, Product, and Engineering teams to align AI capabilities with user needs
* Develop in\-depth knowledge of customer problems and data
* Mentor scientists and engineers on best practices in applied AI research and production ML systems
* Build expertise in knowledge representation, domain reasoning, and agentic AI architectures
* Foster a culture that balances scientific rigor with pragmatic delivery and customer value
**About You**
 You're a fit for the role
 **Lead Applied Scientist** 
 if your background includes:
* PhD in Computer Science, Machine Learning, AI, or related field (or Master's with equivalent depth of experience)
* 7\+ years building production IR/NLP systems for commercial applications with demonstrated business impact
* Strong software engineering capabilities with experience in production code, MLOps, and managed delivery pipelines
* Proven track record translating complex, ambiguous problems into successful AI applications
* Proficiency in AI evaluation, quality assessment, and observability for production systems
* Neuro\-symbolic AI architectures that combine learning and reasoning
* Expertise in multi\-modal modeling across diverse data types and representation formats
* Hands\-on experience with knowledge representation, ontologies, and semantic reasoning systems
* Track record implementing AI personalization and continual learning that adapts to user behavior and feedback
* Experience with adaptive domain\-specific reasoning in specialized professional contexts
* Familiarity with emergent intelligence at the intersection of GenAI and machine learning agents—including agentic frameworks, tool use, and autonomous decision\-making
* Demonstrated ability to scale impact through others in applied research or advanced development settings
* Outstanding communication skills—you translate complex technical concepts for diverse audiences
* Proven success collaborating with Product, Engineering, and Business stakeholders in agile environments
* Strong problem\-solving and analytical thinking with a bias toward action and iteration
**What’s in it For You?**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$147,600 USD \- $274,200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This job posting will close 03/18/2026\.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is>
      </c>
    </row>
    <row r="116">
      <c r="A116" t="inlineStr">
        <is>
          <t>li-4326356373</t>
        </is>
      </c>
      <c r="B116" t="inlineStr">
        <is>
          <t>Lead Applied Scientist, NLP</t>
        </is>
      </c>
      <c r="C116" t="inlineStr">
        <is>
          <t>Thomson Reuters</t>
        </is>
      </c>
      <c r="D116" t="inlineStr">
        <is>
          <t>linkedin</t>
        </is>
      </c>
      <c r="E116">
        <f>HYPERLINK("https://www.linkedin.com/jobs/view/4326356373", "https://www.linkedin.com/jobs/view/4326356373")</f>
        <v/>
      </c>
      <c r="F116" t="inlineStr"/>
      <c r="G116" t="inlineStr">
        <is>
          <t>Ann Arbor, MI</t>
        </is>
      </c>
      <c r="H116" t="inlineStr"/>
      <c r="I116" t="inlineStr">
        <is>
          <t>Are you excited about working at the forefront of applied research in an industry setting? Thomson Reuters Labs is seeking scientists with a passion for solving problems using state\-of\-the\-art information retrieval, natural language processing and generative AI. What does Thomson Reuters Labs do? We experiment, we build, we deliver. We support the organization and our customers through applied research and innovation. We work closely with product and domain experts to identify compelling solutions at the intersection of user needs and technical feasibility. Our team is responsible for clearing obstacles to innovation. We incubate AI solutions from the ground up, and accelerate their development at any stage. This work requires great breadth of modern machine learning problem solving skills, and great savvy in communicating across functions.
 Lead Applied Scientists are experts in Machine Learning / NLP, responsible for the design and delivery of AI solutions that enhance Thomson Reuters' products. They leverage information retrieval techniques, context engineering, model development and evaluation design to build and optimize solutions. Their work ensures AI technologies are effectively aligned with business objectives, driving product innovation and value.
**About The Role**
 As a
 **Lead Applied Scientist** 
 , you will:
* Innovate and drive solution delivery as a technical leader
* Provide input to the business and Labs leadership on long term AI strategy.
* Lead and drive stakeholder engagement with other functions (UX, Product, Tech)
* Develop in\-depth knowledge of customer problems and data
* Maintain scientific and technical expertise in one or more relevant areas as demonstrated through product deliverables, published research, and/or intellectual property.
* Mentor and coach other scientists and engineers on best practices
* Have opportunities to attend relevant conferences, such as ACL, EMNLP, NAACL, NeurIPS, ICLR, SIGIR, KDD.
**About You**
 You’re a fit for the role of
 **Lead Applied Scientist** 
 if your background includes:
* PhD in a relevant discipline or Master’s plus a comparable level of experience
* 7\+ years of hands\-on experience building IR / NLP systems for commercial applications
* A demonstrated impact\-focused and velocity\-first mindset with the the ability and inclination to architect/develop end\-to\-end solutions for problems in focused workshop settings
* Experience writing production code and ensuring well\-managed software delivery
* Demonstrable experience translating complex problems into successful AI applications
* Professional experience scaling yourself and leading through others, in an applied research setting
* Outstanding communication, problem solving, and analysis skills
* Collaborating with Product, Engineering and Business Stakeholders in an agile manner to demonstrate value and iterate with customer feedback
**What’s in it For You?**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$147,600 USD \- $274,200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This job posting will close 03/18/2026\.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2026-02-11T21:20:14Z</dcterms:created>
  <dcterms:modified xsi:type="dcterms:W3CDTF">2026-02-11T21:20:14Z</dcterms:modified>
</cp:coreProperties>
</file>