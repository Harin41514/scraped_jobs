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in-d0b8026c417b4afa</t>
        </is>
      </c>
      <c r="B2" t="inlineStr">
        <is>
          <t>Cloudera Data Engineer</t>
        </is>
      </c>
      <c r="C2" t="inlineStr">
        <is>
          <t>Elite Talent Hub</t>
        </is>
      </c>
      <c r="D2" t="inlineStr">
        <is>
          <t>indeed</t>
        </is>
      </c>
      <c r="E2" t="inlineStr"/>
      <c r="F2" t="inlineStr"/>
      <c r="G2" t="inlineStr">
        <is>
          <t>US</t>
        </is>
      </c>
      <c r="H2" s="2" t="n">
        <v>46064</v>
      </c>
      <c r="I2" t="inlineStr">
        <is>
          <t>**Job Summary**  
We are seeking a highly skilled Cloudera Data Engineer to join our data team. is seeking a **hands\-on Cloudera Data Engineer** to design, build, and optimize large\-scale data pipelines within the Hadoop/Cloudera ecosystem. This role focuses on ETL development, performance tuning, and maintaining secure, scalable data environments across on\-prem and cloud platforms.
**The candidate must be a United State Citizen or Green Card Holder and able to obtain Public Trust / Suitability clearance**
**Core Responsibilities**
* Design and develop **ETL data pipelines** for large datasets in Cloudera
* Manage and optimize **Hadoop/Cloudera infrastructure** for performance, reliability, and scalability
* Develop automation and workflows using **Python, Java, Scala, or Pig**
* Collaborate with data engineers, analysts, and developers to meet data requirements
* Monitor, troubleshoot, and tune environments using **Cloudera Manager and Hue**
* Leverage **generative AI coding tools** (e.g., Copilot, Codex, Claude Code) to improve productivity and code quality
**Basic Qualifications**
* **3\+ years** experience with **Hadoop technologies** (including Spark)
* Hands\-on experience with **Cloudera installation, configuration, tuning, and administration**
* Strong SQL skills (**Hive, Spark SQL, or Impala**)
* Programming experience in **Python, Java, Scala, or Pig**
* Experience using **AI\-assisted coding tools**
* Strong collaboration and communication skills
* Bachelor’s degree
* Ability to obtain **Public Trust / Suitability clearance**
**Nice to Have**
* Advanced experience with **Cloudera Manager and Hue**
* Experience supporting **both on\-prem and cloud environments**
* Exposure to **AWS and/or Azure**
* Proven ability to **optimize queries and resource utilization**
Job Types: Full\-time, Contract
Pay: $60\.00 \- $65\.00 per hour
Expected hours: 40 per week
Work Location: Remote</t>
        </is>
      </c>
    </row>
    <row r="3">
      <c r="A3" t="inlineStr">
        <is>
          <t>in-26209cc72ee26542</t>
        </is>
      </c>
      <c r="B3" t="inlineStr">
        <is>
          <t>Sr Data Engineer, Test Automation, AI/ML Systems - Remote</t>
        </is>
      </c>
      <c r="C3" t="inlineStr">
        <is>
          <t>Optum</t>
        </is>
      </c>
      <c r="D3" t="inlineStr">
        <is>
          <t>indeed</t>
        </is>
      </c>
      <c r="E3" t="inlineStr"/>
      <c r="F3" t="inlineStr"/>
      <c r="G3" t="inlineStr">
        <is>
          <t>Boston, MA, US</t>
        </is>
      </c>
      <c r="H3" s="2" t="n">
        <v>46063</v>
      </c>
      <c r="I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talented peers, comprehensive benefits and career development opportunities. Come make an impact on the communities we serve as you help us advance health equity on a global scale. Join us to start **Caring. Connecting. Growing together.**
Optum Insight partners with payers, providers, governments and life sciences companies to simplify and enhance clinical, administrative and financial processes through software\-enabled services and analytics, while advancing value\-based care. Our differentiated products, technology insights, clinical expertise and analytics support the entire health system \- ultimately delivering better experiences for consumers.
Optum Insight Technology and Engineering is a critical function in Optum Insight driving the innovation and value we provide our customers and partners. This team is focused on products, solutions, platform/enabling capability development, product development lifecycle, engineering excellence and connectivity to Optum Technology.
You'll be a part of our AI Data Engineering team. We often deliver the entire AI solution, from healthcare data integration, AI model deployment, processing, results and analytics, to the applications used for reviewing clinical data and AI results. Our projects often encompass leveraging and building cutting edge Generative AI technologies from scratch.
We have the data and resources to make an impact on a scale. When our solutions are deployed, they process millions of clinical data elements and benefit millions of patients.
We are a globally distributed and diverse team with the shared passion to improve patient outcomes, improve healthcare operations and streamline payments. We pay attention to the details to make sure we deliver quality, the first time.
You'll enjoy the flexibility to work remotely \* from anywhere within the U.S. as you take on some tough challenges. For all hires in the Minneapolis or Washington, D.C. area, you will be required to work in the office a minimum of four days per week.
 **Primary Responsibilities:**
* Design and implement automated test suites for AI/ML workflows that enables Optum to derive information from patient data in a scalable, reliable, and cost\-effective manner using AI
* Analyze clinical data and determine the best designs on how to verify the correct processing of this data
* Perform functional, regression, integration, and system testing to validate software quality
* Identify, create, and track reproducible defects using bug\-tracking tools, collaborating with developers for resolution
* Conduct performance and load testing to identify bottlenecks and measure throughput
* Integrate automated tests to our AWS and GCP accounts to achieve continuous integration (CI/CD)
* As an advocate for product quality, ensure that team members adopt agile SCRUM methodologies, perform unit tests, code reviews
* Review and contribute to engineering specifications to ensure that each feature/user story can be tested in an automated fashion
* Write integration test plans with end\-end test automation as a goal
* Mentoring a couple of mode Junior engineers who may write test cases
* Design, develop, and deploy AI\-powered solutions using no\-code, low\-code, and advanced platforms, translating business needs into scalable applications that enhance products, workflows and decision\-making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Engineering, or a related technical field
* 2\+ years of experience as an SDET using test automation tools like Selenium, Cypress or similar tools
* Experience in at least one project using API testing tools like Selenium, Pytest, Postman or similar
* Delivered at least one product hosted on a cloud platform (AWS, GCP, or Azure)
 **Preferred Qualifications:**
* Master's degree in computer science, Engineering, or a related technical field
* 4\+ years of work experience in AI/ML engineering with solid proficiency in Python programming
* AWS experience such as RDS, ALB, Redis Cache, Secret Manager, EC2, IAM
* Experience in deploying generative AI systems (LLMs, Prompts, Agentic systems)
* Experience with Rally
* Experience integrating with healthcare data systems and working with clinical data formats
* Solid communication and collaboration skills, with the ability to thrive in fast\-paced and ambiguous environments
* Solid analytical skills and ability to debug issues in complex systems
* Experience with CI/CD pipelines and infrastructure\-as\-code tools (e.g., Terraform, CloudFormation, GitHub actions, Azure DevOps)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*\#OptumTechPJ*</t>
        </is>
      </c>
    </row>
    <row r="4">
      <c r="A4" t="inlineStr">
        <is>
          <t>in-2c66bba410d3e6d2</t>
        </is>
      </c>
      <c r="B4" t="inlineStr">
        <is>
          <t>Senior Analytics Engineer</t>
        </is>
      </c>
      <c r="C4" t="inlineStr">
        <is>
          <t>EMC Insurance</t>
        </is>
      </c>
      <c r="D4" t="inlineStr">
        <is>
          <t>indeed</t>
        </is>
      </c>
      <c r="E4" t="inlineStr"/>
      <c r="F4" t="inlineStr"/>
      <c r="G4" t="inlineStr">
        <is>
          <t>Des Moines, IA, US</t>
        </is>
      </c>
      <c r="H4" s="2" t="n">
        <v>46063</v>
      </c>
      <c r="I4" t="inlineStr">
        <is>
          <t>At EMC, we’re all about working together to make an impact. As part of our team, you’ll have the opportunity to grow, contribute, and gain experience that matters. We strive to be caring leaders, close partners, and responsive experts—always supporting each other to do our best work. Join us, and let’s improve lives together.  
\*\*This role can be performed remotely in the Des Moines, Iowa metro area with the ability to work on\-site one day per week\*\*
Essential Functions:
Business Intelligence \&amp; Analytics Lifecycle:* Leads highly complex and enterprise\-wide business analysis activities to gather stakeholders’ reporting and dashboard requirements.
* Determines stakeholders’ objectives, important metrics and method of performance measurement.
* Develops advanced data and analytic products implementing technology best practices, guidelines and repeatable processes.
* Collaborates with business units and subject matter experts to capture complex analytical requirements.
* Maintains highly complex curated data sets and analytical solutions.
Data Modeling \&amp; Technical Design:* Leads the design of scalable and efficient complex data models optimized for analytic and business intelligence tools.
* Develops highly complex data models that support advanced analytic products.
* Provides reporting architecture services on projects and keeps a reporting reference architecture up to date for the data analytic product teams.
* Acts as liaison during IT architectural conversations to help drive new architectural needs and align with best practices.
* Serves as a subject matter expert regarding technical design, analytics lifecycle and business intelligence best practices.
Development \&amp; Implementation:* Writes highly complex code to transform raw data into clean, structured data sets including data cleansing, aggregation, and other necessary business rules and transformations.
* Translates complex business requirements into technical requirements to implement reports and dashboards created from multiple data sources.
* Determines and analyzes the data sources required for each report.
* Develops complex reporting schemas and data sets.
* Builds highly complex, including enterprise wide reports, dashboards and visualizations using business intelligence tools.
* Reviews report changes and documents to ensure proper configuration management and change controls are implemented for report development and analytic life cycle.
* Serves as a technical resource to other Analytics Engineering team members.
Communication \&amp; Collaboration:* Promotes continuous improvement through business intelligence practices.
* Partners with leadership to integrate improved business intelligence in functions’ processes, workflows, and decision\-making methods.
* Collaborates with IT leaders to increase EMC's business intelligence maturity.
* Communicates and explains the results of team deliverables to stakeholders.
* Serves as a technical expert and resource to other analytics engineers.
* Collaborates with Data Governance to help maintain analytic catalogues and metadata assets.
Innovation \&amp; Advanced Analytics:* Identifies necessary system enhancements to deploy new products and process enhancements.
* Researches and investigates new technologies and methodologies to enhance advanced analytical and operational performance, focusing on regional and/or local data source exploration and supporting advanced analytics sandboxes.
* Works cross\-functionally with Innovation to integrate Generative AI opportunities with data analytics products.
* Applies Machine Learning (ML) techniques and augmented analytics capabilities to automatically generate insights for end users.
* Analyzes current state of business intelligence maturity and identifies opportunities for improvement.
Education \&amp; Experience:* Bachelor’s degree, preferably in a computer science, analytics, or business related field or equivalent relevant experience
* Eight years of experience in data and analytics programs or related experience
* Prior experience with BI products, such as Power BI or Tableau
* Experience in semantic layer and schema designs
* Experience in descriptive statistics and preparing big data sets preferred
Knowledge, Skills \&amp; Abilities:* Superior knowledge of Cognos, Tableau, Power BI or similar product
* Strong report architecture and reference architecture skills
* Excellent Microsoft Excel skills
* Strong knowledge of database platforms such as MongoDB, Hortonworks, Azure, and AWS
* Superior knowledge of SQL, Python or R
* Excellent knowledge of SQLdbm
* Excellent ability to build processes supporting data transformation, data structures, metadata, dependency and workload management
* Advanced ability to manipulate, process and extract value from large disconnected datasets
* Excellent verbal and written communication skills and presentation skills
* Strong analytical and problem\-solving abilities
* Ability to work independently and as part of a team
* Excellent project coordination skills and attention to detail
The hiring salary range for this position will vary based on geographic location, falling within either of the following:
$100,085 \- $138,285 or $110,624 \- $152,122
A hiring range represents a subset of the full salary range. The actual salary will depend on several factors, including relevant education, skills, and experience of an applicant, geographic location, and business needs.  
For information relating to the benefits EMC Team Members receive as part of a comprehensive rewards package, please visit www.emcins.com/careers.*Our employment practices are in accordance with the laws that prohibit discrimination due to race, color, creed, sex, sexual orientation, gender identity, genetic information, religion, age, national origin or ancestry, physical or mental disability, medical condition, veteran status, active military status, citizenship status, marital status or any other consideration made unlawful by federal, state, or local laws.**All of our locations are tobacco free including in company vehicles.*</t>
        </is>
      </c>
    </row>
    <row r="5">
      <c r="A5" t="inlineStr">
        <is>
          <t>in-398b6f63771027af</t>
        </is>
      </c>
      <c r="B5" t="inlineStr">
        <is>
          <t>AI Data Engineer</t>
        </is>
      </c>
      <c r="C5" t="inlineStr">
        <is>
          <t>Zoetis</t>
        </is>
      </c>
      <c r="D5" t="inlineStr">
        <is>
          <t>indeed</t>
        </is>
      </c>
      <c r="E5" t="inlineStr"/>
      <c r="F5" t="inlineStr"/>
      <c r="G5" t="inlineStr">
        <is>
          <t>Parsippany-Troy Hills, NJ, US</t>
        </is>
      </c>
      <c r="H5" s="2" t="n">
        <v>46063</v>
      </c>
      <c r="I5" t="inlineStr">
        <is>
          <t>Role Description
POSITION SUMMARY
At Zoetis we are passionate about our customers and the animals in their care. We discover, develop and manufacture the world’s most innovative and effective products for animal health—medicines, vaccines, diagnostics, genetic tests, biodevices—and we are creating the next generation of integrated solutions and services to support this evolving industry. We know our people drive our success. Our colleagues are proud of our company culture and the meaningful role we play in caring for animals. The Zoetis Core Beliefs define the commitments we make to our colleagues, our customers, and our stakeholders every day. They have guided the creation of our award\-winning workplace and our proud position as a leading partner of choice in animal health.
Join our Data Analytics and Engineering (DAE) Group as an AI Data Engineer. This role is ideal for a passionate technologist eager to build modern data products and solutions powered by Databricks, Unity Catalog, Microsoft AI Foundry services such as Azure Open AI \&amp; AI search along with similar cutting\-edge AI services from other providers. You’ll design, develop, deploy, maintain and most importantly support data \&amp; AI products to deliver meaningful robust, resilient data products for our clients. AI Data engineer will report to the Data Product Architect, Analytics and Operations Lead within the Digital, Data, and Analytics organization, and execute data engineering and AI use cases in support of the digital and analytics strategy of Zoetis.
POSITION RESPONSIBILITIES
Design, Develop, Deploy, and Support Data Pipelines:  
Build, and maintain robust data pipelines to ensure efficient data flow and transformation across the enterprise. Assemble large, complex data sets that fulfill functional and business requirements, ensuring the data architecture remains optimal and scalable.
Ensure Operational Effectiveness \&amp; Support:  
Take ownership of performance, uptime, and release management for the enterprise data platform, ensuring high standards of reliability and efficiency.
Build and Support AI Solutions:  
Design, develop, deploy, maintain, and support data\-driven AI solutions that address business needs and drive innovation.
Uphold Quality and Security Standards:  
Adhere to established data analytics quality and security standards for all data and AI solutions, ensuring compliance and best practices.
EDUCATION AND EXPERIENCE
Bachelor's or master's degree from an accredited college or university in Computer Science, Statistics, Mathematics, Information Technology, Operations Research, or related field. Minimum of five years of professional experience as a Data Engineer, with demonstrated knowledge of AI implementations.
TECHNICAL SKILLS REQUIREMENTS* Azure Databricks: Expertise in designing, developing, and managing scalable data pipelines and analytics solutions using Azure Databricks. Proficiency in managing data governance, access controls, and cataloging within Databricks Unity Catalog.
* Azure Data Factory: Skilled in building, orchestrating, and monitoring data workflows and integrations with Azure Data Factory.
* AI Engineering LLMs, RAG, and Advanced Analytics: Hands\-on experience implementing, integrating, and supporting Retrieval\-Augmented Generation (RAG) based AI solutions, including expertise in prompt engineering techniques for large language models, natural language integration, using Microsoft AI Foundry services such as Azure OpenAI and Azure AI Search, as well as similar cutting‑edge AI services from other providers, including Databricks Genie and Agent Frameworks.
* Operational Support Experience: Strong experience providing operational support for enterprise data platforms and AI solutions, ensuring performance, reliability, and timely issue resolution. Exceptional problem\-solving skills, with a track record of managing complex, cross\-functional deliverables.
* Databricks Genie: Experience utilizing Databricks Genie for AI solutions in enterprise environments.
* SQL \&amp; Python Programming: Strong proficiency in SQL and Python for data engineering, analytics, and AI solution development.
* Analytical Skills: Demonstrated strong analytical abilities, with expertise in interpreting complex data and delivering actionable insights.
* Commercial domain experience and strong familiarity with ERP systems—particularly Salesforce and SAP—is preferred.
* Demonstrated ability to work effectively in cross\-functional teams, fostering a collaborative and productive work environment. Foster a positive and collaborative work environment through attitude and actions.
The US base salary range for this full\-time position is $89,000\-$128,000\. Our salary ranges are
determined by role, level, and location. The range displayed on each job posting reflects the base pay target range
for new hire salaries for the position. Within the range, individual pay is determined by work location and additional
factors, including job\-related skills, experience, and relevant education or training.  
This position is also eligible for short\-term incentive compensation
This position is also eligible for long\-term incentives  
In addition to compensation, Zoetis offers a comprehensive benefits package that supports the physical, emotional
and financial wellbeing of our colleagues and their families including healthcare and insurance benefits beginning
on day one, a 401K plan with a match and profit\-sharing contribution from Zoetis, and 4 weeks of vacation.  
Visit zoetisbenefits.com to learn more.
Full time
Regular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t>
        </is>
      </c>
    </row>
    <row r="6">
      <c r="A6" t="inlineStr">
        <is>
          <t>in-c3c14c95f2888eb9</t>
        </is>
      </c>
      <c r="B6" t="inlineStr">
        <is>
          <t>Associate Analytics Engineer</t>
        </is>
      </c>
      <c r="C6" t="inlineStr">
        <is>
          <t>Hoffmann Brothers</t>
        </is>
      </c>
      <c r="D6" t="inlineStr">
        <is>
          <t>indeed</t>
        </is>
      </c>
      <c r="E6" t="inlineStr"/>
      <c r="F6" t="inlineStr"/>
      <c r="G6" t="inlineStr">
        <is>
          <t>Maryland Heights, MO, US</t>
        </is>
      </c>
      <c r="H6" s="2" t="n">
        <v>46063</v>
      </c>
      <c r="I6" t="inlineStr">
        <is>
          <t>For over 40 years, Hoffmann Brothers has served as the premier HVAC, Plumbing, Electrical, and Appliance Repair service and installation contractor in the St Louis area. Pursuing an aggressive expansion campaign, Hoffmann Brothers is looking to expand our reach through both acquisitions and executing our proven “green field” market entry strategy.
Over the last 6 years, Hoffmann has grown from a small family business of 50 employees to a nearly 450\-team member multi\-market organization with significant aspirations for further growth. We recognize the quality of our people enables this growth and now is your chance to join our team.
We’re hiring an **Associate Analytics Engineer** to help build and scale our data ecosystem \- from raw data ingestion and transformation to relational data modeling and curated business\-ready reporting. This is a highly collaborative role that partners closely with the Director of Business Intelligence \&amp; Technology and cross\-functional stakeholders to define analytical needs, translate business requirements into technical specifications, and deliver scalable data solutions.
You will be deeply hands\-on – developing ingestion pipelines with Python, writing SQL transformations, building curated datasets, and creating standardized and customized reporting and analytical outputs. In addition to technical execution, you will play a critical role in communicating findings, documenting data logic, and ensuring alignment between business objectives and technical implementation. Your work will directly influence how performance is measured, monitored, and acted upon across the organization.
**Key Responsibilities:**
* Design, develop, and maintain data ingestion pipelines in Python to load and validate raw data within the lakehouse environment.
* Write efficient, well\-documented SQL transformations to structure and model data into relational tables optimized for analytics and reporting.
* Build and maintain curated, business\-ready datasets to support KPI tracking and cross\-functional reporting needs.
* Develop standardized dashboards and ad hoc analytical outputs in Power BI and Excel to monitor operational and financial performance.
* Use Python for data exploration, analysis, visualization, and automation of recurring business processes.
* Partner with the Director of Business Intelligence \&amp; Technology and cross\-functional stakeholders to gather requirements, define specifications, and deliver scalable data solutions.
* Document data logic, transformations, and reporting definitions to ensure clarity, governance, and long\-term maintainability.
* Monitor data quality, troubleshoot inconsistencies, and continuously improve performance and reliability across the analytics environment.
**Requirements**
* Bachelor’s degree in Computer Information Systems, MIS, Data Analytics, or related field.
* 1 \- 3 years of hands\-on experience working with Python, SQL, and modern data analytics tools in a professional environment.
* Experience building dashboards and reports in Power BI and advanced proficiency in Excel.
* Exposure to API\-based data ingestion or integrating data from external systems.
* Foundational knowledge of data modeling and data warehousing concepts, including relational structures and transformation best practices.
* Experience working with ETL/ELT workflows and structured data transformation processes.
* Strong analytical skills with experience developing and tracking KPI\-based business metrics.
* Ability to translate business requirements into technical solutions and communicate data insights clearly to both technical and non\-technical stakeholders.
* Experience with process automation using Python scripts or tools such as Power Automate.
* Strong documentation habits, problem\-solving skills, and attention to detail.
* Interest in continuing to grow technical depth in data engineering, analytics engineering, or business intelligence.
**Preferred/Bonus:**
* Experience working with Microsoft Fabric or similar lakehouse / cloud data platforms (e.g., Azure, Databricks, Snowflake).
* Familiarity with medallion architecture concepts (bronze, silver, gold) or layered data environments.
* Experience supporting operational or service\-based business KPIs (e.g., revenue, job performance, margin, productivity metrics).
* Experience working with Service Titan or similar CRM system
* Basic understanding of version control, code organization, or collaborative development practices.</t>
        </is>
      </c>
    </row>
    <row r="7">
      <c r="A7" t="inlineStr">
        <is>
          <t>in-4454df3612eb2a21</t>
        </is>
      </c>
      <c r="B7" t="inlineStr">
        <is>
          <t>Senior Analytics Engineer</t>
        </is>
      </c>
      <c r="C7" t="inlineStr">
        <is>
          <t>HawkEye 360</t>
        </is>
      </c>
      <c r="D7" t="inlineStr">
        <is>
          <t>indeed</t>
        </is>
      </c>
      <c r="E7" t="inlineStr"/>
      <c r="F7" t="inlineStr"/>
      <c r="G7" t="inlineStr">
        <is>
          <t>VA, US</t>
        </is>
      </c>
      <c r="H7" s="2" t="n">
        <v>46063</v>
      </c>
      <c r="I7" t="inlineStr">
        <is>
          <t>We are seeking a highly skilled Senior Analytics Engineer to join our centralized analytics engineering team at HawkEye 360\. This team plays a critical role in enabling data\-driven decision\-making across the organization by building robust data models, transformations, and analytics solutions. As a senior member of the team, you will work closely with stakeholders across multiple functions, such as System Operations, Customer Success, Product, and Engineering, to deliver high\-quality, scalable analytics solutions.
This role is individual contributor\-focused, requiring deep technical expertise and hands\-on experience with modern data engineering and analytics tools. You will help design and implement best practices for data modeling, transformation, and visualization, with a strong emphasis on Snowflake and dbt.
As the Senior Analytics Engineer , your main responsibilities will be:
* Develop and maintain dbt\-based data models and transformations to support analytics and reporting needs across the organization.
* Design and optimize Snowflake data warehouse structures for performance, scalability, and reliability.
* Collaborate with cross\-functional teams to understand business requirements and translate them into efficient, reusable data solutions.
* Build and maintain reusable dashboards, data products, and metrics that enable stakeholders to explore and analyze data effectively.
* Apply software engineering best practices (version control, CI/CD, testing) to analytics workflows.
* Conduct deep\-dive data analysis to answer complex business questions and provide actionable insights.
* Contribute to the evolution of the team's technical strategy by recommending improvements to data architecture, tooling, and processes.
**Your skills and qualifications:****Essential education and experience:**  
* BS or MS degree in Data Science, Computer Science, Data Engineering, or a related field.
* 5\+ years of professional experience in analytics engineering, data engineering, or data analytics.
* Expertise in Snowflake: schema design, performance tuning, and advanced SQL.
* Proficiency with dbt and git\-based workflows for data transformation and modeling.
* Strong SQL skills and experience with data modeling best practices.
* Familiarity with Python and libraries such as pandas for scripting and exploratory analysis.
* Experience building effective and reusable dashboards using tools like Tableau or similar.
* Excellent communication skills and ability to work closely with business stakeholders.
**Desirable:**  
* Hands\-on experience with additional databases or data stores (PostgreSQL, InfluxDB, Elasticsearch).
* Experience with dashboarding tools such as Grafana, Kibana, or Tableau.
* Familiarity with satellite\-based remote sensing and/or software\-defined radio
**Base Salary Range:** $130,000 \- $160,000 annually
HawkEye 360 offers a compensation package that includes a competitive base salary plus annual performance bonus and benefits. We consider many factors when determining salary offers, such as candidate's work experience, education, training \&amp; skills, as well as market and business considerations. We are also open to considering candidates with experience and qualifications at a different level than required in a job posting, which may affect the compensation package offered.
**Company Overview:**  
HawkEye 360 is delivering a revolutionary source of global knowledge based on radio frequency (RF) geospatial analytics to those working to make the world a safer place. The company operates a commercial satellite constellation that detects, geolocates, and identifies a broad range of signals \&amp; behaviors. We employ cutting edge AI techniques to equip our global customers with high\-impact insights needed to make decisions with confidence. HawkEye 360 is headquartered in Herndon, Virginia.
HawkEye 360 is committed to hiring and retaining a diverse workforce. We are proud to be an Equal Opportunity Employer, making decisions without regard to race, color, religion, sex, sexual orientation, gender identity, gender expression, marital status, national origin, age, veteran status, disability, or any other protected class.
**To all recruitment agencies:** HawkEye 360 does not accept unsolicited agency resumes. Please do not forward resumes to our jobs alias, HawkEye 360 employees or any other organization location. HawkEye 360 is not responsible for any fees related to unsolicited resumes.</t>
        </is>
      </c>
    </row>
    <row r="8">
      <c r="A8" t="inlineStr">
        <is>
          <t>in-dd7ef21885f91fda</t>
        </is>
      </c>
      <c r="B8" t="inlineStr">
        <is>
          <t>Senior Data Engineer</t>
        </is>
      </c>
      <c r="C8" t="inlineStr">
        <is>
          <t>Zeta Global</t>
        </is>
      </c>
      <c r="D8" t="inlineStr">
        <is>
          <t>indeed</t>
        </is>
      </c>
      <c r="E8" t="inlineStr"/>
      <c r="F8" t="inlineStr"/>
      <c r="G8" t="inlineStr">
        <is>
          <t>San Francisco, CA, US</t>
        </is>
      </c>
      <c r="H8" s="2" t="n">
        <v>46063</v>
      </c>
      <c r="I8"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We're looking for a Senior Data Engineer to design, build, and operate the data pipelines and aggregates that power Zeta's AdTech platform. This is a hands\-on individual contributor role focused on high\-scale batch \+ streaming data processing, reliable data products, and analytics\-ready datasets that enable prediction, agentic workflows, BI reporting, and measurement. You will partner closely with backend, ML, and product teams to deliver trusted, well\-modeled data with strong performance, quality, and observability.
**What You'll Do**
* Build data pipelines: Develop robust batch and streaming pipelines (Kafka/Kinesis) to ingest, transform, and enrich large\-scale event data (impressions, clicks, conversions, costs, identity signals).
* Create data aggregates \&amp; marts: Design and maintain curated aggregates and dimensional models for multiple consumers—prediction models, agents, BI dashboards, and measurement workflows.
* Data modeling \&amp; contracts: Define schemas, data contracts, and versioning strategies to keep downstream systems stable as sources evolve.
* Data quality \&amp; reliability: Implement validation, anomaly detection, backfills, and reconciliation to ensure completeness, correctness, and timeliness (SLAs/SLOs).
* Performance \&amp; cost optimization: Optimize compute/storage for scale (partitioning, file sizing, incremental processing, indexing), balancing latency, throughput, and cost.
* Orchestration \&amp; automation: Build repeatable workflows with scheduling/orchestration (e.g., Airflow, Dagster, Step Functions) and CI/CD for data pipelines.
* Observability for data systems: Instrument pipelines with metrics, logs, lineage, and alerting to accelerate detection and root\-cause analysis of data issues.
Security \&amp; governance: Apply least\-privilege access, PII\-aware handling, and governance controls aligned with enterprise standards.  
* 
**Qualifications**
* 5\+ years building production data pipelines and data products (batch and/or streaming) in a high\-scale environment.
* Strong experience with SQL and data modeling (dimensional modeling, star/snowflake schemas, event modeling).
* Hands\-on experience with streaming systems (Kafka preferred) and/or AWS Kinesis, including event\-driven designs.
* Proficiency in one or more languages used for data engineering (Python, Java, Scala, or Go).
* Experience with distributed data processing (Spark, Flink, or equivalent) and performance tuning at scale.
* Experience with AWS data services and cloud\-native patterns (S3, Glue/EMR, Athena, Redshift, etc. as applicable).
* Familiarity with lakehouse/table formats and large\-scale storage patterns (e.g., Parquet; Iceberg/Hudi/Delta are a plus).
* Experience with orchestration/workflow tooling (Airflow/Dagster/Step Functions) and CI/CD for data workloads.
* Strong data quality/observability practices (tests, monitoring, lineage; understanding of SLAs/SLOs).
* Experience with SQL \+ NoSQL data stores (e.g., Postgres/MySQL; DynamoDB/Cassandra/Redis) and choosing the right store per use case.
* Clear communicator and collaborator; able to work with mixed audiences and translate needs into reliable data interfaces.
**Preferred Experience**
* AdTech / programmatic advertising domain knowledge: DSP/SSP/exchange/RTB concepts and data flows.
* Experience building measurement pipelines (attribution, incrementality, lift, or experimentation analytics).
* Experience supporting ML feature stores, offline/online feature generation, or model training datasets.
* Experience with real\-time analytics stores (Druid/ClickHouse/Pinot) and high\-cardinality aggregation strategies.
* Deep knowledge of data governance/privacy, including PII handling and consent\-aware data processing.
* Open\-source contributions, publications, or conference speaking.
* BS/MS in CS/Engineering or equivalent practical experience.
**BENEFITS \&amp; PERKS**
* Unlimited PTO
* Excellent medical, dental, and vision coverage
* Employee Equity
* Employee Discounts, Virtual Wellness Classes, and Pet Insurance And more!!
**SALARY RANGE**
The salary range for this role is $165,000 \- $175,000,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
\#LI\-YW1</t>
        </is>
      </c>
    </row>
    <row r="9">
      <c r="A9" t="inlineStr">
        <is>
          <t>in-6e479d174586651f</t>
        </is>
      </c>
      <c r="B9" t="inlineStr">
        <is>
          <t>Senior Data Engineer</t>
        </is>
      </c>
      <c r="C9" t="inlineStr">
        <is>
          <t>Zeta Global</t>
        </is>
      </c>
      <c r="D9" t="inlineStr">
        <is>
          <t>indeed</t>
        </is>
      </c>
      <c r="E9" t="inlineStr"/>
      <c r="F9" t="inlineStr"/>
      <c r="G9" t="inlineStr">
        <is>
          <t>Atlanta, GA, US</t>
        </is>
      </c>
      <c r="H9" s="2" t="n">
        <v>46063</v>
      </c>
      <c r="I9"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We're looking for a Senior Data Engineer to design, build, and operate the data pipelines and aggregates that power Zeta's AdTech platform. This is a hands\-on individual contributor role focused on high\-scale batch \+ streaming data processing, reliable data products, and analytics\-ready datasets that enable prediction, agentic workflows, BI reporting, and measurement. You will partner closely with backend, ML, and product teams to deliver trusted, well\-modeled data with strong performance, quality, and observability.
**What You'll Do**
* Build data pipelines: Develop robust batch and streaming pipelines (Kafka/Kinesis) to ingest, transform, and enrich large\-scale event data (impressions, clicks, conversions, costs, identity signals).
* Create data aggregates \&amp; marts: Design and maintain curated aggregates and dimensional models for multiple consumers—prediction models, agents, BI dashboards, and measurement workflows.
* Data modeling \&amp; contracts: Define schemas, data contracts, and versioning strategies to keep downstream systems stable as sources evolve.
* Data quality \&amp; reliability: Implement validation, anomaly detection, backfills, and reconciliation to ensure completeness, correctness, and timeliness (SLAs/SLOs).
* Performance \&amp; cost optimization: Optimize compute/storage for scale (partitioning, file sizing, incremental processing, indexing), balancing latency, throughput, and cost.
* Orchestration \&amp; automation: Build repeatable workflows with scheduling/orchestration (e.g., Airflow, Dagster, Step Functions) and CI/CD for data pipelines.
* Observability for data systems: Instrument pipelines with metrics, logs, lineage, and alerting to accelerate detection and root\-cause analysis of data issues.
* Security \&amp; governance: Apply least\-privilege access, PII\-aware handling, and governance controls aligned with enterprise standards.
**Qualifications**
* 5\+ years building production data pipelines and data products (batch and/or streaming) in a high\-scale environment.
* Strong experience with SQL and data modeling (dimensional modeling, star/snowflake schemas, event modeling).
* Hands\-on experience with streaming systems (Kafka preferred) and/or AWS Kinesis, including event\-driven designs.
* Proficiency in one or more languages used for data engineering (Python, Java, Scala, or Go).
* Experience with distributed data processing (Spark, Flink, or equivalent) and performance tuning at scale.
* Experience with AWS data services and cloud\-native patterns (S3, Glue/EMR, Athena, Redshift, etc. as applicable).
* Familiarity with lakehouse/table formats and large\-scale storage patterns (e.g., Parquet; Iceberg/Hudi/Delta are a plus).
* Experience with orchestration/workflow tooling (Airflow/Dagster/Step Functions) and CI/CD for data workloads.
* Strong data quality/observability practices (tests, monitoring, lineage; understanding of SLAs/SLOs).
* Experience with SQL \+ NoSQL data stores (e.g., Postgres/MySQL; DynamoDB/Cassandra/Redis) and choosing the right store per use case.
* Clear communicator and collaborator; able to work with mixed audiences and translate needs into reliable data interfaces.
**Preferred Experience**
* AdTech / programmatic advertising domain knowledge: DSP/SSP/exchange/RTB concepts and data flows.
* Experience building measurement pipelines (attribution, incrementality, lift, or experimentation analytics).
* Experience supporting ML feature stores, offline/online feature generation, or model training datasets.
* Experience with real\-time analytics stores (Druid/ClickHouse/Pinot) and high\-cardinality aggregation strategies.
* Deep knowledge of data governance/privacy, including PII handling and consent\-aware data processing.
* Open\-source contributions, publications, or conference speaking.
* BS/MS in CS/Engineering or equivalent practical experience.
**BENEFITS \&amp; PERKS**
* Unlimited PTO
* Excellent medical, dental, and vision coverage
* Employee Equity
* Employee Discounts, Virtual Wellness Classes, and Pet Insurance And more!!
**SALARY RANGE**
The salary range for this role is $165,000 \- $175,000,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
\#LI\-YW1</t>
        </is>
      </c>
    </row>
    <row r="10">
      <c r="A10" t="inlineStr">
        <is>
          <t>in-91fb145c01ba3929</t>
        </is>
      </c>
      <c r="B10" t="inlineStr">
        <is>
          <t>Payment Analytics Engineer</t>
        </is>
      </c>
      <c r="C10" t="inlineStr">
        <is>
          <t>HighNote</t>
        </is>
      </c>
      <c r="D10" t="inlineStr">
        <is>
          <t>indeed</t>
        </is>
      </c>
      <c r="E10" t="inlineStr"/>
      <c r="F10" t="inlineStr"/>
      <c r="G10" t="inlineStr">
        <is>
          <t>San Francisco, CA, US</t>
        </is>
      </c>
      <c r="H10" s="2" t="n">
        <v>46063</v>
      </c>
      <c r="I10" t="inlineStr">
        <is>
          <t>**About Highnote**
------------------
Founded in 2020 by a team of leaders from Braintree, PayPal, and Lending Club, Highnote is an embedded finance company that sets the standard in modern card platform management. As an all\-in\-one card issuer processor and program management platform, we provide digital\-first organizations with the flexibility to seamlessly issue and process payment cards, embed virtual and physical card payments, and integrate ledger and wallet functionalities—empowering businesses to drive growth and profitability.
We've raised $145M\+ and have grown our team to 140\+ employees. Headquartered in San Francisco, we've managed to build one of the most advanced payments teams in the industry, with team members in 25\+ US states.
Operating through our core values of customer obsession, executional excellence, intentional inclusion, we're helping businesses grow for the future by creating the payment products demanded by tomorrow, with the ability to solve for use cases that don't exist yet.
We are fast\-moving, hands\-on, and strongly believe everyone deserves a seat at the table. We believe we're unlocking incredible opportunities that can change the future of payments, as long as we have the right people to make it happen.
**Job Description**
-------------------
As a Payment Analytics Engineer reporting to the Director of Business Intelligence, you will be a key technical partner for our Partner Operations team. Your mission is to ensure absolute data consistency across the entire payment lifecycle, protecting the company from unknown liabilities while optimizing revenue through deep interchange analysis and forecasting. While you will not be responsible for the raw ingestion of card network data, you must possess a deep understanding of the ingestion process to track and audit data as it moves through our platform. You will interpret complex card network file specifications and our internal processing logic to ensure correct reporting on every transaction.
### **What you'll be doing:**
* Network Reporting \&amp; Regulatory Compliance
* + Decipher \&amp; Map Specifications: Translate dense card network jargon into Highnote\-specific event codes and logic.
	+ Automate Periodic Reporting: Own the end\-to\-end automation of quarterly network reporting and validation, ensuring submissions meet strict compliance standards with evolving requirements.
	+ Point\-in\-Time Integrity: Architect systems to maintain rigorous point\-in\-time snapshots, ensuring data quality over time.
	+ Logic Lifecycle Management: Proactively track and incorporate quarterly network specification changes to prevent reporting gaps or inaccuracies.
* Interchange Analysis \&amp; Revenue Attribution
* + Interchange Optimization: Analyze transaction\-level data to identify revenue leakage or downgrades where transactions failed to qualify for optimal interchange rates.
	+ Granular Attribution: Build models to attribute complex network assessment fees and interchange revenue and costs back to specific customers, bin ranges, and product types.
	+ Fee Validation: Perform deep\-dives into network invoices to ensure Highnote is receiving all eligible incentives and that customer billing accurately reflects network costs.
* Strategic Modeling \&amp; Network Economics
* + Network Pricing Scenarios: Model the financial impact of bi\-annual network fee updates and pricing changes, allowing the business to adjust strategies before changes go live.
	+ Product vs. Cost Comparisons: Conduct deep\-dive analyses comparing the financial impact of different interchange qualifications to quantify product development efforts.
	+ Margin Impact Analysis: Evaluate how specific network rule changes affect overall margin and product profitability.
* Data Engineering \&amp; Upstream Influence
* + Upstream Logic Migration: Partner with core Engineering to migrate complex financial logic from downstream dashboards into upstream denormalized tables and User Defined Functions (UDFs).
	+ Dynamic Data Modeling: Design and optimize SQL/NoSQL structures that handle high\-volume transactional data and automate bin\-range table updates.
### **What we are looking for:**
* Experience: 8\+ years in data engineering, analytics, or reporting; with 5\+ years of experience in Payments and Fintech.
* Domain Expertise: Deep knowledge of payment domains, specifically card network file structures and specifications, fund movement, and interchange qualifications.
* Technical Proficiency: Expertise in SQL and Python (or Java) for building data processing jobs and automating complex reporting workflows.
* Data Modeling: Proven ability to model data structures that ensure scalability and performance in high\-volume environments.
* Attention to Detail: A zero error mindset with the ability to document and maintain workflows to support the reliability of reporting and analytics systems.
* Financial Literacy: A background in Accounting or Finance, either through formal education or professional experience, to support complex financial data tracking.
### **Bonus skills:**
* Experience with cloud platforms such as GCP or AWS.
* Knowledge of ETL/ELT pipelines and the transformation of raw data into business\-ready formats.
* Experience applying data visualization best practices to design impactful, actionable dashboards using tools like Tableau, Looker, Looker Studio, or something similar.
**Why Highnote?**
-----------------
* We're a startup that allows for our employees to truly build from the ground up and impact every layer of our organization.
* We're a team of payments obsessed individuals. While some of us come from the fintech world, some of us don't. We value the varied backgrounds and the diverse perspectives of our employees.
* We're small on hierarchy and big on growth. We're a flat organization that allows everyone to have direct exposure to our leadership team. We are looking for builders who thrive in ambiguity.
* We're backed by Oak HC/FT, Costanoa Ventures, Adams Street Partners, Westcap, and Pinegrove Venture Partners. Angel Investors include Bill Ready (CEO at Pinterest) and Renaud Laplanche (Co\-Founder \&amp; CEO of Upgrade).
### **Highnote benefits**
* Flexible Paid Time Off
* 100% healthcare coverage \+ 75% coverage for dependents
* 401k program
* Paid Parental Leave: Up to 16 weeks paid leave for the birth parent, and up to 6 weeks paid leave for the non\-birth parent
* Equity in Highnote
* Stipend to build out your home office; internet reimbursement
* At Highnote we have built a total rewards philosophy that includes fair, equitable, geo\-based compensation that is performance and potential based. Our compensation packages are competitive based on robust market research and are a combination of a cash salary, equity, and benefits. In compliance with the Equal Pay for Equal Work Act, the annual salary range for applicants is $170,000\-$220,000\.
Highnote is a diverse and inclusive company committed to growing a diverse and inclusive team. We invite people from all backgrounds and identities to apply. We do not discriminate based on gender identity or expression, sexual orientation, race, religion, age, national origin, citizenship, disability, pregnancy status, veteran status, or any other characteristics protected by US federal state or local laws, or the laws of the country or jurisdiction where you work. Additionally, we encourage everyone to share which pronouns you wish for us to use when addressing you (i.e.: she/her, he/him, they/them, etc).</t>
        </is>
      </c>
    </row>
    <row r="11">
      <c r="A11" t="inlineStr">
        <is>
          <t>in-70b9228b2eae42e7</t>
        </is>
      </c>
      <c r="B11" t="inlineStr">
        <is>
          <t>Senior Data Engineer</t>
        </is>
      </c>
      <c r="C11" t="inlineStr">
        <is>
          <t>Accelerate Learning Inc.</t>
        </is>
      </c>
      <c r="D11" t="inlineStr">
        <is>
          <t>indeed</t>
        </is>
      </c>
      <c r="E11" t="inlineStr"/>
      <c r="F11" t="inlineStr"/>
      <c r="G11" t="inlineStr">
        <is>
          <t>Remote, US</t>
        </is>
      </c>
      <c r="H11" s="2" t="n">
        <v>46063</v>
      </c>
      <c r="I11" t="inlineStr">
        <is>
          <t>**COMPANY OVERVIEW**  
At Accelerate Learning, we’re dedicated to engaging and inspiring STEM education for PreK\-12\. Our mission is to spark curiosity in the STEM classroom with programs designed by experienced teachers and STEM experts. Supporting over 9 million students and 750,000 teachers, we constantly adapt to educators’ needs and customer feedback to promote powerful teaching strategies that shape the future of STEM learning.
“For teachers, by teachers” is not a slogan—it’s a fact. Our award\-winning product, STEMscopes, was incubated in the classroom and developed by over 200 teachers, science experts, and science professors.  
We’re scaling rapidly and investing in cutting\-edge cloud technologies, AI, and modern software practices to bring STEM education into the future. Join us, and your work will directly shape how millions of students learn.  
**POSITION SUMMARY**  
As a Senior Data Engineer, you will play a critical role in building, evolving and operating ALI’s cloud‑native data platform.
You will build and deliver governed lakehouse systems and reliable batch and streaming data pipelines that support analytics, product intelligence, operational reporting, and customer‑facing data capabilities.  
This role requires deep experience with data engineering, distributed data processing, secure data management, and automation. You’ll collaborate closely with engineers, architects, and product teams to deliver well‑structured, reliable data solutions that advance ALI’s mission.  
**Why Accelerate Learning?**
* Purpose\-driven work: Every data product supports teachers and inspires students.
* Modern stack: Cloud\-native, serverless, data mesh, event driven, IaC, AI technologies.
* Growth opportunities: Partner with product and engineering leaders; influence architecture and standards at platform scale.
We are looking for team players who thrive in a collaborative agile environment and are eager to contribute to our mission of transforming STEM education.  
**POSITION RESPONSIBILITIES**  
Key responsibilities include:  
**Data Platform Engineering**
* Design, build, and maintain scalable batch and streaming pipelines using AWS services including AppFlow, Lambda, Kinesis, Firehose, and EventBridge
* Build and optimize SQL\-based analytical layers in Athena, including curated dimensional models (e.g., star schema) and reusable data marts
* Develop high\-quality ETL/ELT workflows using S3, dbt (SQL) and AWS Glue (PySpark)
* Maintain and extend our data mesh, including cross‑domain access policies and fine‑grained permissions
**Analytics \&amp; Visualization Enablement**
* Partner with stakeholders to deliver high\-quality datasets and semantic layers for reporting and self\-service analytics
* Support and optimize data delivery into QuickSight, ensuring performance, correctness, and usability
**Data APIs**
* Design, build, and support real‑time and batch data APIs that serve customer‑facing applications
* Ensure API\-backed data products are reliable, scalable, and secure
**Operational Excellence**
* Contribute to infrastructure automation using Pulumi (IaC) to provision and manage data platform resources
* Use Docker for containerized tooling and repeatable local/dev execution
* Proactively optimize for reliability, performance, and cost, identifying bottlenecks and driving remediation
* Implement strong operational practices: monitoring/alerting, runbooks, incident response participation, and continuous improvement
* Support secure handling of educational content and student interaction data
**Collaboration \&amp; Technical Leadership**
* Collaborate closely with engineers, analysts, product teams, and architects to translate business needs into durable data solutions
* Provide technical leadership through design reviews, mentoring, and establishing best practices and standards
**POSITION QUALIFICATIONS**
* Bachelor’s degree in Computer Science, Engineering, Data Science, or equivalent experience
* 5\+ years of professional experience in data engineering, big data, or cloud data platforms
* Proficiency in Python; advanced SQL and data modeling
* Expertise with AWS tools such as S3, Lambda, AWS Glue, and IAM
* Skilled in API development and data pipeline orchestration
* Familiarity with DevOps practices and Infrastructure as Code (e.g., Pulumi, CDK, Docker)
* Strong problem\-solving and architectural design skills, with the ability to anticipate challenges and drive long\-term solutions
* Excellent communicator with experience collaborating across engineering, product, and business stakeholders</t>
        </is>
      </c>
    </row>
    <row r="12">
      <c r="A12" t="inlineStr">
        <is>
          <t>in-de77b92d60aaec40</t>
        </is>
      </c>
      <c r="B12" t="inlineStr">
        <is>
          <t>Data Engineer</t>
        </is>
      </c>
      <c r="C12" t="inlineStr">
        <is>
          <t>Koala Health</t>
        </is>
      </c>
      <c r="D12" t="inlineStr">
        <is>
          <t>indeed</t>
        </is>
      </c>
      <c r="E12" t="inlineStr"/>
      <c r="F12" t="inlineStr"/>
      <c r="G12" t="inlineStr">
        <is>
          <t>Remote, US</t>
        </is>
      </c>
      <c r="H12" s="2" t="n">
        <v>46063</v>
      </c>
      <c r="I12" t="inlineStr">
        <is>
          <t>At Koala Health, our mission is to make managing your pet’s health simple and enjoyable. We’ve built an innovative online pharmacy that delivers pet medications and supplements in presorted pouches, directly to customers’ doors. As we continue to scale, high\-quality, reliable data is becoming increasingly critical to how we operate, measure success, and make decisions.  
The Data Engineer will take ownership of Koala Health’s data infrastructure: designing, building, and maintaining our data pipelines, models, and analytics foundation, and evolving it into a trusted, scalable platform used across the organization. Partnering closely with product, operations, growth, finance, and leadership, you will ensure data is accurate, accessible, and actionable, transforming our existing infrastructure into a reliable internal product that balances speed, quality, and long\-term maintainability.  
For this role, we’re seeking a hands\-on, highly competent, self\-directed engineer who thrives in ambiguity, enjoys building durable systems, and can operate independently without close day\-to\-day oversight.  
This is a remote position for individuals authorized to work in the United States without sponsorship.
### **What You'll Do:**
* Own and evolve Koala Health’s end\-to\-end data infrastructure, including ingestion, transformation, modeling, and delivery.
* Design and maintain reliable data pipelines from production systems (e.g., application databases, third\-party tools, vendors).Build and manage data models that support analytics, reporting, and operational use cases.
* Establish and enforce best practices for data quality, testing, monitoring, and documentation.
* Partner with stakeholders across product, operations, finance, and marketing to understand data needs and translate them into scalable solutions.
* Improve the reliability, performance, and cost\-efficiency of the data stack as the business grows.
* Own incident response and debugging for data issues, proactively identifying and resolving root causes.
* Create and maintain clear documentation so data assets are understandable and usable across the company.
* Evaluate and implement tooling improvements where it meaningfully improves developer velocity or data quality.
* Act as a thought partner to leadership on how data can better support decision\-making and operational efficiency.
### **What You'll Need:**
* 4\+ years of experience as a Data Engineer, Analytics Engineer, or in a similar role with significant end\-to\-end ownership.
* Strong SQL skills and experience building well\-structured analytical data models.
* Hands\-on experience working with cloud data warehouses, including Snowflake.
* Experience designing and operating ELT pipelines using managed tools such as Fivetran (or comparable ELT solutions).Familiarity with modern data platform orchestration and transformation frameworks (e.g., Mozart or similar).Experience enabling analytics and reporting workflows using Looker with an understanding of how data modeling impacts downstream usage.
* Solid programming experience (Python) for data pipelines and transformations.
* Experience working with cloud infrastructure (AWS, GCP, or similar).Ability to independently diagnose data quality issues, identify root causes, and implement durable fixes.
* Proven ability to work autonomously, manage priorities, and deliver high\-quality outcomes in a fast\-moving environment.
* Strong systems thinking and an instinct for building simple, reliable solutions.
* Excellent communication skills and comfort collaborating with non\-technical stakeholders.
### **Preferred:**
* Experience in healthcare/pharmacy tech, veterinary or pet\-health platforms, and/or high\-volume eCommerce/subscription businesses with strong order, fulfillment, and operational analytics needs.
* Experience treating data as a product with clear ownership and accountability.
We believe interviews are a two\-way process: you're interviewing us just as much as we're interviewing you. We respect candidates by moving quickly and communicating clearly during the process. We want to see you at your best and will take steps within reason to make that happen.  
We look forwards to meeting you! *Koala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13">
      <c r="A13" t="inlineStr">
        <is>
          <t>in-37dd1b87b0cfae80</t>
        </is>
      </c>
      <c r="B13" t="inlineStr">
        <is>
          <t>Data Engineer</t>
        </is>
      </c>
      <c r="C13" t="inlineStr">
        <is>
          <t>The DarkStar Group</t>
        </is>
      </c>
      <c r="D13" t="inlineStr">
        <is>
          <t>indeed</t>
        </is>
      </c>
      <c r="E13" t="inlineStr"/>
      <c r="F13" t="inlineStr"/>
      <c r="G13" t="inlineStr">
        <is>
          <t>Chantilly, VA, US</t>
        </is>
      </c>
      <c r="H13" s="2" t="n">
        <v>46063</v>
      </c>
      <c r="I13" t="inlineStr">
        <is>
          <t>**What Impact You'll Have**
Our team is charged with taking commercial and academic innovation high\-side, in domains of Artificial Intelligence / Machine Learning (AI / ML) such as Computer Vision (Image and Video Processing), Natural Language Processing (NLP), and Audio Modeling. We also bring the best ideas, tools, and approaches in technology infrastructure (AWS, DevOps, etc.) to the IC. The tech stack used is extremely broad \- anything cutting edge in the commercial market, the open source community, or the academic research community is likely involved: and if something isn't being looked at yet, you can make that happen.
This effort supports ALL missions of the Intelligence Community, including cyber\-related data science missions. A seamless group of contractor and customer personnel work to create innovations that supply customer groups with the data sets, models, algorithms, software, and infrastructure they need to increase their mission success. Management is hands off, gives the team the freedom to explore new approaches, and markets the best ideas and results to all the other IC customers.
This project regularly needs various types of people \- Data Scientists, Data / ETL Engineers, Analytic Software Engineers, Full Stack Developers, UI/UX Developers, and AWS/DevOps experts. We're particularly interested in people with any of the following experience: \- developing AI / ML models (neural networks, tree based algorithms, etc.); \- conducting data analysis in the fields of Computer Vision, NLP, or audio signal processing; \- doing data ingest and ETL into sponsor environments; or \- building data\-analytic software systems.
Work on this program takes place throughout the Reston/Herndon/Chantilly, VA area (we cannot support remote work) and requires a TS/SCI \+ Poly clearance (acceptable to this customer).
**What You'll be Owning**
GRVTY is seeking a Data Engineer with a TS/SCI \+ Poly clearance (applicable to this customer) to join one of our top projects in Chantilly, VA. This role, requires working with a team of developers, data scientists, SMEs, and cyber analysts to design, develop, build, and analyze data management systems. The data engineer will work with and analyze our client’s challenges and provide solutions by designing and implementing batch and streaming data pipelines.
**What You Must Have**
* Active TS/SCI with Polygraph Clearance
* Develop and perform ETL on large unstructured datasets.
* Experience with services including Apache Kafka, Apache Spark, and Prefect
* Experience containerizing applications using Docker and deployments on Kubernetes
* Building and maintaining CI/CD pipelines for data and platform services
* Familiarity with Linux\-based systems
* Solid understanding of DevOps principles (automation, monitoring, reliability)</t>
        </is>
      </c>
    </row>
    <row r="14">
      <c r="A14" t="inlineStr">
        <is>
          <t>in-b34c65247951fba8</t>
        </is>
      </c>
      <c r="B14" t="inlineStr">
        <is>
          <t>Data Engineer</t>
        </is>
      </c>
      <c r="C14" t="inlineStr">
        <is>
          <t>Civil &amp; Environmental Consultants, Inc.</t>
        </is>
      </c>
      <c r="D14" t="inlineStr">
        <is>
          <t>indeed</t>
        </is>
      </c>
      <c r="E14" t="inlineStr"/>
      <c r="F14" t="inlineStr"/>
      <c r="G14" t="inlineStr">
        <is>
          <t>Pittsburgh, PA, US</t>
        </is>
      </c>
      <c r="H14" s="2" t="n">
        <v>46063</v>
      </c>
      <c r="I14" t="inlineStr">
        <is>
          <t>Overview:
As a Data Engineer, you will design, build, and optimize data architectures and pipelines across Microsoft Fabric and Azure in our Pittsburgh, PA office. You will develop scalable data transformation processes using Data Factory, jupyter notebooks, and SQL, while enabling reliable, automated, and well‑governed data operations. This role plays a key part in advancing DataOps practices—including DevOps, CI/CD, and governance through Microsoft Purview—while supporting a modern analytics ecosystem. Experience with Power Automate and Copilot agents is a plus.  
At CEC, our employees enjoy a flexible/hybrid work schedule. Our comprehensive benefits package includes bonus recognition, based on performance, as well as participation in our employee stock ownership program. Additionally, we conduct mid\-year and end\-of\-year performance reviews and provide goal\-setting opportunities. **Responsibilities:*** Architect and implement Lakehouse/Warehouse solutions in Fabric (medallion patterns, Delta tables, partitioning, CDC)
* Build and orchestrate pipelines (Fabric Data Factory/Pipelines, notebooks, event\-driven patterns) with robust observability and retry logic
* Develop data products and shared semantic layers for analytics and downstream apps
* Optimize performance and cost (storage formats, Z\-order, indexing, caching, workload management)
* Implement CI/CD (Azure DevOps/GitHub) for notebooks, pipelines, and BI artifacts
* Enforce security (RBAC/ABAC), data quality checks, and privacy/compliance
* Manage Purview: collections, scans, lineage, classifications, and ownership workflows
* Collaborate with other analysts and engineers to automate operations and enable self\-service
* Provide architectural guidance and mentor junior engineers to build team capability
* Communicate technical decisions and trade\-offs clearly to stakeholders
* Lead development, configuration, and maintenance of solutions within the Microsoft Power Platform ecosystem, which may include Power Apps, Power Automate, and SharePoint. Use these tools to streamline workflows, enhance data accessibility, and improve collaboration
Qualifications:
* Bachelor’s degree in Data Science, Computer Science, or a related field. Additional experience may be substituted for education
* 5\+ years of experience as a data engineer/architect on Microsoft Fabric and Azure. Hands\-on experience with Microsoft Purview (catalog, policies, lineage)
* Python, PySpark, Spark notebooks (structured/streaming), and SQL/SQL Server
* Strong experience with ETL/ELT design, performance tuning, and workload orchestration. DevOps/CI/CD practices (branching, environments, automated testing/deploy). Experience with GIT or other code repositories is required
* Production experience with data modeling and serving layers for BI/AI
* Experience with Kafka, Event Hubs, or other real\-time streaming platforms
* Strong interpersonal, written, and oral communication skills
* Self\-motivated and directed
About Us:
We have experts! CEC is consistently ranked as a **Top 500 Design Firm and Top 200 Environmental Firm by Engineering News\-Record**. We are looking for people who enjoy using their education and experience to solve difficult technical problems and work on interesting projects. You can accomplish this while working with a team of professionals who are equally motivated to provide high levels of service to our clients and to teach you along the way.  
We have support! We have a variety of Employee Resource Groups, including CEC Community – focused on giving back to the communities in which we work; CEC Ignite – focused on helping professionals early in their careers to develop their pathway; CEC iDEA – focused on inclusion, diversity, equality, and acceptance; and CEC Women – focused on creating internal and external opportunities for women to network and leverage professional experience!  
We care about our people! People and Culture are two of the five elements of our strategic plan. When you care about your people, they will want to grow a career with you – that is our goal. CEC offers you a small\-firm work environment with large\-firm opportunities. Not only will we help you develop professionally, but we will also provide an opportunity to become an owner of the firm and share in its success.  
CEC offers a matching 401(k); profit sharing; a performance bonus; company stock; medical, dental, and vision insurance; short and long\-term disability; tuition assistance; professional development; and work\-life balance.  
CEC is an equal opportunity employer. We do not discriminate in recruiting, hiring or promotion based on race, color, religion, sex, national origin, age, disability, protected veteran status or any other basis or characteristic prohibited by applicable federal, state, or local law. **THIRD PARTY RECRUITERS**
If CEC has not expressly requested recruiting services or contractually engaged with you for recruiting services on a specific position, any resumes or candidate profiles sent to CEC shall be considered unsolicited. Therefore, any such submissions will be considered property of CEC, with no associated fees due to your firm.</t>
        </is>
      </c>
    </row>
    <row r="15">
      <c r="A15" t="inlineStr">
        <is>
          <t>in-674ea1604b85171f</t>
        </is>
      </c>
      <c r="B15" t="inlineStr">
        <is>
          <t>Hadoop Data Engineer</t>
        </is>
      </c>
      <c r="C15" t="inlineStr">
        <is>
          <t>Realign</t>
        </is>
      </c>
      <c r="D15" t="inlineStr">
        <is>
          <t>indeed</t>
        </is>
      </c>
      <c r="E15" t="inlineStr"/>
      <c r="F15" t="inlineStr"/>
      <c r="G15" t="inlineStr">
        <is>
          <t>Addison, TX, US</t>
        </is>
      </c>
      <c r="H15" s="2" t="n">
        <v>46063</v>
      </c>
      <c r="I15" t="inlineStr">
        <is>
          <t>Addison, Texas 75001 Posted February 11th, 2026
 Looking for more job opportunities? Click here!
Job Type: Full Time
Job Category: IT
Job Description
**Role: Hadoop Data Engineer****Location: Addison, TX****FTE only** **Job Description****Must Have Technical/Functional Skills** **Primary Skill: Hadoop (HDFS, Hive, Spark), Big Data ETL/ELT, Distributed Processing, MS SQL Server,****Secondary: Artificial Intelligence/ Machine learning****Experience: Minimum 10 years** **Roles \&amp; Responsibilities**
? Design and implement scalable batch and/or streaming data pipelines using Hadoop ecosystem tools.
? Develop and optimize data ingestion processes from multiple sources (RDBMS, files, APIs, logs).
? Build and maintain datasets in HDFS/Hive and ensure data quality, lineage, and governance.
? Perform performance tuning for distributed workloads (partitioning, file formats, resource management).
? Create and optimize complex queries, stored procedures, and ETL workflows in MS SQL Server.
? Collaborate with data scientists/analysts to deliver feature\-ready datasets for ML models.
? Implement monitoring and alerting for pipeline health and data SLAs.
? Document architecture, workflows, data dictionaries, and operational runbooks.
? Support production deployments, incident triage, and root cause analysis. **Required Skills \&amp; Qualifications**
? Strong hands\-on experience with Hadoop components (e.g., HDFS, Hive, YARN, MapReduce/Spark).
? Experience with data modeling and data warehousing concepts.
? Solid proficiency in MS SQL Server (T\-SQL, query optimization, indexing, stored procedures).
? Experience with ETL/ELT design patterns and job scheduling (e.g., Oozie/Airflow/Control\-M).
? Strong understanding of distributed computing concepts and performance tuning.
? Familiarity with Python/Scala/Java for data processing (any one preferred).
? Bachelor’s degree in Computer Science, Engineering, or equivalent experience.
Required Skills
DEVOPS ENGINEER
 SENIOR EMAIL SECURITY ENGINEER</t>
        </is>
      </c>
    </row>
    <row r="16">
      <c r="A16" t="inlineStr">
        <is>
          <t>in-2efdcb425c4637f7</t>
        </is>
      </c>
      <c r="B16" t="inlineStr">
        <is>
          <t>Starburst Data Engineer-3</t>
        </is>
      </c>
      <c r="C16" t="inlineStr">
        <is>
          <t>Realign</t>
        </is>
      </c>
      <c r="D16" t="inlineStr">
        <is>
          <t>indeed</t>
        </is>
      </c>
      <c r="E16" t="inlineStr"/>
      <c r="F16" t="inlineStr"/>
      <c r="G16" t="inlineStr">
        <is>
          <t>Plano, TX, US</t>
        </is>
      </c>
      <c r="H16" s="2" t="n">
        <v>46063</v>
      </c>
      <c r="I16" t="inlineStr">
        <is>
          <t>Plano, Texas 75023 Posted February 11th, 2026
 Looking for more job opportunities? Click here!
Job Type: Full Time
Job Category: IT
Job Description
**Job Title:** Starburst Data Engineer  
**Location** – Charlotte ,NC \&amp; Plano , TX  
**FTE Only**  
Must Have Technical/Functional Skills
 Primary Skill: Starburst
Secondary: Data Virtualization Engineer, Dremio, Presto, SQL Performance Tuning, Shell Scripting, Autosys
Experience: Minimum 10 years **Roles \&amp; Responsibilities*** Demonstrated expertise in Starburst Data Virtualization, including designing and implementing data virtualization solutions, optimizing query performance across distributed data sources, and integrating Starburst with enterprise data architectures.
* Analyze data mapping documents and business requirements to design comprehensive test plans and cases.
* Perform source\-to\-target data reconciliation, check data loading, and ensure transformation rules are applied correctly.
* Write complex SQL scripts for validation (count, data completeness, data consistency, data truncation).
* Identify, log, and track data defects using tools like JIRA or HP ALM or Octane.
* Automate test scripts and validate data volume, performance, and scalability.
* Expert\-level knowledge of SQL for data analysis.
* Experience with tools such as Informatica and IDMC.
* Understanding of data warehouse concepts and architectures (e.g., star/snowflake schema).
* Familiarity with Hadoop or Spark is often preferred.
* Validate HiveQL, HDFS file structures, and data processing within the Hadoop cluster.
* Strong analytical and troubleshooting skills.
* Excellent communication for collaborating with developers and stakeholders.
Tools \&amp; Skills:
Starburst, IDMC, Informatica Power center, Hive, Kafka Knowledge
SQL, Oracle, PL/SQL
Domain: Banking knowledge, Payments knowledge preferred.
Concept: Data Virtualization, Data Warehousing, Data Transformation, ETL/ELT, Data Quality.
Required Skills
DEVOPS ENGINEER
 SENIOR EMAIL SECURITY ENGINEER</t>
        </is>
      </c>
    </row>
    <row r="17">
      <c r="A17" t="inlineStr">
        <is>
          <t>in-474b0f2c32612019</t>
        </is>
      </c>
      <c r="B17" t="inlineStr">
        <is>
          <t>Data Engineer I (US)</t>
        </is>
      </c>
      <c r="C17" t="inlineStr">
        <is>
          <t>TD Bank</t>
        </is>
      </c>
      <c r="D17" t="inlineStr">
        <is>
          <t>indeed</t>
        </is>
      </c>
      <c r="E17" t="inlineStr"/>
      <c r="F17" t="inlineStr"/>
      <c r="G17" t="inlineStr">
        <is>
          <t>Mount Laurel, NJ, US</t>
        </is>
      </c>
      <c r="H17" s="2" t="n">
        <v>46063</v>
      </c>
      <c r="I17" t="inlineStr">
        <is>
          <t>**Work Location:**
Mount Laurel, New Jersey, United States of America
**Hours:**
40
**Pay Details:**
$71,960 \- $128,220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Technology Solutions
**Job Description:**
The Data Engineer I provides a broad range of data engineering functions including data modeling, data quality, data profiling, data acquisition and ingestion, extract transform load (ETL), metadata enrichment and management, data provenance and lineage, and other specialized data management functions.
**Depth \&amp; Scope:**
* Foundational knowledge of data engineering frameworks, technologies, tools, processes, patterns, and procedures
* Performs moderately complex technical tasks independently
* Performs complex technical tasks under general supervision
* Foundational knowledge of TD applications, systems, networks, innovation, design activities, business, organization, best practices, and standards
* Designs and develops to meet business and technical requirements; analyzes, adapts, integrates, codes, tests, debugs, and executes
* Uses and evolves established patterns to solve routine problems; contributes to new patterns where necessary
**Education \&amp; Experience:**
* Degree, Postgraduate Degree, or Technical Certificate in Data Management or related discipline (e.g. Computer Science, Engineering), or equivalent practical experience
* 2\+ years of relevant experience
**Customer Accountabilities:**
* Performs data analysis and assesses data management requirements for a specific Platform or Journey
* Maintains foundational knowledge of upstream data, including knowledge provided through data profiling, data quality reporting, and via the production of metadata
* Supports the acquisition and ingestion of data
* Articulates technical design and development details to non\-technical business partners
* Elicits, analyzes, and understands business and data requirements to develop complete business solutions under the guidance of senior peers and managers, including data models (entity relationship diagrams, dimensional data models), ETL and business rules, data life\-cycle management, governance, lineage, and metadata
* Ensures data is maintained in compliance with enterprise data standards, policies, and guidelines
* Develops and maintains data models using industry standard modeling tools
* Develops and maintains ETL jobs using the Bank's standard tools
* Provides support to the development and testing teams to resolve data issues
* Supports partners and stakeholders in interpreting and analyzing data
* Builds effective working relationships to collaborate with peers and partners on personal deliverables
* Provides data governance and availability support
**Shareholder Accountabilities:**
* Coordinates with technology work teams such as ITS, ARE, etc. to ensure overall delivery success
* Supports the QA team with any data loads and data analysis/investigations as part of SIT/UAT/PAT testing
* Provides post implementation support to the production support team during the warranty period
* Executes code check\-in/ check\-out into source code repository as part of source code management
* Works closely with ITS/ ARE teams to support code packaging \&amp; deployment (CI \&amp; CD) into higher environments
* Is an active participant in the design \&amp; architecture reviews of the application
* Raises service\-now requests and works with the change management team to support release management activities
* Understands data engineering initiatives and capabilities, data governance principles and how they apply across the organization
* Ensures metadata and data lineage is captured and compatible with enterprise metadata and data management tools and processes
* Adheres to standard security coding practices to ensure application is free of most common coding vulnerabilities
* Ensures privacy, security, governance, and access controls are properly adhered to
* Ensures technical decisions, technical risks and lessons learned are clearly documented and enhancements are accordingly implemented
* Protects the interests of the organization – identifies and manages risks, and escalates non\-standard, high\-risk activities as necessary
* Adheres to internal policies/procedures and applicable regulatory guidelines
**Employee/Team Accountabilities:**
* Participates fully as a member of the team, supports a positive work environment that promotes service to the business, quality, innovation and teamwork and ensures timely communication of issues / points of interest
* Supports the team by continuously enhancing knowledge / expertise in own area and participates in knowledge transfer within the team and business unit
* Keeps current on emerging trends / developments and grows knowledge of the business, related tools and techniques
* Participates in personal performance management and development activities, including cross training within own team
* Keeps others informed and up\-to\-date about the status / progress of projects and / or all relevant or useful information related to day\-to\-day activities
* Contributes to the success of the team by willingly assisting others in the completion and performance of work activities; provides training, coaching and/or guidance as appropriate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row>
    <row r="18">
      <c r="A18" t="inlineStr">
        <is>
          <t>in-a0a8ff7b5364d59c</t>
        </is>
      </c>
      <c r="B18" t="inlineStr">
        <is>
          <t>Data Engineer</t>
        </is>
      </c>
      <c r="C18" t="inlineStr">
        <is>
          <t>540</t>
        </is>
      </c>
      <c r="D18" t="inlineStr">
        <is>
          <t>indeed</t>
        </is>
      </c>
      <c r="E18" t="inlineStr"/>
      <c r="F18" t="inlineStr"/>
      <c r="G18" t="inlineStr">
        <is>
          <t>Arlington, VA, US</t>
        </is>
      </c>
      <c r="H18" s="2" t="n">
        <v>46063</v>
      </c>
      <c r="I18" t="inlineStr">
        <is>
          <t>540 is seeking a Data Engineer to join the Advana team supporting the MHS Caduceus program. In this role, you'll help build and maintain the Financial Management Data Analytics stream supporting the Defense Health Program portfolio.
You'll work hands\-on with complex DoD and DHA data to develop scalable data products that provide actionable financial insight. This role focuses on delivering production\-ready data capabilities that support mission\-critical healthcare and financial decision\-making.
**Location**: Remote, with preference for candidates located near Arlington, VA for occasional in\-person client meetings  
**Citizenship \&amp; Clearance Requirement**: per client requirements, candidates must be U.S. Citizens with an active DoD Secret clearance  
**Education Requirement:** Bachelor's Degree  
**540 Internal Thrive Level:** Software Engineer II or III
**WHY 540?**
540 is a forward\-thinking company that the government turns to in order to \#getshitdone. We don't just talk about innovation – we deliver it. We break down barriers, build impactful technology, and solve mission\-critical problems.
**HOW YOU'LL DRIVE IMPACT**
* Develop and maintain scalable data pipelines using Spark (Python/SQL) in a Databricks environment
* Integrate and transform diverse DoD healthcare and financial datasets into production\-ready data products
* Support development of financial analytics datasets used for Defense Health Program reporting
* Monitor, troubleshoot, and optimize scheduled workflows and production data pipelines
* Implement data validation, quality checks, and governance processes
* Collaborate with engineers, analysts, and stakeholders to ensure data supports operational decision\-making
**REQUIRED SKILLS \&amp; EXPERIENCE**
* 3\+ years of data engineering or related experience
* Strong Python experience
* Experience engaging with clients and/or stakeholders
* Experience building and maintaining data pipelines and ETL processes
* Experience working with Databricks or similar modern data platforms
* Experience consuming data via APIs
* Familiarity with Git\-based development workflows
* Comfortable working in terminal / command\-line environments
* Experience with data visualization tools (Tableau or similar)
**NICE TO HAVE SKILLS \&amp; EXPERIENCE**
* AWS cloud experience
* Experience working with very large datasets (billions of records)
* Experience with Palantir Foundry
* Experience building, deploying and managing Tableau dashboards
* Experience working with Advana data environments
* GitLab experience
* Experience working with DoD systems
* Experience working with financial systems
**BENEFITS \&amp; PERKS**
* Flexible PTO \+ all Federal holidays off
* Health, dental and vision insurance plans
* Flexible Spending Account (FSA)
* 401k with employer match
* Company\-sponsored life insurance, short\- and long\-term disability
* Professional development (training, certifications, conferences)
* Paid cloud developer accounts
* Referral bonuses
* HQ office perks (parking / metro reimbursement, nitro coffee \&amp; lunches)
* Annual social events (540 Week, hackathon, charity golf tournament, etc.)
* Access to 540's Washington Capitals \&amp; Nationals tickets
**EQUAL EMPLOYMENT OPPORTUNITY (EEO)**
540's policy is to provide equal employment opportunity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9">
      <c r="A19" t="inlineStr">
        <is>
          <t>in-d53e1f26b9396b50</t>
        </is>
      </c>
      <c r="B19" t="inlineStr">
        <is>
          <t>Senior Data Engineer</t>
        </is>
      </c>
      <c r="C19" t="inlineStr">
        <is>
          <t>Thoughtworks</t>
        </is>
      </c>
      <c r="D19" t="inlineStr">
        <is>
          <t>indeed</t>
        </is>
      </c>
      <c r="E19" t="inlineStr"/>
      <c r="F19" t="inlineStr"/>
      <c r="G19" t="inlineStr">
        <is>
          <t>Remote, US</t>
        </is>
      </c>
      <c r="H19" s="2" t="n">
        <v>46063</v>
      </c>
      <c r="I19" t="inlineStr">
        <is>
          <t>Senior data engineers at Thoughtworks are engineers who build, maintain and test the software architecture and infrastructure for managing data applications. They are involved in developing core capabilities which include technical and functional data platforms. They are the anchor for functional streams of work and are accountable for timely delivery. They work on the latest big data tools, frameworks and offerings (data mesh, etc.), while also being involved in enabling credible and collaborative problem solving to execute on a strategy.
**Job responsibilities**
------------------------
* You will develop and operate modern data architecture approaches to meet key business objectives and provide end\-to\-end data solutions.
* You will develop intricate data processing pipelines, addressing clients' most challenging problems.
* You will collaborate with data scientists to design scalable implementations of their models.
* You will write clean, iterative code using TDD and leverage various continuous delivery practices to deploy, support and operate data pipelines.
* You will use different distributed storage and computing technologies from the plethora of options available.
* You will develop data models by selecting from a variety of modeling techniques and implementing the chosen data model using the appropriate technology stack.
* You will collaborate with the team on the areas of data governance, data security and data privacy.
* You will incorporate data quality into your day\-to\-day work.
**Job qualifications**
----------------------
### **Technical Skills**
* Working with data excites you; You can build and operate data pipelines, and maintain data storage, all within distributed systems.
* You have hands\-on experience of data modeling and modern data engineering tools and platforms.
* You have experience in writing clean, high\-quality code using the preferred programming language.
* You have built and deployed large\-scale data pipelines and data\-centric applications using any of the distributed storage platforms and distributed processing platforms in a production setting.
* You have experience with data visualization techniques and can communicate the insights as per the audience.
* You have experience with data\-driven approaches and can apply data security and privacy strategy to solve business problems.
* You have experience with different types of databases (i.e.: SQL, NoSQL, data lake, data schemas, etc.).
### **Professional Skills**
* You understand the importance of stakeholder management and can easily liaise between clients and other key stakeholders throughout projects, ensuring buy\-in and gaining trust along the way.
* You are resilient in ambiguous situations and can adapt your role to approach challenges from multiple perspectives.
* You don't shy away from risks or conflicts, instead you take them on and skillfully manage them.
* You are eager to coach, mentor and motivate others and you aspire to influence teammates to take positive action and accountability for their work.
* You enjoy influencing others and always advocate for technical excellence while being open to change when needed.
**Other things to know**
------------------------
### **Learning \&amp;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**About Thoughtworks**
----------------------
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
See here our AI policy.</t>
        </is>
      </c>
    </row>
    <row r="20">
      <c r="A20" t="inlineStr">
        <is>
          <t>in-a24dda86fff2918d</t>
        </is>
      </c>
      <c r="B20" t="inlineStr">
        <is>
          <t>Data Analytics Engineer</t>
        </is>
      </c>
      <c r="C20" t="inlineStr">
        <is>
          <t>Direct Travel</t>
        </is>
      </c>
      <c r="D20" t="inlineStr">
        <is>
          <t>indeed</t>
        </is>
      </c>
      <c r="E20" t="inlineStr"/>
      <c r="F20" t="inlineStr"/>
      <c r="G20" t="inlineStr">
        <is>
          <t>Remote, US</t>
        </is>
      </c>
      <c r="H20" s="2" t="n">
        <v>46057</v>
      </c>
      <c r="I20" t="inlineStr">
        <is>
          <t>**Your Expedition (Position Overview)**
Direct travel is on a journey of data transformation, and we are seeking a skilled and motivated Data Analytics Engineer to join our team to be a pivotal part of our history.
The ideal candidate will be crucial to the design, execution and delivery of a best\-in\-class global analytics platform, providing data insights and global reporting for both internal stakeholders and thousands of clients globally.
A successful candidate will have hands on experience crafting embedded analytics applications, possess a background in software engineering and understand the latest methods and techniques in provisioning key visualizations and self\-service capabilities within our data products.
In the role of an Analytics Engineer, a qualified candidate will work across engineering and data related assignments, contributing to the development of analytics products and using a data\-driven mindset to solve business problems across the organization.
**Going the Extra Mile (Responsibilities)**
* **Data Management:** Data collection and processing across various raw and unimproved data marts.
* **Reporting \&amp; Visualization:** Develop and implement key visualizations, reports, modeling and performance improving optimizations to our core data products.
* **Collaboration:** Work closely with IT and business units to understand data requirements and provide actionable insights and solutions to data problems.
* **Process Improvement:** Identify, analyze, and interpret trends or patterns in complex IT data sets to drive process improvements and policy development.
* **Analytics \&amp; Insights:** Provide key and differentiating industry insights for our customers through clear and concise analytical representations of core travel data.
**Your Passport to Success (Qualifications)**
* **Educational Background:** Bachelor's degree in information technology, Computer Science, Data Science, or a related field **or** equivalent experience.
* **Technical Proficiency:**
* + Advanced knowledge of and experience with databases of all varieties including RDBMS SQL based platforms as well as document stores.
	+ Demonstrable experience with a programming language typically used in the field of data and analytics engineering e.g. Python, R or Scala.
	+ Experience and understanding of web application development, front\-end reactive applications such as VueJS or React as well as familiarity with middle and back\-end software development methodologies.
	+ Understanding of the software development lifecycle and SCM through Git or an alternative.
* **Cloud proficiency:**
* + Experience with a cloud providers such as Amazon AWS, Azure or GCP and associated data platforms and products they provide.
* **Analytics:**
* + Full understanding of the data lifecycle, from pipeline development to warehouse architecture to reporting and analytics enablement.
	+ Senior level experience with more than one cloud\-based analytics platform such as Looker, Tableau or PowerBI.
	+ Experience developing semantic models across wide\-reaching data in sustainable and performant ways.
	+ Exposure and understanding to cloud\-based warehouse platforms such as Snowflake, DataBricks or Azure DataLake.
	+ Prior experience implementing governance and compliance related frameworks to analytics data products.
	+ Inquisitive diagnostic skills related to query and system tuning and performance.
	+ Experience building bespoke data products from the ground up that utilize analytics and business intelligence platforms in an integration manner for visuals and core functionality.
* **Communication Skills:** Strong verbal and written communication skills to effectively share findings with stakeholders.
* **Attention to Detail:** Adept at queries, report writing, and presenting findings.
**Preferred Qualifications:**
* **Experience:** Proven working experience as a data analytics engineer.
* **Platforms:** Snowflake, Looker and LookML modeling experience.
**Your Benefits Onboard**
In addition to Medical, Dental, and Vision benefits Direct Travel/ATPI offers a Total Rewards Package which includes Retirement Plans, Wellness, Rewards and Recognition, Sustainability, DE\&amp;I initiatives, and Mental Health Support.
**Embark on the next step in your career journey with Direct Travel!**
Direct Travel/ATPI is one of the fastest growing Travel Management Companies (TMC) in the world. By leveraging both the expertise of its people and innovative technology solutions, Direct Travel/ATPI enables clients to derive the greatest value from their travel program in terms of superior service, progressive technologies, and significant cost savings. Direct Travel/ATPI has offices globally and is currently ranked among the top providers on Travel Weekly's Power List. For more information, visit https://www.dt.com/about\-us/careers/
*Direct Travel/ATPI is an EOE/AA/Veteran/People with Disabilities employer*
**If you're ready to chart a new course and advance your career with the valuable moments and travel experiences that await, we welcome you to submit your resume for consideration at Direct Travel/ATPI.**
*\#LI\-Remote*</t>
        </is>
      </c>
    </row>
    <row r="21">
      <c r="A21" t="inlineStr">
        <is>
          <t>in-b76717649bc506d3</t>
        </is>
      </c>
      <c r="B21" t="inlineStr">
        <is>
          <t>Data Engineer, Denied Party Screening, AWS Compliance &amp; Security Assurance</t>
        </is>
      </c>
      <c r="C21" t="inlineStr">
        <is>
          <t>Amazon.com</t>
        </is>
      </c>
      <c r="D21" t="inlineStr">
        <is>
          <t>indeed</t>
        </is>
      </c>
      <c r="E21" t="inlineStr"/>
      <c r="F21" t="inlineStr"/>
      <c r="G21" t="inlineStr">
        <is>
          <t>Dallas, TX, US</t>
        </is>
      </c>
      <c r="H21" s="2" t="n">
        <v>46029</v>
      </c>
      <c r="I2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2">
      <c r="A22" t="inlineStr">
        <is>
          <t>in-f818d6cd051122a4</t>
        </is>
      </c>
      <c r="B22" t="inlineStr">
        <is>
          <t>Data Engineer, Denied Party Screening, AWS Compliance &amp; Security Assurance</t>
        </is>
      </c>
      <c r="C22" t="inlineStr">
        <is>
          <t>Amazon.com</t>
        </is>
      </c>
      <c r="D22" t="inlineStr">
        <is>
          <t>indeed</t>
        </is>
      </c>
      <c r="E22" t="inlineStr"/>
      <c r="F22" t="inlineStr"/>
      <c r="G22" t="inlineStr">
        <is>
          <t>Seattle, WA, US</t>
        </is>
      </c>
      <c r="H22" s="2" t="n">
        <v>46029</v>
      </c>
      <c r="I22"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3">
      <c r="A23" t="inlineStr">
        <is>
          <t>in-420bb30d6f107797</t>
        </is>
      </c>
      <c r="B23" t="inlineStr">
        <is>
          <t>Data Engineer</t>
        </is>
      </c>
      <c r="C23" t="inlineStr">
        <is>
          <t>Amazon.com</t>
        </is>
      </c>
      <c r="D23" t="inlineStr">
        <is>
          <t>indeed</t>
        </is>
      </c>
      <c r="E23" t="inlineStr"/>
      <c r="F23" t="inlineStr"/>
      <c r="G23" t="inlineStr">
        <is>
          <t>San Francisco, CA, US</t>
        </is>
      </c>
      <c r="H23" s="2" t="n">
        <v>46001</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in-3cd7578205ff505c</t>
        </is>
      </c>
      <c r="B24" t="inlineStr">
        <is>
          <t>Data Engineer</t>
        </is>
      </c>
      <c r="C24" t="inlineStr">
        <is>
          <t>Amazon.com</t>
        </is>
      </c>
      <c r="D24" t="inlineStr">
        <is>
          <t>indeed</t>
        </is>
      </c>
      <c r="E24" t="inlineStr"/>
      <c r="F24" t="inlineStr"/>
      <c r="G24" t="inlineStr">
        <is>
          <t>Seattle, WA, US</t>
        </is>
      </c>
      <c r="H24" s="2" t="n">
        <v>46001</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in-dfffb7aabdca4cef</t>
        </is>
      </c>
      <c r="B25" t="inlineStr">
        <is>
          <t>Delivery Consultant - Data Engineer, Data and Machine Learning, WWPS US Federal</t>
        </is>
      </c>
      <c r="C25" t="inlineStr">
        <is>
          <t>Amazon Web Services</t>
        </is>
      </c>
      <c r="D25" t="inlineStr">
        <is>
          <t>indeed</t>
        </is>
      </c>
      <c r="E25" t="inlineStr"/>
      <c r="F25" t="inlineStr"/>
      <c r="G25" t="inlineStr">
        <is>
          <t>Arlington, VA, US</t>
        </is>
      </c>
      <c r="H25" s="2" t="n">
        <v>45991</v>
      </c>
      <c r="I2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in-a8cef02a14994b37</t>
        </is>
      </c>
      <c r="B26" t="inlineStr">
        <is>
          <t>Delivery Consultant - Data Engineer, Data and Machine Learning, WWPS US Federal</t>
        </is>
      </c>
      <c r="C26" t="inlineStr">
        <is>
          <t>Amazon Web Services</t>
        </is>
      </c>
      <c r="D26" t="inlineStr">
        <is>
          <t>indeed</t>
        </is>
      </c>
      <c r="E26" t="inlineStr"/>
      <c r="F26" t="inlineStr"/>
      <c r="G26" t="inlineStr">
        <is>
          <t>Herndon, VA, US</t>
        </is>
      </c>
      <c r="H26" s="2" t="n">
        <v>45991</v>
      </c>
      <c r="I2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in-945aa8d0f22f9bd1</t>
        </is>
      </c>
      <c r="B27" t="inlineStr">
        <is>
          <t>Senior Data Engineer</t>
        </is>
      </c>
      <c r="C27" t="inlineStr">
        <is>
          <t>84.51°</t>
        </is>
      </c>
      <c r="D27" t="inlineStr">
        <is>
          <t>indeed</t>
        </is>
      </c>
      <c r="E27" t="inlineStr"/>
      <c r="F27" t="inlineStr"/>
      <c r="G27" t="inlineStr">
        <is>
          <t>Chicago, IL, US</t>
        </is>
      </c>
      <c r="H27" s="2" t="n">
        <v>46063</v>
      </c>
      <c r="I27"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**\*\*PLEASE NOTE****\*\***
Applicants for employment in the US must have work authorization that does not now or in the future require sponsorship of a visa for employment authorization in the United Stated and with the Kroger Family of Companies (i.e. H1\-B visa, F\-1 visa (OPT), TN visa or any other non\-immigrant status).
**Senior Data Engineer**
Cincinnati, OH or Chicago, IL
**84\.51°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Join us at 84\.51°!
As a **Senior Data Engineer**, you will have the opportunity to build solutions that ingest, transform, store, and distribute our big data to be consumed by data scientists and our products.
Our data engineers use PySpark/Python, Databricks, and other Azure based data engineering technologies and visualization tools to deliver data capabilities and services to our scientists, products, and tools.
**Responsibilities**  
Take ownership of features and drive them to completion through all phases of the entire 84\.51° SDLC. This includes internal and external facing applications as well as process improvement activities:
* Design, build, and maintain scalable, efficient, and reliable data pipelines to support data ingestion, transformation, and integration across diverse sources and destinations, using tools such as Kafka, Databricks, and similar toolsets
* Implement automated unit and integration testing
* Collaborate with architecture and lead engineers to ensure consistent development practices
* Provide mentoring to junior engineers
* Participate in retrospective reviews
* Participate in the estimation process for new work and releases
* Collaborate with other engineers to solve and bring new perspectives to complex problems
* Drive improvements in data engineering practices, procedures, and ways of working
* Embrace new technologies and an ever\-changing environment
**Requirements**
* 3\+ years proven ability of professional Data Development experience
* 2\+ years proven ability of developing with Databricks or Hadoop/HDFS
* 2\+ years of experience with PySpark/Spark
* 3\+ years of experience developing with either Python or Java
* 3\+ years of experience with SQL and NoSQL technologies.
* Full understanding of ETL concepts and Data Warehousing concepts
* Experience with Pipeline Orchestration
* Experience with CI/CD
* Experience with version control software
* Strong understanding of Agile Principles (Scrum)
* Bachelor's Degree (Computer Science, Management Information Systems, Mathematics, Business Analytics, or STEM)
**Bonus Points for experience in the following**
* Experience with Azure
* Experience with Databricks Delta Tables, Delta Lake, Delta Live Tables
* Proficient with Relational Data Modeling
* Experience with CI/CD pipelines
* Experience with Python Library Development
* Experience with Structured Streaming (Spark or otherwise)
* Experience with Kafka and/or Azure Event Hub
* Experience with Github SaaS / Github Actions
* Experience with Snowflake
* Exposure to BI Tooling (Tableau, Power BI, Cognos, etc.)
\#LI\-SSS</t>
        </is>
      </c>
    </row>
    <row r="28">
      <c r="A28" t="inlineStr">
        <is>
          <t>in-d0b8026c417b4afa</t>
        </is>
      </c>
      <c r="B28" t="inlineStr">
        <is>
          <t>Cloudera Data Engineer</t>
        </is>
      </c>
      <c r="C28" t="inlineStr">
        <is>
          <t>Elite Talent Hub</t>
        </is>
      </c>
      <c r="D28" t="inlineStr">
        <is>
          <t>indeed</t>
        </is>
      </c>
      <c r="E28">
        <f>HYPERLINK("https://www.indeed.com/viewjob?jk=d0b8026c417b4afa", "https://www.indeed.com/viewjob?jk=d0b8026c417b4afa")</f>
        <v/>
      </c>
      <c r="F28">
        <f>HYPERLINK("http://www.indeed.com/job/cloudera-data-engineer-d0b8026c417b4afa", "http://www.indeed.com/job/cloudera-data-engineer-d0b8026c417b4afa")</f>
        <v/>
      </c>
      <c r="G28" t="inlineStr">
        <is>
          <t>US</t>
        </is>
      </c>
      <c r="H28" s="3" t="n">
        <v>46064</v>
      </c>
      <c r="I28" t="inlineStr">
        <is>
          <t>**Job Summary**  
We are seeking a highly skilled Cloudera Data Engineer to join our data team. is seeking a **hands\-on Cloudera Data Engineer** to design, build, and optimize large\-scale data pipelines within the Hadoop/Cloudera ecosystem. This role focuses on ETL development, performance tuning, and maintaining secure, scalable data environments across on\-prem and cloud platforms.
**The candidate must be a United State Citizen or Green Card Holder and able to obtain Public Trust / Suitability clearance**
**Core Responsibilities**
* Design and develop **ETL data pipelines** for large datasets in Cloudera
* Manage and optimize **Hadoop/Cloudera infrastructure** for performance, reliability, and scalability
* Develop automation and workflows using **Python, Java, Scala, or Pig**
* Collaborate with data engineers, analysts, and developers to meet data requirements
* Monitor, troubleshoot, and tune environments using **Cloudera Manager and Hue**
* Leverage **generative AI coding tools** (e.g., Copilot, Codex, Claude Code) to improve productivity and code quality
**Basic Qualifications**
* **3\+ years** experience with **Hadoop technologies** (including Spark)
* Hands\-on experience with **Cloudera installation, configuration, tuning, and administration**
* Strong SQL skills (**Hive, Spark SQL, or Impala**)
* Programming experience in **Python, Java, Scala, or Pig**
* Experience using **AI\-assisted coding tools**
* Strong collaboration and communication skills
* Bachelor’s degree
* Ability to obtain **Public Trust / Suitability clearance**
**Nice to Have**
* Advanced experience with **Cloudera Manager and Hue**
* Experience supporting **both on\-prem and cloud environments**
* Exposure to **AWS and/or Azure**
* Proven ability to **optimize queries and resource utilization**
Job Types: Full\-time, Contract
Pay: $60\.00 \- $65\.00 per hour
Expected hours: 40 per week
Work Location: Remote</t>
        </is>
      </c>
    </row>
    <row r="29">
      <c r="A29" t="inlineStr">
        <is>
          <t>in-26209cc72ee26542</t>
        </is>
      </c>
      <c r="B29" t="inlineStr">
        <is>
          <t>Sr Data Engineer, Test Automation, AI/ML Systems - Remote</t>
        </is>
      </c>
      <c r="C29" t="inlineStr">
        <is>
          <t>Optum</t>
        </is>
      </c>
      <c r="D29" t="inlineStr">
        <is>
          <t>indeed</t>
        </is>
      </c>
      <c r="E29">
        <f>HYPERLINK("https://www.indeed.com/viewjob?jk=26209cc72ee26542", "https://www.indeed.com/viewjob?jk=26209cc72ee26542")</f>
        <v/>
      </c>
      <c r="F29">
        <f>HYPERLINK("https://uhg.taleo.net/careersection/10000/jobdetail.ftl?job=2344560&amp;lang=en", "https://uhg.taleo.net/careersection/10000/jobdetail.ftl?job=2344560&amp;lang=en")</f>
        <v/>
      </c>
      <c r="G29" t="inlineStr">
        <is>
          <t>Boston, MA, US</t>
        </is>
      </c>
      <c r="H29" s="3" t="n">
        <v>46063</v>
      </c>
      <c r="I29"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talented peers, comprehensive benefits and career development opportunities. Come make an impact on the communities we serve as you help us advance health equity on a global scale. Join us to start **Caring. Connecting. Growing together.**
Optum Insight partners with payers, providers, governments and life sciences companies to simplify and enhance clinical, administrative and financial processes through software\-enabled services and analytics, while advancing value\-based care. Our differentiated products, technology insights, clinical expertise and analytics support the entire health system \- ultimately delivering better experiences for consumers.
Optum Insight Technology and Engineering is a critical function in Optum Insight driving the innovation and value we provide our customers and partners. This team is focused on products, solutions, platform/enabling capability development, product development lifecycle, engineering excellence and connectivity to Optum Technology.
You'll be a part of our AI Data Engineering team. We often deliver the entire AI solution, from healthcare data integration, AI model deployment, processing, results and analytics, to the applications used for reviewing clinical data and AI results. Our projects often encompass leveraging and building cutting edge Generative AI technologies from scratch.
We have the data and resources to make an impact on a scale. When our solutions are deployed, they process millions of clinical data elements and benefit millions of patients.
We are a globally distributed and diverse team with the shared passion to improve patient outcomes, improve healthcare operations and streamline payments. We pay attention to the details to make sure we deliver quality, the first time.
You'll enjoy the flexibility to work remotely \* from anywhere within the U.S. as you take on some tough challenges. For all hires in the Minneapolis or Washington, D.C. area, you will be required to work in the office a minimum of four days per week.
 **Primary Responsibilities:**
* Design and implement automated test suites for AI/ML workflows that enables Optum to derive information from patient data in a scalable, reliable, and cost\-effective manner using AI
* Analyze clinical data and determine the best designs on how to verify the correct processing of this data
* Perform functional, regression, integration, and system testing to validate software quality
* Identify, create, and track reproducible defects using bug\-tracking tools, collaborating with developers for resolution
* Conduct performance and load testing to identify bottlenecks and measure throughput
* Integrate automated tests to our AWS and GCP accounts to achieve continuous integration (CI/CD)
* As an advocate for product quality, ensure that team members adopt agile SCRUM methodologies, perform unit tests, code reviews
* Review and contribute to engineering specifications to ensure that each feature/user story can be tested in an automated fashion
* Write integration test plans with end\-end test automation as a goal
* Mentoring a couple of mode Junior engineers who may write test cases
* Design, develop, and deploy AI\-powered solutions using no\-code, low\-code, and advanced platforms, translating business needs into scalable applications that enhance products, workflows and decision\-making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Engineering, or a related technical field
* 2\+ years of experience as an SDET using test automation tools like Selenium, Cypress or similar tools
* Experience in at least one project using API testing tools like Selenium, Pytest, Postman or similar
* Delivered at least one product hosted on a cloud platform (AWS, GCP, or Azure)
 **Preferred Qualifications:**
* Master's degree in computer science, Engineering, or a related technical field
* 4\+ years of work experience in AI/ML engineering with solid proficiency in Python programming
* AWS experience such as RDS, ALB, Redis Cache, Secret Manager, EC2, IAM
* Experience in deploying generative AI systems (LLMs, Prompts, Agentic systems)
* Experience with Rally
* Experience integrating with healthcare data systems and working with clinical data formats
* Solid communication and collaboration skills, with the ability to thrive in fast\-paced and ambiguous environments
* Solid analytical skills and ability to debug issues in complex systems
* Experience with CI/CD pipelines and infrastructure\-as\-code tools (e.g., Terraform, CloudFormation, GitHub actions, Azure DevOps)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*\#OptumTechPJ*</t>
        </is>
      </c>
    </row>
    <row r="30">
      <c r="A30" t="inlineStr">
        <is>
          <t>in-2c66bba410d3e6d2</t>
        </is>
      </c>
      <c r="B30" t="inlineStr">
        <is>
          <t>Senior Analytics Engineer</t>
        </is>
      </c>
      <c r="C30" t="inlineStr">
        <is>
          <t>EMC Insurance</t>
        </is>
      </c>
      <c r="D30" t="inlineStr">
        <is>
          <t>indeed</t>
        </is>
      </c>
      <c r="E30">
        <f>HYPERLINK("https://www.indeed.com/viewjob?jk=2c66bba410d3e6d2", "https://www.indeed.com/viewjob?jk=2c66bba410d3e6d2")</f>
        <v/>
      </c>
      <c r="F30">
        <f>HYPERLINK("https://emcins.wd5.myworkdayjobs.com/en-US/EMC_Careers/job/Des-Moines--Corporate-Office/Senior-Analytics-Engineer_R6260", "https://emcins.wd5.myworkdayjobs.com/en-US/EMC_Careers/job/Des-Moines--Corporate-Office/Senior-Analytics-Engineer_R6260")</f>
        <v/>
      </c>
      <c r="G30" t="inlineStr">
        <is>
          <t>Des Moines, IA, US</t>
        </is>
      </c>
      <c r="H30" s="3" t="n">
        <v>46063</v>
      </c>
      <c r="I30" t="inlineStr">
        <is>
          <t>At EMC, we’re all about working together to make an impact. As part of our team, you’ll have the opportunity to grow, contribute, and gain experience that matters. We strive to be caring leaders, close partners, and responsive experts—always supporting each other to do our best work. Join us, and let’s improve lives together.  
\*\*This role can be performed remotely in the Des Moines, Iowa metro area with the ability to work on\-site one day per week\*\*
Essential Functions:
Business Intelligence \&amp; Analytics Lifecycle:* Leads highly complex and enterprise\-wide business analysis activities to gather stakeholders’ reporting and dashboard requirements.
* Determines stakeholders’ objectives, important metrics and method of performance measurement.
* Develops advanced data and analytic products implementing technology best practices, guidelines and repeatable processes.
* Collaborates with business units and subject matter experts to capture complex analytical requirements.
* Maintains highly complex curated data sets and analytical solutions.
Data Modeling \&amp; Technical Design:* Leads the design of scalable and efficient complex data models optimized for analytic and business intelligence tools.
* Develops highly complex data models that support advanced analytic products.
* Provides reporting architecture services on projects and keeps a reporting reference architecture up to date for the data analytic product teams.
* Acts as liaison during IT architectural conversations to help drive new architectural needs and align with best practices.
* Serves as a subject matter expert regarding technical design, analytics lifecycle and business intelligence best practices.
Development \&amp; Implementation:* Writes highly complex code to transform raw data into clean, structured data sets including data cleansing, aggregation, and other necessary business rules and transformations.
* Translates complex business requirements into technical requirements to implement reports and dashboards created from multiple data sources.
* Determines and analyzes the data sources required for each report.
* Develops complex reporting schemas and data sets.
* Builds highly complex, including enterprise wide reports, dashboards and visualizations using business intelligence tools.
* Reviews report changes and documents to ensure proper configuration management and change controls are implemented for report development and analytic life cycle.
* Serves as a technical resource to other Analytics Engineering team members.
Communication \&amp; Collaboration:* Promotes continuous improvement through business intelligence practices.
* Partners with leadership to integrate improved business intelligence in functions’ processes, workflows, and decision\-making methods.
* Collaborates with IT leaders to increase EMC's business intelligence maturity.
* Communicates and explains the results of team deliverables to stakeholders.
* Serves as a technical expert and resource to other analytics engineers.
* Collaborates with Data Governance to help maintain analytic catalogues and metadata assets.
Innovation \&amp; Advanced Analytics:* Identifies necessary system enhancements to deploy new products and process enhancements.
* Researches and investigates new technologies and methodologies to enhance advanced analytical and operational performance, focusing on regional and/or local data source exploration and supporting advanced analytics sandboxes.
* Works cross\-functionally with Innovation to integrate Generative AI opportunities with data analytics products.
* Applies Machine Learning (ML) techniques and augmented analytics capabilities to automatically generate insights for end users.
* Analyzes current state of business intelligence maturity and identifies opportunities for improvement.
Education \&amp; Experience:* Bachelor’s degree, preferably in a computer science, analytics, or business related field or equivalent relevant experience
* Eight years of experience in data and analytics programs or related experience
* Prior experience with BI products, such as Power BI or Tableau
* Experience in semantic layer and schema designs
* Experience in descriptive statistics and preparing big data sets preferred
Knowledge, Skills \&amp; Abilities:* Superior knowledge of Cognos, Tableau, Power BI or similar product
* Strong report architecture and reference architecture skills
* Excellent Microsoft Excel skills
* Strong knowledge of database platforms such as MongoDB, Hortonworks, Azure, and AWS
* Superior knowledge of SQL, Python or R
* Excellent knowledge of SQLdbm
* Excellent ability to build processes supporting data transformation, data structures, metadata, dependency and workload management
* Advanced ability to manipulate, process and extract value from large disconnected datasets
* Excellent verbal and written communication skills and presentation skills
* Strong analytical and problem\-solving abilities
* Ability to work independently and as part of a team
* Excellent project coordination skills and attention to detail
The hiring salary range for this position will vary based on geographic location, falling within either of the following:
$100,085 \- $138,285 or $110,624 \- $152,122
A hiring range represents a subset of the full salary range. The actual salary will depend on several factors, including relevant education, skills, and experience of an applicant, geographic location, and business needs.  
For information relating to the benefits EMC Team Members receive as part of a comprehensive rewards package, please visit www.emcins.com/careers.*Our employment practices are in accordance with the laws that prohibit discrimination due to race, color, creed, sex, sexual orientation, gender identity, genetic information, religion, age, national origin or ancestry, physical or mental disability, medical condition, veteran status, active military status, citizenship status, marital status or any other consideration made unlawful by federal, state, or local laws.**All of our locations are tobacco free including in company vehicles.*</t>
        </is>
      </c>
    </row>
    <row r="31">
      <c r="A31" t="inlineStr">
        <is>
          <t>in-398b6f63771027af</t>
        </is>
      </c>
      <c r="B31" t="inlineStr">
        <is>
          <t>AI Data Engineer</t>
        </is>
      </c>
      <c r="C31" t="inlineStr">
        <is>
          <t>Zoetis</t>
        </is>
      </c>
      <c r="D31" t="inlineStr">
        <is>
          <t>indeed</t>
        </is>
      </c>
      <c r="E31">
        <f>HYPERLINK("https://www.indeed.com/viewjob?jk=398b6f63771027af", "https://www.indeed.com/viewjob?jk=398b6f63771027af")</f>
        <v/>
      </c>
      <c r="F31">
        <f>HYPERLINK("https://zoetis.wd5.myworkdayjobs.com/en-US/zoetis/job/Parsippany/AI-Data-Engineer_JR00020173", "https://zoetis.wd5.myworkdayjobs.com/en-US/zoetis/job/Parsippany/AI-Data-Engineer_JR00020173")</f>
        <v/>
      </c>
      <c r="G31" t="inlineStr">
        <is>
          <t>Parsippany-Troy Hills, NJ, US</t>
        </is>
      </c>
      <c r="H31" s="3" t="n">
        <v>46063</v>
      </c>
      <c r="I31" t="inlineStr">
        <is>
          <t>Role Description
POSITION SUMMARY
At Zoetis we are passionate about our customers and the animals in their care. We discover, develop and manufacture the world’s most innovative and effective products for animal health—medicines, vaccines, diagnostics, genetic tests, biodevices—and we are creating the next generation of integrated solutions and services to support this evolving industry. We know our people drive our success. Our colleagues are proud of our company culture and the meaningful role we play in caring for animals. The Zoetis Core Beliefs define the commitments we make to our colleagues, our customers, and our stakeholders every day. They have guided the creation of our award\-winning workplace and our proud position as a leading partner of choice in animal health.
Join our Data Analytics and Engineering (DAE) Group as an AI Data Engineer. This role is ideal for a passionate technologist eager to build modern data products and solutions powered by Databricks, Unity Catalog, Microsoft AI Foundry services such as Azure Open AI \&amp; AI search along with similar cutting\-edge AI services from other providers. You’ll design, develop, deploy, maintain and most importantly support data \&amp; AI products to deliver meaningful robust, resilient data products for our clients. AI Data engineer will report to the Data Product Architect, Analytics and Operations Lead within the Digital, Data, and Analytics organization, and execute data engineering and AI use cases in support of the digital and analytics strategy of Zoetis.
POSITION RESPONSIBILITIES
Design, Develop, Deploy, and Support Data Pipelines:  
Build, and maintain robust data pipelines to ensure efficient data flow and transformation across the enterprise. Assemble large, complex data sets that fulfill functional and business requirements, ensuring the data architecture remains optimal and scalable.
Ensure Operational Effectiveness \&amp; Support:  
Take ownership of performance, uptime, and release management for the enterprise data platform, ensuring high standards of reliability and efficiency.
Build and Support AI Solutions:  
Design, develop, deploy, maintain, and support data\-driven AI solutions that address business needs and drive innovation.
Uphold Quality and Security Standards:  
Adhere to established data analytics quality and security standards for all data and AI solutions, ensuring compliance and best practices.
EDUCATION AND EXPERIENCE
Bachelor's or master's degree from an accredited college or university in Computer Science, Statistics, Mathematics, Information Technology, Operations Research, or related field. Minimum of five years of professional experience as a Data Engineer, with demonstrated knowledge of AI implementations.
TECHNICAL SKILLS REQUIREMENTS* Azure Databricks: Expertise in designing, developing, and managing scalable data pipelines and analytics solutions using Azure Databricks. Proficiency in managing data governance, access controls, and cataloging within Databricks Unity Catalog.
* Azure Data Factory: Skilled in building, orchestrating, and monitoring data workflows and integrations with Azure Data Factory.
* AI Engineering LLMs, RAG, and Advanced Analytics: Hands\-on experience implementing, integrating, and supporting Retrieval\-Augmented Generation (RAG) based AI solutions, including expertise in prompt engineering techniques for large language models, natural language integration, using Microsoft AI Foundry services such as Azure OpenAI and Azure AI Search, as well as similar cutting‑edge AI services from other providers, including Databricks Genie and Agent Frameworks.
* Operational Support Experience: Strong experience providing operational support for enterprise data platforms and AI solutions, ensuring performance, reliability, and timely issue resolution. Exceptional problem\-solving skills, with a track record of managing complex, cross\-functional deliverables.
* Databricks Genie: Experience utilizing Databricks Genie for AI solutions in enterprise environments.
* SQL \&amp; Python Programming: Strong proficiency in SQL and Python for data engineering, analytics, and AI solution development.
* Analytical Skills: Demonstrated strong analytical abilities, with expertise in interpreting complex data and delivering actionable insights.
* Commercial domain experience and strong familiarity with ERP systems—particularly Salesforce and SAP—is preferred.
* Demonstrated ability to work effectively in cross\-functional teams, fostering a collaborative and productive work environment. Foster a positive and collaborative work environment through attitude and actions.
The US base salary range for this full\-time position is $89,000\-$128,000\. Our salary ranges are
determined by role, level, and location. The range displayed on each job posting reflects the base pay target range
for new hire salaries for the position. Within the range, individual pay is determined by work location and additional
factors, including job\-related skills, experience, and relevant education or training.  
This position is also eligible for short\-term incentive compensation
This position is also eligible for long\-term incentives  
In addition to compensation, Zoetis offers a comprehensive benefits package that supports the physical, emotional
and financial wellbeing of our colleagues and their families including healthcare and insurance benefits beginning
on day one, a 401K plan with a match and profit\-sharing contribution from Zoetis, and 4 weeks of vacation.  
Visit zoetisbenefits.com to learn more.
Full time
Regular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t>
        </is>
      </c>
    </row>
    <row r="32">
      <c r="A32" t="inlineStr">
        <is>
          <t>in-c3c14c95f2888eb9</t>
        </is>
      </c>
      <c r="B32" t="inlineStr">
        <is>
          <t>Associate Analytics Engineer</t>
        </is>
      </c>
      <c r="C32" t="inlineStr">
        <is>
          <t>Hoffmann Brothers</t>
        </is>
      </c>
      <c r="D32" t="inlineStr">
        <is>
          <t>indeed</t>
        </is>
      </c>
      <c r="E32">
        <f>HYPERLINK("https://www.indeed.com/viewjob?jk=c3c14c95f2888eb9", "https://www.indeed.com/viewjob?jk=c3c14c95f2888eb9")</f>
        <v/>
      </c>
      <c r="F32">
        <f>HYPERLINK("https://apply.workable.com/j/5F628629DA", "https://apply.workable.com/j/5F628629DA")</f>
        <v/>
      </c>
      <c r="G32" t="inlineStr">
        <is>
          <t>Maryland Heights, MO, US</t>
        </is>
      </c>
      <c r="H32" s="3" t="n">
        <v>46063</v>
      </c>
      <c r="I32" t="inlineStr">
        <is>
          <t>For over 40 years, Hoffmann Brothers has served as the premier HVAC, Plumbing, Electrical, and Appliance Repair service and installation contractor in the St Louis area. Pursuing an aggressive expansion campaign, Hoffmann Brothers is looking to expand our reach through both acquisitions and executing our proven “green field” market entry strategy.
Over the last 6 years, Hoffmann has grown from a small family business of 50 employees to a nearly 450\-team member multi\-market organization with significant aspirations for further growth. We recognize the quality of our people enables this growth and now is your chance to join our team.
We’re hiring an **Associate Analytics Engineer** to help build and scale our data ecosystem \- from raw data ingestion and transformation to relational data modeling and curated business\-ready reporting. This is a highly collaborative role that partners closely with the Director of Business Intelligence \&amp; Technology and cross\-functional stakeholders to define analytical needs, translate business requirements into technical specifications, and deliver scalable data solutions.
You will be deeply hands\-on – developing ingestion pipelines with Python, writing SQL transformations, building curated datasets, and creating standardized and customized reporting and analytical outputs. In addition to technical execution, you will play a critical role in communicating findings, documenting data logic, and ensuring alignment between business objectives and technical implementation. Your work will directly influence how performance is measured, monitored, and acted upon across the organization.
**Key Responsibilities:**
* Design, develop, and maintain data ingestion pipelines in Python to load and validate raw data within the lakehouse environment.
* Write efficient, well\-documented SQL transformations to structure and model data into relational tables optimized for analytics and reporting.
* Build and maintain curated, business\-ready datasets to support KPI tracking and cross\-functional reporting needs.
* Develop standardized dashboards and ad hoc analytical outputs in Power BI and Excel to monitor operational and financial performance.
* Use Python for data exploration, analysis, visualization, and automation of recurring business processes.
* Partner with the Director of Business Intelligence \&amp; Technology and cross\-functional stakeholders to gather requirements, define specifications, and deliver scalable data solutions.
* Document data logic, transformations, and reporting definitions to ensure clarity, governance, and long\-term maintainability.
* Monitor data quality, troubleshoot inconsistencies, and continuously improve performance and reliability across the analytics environment.
**Requirements**
* Bachelor’s degree in Computer Information Systems, MIS, Data Analytics, or related field.
* 1 \- 3 years of hands\-on experience working with Python, SQL, and modern data analytics tools in a professional environment.
* Experience building dashboards and reports in Power BI and advanced proficiency in Excel.
* Exposure to API\-based data ingestion or integrating data from external systems.
* Foundational knowledge of data modeling and data warehousing concepts, including relational structures and transformation best practices.
* Experience working with ETL/ELT workflows and structured data transformation processes.
* Strong analytical skills with experience developing and tracking KPI\-based business metrics.
* Ability to translate business requirements into technical solutions and communicate data insights clearly to both technical and non\-technical stakeholders.
* Experience with process automation using Python scripts or tools such as Power Automate.
* Strong documentation habits, problem\-solving skills, and attention to detail.
* Interest in continuing to grow technical depth in data engineering, analytics engineering, or business intelligence.
**Preferred/Bonus:**
* Experience working with Microsoft Fabric or similar lakehouse / cloud data platforms (e.g., Azure, Databricks, Snowflake).
* Familiarity with medallion architecture concepts (bronze, silver, gold) or layered data environments.
* Experience supporting operational or service\-based business KPIs (e.g., revenue, job performance, margin, productivity metrics).
* Experience working with Service Titan or similar CRM system
* Basic understanding of version control, code organization, or collaborative development practices.</t>
        </is>
      </c>
    </row>
    <row r="33">
      <c r="A33" t="inlineStr">
        <is>
          <t>in-4454df3612eb2a21</t>
        </is>
      </c>
      <c r="B33" t="inlineStr">
        <is>
          <t>Senior Analytics Engineer</t>
        </is>
      </c>
      <c r="C33" t="inlineStr">
        <is>
          <t>HawkEye 360</t>
        </is>
      </c>
      <c r="D33" t="inlineStr">
        <is>
          <t>indeed</t>
        </is>
      </c>
      <c r="E33">
        <f>HYPERLINK("https://www.indeed.com/viewjob?jk=4454df3612eb2a21", "https://www.indeed.com/viewjob?jk=4454df3612eb2a21")</f>
        <v/>
      </c>
      <c r="F33">
        <f>HYPERLINK("https://hawkeye360.applicantstack.com/x/detail/a2rlcjeq2nyx/aaac", "https://hawkeye360.applicantstack.com/x/detail/a2rlcjeq2nyx/aaac")</f>
        <v/>
      </c>
      <c r="G33" t="inlineStr">
        <is>
          <t>VA, US</t>
        </is>
      </c>
      <c r="H33" s="3" t="n">
        <v>46063</v>
      </c>
      <c r="I33" t="inlineStr">
        <is>
          <t>We are seeking a highly skilled Senior Analytics Engineer to join our centralized analytics engineering team at HawkEye 360\. This team plays a critical role in enabling data\-driven decision\-making across the organization by building robust data models, transformations, and analytics solutions. As a senior member of the team, you will work closely with stakeholders across multiple functions, such as System Operations, Customer Success, Product, and Engineering, to deliver high\-quality, scalable analytics solutions.
This role is individual contributor\-focused, requiring deep technical expertise and hands\-on experience with modern data engineering and analytics tools. You will help design and implement best practices for data modeling, transformation, and visualization, with a strong emphasis on Snowflake and dbt.
As the Senior Analytics Engineer , your main responsibilities will be:
* Develop and maintain dbt\-based data models and transformations to support analytics and reporting needs across the organization.
* Design and optimize Snowflake data warehouse structures for performance, scalability, and reliability.
* Collaborate with cross\-functional teams to understand business requirements and translate them into efficient, reusable data solutions.
* Build and maintain reusable dashboards, data products, and metrics that enable stakeholders to explore and analyze data effectively.
* Apply software engineering best practices (version control, CI/CD, testing) to analytics workflows.
* Conduct deep\-dive data analysis to answer complex business questions and provide actionable insights.
* Contribute to the evolution of the team's technical strategy by recommending improvements to data architecture, tooling, and processes.
**Your skills and qualifications:****Essential education and experience:**  
* BS or MS degree in Data Science, Computer Science, Data Engineering, or a related field.
* 5\+ years of professional experience in analytics engineering, data engineering, or data analytics.
* Expertise in Snowflake: schema design, performance tuning, and advanced SQL.
* Proficiency with dbt and git\-based workflows for data transformation and modeling.
* Strong SQL skills and experience with data modeling best practices.
* Familiarity with Python and libraries such as pandas for scripting and exploratory analysis.
* Experience building effective and reusable dashboards using tools like Tableau or similar.
* Excellent communication skills and ability to work closely with business stakeholders.
**Desirable:**  
* Hands\-on experience with additional databases or data stores (PostgreSQL, InfluxDB, Elasticsearch).
* Experience with dashboarding tools such as Grafana, Kibana, or Tableau.
* Familiarity with satellite\-based remote sensing and/or software\-defined radio
**Base Salary Range:** $130,000 \- $160,000 annually
HawkEye 360 offers a compensation package that includes a competitive base salary plus annual performance bonus and benefits. We consider many factors when determining salary offers, such as candidate's work experience, education, training \&amp; skills, as well as market and business considerations. We are also open to considering candidates with experience and qualifications at a different level than required in a job posting, which may affect the compensation package offered.
**Company Overview:**  
HawkEye 360 is delivering a revolutionary source of global knowledge based on radio frequency (RF) geospatial analytics to those working to make the world a safer place. The company operates a commercial satellite constellation that detects, geolocates, and identifies a broad range of signals \&amp; behaviors. We employ cutting edge AI techniques to equip our global customers with high\-impact insights needed to make decisions with confidence. HawkEye 360 is headquartered in Herndon, Virginia.
HawkEye 360 is committed to hiring and retaining a diverse workforce. We are proud to be an Equal Opportunity Employer, making decisions without regard to race, color, religion, sex, sexual orientation, gender identity, gender expression, marital status, national origin, age, veteran status, disability, or any other protected class.
**To all recruitment agencies:** HawkEye 360 does not accept unsolicited agency resumes. Please do not forward resumes to our jobs alias, HawkEye 360 employees or any other organization location. HawkEye 360 is not responsible for any fees related to unsolicited resumes.</t>
        </is>
      </c>
    </row>
    <row r="34">
      <c r="A34" t="inlineStr">
        <is>
          <t>in-dd7ef21885f91fda</t>
        </is>
      </c>
      <c r="B34" t="inlineStr">
        <is>
          <t>Senior Data Engineer</t>
        </is>
      </c>
      <c r="C34" t="inlineStr">
        <is>
          <t>Zeta Global</t>
        </is>
      </c>
      <c r="D34" t="inlineStr">
        <is>
          <t>indeed</t>
        </is>
      </c>
      <c r="E34">
        <f>HYPERLINK("https://www.indeed.com/viewjob?jk=dd7ef21885f91fda", "https://www.indeed.com/viewjob?jk=dd7ef21885f91fda")</f>
        <v/>
      </c>
      <c r="F34">
        <f>HYPERLINK("https://grnh.se/gabits0g4us", "https://grnh.se/gabits0g4us")</f>
        <v/>
      </c>
      <c r="G34" t="inlineStr">
        <is>
          <t>San Francisco, CA, US</t>
        </is>
      </c>
      <c r="H34" s="3" t="n">
        <v>46063</v>
      </c>
      <c r="I34"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We're looking for a Senior Data Engineer to design, build, and operate the data pipelines and aggregates that power Zeta's AdTech platform. This is a hands\-on individual contributor role focused on high\-scale batch \+ streaming data processing, reliable data products, and analytics\-ready datasets that enable prediction, agentic workflows, BI reporting, and measurement. You will partner closely with backend, ML, and product teams to deliver trusted, well\-modeled data with strong performance, quality, and observability.
**What You'll Do**
* Build data pipelines: Develop robust batch and streaming pipelines (Kafka/Kinesis) to ingest, transform, and enrich large\-scale event data (impressions, clicks, conversions, costs, identity signals).
* Create data aggregates \&amp; marts: Design and maintain curated aggregates and dimensional models for multiple consumers—prediction models, agents, BI dashboards, and measurement workflows.
* Data modeling \&amp; contracts: Define schemas, data contracts, and versioning strategies to keep downstream systems stable as sources evolve.
* Data quality \&amp; reliability: Implement validation, anomaly detection, backfills, and reconciliation to ensure completeness, correctness, and timeliness (SLAs/SLOs).
* Performance \&amp; cost optimization: Optimize compute/storage for scale (partitioning, file sizing, incremental processing, indexing), balancing latency, throughput, and cost.
* Orchestration \&amp; automation: Build repeatable workflows with scheduling/orchestration (e.g., Airflow, Dagster, Step Functions) and CI/CD for data pipelines.
* Observability for data systems: Instrument pipelines with metrics, logs, lineage, and alerting to accelerate detection and root\-cause analysis of data issues.
Security \&amp; governance: Apply least\-privilege access, PII\-aware handling, and governance controls aligned with enterprise standards.  
* 
**Qualifications**
* 5\+ years building production data pipelines and data products (batch and/or streaming) in a high\-scale environment.
* Strong experience with SQL and data modeling (dimensional modeling, star/snowflake schemas, event modeling).
* Hands\-on experience with streaming systems (Kafka preferred) and/or AWS Kinesis, including event\-driven designs.
* Proficiency in one or more languages used for data engineering (Python, Java, Scala, or Go).
* Experience with distributed data processing (Spark, Flink, or equivalent) and performance tuning at scale.
* Experience with AWS data services and cloud\-native patterns (S3, Glue/EMR, Athena, Redshift, etc. as applicable).
* Familiarity with lakehouse/table formats and large\-scale storage patterns (e.g., Parquet; Iceberg/Hudi/Delta are a plus).
* Experience with orchestration/workflow tooling (Airflow/Dagster/Step Functions) and CI/CD for data workloads.
* Strong data quality/observability practices (tests, monitoring, lineage; understanding of SLAs/SLOs).
* Experience with SQL \+ NoSQL data stores (e.g., Postgres/MySQL; DynamoDB/Cassandra/Redis) and choosing the right store per use case.
* Clear communicator and collaborator; able to work with mixed audiences and translate needs into reliable data interfaces.
**Preferred Experience**
* AdTech / programmatic advertising domain knowledge: DSP/SSP/exchange/RTB concepts and data flows.
* Experience building measurement pipelines (attribution, incrementality, lift, or experimentation analytics).
* Experience supporting ML feature stores, offline/online feature generation, or model training datasets.
* Experience with real\-time analytics stores (Druid/ClickHouse/Pinot) and high\-cardinality aggregation strategies.
* Deep knowledge of data governance/privacy, including PII handling and consent\-aware data processing.
* Open\-source contributions, publications, or conference speaking.
* BS/MS in CS/Engineering or equivalent practical experience.
**BENEFITS \&amp; PERKS**
* Unlimited PTO
* Excellent medical, dental, and vision coverage
* Employee Equity
* Employee Discounts, Virtual Wellness Classes, and Pet Insurance And more!!
**SALARY RANGE**
The salary range for this role is $165,000 \- $175,000,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
\#LI\-YW1</t>
        </is>
      </c>
    </row>
    <row r="35">
      <c r="A35" t="inlineStr">
        <is>
          <t>in-6e479d174586651f</t>
        </is>
      </c>
      <c r="B35" t="inlineStr">
        <is>
          <t>Senior Data Engineer</t>
        </is>
      </c>
      <c r="C35" t="inlineStr">
        <is>
          <t>Zeta Global</t>
        </is>
      </c>
      <c r="D35" t="inlineStr">
        <is>
          <t>indeed</t>
        </is>
      </c>
      <c r="E35">
        <f>HYPERLINK("https://www.indeed.com/viewjob?jk=6e479d174586651f", "https://www.indeed.com/viewjob?jk=6e479d174586651f")</f>
        <v/>
      </c>
      <c r="F35">
        <f>HYPERLINK("https://grnh.se/kqcgc0pc4us", "https://grnh.se/kqcgc0pc4us")</f>
        <v/>
      </c>
      <c r="G35" t="inlineStr">
        <is>
          <t>Atlanta, GA, US</t>
        </is>
      </c>
      <c r="H35" s="3" t="n">
        <v>46063</v>
      </c>
      <c r="I35"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We're looking for a Senior Data Engineer to design, build, and operate the data pipelines and aggregates that power Zeta's AdTech platform. This is a hands\-on individual contributor role focused on high\-scale batch \+ streaming data processing, reliable data products, and analytics\-ready datasets that enable prediction, agentic workflows, BI reporting, and measurement. You will partner closely with backend, ML, and product teams to deliver trusted, well\-modeled data with strong performance, quality, and observability.
**What You'll Do**
* Build data pipelines: Develop robust batch and streaming pipelines (Kafka/Kinesis) to ingest, transform, and enrich large\-scale event data (impressions, clicks, conversions, costs, identity signals).
* Create data aggregates \&amp; marts: Design and maintain curated aggregates and dimensional models for multiple consumers—prediction models, agents, BI dashboards, and measurement workflows.
* Data modeling \&amp; contracts: Define schemas, data contracts, and versioning strategies to keep downstream systems stable as sources evolve.
* Data quality \&amp; reliability: Implement validation, anomaly detection, backfills, and reconciliation to ensure completeness, correctness, and timeliness (SLAs/SLOs).
* Performance \&amp; cost optimization: Optimize compute/storage for scale (partitioning, file sizing, incremental processing, indexing), balancing latency, throughput, and cost.
* Orchestration \&amp; automation: Build repeatable workflows with scheduling/orchestration (e.g., Airflow, Dagster, Step Functions) and CI/CD for data pipelines.
* Observability for data systems: Instrument pipelines with metrics, logs, lineage, and alerting to accelerate detection and root\-cause analysis of data issues.
* Security \&amp; governance: Apply least\-privilege access, PII\-aware handling, and governance controls aligned with enterprise standards.
**Qualifications**
* 5\+ years building production data pipelines and data products (batch and/or streaming) in a high\-scale environment.
* Strong experience with SQL and data modeling (dimensional modeling, star/snowflake schemas, event modeling).
* Hands\-on experience with streaming systems (Kafka preferred) and/or AWS Kinesis, including event\-driven designs.
* Proficiency in one or more languages used for data engineering (Python, Java, Scala, or Go).
* Experience with distributed data processing (Spark, Flink, or equivalent) and performance tuning at scale.
* Experience with AWS data services and cloud\-native patterns (S3, Glue/EMR, Athena, Redshift, etc. as applicable).
* Familiarity with lakehouse/table formats and large\-scale storage patterns (e.g., Parquet; Iceberg/Hudi/Delta are a plus).
* Experience with orchestration/workflow tooling (Airflow/Dagster/Step Functions) and CI/CD for data workloads.
* Strong data quality/observability practices (tests, monitoring, lineage; understanding of SLAs/SLOs).
* Experience with SQL \+ NoSQL data stores (e.g., Postgres/MySQL; DynamoDB/Cassandra/Redis) and choosing the right store per use case.
* Clear communicator and collaborator; able to work with mixed audiences and translate needs into reliable data interfaces.
**Preferred Experience**
* AdTech / programmatic advertising domain knowledge: DSP/SSP/exchange/RTB concepts and data flows.
* Experience building measurement pipelines (attribution, incrementality, lift, or experimentation analytics).
* Experience supporting ML feature stores, offline/online feature generation, or model training datasets.
* Experience with real\-time analytics stores (Druid/ClickHouse/Pinot) and high\-cardinality aggregation strategies.
* Deep knowledge of data governance/privacy, including PII handling and consent\-aware data processing.
* Open\-source contributions, publications, or conference speaking.
* BS/MS in CS/Engineering or equivalent practical experience.
**BENEFITS \&amp; PERKS**
* Unlimited PTO
* Excellent medical, dental, and vision coverage
* Employee Equity
* Employee Discounts, Virtual Wellness Classes, and Pet Insurance And more!!
**SALARY RANGE**
The salary range for this role is $165,000 \- $175,000,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
\#LI\-YW1</t>
        </is>
      </c>
    </row>
    <row r="36">
      <c r="A36" t="inlineStr">
        <is>
          <t>in-91fb145c01ba3929</t>
        </is>
      </c>
      <c r="B36" t="inlineStr">
        <is>
          <t>Payment Analytics Engineer</t>
        </is>
      </c>
      <c r="C36" t="inlineStr">
        <is>
          <t>HighNote</t>
        </is>
      </c>
      <c r="D36" t="inlineStr">
        <is>
          <t>indeed</t>
        </is>
      </c>
      <c r="E36">
        <f>HYPERLINK("https://www.indeed.com/viewjob?jk=91fb145c01ba3929", "https://www.indeed.com/viewjob?jk=91fb145c01ba3929")</f>
        <v/>
      </c>
      <c r="F36">
        <f>HYPERLINK("https://grnh.se/l6jexxtf3us", "https://grnh.se/l6jexxtf3us")</f>
        <v/>
      </c>
      <c r="G36" t="inlineStr">
        <is>
          <t>San Francisco, CA, US</t>
        </is>
      </c>
      <c r="H36" s="3" t="n">
        <v>46063</v>
      </c>
      <c r="I36" t="inlineStr">
        <is>
          <t>**About Highnote**
------------------
Founded in 2020 by a team of leaders from Braintree, PayPal, and Lending Club, Highnote is an embedded finance company that sets the standard in modern card platform management. As an all\-in\-one card issuer processor and program management platform, we provide digital\-first organizations with the flexibility to seamlessly issue and process payment cards, embed virtual and physical card payments, and integrate ledger and wallet functionalities—empowering businesses to drive growth and profitability.
We've raised $145M\+ and have grown our team to 140\+ employees. Headquartered in San Francisco, we've managed to build one of the most advanced payments teams in the industry, with team members in 25\+ US states.
Operating through our core values of customer obsession, executional excellence, intentional inclusion, we're helping businesses grow for the future by creating the payment products demanded by tomorrow, with the ability to solve for use cases that don't exist yet.
We are fast\-moving, hands\-on, and strongly believe everyone deserves a seat at the table. We believe we're unlocking incredible opportunities that can change the future of payments, as long as we have the right people to make it happen.
**Job Description**
-------------------
As a Payment Analytics Engineer reporting to the Director of Business Intelligence, you will be a key technical partner for our Partner Operations team. Your mission is to ensure absolute data consistency across the entire payment lifecycle, protecting the company from unknown liabilities while optimizing revenue through deep interchange analysis and forecasting. While you will not be responsible for the raw ingestion of card network data, you must possess a deep understanding of the ingestion process to track and audit data as it moves through our platform. You will interpret complex card network file specifications and our internal processing logic to ensure correct reporting on every transaction.
### **What you'll be doing:**
* Network Reporting \&amp; Regulatory Compliance
* + Decipher \&amp; Map Specifications: Translate dense card network jargon into Highnote\-specific event codes and logic.
	+ Automate Periodic Reporting: Own the end\-to\-end automation of quarterly network reporting and validation, ensuring submissions meet strict compliance standards with evolving requirements.
	+ Point\-in\-Time Integrity: Architect systems to maintain rigorous point\-in\-time snapshots, ensuring data quality over time.
	+ Logic Lifecycle Management: Proactively track and incorporate quarterly network specification changes to prevent reporting gaps or inaccuracies.
* Interchange Analysis \&amp; Revenue Attribution
* + Interchange Optimization: Analyze transaction\-level data to identify revenue leakage or downgrades where transactions failed to qualify for optimal interchange rates.
	+ Granular Attribution: Build models to attribute complex network assessment fees and interchange revenue and costs back to specific customers, bin ranges, and product types.
	+ Fee Validation: Perform deep\-dives into network invoices to ensure Highnote is receiving all eligible incentives and that customer billing accurately reflects network costs.
* Strategic Modeling \&amp; Network Economics
* + Network Pricing Scenarios: Model the financial impact of bi\-annual network fee updates and pricing changes, allowing the business to adjust strategies before changes go live.
	+ Product vs. Cost Comparisons: Conduct deep\-dive analyses comparing the financial impact of different interchange qualifications to quantify product development efforts.
	+ Margin Impact Analysis: Evaluate how specific network rule changes affect overall margin and product profitability.
* Data Engineering \&amp; Upstream Influence
* + Upstream Logic Migration: Partner with core Engineering to migrate complex financial logic from downstream dashboards into upstream denormalized tables and User Defined Functions (UDFs).
	+ Dynamic Data Modeling: Design and optimize SQL/NoSQL structures that handle high\-volume transactional data and automate bin\-range table updates.
### **What we are looking for:**
* Experience: 8\+ years in data engineering, analytics, or reporting; with 5\+ years of experience in Payments and Fintech.
* Domain Expertise: Deep knowledge of payment domains, specifically card network file structures and specifications, fund movement, and interchange qualifications.
* Technical Proficiency: Expertise in SQL and Python (or Java) for building data processing jobs and automating complex reporting workflows.
* Data Modeling: Proven ability to model data structures that ensure scalability and performance in high\-volume environments.
* Attention to Detail: A zero error mindset with the ability to document and maintain workflows to support the reliability of reporting and analytics systems.
* Financial Literacy: A background in Accounting or Finance, either through formal education or professional experience, to support complex financial data tracking.
### **Bonus skills:**
* Experience with cloud platforms such as GCP or AWS.
* Knowledge of ETL/ELT pipelines and the transformation of raw data into business\-ready formats.
* Experience applying data visualization best practices to design impactful, actionable dashboards using tools like Tableau, Looker, Looker Studio, or something similar.
**Why Highnote?**
-----------------
* We're a startup that allows for our employees to truly build from the ground up and impact every layer of our organization.
* We're a team of payments obsessed individuals. While some of us come from the fintech world, some of us don't. We value the varied backgrounds and the diverse perspectives of our employees.
* We're small on hierarchy and big on growth. We're a flat organization that allows everyone to have direct exposure to our leadership team. We are looking for builders who thrive in ambiguity.
* We're backed by Oak HC/FT, Costanoa Ventures, Adams Street Partners, Westcap, and Pinegrove Venture Partners. Angel Investors include Bill Ready (CEO at Pinterest) and Renaud Laplanche (Co\-Founder \&amp; CEO of Upgrade).
### **Highnote benefits**
* Flexible Paid Time Off
* 100% healthcare coverage \+ 75% coverage for dependents
* 401k program
* Paid Parental Leave: Up to 16 weeks paid leave for the birth parent, and up to 6 weeks paid leave for the non\-birth parent
* Equity in Highnote
* Stipend to build out your home office; internet reimbursement
* At Highnote we have built a total rewards philosophy that includes fair, equitable, geo\-based compensation that is performance and potential based. Our compensation packages are competitive based on robust market research and are a combination of a cash salary, equity, and benefits. In compliance with the Equal Pay for Equal Work Act, the annual salary range for applicants is $170,000\-$220,000\.
Highnote is a diverse and inclusive company committed to growing a diverse and inclusive team. We invite people from all backgrounds and identities to apply. We do not discriminate based on gender identity or expression, sexual orientation, race, religion, age, national origin, citizenship, disability, pregnancy status, veteran status, or any other characteristics protected by US federal state or local laws, or the laws of the country or jurisdiction where you work. Additionally, we encourage everyone to share which pronouns you wish for us to use when addressing you (i.e.: she/her, he/him, they/them, etc).</t>
        </is>
      </c>
    </row>
    <row r="37">
      <c r="A37" t="inlineStr">
        <is>
          <t>in-70b9228b2eae42e7</t>
        </is>
      </c>
      <c r="B37" t="inlineStr">
        <is>
          <t>Senior Data Engineer</t>
        </is>
      </c>
      <c r="C37" t="inlineStr">
        <is>
          <t>Accelerate Learning Inc.</t>
        </is>
      </c>
      <c r="D37" t="inlineStr">
        <is>
          <t>indeed</t>
        </is>
      </c>
      <c r="E37">
        <f>HYPERLINK("https://www.indeed.com/viewjob?jk=70b9228b2eae42e7", "https://www.indeed.com/viewjob?jk=70b9228b2eae42e7")</f>
        <v/>
      </c>
      <c r="F37">
        <f>HYPERLINK("http://acceleratelearning.com/careers?gnk=job&amp;gni=8a7887a89c2fd126019c449f639e169f&amp;gns=Indeed+Free", "http://acceleratelearning.com/careers?gnk=job&amp;gni=8a7887a89c2fd126019c449f639e169f&amp;gns=Indeed+Free")</f>
        <v/>
      </c>
      <c r="G37" t="inlineStr">
        <is>
          <t>Remote, US</t>
        </is>
      </c>
      <c r="H37" s="3" t="n">
        <v>46063</v>
      </c>
      <c r="I37" t="inlineStr">
        <is>
          <t>**COMPANY OVERVIEW**  
At Accelerate Learning, we’re dedicated to engaging and inspiring STEM education for PreK\-12\. Our mission is to spark curiosity in the STEM classroom with programs designed by experienced teachers and STEM experts. Supporting over 9 million students and 750,000 teachers, we constantly adapt to educators’ needs and customer feedback to promote powerful teaching strategies that shape the future of STEM learning.
“For teachers, by teachers” is not a slogan—it’s a fact. Our award\-winning product, STEMscopes, was incubated in the classroom and developed by over 200 teachers, science experts, and science professors.  
We’re scaling rapidly and investing in cutting\-edge cloud technologies, AI, and modern software practices to bring STEM education into the future. Join us, and your work will directly shape how millions of students learn.  
**POSITION SUMMARY**  
As a Senior Data Engineer, you will play a critical role in building, evolving and operating ALI’s cloud‑native data platform.
You will build and deliver governed lakehouse systems and reliable batch and streaming data pipelines that support analytics, product intelligence, operational reporting, and customer‑facing data capabilities.  
This role requires deep experience with data engineering, distributed data processing, secure data management, and automation. You’ll collaborate closely with engineers, architects, and product teams to deliver well‑structured, reliable data solutions that advance ALI’s mission.  
**Why Accelerate Learning?**
* Purpose\-driven work: Every data product supports teachers and inspires students.
* Modern stack: Cloud\-native, serverless, data mesh, event driven, IaC, AI technologies.
* Growth opportunities: Partner with product and engineering leaders; influence architecture and standards at platform scale.
We are looking for team players who thrive in a collaborative agile environment and are eager to contribute to our mission of transforming STEM education.  
**POSITION RESPONSIBILITIES**  
Key responsibilities include:  
**Data Platform Engineering**
* Design, build, and maintain scalable batch and streaming pipelines using AWS services including AppFlow, Lambda, Kinesis, Firehose, and EventBridge
* Build and optimize SQL\-based analytical layers in Athena, including curated dimensional models (e.g., star schema) and reusable data marts
* Develop high\-quality ETL/ELT workflows using S3, dbt (SQL) and AWS Glue (PySpark)
* Maintain and extend our data mesh, including cross‑domain access policies and fine‑grained permissions
**Analytics \&amp; Visualization Enablement**
* Partner with stakeholders to deliver high\-quality datasets and semantic layers for reporting and self\-service analytics
* Support and optimize data delivery into QuickSight, ensuring performance, correctness, and usability
**Data APIs**
* Design, build, and support real‑time and batch data APIs that serve customer‑facing applications
* Ensure API\-backed data products are reliable, scalable, and secure
**Operational Excellence**
* Contribute to infrastructure automation using Pulumi (IaC) to provision and manage data platform resources
* Use Docker for containerized tooling and repeatable local/dev execution
* Proactively optimize for reliability, performance, and cost, identifying bottlenecks and driving remediation
* Implement strong operational practices: monitoring/alerting, runbooks, incident response participation, and continuous improvement
* Support secure handling of educational content and student interaction data
**Collaboration \&amp; Technical Leadership**
* Collaborate closely with engineers, analysts, product teams, and architects to translate business needs into durable data solutions
* Provide technical leadership through design reviews, mentoring, and establishing best practices and standards
**POSITION QUALIFICATIONS**
* Bachelor’s degree in Computer Science, Engineering, Data Science, or equivalent experience
* 5\+ years of professional experience in data engineering, big data, or cloud data platforms
* Proficiency in Python; advanced SQL and data modeling
* Expertise with AWS tools such as S3, Lambda, AWS Glue, and IAM
* Skilled in API development and data pipeline orchestration
* Familiarity with DevOps practices and Infrastructure as Code (e.g., Pulumi, CDK, Docker)
* Strong problem\-solving and architectural design skills, with the ability to anticipate challenges and drive long\-term solutions
* Excellent communicator with experience collaborating across engineering, product, and business stakeholders</t>
        </is>
      </c>
    </row>
    <row r="38">
      <c r="A38" t="inlineStr">
        <is>
          <t>in-de77b92d60aaec40</t>
        </is>
      </c>
      <c r="B38" t="inlineStr">
        <is>
          <t>Data Engineer</t>
        </is>
      </c>
      <c r="C38" t="inlineStr">
        <is>
          <t>Koala Health</t>
        </is>
      </c>
      <c r="D38" t="inlineStr">
        <is>
          <t>indeed</t>
        </is>
      </c>
      <c r="E38">
        <f>HYPERLINK("https://www.indeed.com/viewjob?jk=de77b92d60aaec40", "https://www.indeed.com/viewjob?jk=de77b92d60aaec40")</f>
        <v/>
      </c>
      <c r="F38">
        <f>HYPERLINK("https://jobs.lever.co/koalahealth/1defbdc8-d1e0-4454-bf58-36068e46719c?lever-source=Indeed", "https://jobs.lever.co/koalahealth/1defbdc8-d1e0-4454-bf58-36068e46719c?lever-source=Indeed")</f>
        <v/>
      </c>
      <c r="G38" t="inlineStr">
        <is>
          <t>Remote, US</t>
        </is>
      </c>
      <c r="H38" s="3" t="n">
        <v>46063</v>
      </c>
      <c r="I38" t="inlineStr">
        <is>
          <t>At Koala Health, our mission is to make managing your pet’s health simple and enjoyable. We’ve built an innovative online pharmacy that delivers pet medications and supplements in presorted pouches, directly to customers’ doors. As we continue to scale, high\-quality, reliable data is becoming increasingly critical to how we operate, measure success, and make decisions.  
The Data Engineer will take ownership of Koala Health’s data infrastructure: designing, building, and maintaining our data pipelines, models, and analytics foundation, and evolving it into a trusted, scalable platform used across the organization. Partnering closely with product, operations, growth, finance, and leadership, you will ensure data is accurate, accessible, and actionable, transforming our existing infrastructure into a reliable internal product that balances speed, quality, and long\-term maintainability.  
For this role, we’re seeking a hands\-on, highly competent, self\-directed engineer who thrives in ambiguity, enjoys building durable systems, and can operate independently without close day\-to\-day oversight.  
This is a remote position for individuals authorized to work in the United States without sponsorship.
### **What You'll Do:**
* Own and evolve Koala Health’s end\-to\-end data infrastructure, including ingestion, transformation, modeling, and delivery.
* Design and maintain reliable data pipelines from production systems (e.g., application databases, third\-party tools, vendors).Build and manage data models that support analytics, reporting, and operational use cases.
* Establish and enforce best practices for data quality, testing, monitoring, and documentation.
* Partner with stakeholders across product, operations, finance, and marketing to understand data needs and translate them into scalable solutions.
* Improve the reliability, performance, and cost\-efficiency of the data stack as the business grows.
* Own incident response and debugging for data issues, proactively identifying and resolving root causes.
* Create and maintain clear documentation so data assets are understandable and usable across the company.
* Evaluate and implement tooling improvements where it meaningfully improves developer velocity or data quality.
* Act as a thought partner to leadership on how data can better support decision\-making and operational efficiency.
### **What You'll Need:**
* 4\+ years of experience as a Data Engineer, Analytics Engineer, or in a similar role with significant end\-to\-end ownership.
* Strong SQL skills and experience building well\-structured analytical data models.
* Hands\-on experience working with cloud data warehouses, including Snowflake.
* Experience designing and operating ELT pipelines using managed tools such as Fivetran (or comparable ELT solutions).Familiarity with modern data platform orchestration and transformation frameworks (e.g., Mozart or similar).Experience enabling analytics and reporting workflows using Looker with an understanding of how data modeling impacts downstream usage.
* Solid programming experience (Python) for data pipelines and transformations.
* Experience working with cloud infrastructure (AWS, GCP, or similar).Ability to independently diagnose data quality issues, identify root causes, and implement durable fixes.
* Proven ability to work autonomously, manage priorities, and deliver high\-quality outcomes in a fast\-moving environment.
* Strong systems thinking and an instinct for building simple, reliable solutions.
* Excellent communication skills and comfort collaborating with non\-technical stakeholders.
### **Preferred:**
* Experience in healthcare/pharmacy tech, veterinary or pet\-health platforms, and/or high\-volume eCommerce/subscription businesses with strong order, fulfillment, and operational analytics needs.
* Experience treating data as a product with clear ownership and accountability.
We believe interviews are a two\-way process: you're interviewing us just as much as we're interviewing you. We respect candidates by moving quickly and communicating clearly during the process. We want to see you at your best and will take steps within reason to make that happen.  
We look forwards to meeting you! *Koala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39">
      <c r="A39" t="inlineStr">
        <is>
          <t>in-37dd1b87b0cfae80</t>
        </is>
      </c>
      <c r="B39" t="inlineStr">
        <is>
          <t>Data Engineer</t>
        </is>
      </c>
      <c r="C39" t="inlineStr">
        <is>
          <t>The DarkStar Group</t>
        </is>
      </c>
      <c r="D39" t="inlineStr">
        <is>
          <t>indeed</t>
        </is>
      </c>
      <c r="E39">
        <f>HYPERLINK("https://www.indeed.com/viewjob?jk=37dd1b87b0cfae80", "https://www.indeed.com/viewjob?jk=37dd1b87b0cfae80")</f>
        <v/>
      </c>
      <c r="F39">
        <f>HYPERLINK("https://www.grvty.com/careers/listings/data-engineer-wamvsnp3", "https://www.grvty.com/careers/listings/data-engineer-wamvsnp3")</f>
        <v/>
      </c>
      <c r="G39" t="inlineStr">
        <is>
          <t>Chantilly, VA, US</t>
        </is>
      </c>
      <c r="H39" s="3" t="n">
        <v>46063</v>
      </c>
      <c r="I39" t="inlineStr">
        <is>
          <t>**What Impact You'll Have**
Our team is charged with taking commercial and academic innovation high\-side, in domains of Artificial Intelligence / Machine Learning (AI / ML) such as Computer Vision (Image and Video Processing), Natural Language Processing (NLP), and Audio Modeling. We also bring the best ideas, tools, and approaches in technology infrastructure (AWS, DevOps, etc.) to the IC. The tech stack used is extremely broad \- anything cutting edge in the commercial market, the open source community, or the academic research community is likely involved: and if something isn't being looked at yet, you can make that happen.
This effort supports ALL missions of the Intelligence Community, including cyber\-related data science missions. A seamless group of contractor and customer personnel work to create innovations that supply customer groups with the data sets, models, algorithms, software, and infrastructure they need to increase their mission success. Management is hands off, gives the team the freedom to explore new approaches, and markets the best ideas and results to all the other IC customers.
This project regularly needs various types of people \- Data Scientists, Data / ETL Engineers, Analytic Software Engineers, Full Stack Developers, UI/UX Developers, and AWS/DevOps experts. We're particularly interested in people with any of the following experience: \- developing AI / ML models (neural networks, tree based algorithms, etc.); \- conducting data analysis in the fields of Computer Vision, NLP, or audio signal processing; \- doing data ingest and ETL into sponsor environments; or \- building data\-analytic software systems.
Work on this program takes place throughout the Reston/Herndon/Chantilly, VA area (we cannot support remote work) and requires a TS/SCI \+ Poly clearance (acceptable to this customer).
**What You'll be Owning**
GRVTY is seeking a Data Engineer with a TS/SCI \+ Poly clearance (applicable to this customer) to join one of our top projects in Chantilly, VA. This role, requires working with a team of developers, data scientists, SMEs, and cyber analysts to design, develop, build, and analyze data management systems. The data engineer will work with and analyze our client’s challenges and provide solutions by designing and implementing batch and streaming data pipelines.
**What You Must Have**
* Active TS/SCI with Polygraph Clearance
* Develop and perform ETL on large unstructured datasets.
* Experience with services including Apache Kafka, Apache Spark, and Prefect
* Experience containerizing applications using Docker and deployments on Kubernetes
* Building and maintaining CI/CD pipelines for data and platform services
* Familiarity with Linux\-based systems
* Solid understanding of DevOps principles (automation, monitoring, reliability)</t>
        </is>
      </c>
    </row>
    <row r="40">
      <c r="A40" t="inlineStr">
        <is>
          <t>in-b34c65247951fba8</t>
        </is>
      </c>
      <c r="B40" t="inlineStr">
        <is>
          <t>Data Engineer</t>
        </is>
      </c>
      <c r="C40" t="inlineStr">
        <is>
          <t>Civil &amp; Environmental Consultants, Inc.</t>
        </is>
      </c>
      <c r="D40" t="inlineStr">
        <is>
          <t>indeed</t>
        </is>
      </c>
      <c r="E40">
        <f>HYPERLINK("https://www.indeed.com/viewjob?jk=b34c65247951fba8", "https://www.indeed.com/viewjob?jk=b34c65247951fba8")</f>
        <v/>
      </c>
      <c r="F40">
        <f>HYPERLINK("https://careers-cecinc.icims.com/jobs/6157/job?utm_source=indeed_integration&amp;iis=Job%20Board&amp;iisn=Indeed&amp;indeed-apply-token=73a2d2b2a8d6d5c0a62696875eaebd669103652d3f0c2cd5445d3e66b1592b0f", "https://careers-cecinc.icims.com/jobs/6157/job?utm_source=indeed_integration&amp;iis=Job%20Board&amp;iisn=Indeed&amp;indeed-apply-token=73a2d2b2a8d6d5c0a62696875eaebd669103652d3f0c2cd5445d3e66b1592b0f")</f>
        <v/>
      </c>
      <c r="G40" t="inlineStr">
        <is>
          <t>Pittsburgh, PA, US</t>
        </is>
      </c>
      <c r="H40" s="3" t="n">
        <v>46063</v>
      </c>
      <c r="I40" t="inlineStr">
        <is>
          <t>Overview:
As a Data Engineer, you will design, build, and optimize data architectures and pipelines across Microsoft Fabric and Azure in our Pittsburgh, PA office. You will develop scalable data transformation processes using Data Factory, jupyter notebooks, and SQL, while enabling reliable, automated, and well‑governed data operations. This role plays a key part in advancing DataOps practices—including DevOps, CI/CD, and governance through Microsoft Purview—while supporting a modern analytics ecosystem. Experience with Power Automate and Copilot agents is a plus.  
At CEC, our employees enjoy a flexible/hybrid work schedule. Our comprehensive benefits package includes bonus recognition, based on performance, as well as participation in our employee stock ownership program. Additionally, we conduct mid\-year and end\-of\-year performance reviews and provide goal\-setting opportunities. **Responsibilities:*** Architect and implement Lakehouse/Warehouse solutions in Fabric (medallion patterns, Delta tables, partitioning, CDC)
* Build and orchestrate pipelines (Fabric Data Factory/Pipelines, notebooks, event\-driven patterns) with robust observability and retry logic
* Develop data products and shared semantic layers for analytics and downstream apps
* Optimize performance and cost (storage formats, Z\-order, indexing, caching, workload management)
* Implement CI/CD (Azure DevOps/GitHub) for notebooks, pipelines, and BI artifacts
* Enforce security (RBAC/ABAC), data quality checks, and privacy/compliance
* Manage Purview: collections, scans, lineage, classifications, and ownership workflows
* Collaborate with other analysts and engineers to automate operations and enable self\-service
* Provide architectural guidance and mentor junior engineers to build team capability
* Communicate technical decisions and trade\-offs clearly to stakeholders
* Lead development, configuration, and maintenance of solutions within the Microsoft Power Platform ecosystem, which may include Power Apps, Power Automate, and SharePoint. Use these tools to streamline workflows, enhance data accessibility, and improve collaboration
Qualifications:
* Bachelor’s degree in Data Science, Computer Science, or a related field. Additional experience may be substituted for education
* 5\+ years of experience as a data engineer/architect on Microsoft Fabric and Azure. Hands\-on experience with Microsoft Purview (catalog, policies, lineage)
* Python, PySpark, Spark notebooks (structured/streaming), and SQL/SQL Server
* Strong experience with ETL/ELT design, performance tuning, and workload orchestration. DevOps/CI/CD practices (branching, environments, automated testing/deploy). Experience with GIT or other code repositories is required
* Production experience with data modeling and serving layers for BI/AI
* Experience with Kafka, Event Hubs, or other real\-time streaming platforms
* Strong interpersonal, written, and oral communication skills
* Self\-motivated and directed
About Us:
We have experts! CEC is consistently ranked as a **Top 500 Design Firm and Top 200 Environmental Firm by Engineering News\-Record**. We are looking for people who enjoy using their education and experience to solve difficult technical problems and work on interesting projects. You can accomplish this while working with a team of professionals who are equally motivated to provide high levels of service to our clients and to teach you along the way.  
We have support! We have a variety of Employee Resource Groups, including CEC Community – focused on giving back to the communities in which we work; CEC Ignite – focused on helping professionals early in their careers to develop their pathway; CEC iDEA – focused on inclusion, diversity, equality, and acceptance; and CEC Women – focused on creating internal and external opportunities for women to network and leverage professional experience!  
We care about our people! People and Culture are two of the five elements of our strategic plan. When you care about your people, they will want to grow a career with you – that is our goal. CEC offers you a small\-firm work environment with large\-firm opportunities. Not only will we help you develop professionally, but we will also provide an opportunity to become an owner of the firm and share in its success.  
CEC offers a matching 401(k); profit sharing; a performance bonus; company stock; medical, dental, and vision insurance; short and long\-term disability; tuition assistance; professional development; and work\-life balance.  
CEC is an equal opportunity employer. We do not discriminate in recruiting, hiring or promotion based on race, color, religion, sex, national origin, age, disability, protected veteran status or any other basis or characteristic prohibited by applicable federal, state, or local law. **THIRD PARTY RECRUITERS**
If CEC has not expressly requested recruiting services or contractually engaged with you for recruiting services on a specific position, any resumes or candidate profiles sent to CEC shall be considered unsolicited. Therefore, any such submissions will be considered property of CEC, with no associated fees due to your firm.</t>
        </is>
      </c>
    </row>
    <row r="41">
      <c r="A41" t="inlineStr">
        <is>
          <t>in-674ea1604b85171f</t>
        </is>
      </c>
      <c r="B41" t="inlineStr">
        <is>
          <t>Hadoop Data Engineer</t>
        </is>
      </c>
      <c r="C41" t="inlineStr">
        <is>
          <t>Realign</t>
        </is>
      </c>
      <c r="D41" t="inlineStr">
        <is>
          <t>indeed</t>
        </is>
      </c>
      <c r="E41">
        <f>HYPERLINK("https://www.indeed.com/viewjob?jk=674ea1604b85171f", "https://www.indeed.com/viewjob?jk=674ea1604b85171f")</f>
        <v/>
      </c>
      <c r="F41">
        <f>HYPERLINK("https://realign-llc.com/careers/job-details/IT90039HA", "https://realign-llc.com/careers/job-details/IT90039HA")</f>
        <v/>
      </c>
      <c r="G41" t="inlineStr">
        <is>
          <t>Addison, TX, US</t>
        </is>
      </c>
      <c r="H41" s="3" t="n">
        <v>46063</v>
      </c>
      <c r="I41" t="inlineStr">
        <is>
          <t>Addison, Texas 75001 Posted February 11th, 2026
 Looking for more job opportunities? Click here!
Job Type: Full Time
Job Category: IT
Job Description
**Role: Hadoop Data Engineer****Location: Addison, TX****FTE only** **Job Description****Must Have Technical/Functional Skills** **Primary Skill: Hadoop (HDFS, Hive, Spark), Big Data ETL/ELT, Distributed Processing, MS SQL Server,****Secondary: Artificial Intelligence/ Machine learning****Experience: Minimum 10 years** **Roles \&amp; Responsibilities**
? Design and implement scalable batch and/or streaming data pipelines using Hadoop ecosystem tools.
? Develop and optimize data ingestion processes from multiple sources (RDBMS, files, APIs, logs).
? Build and maintain datasets in HDFS/Hive and ensure data quality, lineage, and governance.
? Perform performance tuning for distributed workloads (partitioning, file formats, resource management).
? Create and optimize complex queries, stored procedures, and ETL workflows in MS SQL Server.
? Collaborate with data scientists/analysts to deliver feature\-ready datasets for ML models.
? Implement monitoring and alerting for pipeline health and data SLAs.
? Document architecture, workflows, data dictionaries, and operational runbooks.
? Support production deployments, incident triage, and root cause analysis. **Required Skills \&amp; Qualifications**
? Strong hands\-on experience with Hadoop components (e.g., HDFS, Hive, YARN, MapReduce/Spark).
? Experience with data modeling and data warehousing concepts.
? Solid proficiency in MS SQL Server (T\-SQL, query optimization, indexing, stored procedures).
? Experience with ETL/ELT design patterns and job scheduling (e.g., Oozie/Airflow/Control\-M).
? Strong understanding of distributed computing concepts and performance tuning.
? Familiarity with Python/Scala/Java for data processing (any one preferred).
? Bachelor’s degree in Computer Science, Engineering, or equivalent experience.
Required Skills
DEVOPS ENGINEER
 SENIOR EMAIL SECURITY ENGINEER</t>
        </is>
      </c>
    </row>
    <row r="42">
      <c r="A42" t="inlineStr">
        <is>
          <t>in-2efdcb425c4637f7</t>
        </is>
      </c>
      <c r="B42" t="inlineStr">
        <is>
          <t>Starburst Data Engineer-3</t>
        </is>
      </c>
      <c r="C42" t="inlineStr">
        <is>
          <t>Realign</t>
        </is>
      </c>
      <c r="D42" t="inlineStr">
        <is>
          <t>indeed</t>
        </is>
      </c>
      <c r="E42">
        <f>HYPERLINK("https://www.indeed.com/viewjob?jk=2efdcb425c4637f7", "https://www.indeed.com/viewjob?jk=2efdcb425c4637f7")</f>
        <v/>
      </c>
      <c r="F42">
        <f>HYPERLINK("https://realign-llc.com/careers/job-details/IT83119ST-3", "https://realign-llc.com/careers/job-details/IT83119ST-3")</f>
        <v/>
      </c>
      <c r="G42" t="inlineStr">
        <is>
          <t>Plano, TX, US</t>
        </is>
      </c>
      <c r="H42" s="3" t="n">
        <v>46063</v>
      </c>
      <c r="I42" t="inlineStr">
        <is>
          <t>Plano, Texas 75023 Posted February 11th, 2026
 Looking for more job opportunities? Click here!
Job Type: Full Time
Job Category: IT
Job Description
**Job Title:** Starburst Data Engineer  
**Location** – Charlotte ,NC \&amp; Plano , TX  
**FTE Only**  
Must Have Technical/Functional Skills
 Primary Skill: Starburst
Secondary: Data Virtualization Engineer, Dremio, Presto, SQL Performance Tuning, Shell Scripting, Autosys
Experience: Minimum 10 years **Roles \&amp; Responsibilities*** Demonstrated expertise in Starburst Data Virtualization, including designing and implementing data virtualization solutions, optimizing query performance across distributed data sources, and integrating Starburst with enterprise data architectures.
* Analyze data mapping documents and business requirements to design comprehensive test plans and cases.
* Perform source\-to\-target data reconciliation, check data loading, and ensure transformation rules are applied correctly.
* Write complex SQL scripts for validation (count, data completeness, data consistency, data truncation).
* Identify, log, and track data defects using tools like JIRA or HP ALM or Octane.
* Automate test scripts and validate data volume, performance, and scalability.
* Expert\-level knowledge of SQL for data analysis.
* Experience with tools such as Informatica and IDMC.
* Understanding of data warehouse concepts and architectures (e.g., star/snowflake schema).
* Familiarity with Hadoop or Spark is often preferred.
* Validate HiveQL, HDFS file structures, and data processing within the Hadoop cluster.
* Strong analytical and troubleshooting skills.
* Excellent communication for collaborating with developers and stakeholders.
Tools \&amp; Skills:
Starburst, IDMC, Informatica Power center, Hive, Kafka Knowledge
SQL, Oracle, PL/SQL
Domain: Banking knowledge, Payments knowledge preferred.
Concept: Data Virtualization, Data Warehousing, Data Transformation, ETL/ELT, Data Quality.
Required Skills
DEVOPS ENGINEER
 SENIOR EMAIL SECURITY ENGINEER</t>
        </is>
      </c>
    </row>
    <row r="43">
      <c r="A43" t="inlineStr">
        <is>
          <t>in-474b0f2c32612019</t>
        </is>
      </c>
      <c r="B43" t="inlineStr">
        <is>
          <t>Data Engineer I (US)</t>
        </is>
      </c>
      <c r="C43" t="inlineStr">
        <is>
          <t>TD Bank</t>
        </is>
      </c>
      <c r="D43" t="inlineStr">
        <is>
          <t>indeed</t>
        </is>
      </c>
      <c r="E43">
        <f>HYPERLINK("https://www.indeed.com/viewjob?jk=474b0f2c32612019", "https://www.indeed.com/viewjob?jk=474b0f2c32612019")</f>
        <v/>
      </c>
      <c r="F43">
        <f>HYPERLINK("https://td.wd3.myworkdayjobs.com/en-US/TD_Bank_Careers/job/Mount-Laurel-New-Jersey/Data-Engineer-I--US-_R_1467198", "https://td.wd3.myworkdayjobs.com/en-US/TD_Bank_Careers/job/Mount-Laurel-New-Jersey/Data-Engineer-I--US-_R_1467198")</f>
        <v/>
      </c>
      <c r="G43" t="inlineStr">
        <is>
          <t>Mount Laurel, NJ, US</t>
        </is>
      </c>
      <c r="H43" s="3" t="n">
        <v>46063</v>
      </c>
      <c r="I43" t="inlineStr">
        <is>
          <t>**Work Location:**
Mount Laurel, New Jersey, United States of America
**Hours:**
40
**Pay Details:**
$71,960 \- $128,220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Technology Solutions
**Job Description:**
The Data Engineer I provides a broad range of data engineering functions including data modeling, data quality, data profiling, data acquisition and ingestion, extract transform load (ETL), metadata enrichment and management, data provenance and lineage, and other specialized data management functions.
**Depth \&amp; Scope:**
* Foundational knowledge of data engineering frameworks, technologies, tools, processes, patterns, and procedures
* Performs moderately complex technical tasks independently
* Performs complex technical tasks under general supervision
* Foundational knowledge of TD applications, systems, networks, innovation, design activities, business, organization, best practices, and standards
* Designs and develops to meet business and technical requirements; analyzes, adapts, integrates, codes, tests, debugs, and executes
* Uses and evolves established patterns to solve routine problems; contributes to new patterns where necessary
**Education \&amp; Experience:**
* Degree, Postgraduate Degree, or Technical Certificate in Data Management or related discipline (e.g. Computer Science, Engineering), or equivalent practical experience
* 2\+ years of relevant experience
**Customer Accountabilities:**
* Performs data analysis and assesses data management requirements for a specific Platform or Journey
* Maintains foundational knowledge of upstream data, including knowledge provided through data profiling, data quality reporting, and via the production of metadata
* Supports the acquisition and ingestion of data
* Articulates technical design and development details to non\-technical business partners
* Elicits, analyzes, and understands business and data requirements to develop complete business solutions under the guidance of senior peers and managers, including data models (entity relationship diagrams, dimensional data models), ETL and business rules, data life\-cycle management, governance, lineage, and metadata
* Ensures data is maintained in compliance with enterprise data standards, policies, and guidelines
* Develops and maintains data models using industry standard modeling tools
* Develops and maintains ETL jobs using the Bank's standard tools
* Provides support to the development and testing teams to resolve data issues
* Supports partners and stakeholders in interpreting and analyzing data
* Builds effective working relationships to collaborate with peers and partners on personal deliverables
* Provides data governance and availability support
**Shareholder Accountabilities:**
* Coordinates with technology work teams such as ITS, ARE, etc. to ensure overall delivery success
* Supports the QA team with any data loads and data analysis/investigations as part of SIT/UAT/PAT testing
* Provides post implementation support to the production support team during the warranty period
* Executes code check\-in/ check\-out into source code repository as part of source code management
* Works closely with ITS/ ARE teams to support code packaging \&amp; deployment (CI \&amp; CD) into higher environments
* Is an active participant in the design \&amp; architecture reviews of the application
* Raises service\-now requests and works with the change management team to support release management activities
* Understands data engineering initiatives and capabilities, data governance principles and how they apply across the organization
* Ensures metadata and data lineage is captured and compatible with enterprise metadata and data management tools and processes
* Adheres to standard security coding practices to ensure application is free of most common coding vulnerabilities
* Ensures privacy, security, governance, and access controls are properly adhered to
* Ensures technical decisions, technical risks and lessons learned are clearly documented and enhancements are accordingly implemented
* Protects the interests of the organization – identifies and manages risks, and escalates non\-standard, high\-risk activities as necessary
* Adheres to internal policies/procedures and applicable regulatory guidelines
**Employee/Team Accountabilities:**
* Participates fully as a member of the team, supports a positive work environment that promotes service to the business, quality, innovation and teamwork and ensures timely communication of issues / points of interest
* Supports the team by continuously enhancing knowledge / expertise in own area and participates in knowledge transfer within the team and business unit
* Keeps current on emerging trends / developments and grows knowledge of the business, related tools and techniques
* Participates in personal performance management and development activities, including cross training within own team
* Keeps others informed and up\-to\-date about the status / progress of projects and / or all relevant or useful information related to day\-to\-day activities
* Contributes to the success of the team by willingly assisting others in the completion and performance of work activities; provides training, coaching and/or guidance as appropriate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row>
    <row r="44">
      <c r="A44" t="inlineStr">
        <is>
          <t>in-a0a8ff7b5364d59c</t>
        </is>
      </c>
      <c r="B44" t="inlineStr">
        <is>
          <t>Data Engineer</t>
        </is>
      </c>
      <c r="C44" t="inlineStr">
        <is>
          <t>540</t>
        </is>
      </c>
      <c r="D44" t="inlineStr">
        <is>
          <t>indeed</t>
        </is>
      </c>
      <c r="E44">
        <f>HYPERLINK("https://www.indeed.com/viewjob?jk=a0a8ff7b5364d59c", "https://www.indeed.com/viewjob?jk=a0a8ff7b5364d59c")</f>
        <v/>
      </c>
      <c r="F44">
        <f>HYPERLINK("https://grnh.se/xt8icrmk3us", "https://grnh.se/xt8icrmk3us")</f>
        <v/>
      </c>
      <c r="G44" t="inlineStr">
        <is>
          <t>Arlington, VA, US</t>
        </is>
      </c>
      <c r="H44" s="3" t="n">
        <v>46063</v>
      </c>
      <c r="I44" t="inlineStr">
        <is>
          <t>540 is seeking a Data Engineer to join the Advana team supporting the MHS Caduceus program. In this role, you'll help build and maintain the Financial Management Data Analytics stream supporting the Defense Health Program portfolio.
You'll work hands\-on with complex DoD and DHA data to develop scalable data products that provide actionable financial insight. This role focuses on delivering production\-ready data capabilities that support mission\-critical healthcare and financial decision\-making.
**Location**: Remote, with preference for candidates located near Arlington, VA for occasional in\-person client meetings  
**Citizenship \&amp; Clearance Requirement**: per client requirements, candidates must be U.S. Citizens with an active DoD Secret clearance  
**Education Requirement:** Bachelor's Degree  
**540 Internal Thrive Level:** Software Engineer II or III
**WHY 540?**
540 is a forward\-thinking company that the government turns to in order to \#getshitdone. We don't just talk about innovation – we deliver it. We break down barriers, build impactful technology, and solve mission\-critical problems.
**HOW YOU'LL DRIVE IMPACT**
* Develop and maintain scalable data pipelines using Spark (Python/SQL) in a Databricks environment
* Integrate and transform diverse DoD healthcare and financial datasets into production\-ready data products
* Support development of financial analytics datasets used for Defense Health Program reporting
* Monitor, troubleshoot, and optimize scheduled workflows and production data pipelines
* Implement data validation, quality checks, and governance processes
* Collaborate with engineers, analysts, and stakeholders to ensure data supports operational decision\-making
**REQUIRED SKILLS \&amp; EXPERIENCE**
* 3\+ years of data engineering or related experience
* Strong Python experience
* Experience engaging with clients and/or stakeholders
* Experience building and maintaining data pipelines and ETL processes
* Experience working with Databricks or similar modern data platforms
* Experience consuming data via APIs
* Familiarity with Git\-based development workflows
* Comfortable working in terminal / command\-line environments
* Experience with data visualization tools (Tableau or similar)
**NICE TO HAVE SKILLS \&amp; EXPERIENCE**
* AWS cloud experience
* Experience working with very large datasets (billions of records)
* Experience with Palantir Foundry
* Experience building, deploying and managing Tableau dashboards
* Experience working with Advana data environments
* GitLab experience
* Experience working with DoD systems
* Experience working with financial systems
**BENEFITS \&amp; PERKS**
* Flexible PTO \+ all Federal holidays off
* Health, dental and vision insurance plans
* Flexible Spending Account (FSA)
* 401k with employer match
* Company\-sponsored life insurance, short\- and long\-term disability
* Professional development (training, certifications, conferences)
* Paid cloud developer accounts
* Referral bonuses
* HQ office perks (parking / metro reimbursement, nitro coffee \&amp; lunches)
* Annual social events (540 Week, hackathon, charity golf tournament, etc.)
* Access to 540's Washington Capitals \&amp; Nationals tickets
**EQUAL EMPLOYMENT OPPORTUNITY (EEO)**
540's policy is to provide equal employment opportunity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45">
      <c r="A45" t="inlineStr">
        <is>
          <t>in-d53e1f26b9396b50</t>
        </is>
      </c>
      <c r="B45" t="inlineStr">
        <is>
          <t>Senior Data Engineer</t>
        </is>
      </c>
      <c r="C45" t="inlineStr">
        <is>
          <t>Thoughtworks</t>
        </is>
      </c>
      <c r="D45" t="inlineStr">
        <is>
          <t>indeed</t>
        </is>
      </c>
      <c r="E45">
        <f>HYPERLINK("https://www.indeed.com/viewjob?jk=d53e1f26b9396b50", "https://www.indeed.com/viewjob?jk=d53e1f26b9396b50")</f>
        <v/>
      </c>
      <c r="F45">
        <f>HYPERLINK("https://grnh.se/t448k4pf1us", "https://grnh.se/t448k4pf1us")</f>
        <v/>
      </c>
      <c r="G45" t="inlineStr">
        <is>
          <t>Remote, US</t>
        </is>
      </c>
      <c r="H45" s="3" t="n">
        <v>46063</v>
      </c>
      <c r="I45" t="inlineStr">
        <is>
          <t>Senior data engineers at Thoughtworks are engineers who build, maintain and test the software architecture and infrastructure for managing data applications. They are involved in developing core capabilities which include technical and functional data platforms. They are the anchor for functional streams of work and are accountable for timely delivery. They work on the latest big data tools, frameworks and offerings (data mesh, etc.), while also being involved in enabling credible and collaborative problem solving to execute on a strategy.
**Job responsibilities**
------------------------
* You will develop and operate modern data architecture approaches to meet key business objectives and provide end\-to\-end data solutions.
* You will develop intricate data processing pipelines, addressing clients' most challenging problems.
* You will collaborate with data scientists to design scalable implementations of their models.
* You will write clean, iterative code using TDD and leverage various continuous delivery practices to deploy, support and operate data pipelines.
* You will use different distributed storage and computing technologies from the plethora of options available.
* You will develop data models by selecting from a variety of modeling techniques and implementing the chosen data model using the appropriate technology stack.
* You will collaborate with the team on the areas of data governance, data security and data privacy.
* You will incorporate data quality into your day\-to\-day work.
**Job qualifications**
----------------------
### **Technical Skills**
* Working with data excites you; You can build and operate data pipelines, and maintain data storage, all within distributed systems.
* You have hands\-on experience of data modeling and modern data engineering tools and platforms.
* You have experience in writing clean, high\-quality code using the preferred programming language.
* You have built and deployed large\-scale data pipelines and data\-centric applications using any of the distributed storage platforms and distributed processing platforms in a production setting.
* You have experience with data visualization techniques and can communicate the insights as per the audience.
* You have experience with data\-driven approaches and can apply data security and privacy strategy to solve business problems.
* You have experience with different types of databases (i.e.: SQL, NoSQL, data lake, data schemas, etc.).
### **Professional Skills**
* You understand the importance of stakeholder management and can easily liaise between clients and other key stakeholders throughout projects, ensuring buy\-in and gaining trust along the way.
* You are resilient in ambiguous situations and can adapt your role to approach challenges from multiple perspectives.
* You don't shy away from risks or conflicts, instead you take them on and skillfully manage them.
* You are eager to coach, mentor and motivate others and you aspire to influence teammates to take positive action and accountability for their work.
* You enjoy influencing others and always advocate for technical excellence while being open to change when needed.
**Other things to know**
------------------------
### **Learning \&amp;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**About Thoughtworks**
----------------------
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
See here our AI policy.</t>
        </is>
      </c>
    </row>
    <row r="46">
      <c r="A46" t="inlineStr">
        <is>
          <t>in-a24dda86fff2918d</t>
        </is>
      </c>
      <c r="B46" t="inlineStr">
        <is>
          <t>Data Analytics Engineer</t>
        </is>
      </c>
      <c r="C46" t="inlineStr">
        <is>
          <t>Direct Travel</t>
        </is>
      </c>
      <c r="D46" t="inlineStr">
        <is>
          <t>indeed</t>
        </is>
      </c>
      <c r="E46">
        <f>HYPERLINK("https://www.indeed.com/viewjob?jk=a24dda86fff2918d", "https://www.indeed.com/viewjob?jk=a24dda86fff2918d")</f>
        <v/>
      </c>
      <c r="F46">
        <f>HYPERLINK("https://recruiting.adp.com/srccsh/public/RTI.home?r=5001177436006&amp;c=2213439&amp;d=ExternalCareerSite&amp;rb=INDEED&amp;idUnique=5001177436006", "https://recruiting.adp.com/srccsh/public/RTI.home?r=5001177436006&amp;c=2213439&amp;d=ExternalCareerSite&amp;rb=INDEED&amp;idUnique=5001177436006")</f>
        <v/>
      </c>
      <c r="G46" t="inlineStr">
        <is>
          <t>Remote, US</t>
        </is>
      </c>
      <c r="H46" s="3" t="n">
        <v>46057</v>
      </c>
      <c r="I46" t="inlineStr">
        <is>
          <t>**Your Expedition (Position Overview)**
Direct travel is on a journey of data transformation, and we are seeking a skilled and motivated Data Analytics Engineer to join our team to be a pivotal part of our history.
The ideal candidate will be crucial to the design, execution and delivery of a best\-in\-class global analytics platform, providing data insights and global reporting for both internal stakeholders and thousands of clients globally.
A successful candidate will have hands on experience crafting embedded analytics applications, possess a background in software engineering and understand the latest methods and techniques in provisioning key visualizations and self\-service capabilities within our data products.
In the role of an Analytics Engineer, a qualified candidate will work across engineering and data related assignments, contributing to the development of analytics products and using a data\-driven mindset to solve business problems across the organization.
**Going the Extra Mile (Responsibilities)**
* **Data Management:** Data collection and processing across various raw and unimproved data marts.
* **Reporting \&amp; Visualization:** Develop and implement key visualizations, reports, modeling and performance improving optimizations to our core data products.
* **Collaboration:** Work closely with IT and business units to understand data requirements and provide actionable insights and solutions to data problems.
* **Process Improvement:** Identify, analyze, and interpret trends or patterns in complex IT data sets to drive process improvements and policy development.
* **Analytics \&amp; Insights:** Provide key and differentiating industry insights for our customers through clear and concise analytical representations of core travel data.
**Your Passport to Success (Qualifications)**
* **Educational Background:** Bachelor's degree in information technology, Computer Science, Data Science, or a related field **or** equivalent experience.
* **Technical Proficiency:**
* + Advanced knowledge of and experience with databases of all varieties including RDBMS SQL based platforms as well as document stores.
	+ Demonstrable experience with a programming language typically used in the field of data and analytics engineering e.g. Python, R or Scala.
	+ Experience and understanding of web application development, front\-end reactive applications such as VueJS or React as well as familiarity with middle and back\-end software development methodologies.
	+ Understanding of the software development lifecycle and SCM through Git or an alternative.
* **Cloud proficiency:**
* + Experience with a cloud providers such as Amazon AWS, Azure or GCP and associated data platforms and products they provide.
* **Analytics:**
* + Full understanding of the data lifecycle, from pipeline development to warehouse architecture to reporting and analytics enablement.
	+ Senior level experience with more than one cloud\-based analytics platform such as Looker, Tableau or PowerBI.
	+ Experience developing semantic models across wide\-reaching data in sustainable and performant ways.
	+ Exposure and understanding to cloud\-based warehouse platforms such as Snowflake, DataBricks or Azure DataLake.
	+ Prior experience implementing governance and compliance related frameworks to analytics data products.
	+ Inquisitive diagnostic skills related to query and system tuning and performance.
	+ Experience building bespoke data products from the ground up that utilize analytics and business intelligence platforms in an integration manner for visuals and core functionality.
* **Communication Skills:** Strong verbal and written communication skills to effectively share findings with stakeholders.
* **Attention to Detail:** Adept at queries, report writing, and presenting findings.
**Preferred Qualifications:**
* **Experience:** Proven working experience as a data analytics engineer.
* **Platforms:** Snowflake, Looker and LookML modeling experience.
**Your Benefits Onboard**
In addition to Medical, Dental, and Vision benefits Direct Travel/ATPI offers a Total Rewards Package which includes Retirement Plans, Wellness, Rewards and Recognition, Sustainability, DE\&amp;I initiatives, and Mental Health Support.
**Embark on the next step in your career journey with Direct Travel!**
Direct Travel/ATPI is one of the fastest growing Travel Management Companies (TMC) in the world. By leveraging both the expertise of its people and innovative technology solutions, Direct Travel/ATPI enables clients to derive the greatest value from their travel program in terms of superior service, progressive technologies, and significant cost savings. Direct Travel/ATPI has offices globally and is currently ranked among the top providers on Travel Weekly's Power List. For more information, visit https://www.dt.com/about\-us/careers/
*Direct Travel/ATPI is an EOE/AA/Veteran/People with Disabilities employer*
**If you're ready to chart a new course and advance your career with the valuable moments and travel experiences that await, we welcome you to submit your resume for consideration at Direct Travel/ATPI.**
*\#LI\-Remote*</t>
        </is>
      </c>
    </row>
    <row r="47">
      <c r="A47" t="inlineStr">
        <is>
          <t>in-b76717649bc506d3</t>
        </is>
      </c>
      <c r="B47" t="inlineStr">
        <is>
          <t>Data Engineer, Denied Party Screening, AWS Compliance &amp; Security Assurance</t>
        </is>
      </c>
      <c r="C47" t="inlineStr">
        <is>
          <t>Amazon.com</t>
        </is>
      </c>
      <c r="D47" t="inlineStr">
        <is>
          <t>indeed</t>
        </is>
      </c>
      <c r="E47">
        <f>HYPERLINK("https://www.indeed.com/viewjob?jk=b76717649bc506d3", "https://www.indeed.com/viewjob?jk=b76717649bc506d3")</f>
        <v/>
      </c>
      <c r="F47">
        <f>HYPERLINK("https://www.amazon.jobs/jobs/3160403/data-engineer-denied-party-screening-aws-compliance--security-assurance?cmpid=DA_INAD200785B", "https://www.amazon.jobs/jobs/3160403/data-engineer-denied-party-screening-aws-compliance--security-assurance?cmpid=DA_INAD200785B")</f>
        <v/>
      </c>
      <c r="G47" t="inlineStr">
        <is>
          <t>Dallas, TX, US</t>
        </is>
      </c>
      <c r="H47" s="3" t="n">
        <v>46029</v>
      </c>
      <c r="I47"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48">
      <c r="A48" t="inlineStr">
        <is>
          <t>in-f818d6cd051122a4</t>
        </is>
      </c>
      <c r="B48" t="inlineStr">
        <is>
          <t>Data Engineer, Denied Party Screening, AWS Compliance &amp; Security Assurance</t>
        </is>
      </c>
      <c r="C48" t="inlineStr">
        <is>
          <t>Amazon.com</t>
        </is>
      </c>
      <c r="D48" t="inlineStr">
        <is>
          <t>indeed</t>
        </is>
      </c>
      <c r="E48">
        <f>HYPERLINK("https://www.indeed.com/viewjob?jk=f818d6cd051122a4", "https://www.indeed.com/viewjob?jk=f818d6cd051122a4")</f>
        <v/>
      </c>
      <c r="F48">
        <f>HYPERLINK("https://www.amazon.jobs/jobs/3160403/data-engineer-denied-party-screening-aws-compliance--security-assurance?cmpid=DA_INAD200785B", "https://www.amazon.jobs/jobs/3160403/data-engineer-denied-party-screening-aws-compliance--security-assurance?cmpid=DA_INAD200785B")</f>
        <v/>
      </c>
      <c r="G48" t="inlineStr">
        <is>
          <t>Seattle, WA, US</t>
        </is>
      </c>
      <c r="H48" s="3" t="n">
        <v>46029</v>
      </c>
      <c r="I48"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49">
      <c r="A49" t="inlineStr">
        <is>
          <t>in-420bb30d6f107797</t>
        </is>
      </c>
      <c r="B49" t="inlineStr">
        <is>
          <t>Data Engineer</t>
        </is>
      </c>
      <c r="C49" t="inlineStr">
        <is>
          <t>Amazon.com</t>
        </is>
      </c>
      <c r="D49" t="inlineStr">
        <is>
          <t>indeed</t>
        </is>
      </c>
      <c r="E49">
        <f>HYPERLINK("https://www.indeed.com/viewjob?jk=420bb30d6f107797", "https://www.indeed.com/viewjob?jk=420bb30d6f107797")</f>
        <v/>
      </c>
      <c r="F49">
        <f>HYPERLINK("https://www.amazon.jobs/jobs/3141339/data-engineer?cmpid=DA_INAD200785B", "https://www.amazon.jobs/jobs/3141339/data-engineer?cmpid=DA_INAD200785B")</f>
        <v/>
      </c>
      <c r="G49" t="inlineStr">
        <is>
          <t>San Francisco, CA, US</t>
        </is>
      </c>
      <c r="H49" s="3" t="n">
        <v>46001</v>
      </c>
      <c r="I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in-3cd7578205ff505c</t>
        </is>
      </c>
      <c r="B50" t="inlineStr">
        <is>
          <t>Data Engineer</t>
        </is>
      </c>
      <c r="C50" t="inlineStr">
        <is>
          <t>Amazon.com</t>
        </is>
      </c>
      <c r="D50" t="inlineStr">
        <is>
          <t>indeed</t>
        </is>
      </c>
      <c r="E50">
        <f>HYPERLINK("https://www.indeed.com/viewjob?jk=3cd7578205ff505c", "https://www.indeed.com/viewjob?jk=3cd7578205ff505c")</f>
        <v/>
      </c>
      <c r="F50">
        <f>HYPERLINK("https://www.amazon.jobs/jobs/3141339/data-engineer?cmpid=DA_INAD200785B", "https://www.amazon.jobs/jobs/3141339/data-engineer?cmpid=DA_INAD200785B")</f>
        <v/>
      </c>
      <c r="G50" t="inlineStr">
        <is>
          <t>Seattle, WA, US</t>
        </is>
      </c>
      <c r="H50" s="3" t="n">
        <v>46001</v>
      </c>
      <c r="I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in-dfffb7aabdca4cef</t>
        </is>
      </c>
      <c r="B51" t="inlineStr">
        <is>
          <t>Delivery Consultant - Data Engineer, Data and Machine Learning, WWPS US Federal</t>
        </is>
      </c>
      <c r="C51" t="inlineStr">
        <is>
          <t>Amazon Web Services</t>
        </is>
      </c>
      <c r="D51" t="inlineStr">
        <is>
          <t>indeed</t>
        </is>
      </c>
      <c r="E51">
        <f>HYPERLINK("https://www.indeed.com/viewjob?jk=dfffb7aabdca4cef", "https://www.indeed.com/viewjob?jk=dfffb7aabdca4cef")</f>
        <v/>
      </c>
      <c r="F51">
        <f>HYPERLINK("https://www.amazon.jobs/jobs/3134583/delivery-consultant--data-engineer-data-and-machine-learning-wwps-us-federal?cmpid=DA_INAD200785B", "https://www.amazon.jobs/jobs/3134583/delivery-consultant--data-engineer-data-and-machine-learning-wwps-us-federal?cmpid=DA_INAD200785B")</f>
        <v/>
      </c>
      <c r="G51" t="inlineStr">
        <is>
          <t>Arlington, VA, US</t>
        </is>
      </c>
      <c r="H51" s="3" t="n">
        <v>45991</v>
      </c>
      <c r="I51"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in-a8cef02a14994b37</t>
        </is>
      </c>
      <c r="B52" t="inlineStr">
        <is>
          <t>Delivery Consultant - Data Engineer, Data and Machine Learning, WWPS US Federal</t>
        </is>
      </c>
      <c r="C52" t="inlineStr">
        <is>
          <t>Amazon Web Services</t>
        </is>
      </c>
      <c r="D52" t="inlineStr">
        <is>
          <t>indeed</t>
        </is>
      </c>
      <c r="E52">
        <f>HYPERLINK("https://www.indeed.com/viewjob?jk=a8cef02a14994b37", "https://www.indeed.com/viewjob?jk=a8cef02a14994b37")</f>
        <v/>
      </c>
      <c r="F52">
        <f>HYPERLINK("https://www.amazon.jobs/jobs/3134583/delivery-consultant--data-engineer-data-and-machine-learning-wwps-us-federal?cmpid=DA_INAD200785B", "https://www.amazon.jobs/jobs/3134583/delivery-consultant--data-engineer-data-and-machine-learning-wwps-us-federal?cmpid=DA_INAD200785B")</f>
        <v/>
      </c>
      <c r="G52" t="inlineStr">
        <is>
          <t>Herndon, VA, US</t>
        </is>
      </c>
      <c r="H52" s="3" t="n">
        <v>45991</v>
      </c>
      <c r="I52"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in-945aa8d0f22f9bd1</t>
        </is>
      </c>
      <c r="B53" t="inlineStr">
        <is>
          <t>Senior Data Engineer</t>
        </is>
      </c>
      <c r="C53" t="inlineStr">
        <is>
          <t>84.51°</t>
        </is>
      </c>
      <c r="D53" t="inlineStr">
        <is>
          <t>indeed</t>
        </is>
      </c>
      <c r="E53">
        <f>HYPERLINK("https://www.indeed.com/viewjob?jk=945aa8d0f22f9bd1", "https://www.indeed.com/viewjob?jk=945aa8d0f22f9bd1")</f>
        <v/>
      </c>
      <c r="F53">
        <f>HYPERLINK("https://grnh.se/c0n7k7qj2us", "https://grnh.se/c0n7k7qj2us")</f>
        <v/>
      </c>
      <c r="G53" t="inlineStr">
        <is>
          <t>Chicago, IL, US</t>
        </is>
      </c>
      <c r="H53" s="3" t="n">
        <v>46063</v>
      </c>
      <c r="I53"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**\*\*PLEASE NOTE****\*\***
Applicants for employment in the US must have work authorization that does not now or in the future require sponsorship of a visa for employment authorization in the United Stated and with the Kroger Family of Companies (i.e. H1\-B visa, F\-1 visa (OPT), TN visa or any other non\-immigrant status).
**Senior Data Engineer**
Cincinnati, OH or Chicago, IL
**84\.51°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Join us at 84\.51°!
As a **Senior Data Engineer**, you will have the opportunity to build solutions that ingest, transform, store, and distribute our big data to be consumed by data scientists and our products.
Our data engineers use PySpark/Python, Databricks, and other Azure based data engineering technologies and visualization tools to deliver data capabilities and services to our scientists, products, and tools.
**Responsibilities**  
Take ownership of features and drive them to completion through all phases of the entire 84\.51° SDLC. This includes internal and external facing applications as well as process improvement activities:
* Design, build, and maintain scalable, efficient, and reliable data pipelines to support data ingestion, transformation, and integration across diverse sources and destinations, using tools such as Kafka, Databricks, and similar toolsets
* Implement automated unit and integration testing
* Collaborate with architecture and lead engineers to ensure consistent development practices
* Provide mentoring to junior engineers
* Participate in retrospective reviews
* Participate in the estimation process for new work and releases
* Collaborate with other engineers to solve and bring new perspectives to complex problems
* Drive improvements in data engineering practices, procedures, and ways of working
* Embrace new technologies and an ever\-changing environment
**Requirements**
* 3\+ years proven ability of professional Data Development experience
* 2\+ years proven ability of developing with Databricks or Hadoop/HDFS
* 2\+ years of experience with PySpark/Spark
* 3\+ years of experience developing with either Python or Java
* 3\+ years of experience with SQL and NoSQL technologies.
* Full understanding of ETL concepts and Data Warehousing concepts
* Experience with Pipeline Orchestration
* Experience with CI/CD
* Experience with version control software
* Strong understanding of Agile Principles (Scrum)
* Bachelor's Degree (Computer Science, Management Information Systems, Mathematics, Business Analytics, or STEM)
**Bonus Points for experience in the following**
* Experience with Azure
* Experience with Databricks Delta Tables, Delta Lake, Delta Live Tables
* Proficient with Relational Data Modeling
* Experience with CI/CD pipelines
* Experience with Python Library Development
* Experience with Structured Streaming (Spark or otherwise)
* Experience with Kafka and/or Azure Event Hub
* Experience with Github SaaS / Github Actions
* Experience with Snowflake
* Exposure to BI Tooling (Tableau, Power BI, Cognos, etc.)
\#LI\-SSS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li-4342586073</t>
        </is>
      </c>
      <c r="B2" t="inlineStr">
        <is>
          <t>Data Engineer - Data Engineering</t>
        </is>
      </c>
      <c r="C2" t="inlineStr">
        <is>
          <t>Plaid</t>
        </is>
      </c>
      <c r="D2" t="inlineStr">
        <is>
          <t>linkedin</t>
        </is>
      </c>
      <c r="E2" t="inlineStr"/>
      <c r="F2" t="inlineStr"/>
      <c r="G2" t="inlineStr">
        <is>
          <t>San Francisco, CA</t>
        </is>
      </c>
      <c r="H2" t="inlineStr"/>
      <c r="I2" t="inlineStr">
        <is>
          <t>The main goal of the DE team in 2024\-25 is to build robust golden data sets to power our business goals of creating more insights based products. Making data\-driven decisions is key to Plaid's culture. To support that, we need to scale our data systems while maintaining correct and complete data. We provide tooling and guidance to teams across engineering, product, and business and help them explore our data quickly and safely to get the data insights they need, which ultimately helps Plaid serve our customers more effectively. Data Engineers heavily leverage SQL and Python to build data workflows. We use tools like DBT, Airflow, Redshift, ElasticSearch, Atlanta, and Retool to orchestrate data pipelines and define workflows. We work with engineers, product managers, business intelligence, data analysts, and many other teams to build Plaid's data strategy and a data\-first mindset. Our engineering culture is IC\-driven \-\- we favor bottom\-up ideation and empowerment of our incredibly talented team. We are looking for engineers who are motivated by creating impact for our consumers and customers, growing together as a team, shipping the MVP, and leaving things better than we found them.
 You will be in a high impact role that will directly enable business leaders to make faster and more informed business judgements based on the datasets you build. You will have the opportunity to carve out the ownership and scope of internal datasets and visualizations across Plaid which is a currently unowned area that we intend to take over and build SLAs on. You will have the opportunity to learn best practices and up\-level your technical skills from our strong DE team and from the broader Data Platform team. You will collaborate with and have strong and cross functional partnerships with literally all teams at Plaid from Engineering to Product to Marketing/Finance etc.
**Responsibilities**
* Understanding different aspects of the Plaid product and strategy to inform golden dataset choices, design and data usage principles.
* Have data quality and performance top of mind while designing datasets
* Advocating for adopting industry tools and practices at the right time
* Owning core SQL and Python data pipelines that power our data lake and data warehouse
* Well\-documented data with defined dataset quality, uptime, and usefulness.
**Qualifications**
* 2\+ years of dedicated data engineering experience, solving complex data pipeline issues at scale.
* You have experience building data models and data pipelines on top of large datasets (in the order of 500TB to petabytes)
* You value SQL as a flexible and extensible tool and are comfortable with modern SQL data orchestration tools like DBT, Mode, and Airflow.
* \[Nice to have] You have experience working with different performant warehouses and data lakes; Redshift, Snowflake, Databricks
* \[Nice to have] You have experience building and maintaining batch and real\-time pipelines using technologies like Spark, Kafka.
 $163,200 \- $223,200 a year
 The target base salary for this position ranges from $163,200/year to $223,200/year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row>
    <row r="3">
      <c r="A3" t="inlineStr">
        <is>
          <t>li-4371499041</t>
        </is>
      </c>
      <c r="B3" t="inlineStr">
        <is>
          <t>Data Engineer</t>
        </is>
      </c>
      <c r="C3" t="inlineStr">
        <is>
          <t>Koala Health</t>
        </is>
      </c>
      <c r="D3" t="inlineStr">
        <is>
          <t>linkedin</t>
        </is>
      </c>
      <c r="E3" t="inlineStr"/>
      <c r="F3" t="inlineStr"/>
      <c r="G3" t="inlineStr"/>
      <c r="H3" t="inlineStr"/>
      <c r="I3" t="inlineStr">
        <is>
          <t>At Koala Health, our mission is to make managing your pet’s health simple and enjoyable. We’ve built an innovative online pharmacy that delivers pet medications and supplements in presorted pouches, directly to customers’ doors. As we continue to scale, high\-quality, reliable data is becoming increasingly critical to how we operate, measure success, and make decisions.
 The Data Engineer will take ownership of Koala Health’s data infrastructure: designing, building, and maintaining our data pipelines, models, and analytics foundation, and evolving it into a trusted, scalable platform used across the organization. Partnering closely with product, operations, growth, finance, and leadership, you will ensure data is accurate, accessible, and actionable, transforming our existing infrastructure into a reliable internal product that balances speed, quality, and long\-term maintainability.
 For this role, we’re seeking a hands\-on, highly competent, self\-directed engineer who thrives in ambiguity, enjoys building durable systems, and can operate independently without close day\-to\-day oversight.
 This is a remote position for individuals authorized to work in the United States without sponsorship.
**What You'll Do**
* Own and evolve Koala Health’s end\-to\-end data infrastructure, including ingestion, transformation, modeling, and delivery.
* Design and maintain reliable data pipelines from production systems (e.g., application databases, third\-party tools, vendors).Build and manage data models that support analytics, reporting, and operational use cases.
* Establish and enforce best practices for data quality, testing, monitoring, and documentation.
* Partner with stakeholders across product, operations, finance, and marketing to understand data needs and translate them into scalable solutions.
* Improve the reliability, performance, and cost\-efficiency of the data stack as the business grows.
* Own incident response and debugging for data issues, proactively identifying and resolving root causes.
* Create and maintain clear documentation so data assets are understandable and usable across the company.
* Evaluate and implement tooling improvements where it meaningfully improves developer velocity or data quality.
* Act as a thought partner to leadership on how data can better support decision\-making and operational efficiency.
**What You'll Need**
* 4\+ years of experience as a Data Engineer, Analytics Engineer, or in a similar role with significant end\-to\-end ownership.
* Strong SQL skills and experience building well\-structured analytical data models.
* Hands\-on experience working with cloud data warehouses, including Snowflake.
* Experience designing and operating ELT pipelines using managed tools such as Fivetran (or comparable ELT solutions).Familiarity with modern data platform orchestration and transformation frameworks (e.g., Mozart or similar).Experience enabling analytics and reporting workflows using Looker with an understanding of how data modeling impacts downstream usage.
* Solid programming experience (Python) for data pipelines and transformations.
* Experience working with cloud infrastructure (AWS, GCP, or similar).Ability to independently diagnose data quality issues, identify root causes, and implement durable fixes.
* Proven ability to work autonomously, manage priorities, and deliver high\-quality outcomes in a fast\-moving environment.
* Strong systems thinking and an instinct for building simple, reliable solutions.
* Excellent communication skills and comfort collaborating with non\-technical stakeholders.
**Preferred**
* Experience in healthcare/pharmacy tech, veterinary or pet\-health platforms, and/or high\-volume eCommerce/subscription businesses with strong order, fulfillment, and operational analytics needs.
* Experience treating data as a product with clear ownership and accountability.
 $125,000 \- $150,000 a year
 We believe interviews are a two\-way process: you're interviewing us just as much as we're interviewing you. We respect candidates by moving quickly and communicating clearly during the process. We want to see you at your best and will take steps within reason to make that happen.
 We look forwards to meeting you!
*Koala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4">
      <c r="A4" t="inlineStr">
        <is>
          <t>li-4371472672</t>
        </is>
      </c>
      <c r="B4" t="inlineStr">
        <is>
          <t>Data Engineer</t>
        </is>
      </c>
      <c r="C4" t="inlineStr">
        <is>
          <t>Microsoft</t>
        </is>
      </c>
      <c r="D4" t="inlineStr">
        <is>
          <t>linkedin</t>
        </is>
      </c>
      <c r="E4" t="inlineStr"/>
      <c r="F4" t="inlineStr"/>
      <c r="G4" t="inlineStr">
        <is>
          <t>Redmond, WA</t>
        </is>
      </c>
      <c r="H4" t="inlineStr"/>
      <c r="I4" t="inlineStr">
        <is>
          <t>**Overview**
 Join Microsoft’s Microsoft 365 Growth \+ Experiences FastTrack Data Engineering team, the architects behind MIDAS (Microsoft Intelligent Data Analytics System)—the backbone powering 30\+ business applications, self\-service analytics, and AI\-driven insights. Our mission is to deliver a single source of truth and version for data, eliminating redundancies and duplications by applying FastTrack’s unique business rules centrally. This unified approach transforms traditional deployment experiences into reliable, data\-driven, personalized, automated, AI\-powered onboarding services for delivery and partner personas.
 As a
 **Data Engineer** 
 , you’ll design, build, and optimize data solutions—including but not limited to transactional and star/snowflake data models, data engineering pipelines —that accelerate customer success, enable M365 Copilot and E5 solution deployment and adoption, and support strategic decision\-making across the Microsoft ecosystem. You’ll thrive in a collaborative, growth\-mindset environment, partnering with engineering, product, delivery, partner, and business teams to deliver secure, scalable, and innovative data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\&amp; Develop: Build and optimize data pipelines, models, and storage solutions using technologies like SQL, Azure Synapse, Fabric, Data Factory and GenAI.
* End\-to\-End Ownership: Align discrete tasks into complete technical solutions for data ingestion, transformation, and provisioning.
* Collaboration: Work closely with PMs, software engineers, and business stakeholders to deliver secure, scalable, and efficient data solutions.
* Quality \&amp; Testing: Implement unit and integration testing, CI/CD pipelines, and ensure compliance with security and privacy standards.
* Continuous Improvement: Review module/feature issues, identify opportunities for optimization, and proactively resolve problems before they escalate.
* Documentation: Create design documents, data models, and operational runbooks for maintainability and transparency.
**Qualifications**
**Required Qualifications:**
*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 OR equivalent experience.
**Preferred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5\+ years experience in business analytics, data science, software development, data modeling, or data engineering OR equivalent experience.
* 1\+ year(s) experience with data governance, data compliance and/or data security.
* Experience with Microsoft data stack (Azure, Fabric, Synapse, Data Factory, Databricks, Power BI, GenAI, Copilot, Agent).
* Knowledge of AI/ML/GenAI data workflows and analytics.
* Exposure to large\-scale telemetry, customer health, enterprise data platform/warehouse or business intelligence systems.
* Demonstrated growth mindset and commitment to diversity and inclusion.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
      <c r="A5" t="inlineStr">
        <is>
          <t>li-4371466035</t>
        </is>
      </c>
      <c r="B5" t="inlineStr">
        <is>
          <t>Data Engineer</t>
        </is>
      </c>
      <c r="C5" t="inlineStr">
        <is>
          <t>540</t>
        </is>
      </c>
      <c r="D5" t="inlineStr">
        <is>
          <t>linkedin</t>
        </is>
      </c>
      <c r="E5" t="inlineStr"/>
      <c r="F5" t="inlineStr"/>
      <c r="G5" t="inlineStr">
        <is>
          <t>Arlington, VA</t>
        </is>
      </c>
      <c r="H5" t="inlineStr"/>
      <c r="I5" t="inlineStr">
        <is>
          <t>540 is seeking a Data Engineer to join the Advana team supporting the MHS Caduceus program. In this role, you'll help build and maintain the Financial Management Data Analytics stream supporting the Defense Health Program portfolio.
 You'll work hands\-on with complex DoD and DHA data to develop scalable data products that provide actionable financial insight. This role focuses on delivering production\-ready data capabilities that support mission\-critical healthcare and financial decision\-making.
**Location** 
 : Remote, with preference for candidates located near Arlington, VA for occasional in\-person client meetings
**Citizenship \&amp; Clearance Requirement** 
 : per client requirements, candidates must be U.S. Citizens with an active DoD Secret clearance
**Education Requirement:** 
 Bachelor's Degree
**540 Internal Thrive Level:** 
 Software Engineer II or III
**WHY 540?**
 540 is a forward\-thinking company that the government turns to in order to \#getshitdone. We don't just talk about innovation – we deliver it. We break down barriers, build impactful technology, and solve mission\-critical problems.
**HOW YOU'LL DRIVE IMPACT**
* Develop and maintain scalable data pipelines using Spark (Python/SQL) in a Databricks environment
* Integrate and transform diverse DoD healthcare and financial datasets into production\-ready data products
* Support development of financial analytics datasets used for Defense Health Program reporting
* Monitor, troubleshoot, and optimize scheduled workflows and production data pipelines
* Implement data validation, quality checks, and governance processes
* Collaborate with engineers, analysts, and stakeholders to ensure data supports operational decision\-making
**REQUIRED SKILLS \&amp; EXPERIENCE**
* 3\+ years of data engineering or related experience
* Strong Python experience
* Experience engaging with clients and/or stakeholders
* Experience building and maintaining data pipelines and ETL processes
* Experience working with Databricks or similar modern data platforms
* Experience consuming data via APIs
* Familiarity with Git\-based development workflows
* Comfortable working in terminal / command\-line environments
* Experience with data visualization tools (Tableau or similar)
**NICE TO HAVE SKILLS \&amp; EXPERIENCE**
* AWS cloud experience
* Experience working with very large datasets (billions of records)
* Experience with Palantir Foundry
* Experience building, deploying and managing Tableau dashboards
* Experience working with Advana data environments
* GitLab experience
* Experience working with DoD systems
* Experience working with financial systems
**BENEFITS \&amp; PERKS**
* Flexible PTO \+ all Federal holidays off
* Health, dental and vision insurance plans
* Flexible Spending Account (FSA)
* 401k with employer match
* Company\-sponsored life insurance, short\- and long\-term disability
* Professional development (training, certifications, conferences)
* Paid cloud developer accounts
* Referral bonuses
* HQ office perks (parking / metro reimbursement, nitro coffee \&amp; lunches)
* Annual social events (540 Week, hackathon, charity golf tournament, etc.)
* Access to 540's Washington Capitals \&amp; Nationals tickets
**EQUAL EMPLOYMENT OPPORTUNITY (EEO)**
 540's policy is to provide equal employment opportunity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6">
      <c r="A6" t="inlineStr">
        <is>
          <t>li-4371169945</t>
        </is>
      </c>
      <c r="B6" t="inlineStr">
        <is>
          <t>Senior Data Engineer</t>
        </is>
      </c>
      <c r="C6" t="inlineStr">
        <is>
          <t>Zeta Global</t>
        </is>
      </c>
      <c r="D6" t="inlineStr">
        <is>
          <t>linkedin</t>
        </is>
      </c>
      <c r="E6" t="inlineStr"/>
      <c r="F6" t="inlineStr"/>
      <c r="G6" t="inlineStr">
        <is>
          <t>San Francisco, CA</t>
        </is>
      </c>
      <c r="H6" t="inlineStr"/>
      <c r="I6"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We’re looking for a Senior Data Engineer to design, build, and operate the data pipelines and aggregates that power Zeta’s AdTech platform. This is a hands\-on individual contributor role focused on high\-scale batch \+ streaming data processing, reliable data products, and analytics\-ready datasets that enable prediction, agentic workflows, BI reporting, and measurement. You will partner closely with backend, ML, and product teams to deliver trusted, well\-modeled data with strong performance, quality, and observability.
**What You’ll Do**
* Build data pipelines: Develop robust batch and streaming pipelines (Kafka/Kinesis) to ingest, transform, and enrich large\-scale event data (impressions, clicks, conversions, costs, identity signals).
* Create data aggregates \&amp; marts: Design and maintain curated aggregates and dimensional models for multiple consumers—prediction models, agents, BI dashboards, and measurement workflows.
* Data modeling \&amp; contracts: Define schemas, data contracts, and versioning strategies to keep downstream systems stable as sources evolve.
* Data quality \&amp; reliability: Implement validation, anomaly detection, backfills, and reconciliation to ensure completeness, correctness, and timeliness (SLAs/SLOs).
* Performance \&amp; cost optimization: Optimize compute/storage for scale (partitioning, file sizing, incremental processing, indexing), balancing latency, throughput, and cost.
* Orchestration \&amp; automation: Build repeatable workflows with scheduling/orchestration (e.g., Airflow, Dagster, Step Functions) and CI/CD for data pipelines.
* Observability for data systems: Instrument pipelines with metrics, logs, lineage, and alerting to accelerate detection and root\-cause analysis of data issues.
* Security \&amp; governance: Apply least\-privilege access, PII\-aware handling, and governance controls aligned with enterprise standards.
**Qualifications**
* 5\+ years building production data pipelines and data products (batch and/or streaming) in a high\-scale environment.
* Strong experience with SQL and data modeling (dimensional modeling, star/snowflake schemas, event modeling).
* Hands\-on experience with streaming systems (Kafka preferred) and/or AWS Kinesis, including event\-driven designs.
* Proficiency in one or more languages used for data engineering (Python, Java, Scala, or Go).
* Experience with distributed data processing (Spark, Flink, or equivalent) and performance tuning at scale.
* Experience with AWS data services and cloud\-native patterns (S3, Glue/EMR, Athena, Redshift, etc. as applicable).
* Familiarity with lakehouse/table formats and large\-scale storage patterns (e.g., Parquet; Iceberg/Hudi/Delta are a plus).
* Experience with orchestration/workflow tooling (Airflow/Dagster/Step Functions) and CI/CD for data workloads.
* Strong data quality/observability practices (tests, monitoring, lineage; understanding of SLAs/SLOs).
* Experience with SQL \+ NoSQL data stores (e.g., Postgres/MySQL; DynamoDB/Cassandra/Redis) and choosing the right store per use case.
* Clear communicator and collaborator; able to work with mixed audiences and translate needs into reliable data interfaces.
**Preferred Experience**
* AdTech / programmatic advertising domain knowledge: DSP/SSP/exchange/RTB concepts and data flows.
* Experience building measurement pipelines (attribution, incrementality, lift, or experimentation analytics).
* Experience supporting ML feature stores, offline/online feature generation, or model training datasets.
* Experience with real\-time analytics stores (Druid/ClickHouse/Pinot) and high\-cardinality aggregation strategies.
* Deep knowledge of data governance/privacy, including PII handling and consent\-aware data processing.
* Open\-source contributions, publications, or conference speaking.
* BS/MS in CS/Engineering or equivalent practical experience.
**BENEFITS \&amp; PERKS** 
* Unlimited PTO
* Excellent medical, dental, and vision coverage
* Employee Equity
* Employee Discounts, Virtual Wellness Classes, and Pet Insurance And more!!
**SALARY RANGE** 
 The salary range for this role is $165,000 \- $175,000,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7">
      <c r="A7" t="inlineStr">
        <is>
          <t>li-4371300540</t>
        </is>
      </c>
      <c r="B7" t="inlineStr">
        <is>
          <t>Senior Data Engineer</t>
        </is>
      </c>
      <c r="C7" t="inlineStr">
        <is>
          <t>Versant Media</t>
        </is>
      </c>
      <c r="D7" t="inlineStr">
        <is>
          <t>linkedin</t>
        </is>
      </c>
      <c r="E7" t="inlineStr"/>
      <c r="F7" t="inlineStr"/>
      <c r="G7" t="inlineStr">
        <is>
          <t>New York, NY</t>
        </is>
      </c>
      <c r="H7" t="inlineStr"/>
      <c r="I7"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The Data Engineering team is seeking a Senior Data Engineer to help design, build, and scale the modern data platform that powers analytics, data science, and data products across Versant brands. In this role, you’ll collaborate closely with Data Product, Data Science, Analytics, and Engineering teams to deliver reliable, high\-impact data solutions used by hundreds of internal users. We're looking for engineers who enjoy hands\-on development, take ownership of production systems, and influence implementation through collaboration and technical expertise.
****Key Responsibilities****
* Design and implement lakehouse architecture using Delta Lake, including medallion pipeline patterns (Bronze/Silver/Gold), schema enforcement, and time travel
* Build and operate batch and real\-time ingestion pipelines leveraging Databricks Auto Loader, Structured Streaming, and Change Data Capture patterns
* Implement data governance and security using Unity Catalog, RBAC, and compliance\-driven practices for sensitive environments
* Optimize performance and manage costs through FinOps strategies, including cluster sizing, workload tagging, Spark tuning, and Photon acceleration
* Design, implement, and maintain CI/CD pipelines and orchestration workflows using Databricks Workflows, Delta Live Tables, and tools such as Airflow
* Collaborate with Data Science teams on ML workflows, including MLflow, feature store integration, and model lifecycle management
* Ensure data quality, observability, and lineage across media\-specific datasets such as streaming logs, ad impressions, and audience metrics
* Provide technical mentorship through code reviews, pairing and knowledge sharing
****Qualifications****
* Bachelor’s degree in Computer Science, Data Engineering, or equivalent practical experience
* 5\+ years of experience building production\-grade data pipelines in cloud environments using Spark\-based platforms (e.g., Databricks, EMR, Dataproc, open\-source Spark)
* Expertise in PySpark, SQL, and Spark\-based data processing, with experience operating pipelines at scale in production
* Hands\-on experience building batch or streaming production data pipelines using distributed processing frameworks (e.g., Spark, Flink) and query engines such as Presto
* Proficiency with orchestration tools such as Apache Airflow or Dagster, with hands\-on experience in CI/CD, monitoring, alerting, and data quality for production systems
* Experience working with modern data architectures, including event\-driven and distributed systems
* Proficiency with Git and collaborative development workflows
* Build and operate batch and real\-time ingestion pipelines using Spark based batch and streaming patterns (e.g., Structured Streaming, CDC), with experience on Databricks or comparable platforms
* Solid understanding of infrastructure, networking, and data security fundamentals
****Preferred Qualifications****
* Experience building Lakehouse platforms and medallion pipelines in Databricks
* Familiarity with Unity Catalog, data governance, and compliance frameworks (e.g., PCI)
* Hands\-on experience with CI/CD pipelines, orchestration tools, and infrastructure\-as\-code
* Experience with Lakeflow Spark Declarative Pipelines (SDP), MLflow, feature stores, and MLOps practices
* Background in media and entertainment data (e.g., video metadata, ad tech, audience analytics)
* Experience building data platforms within the media industry, with a strong understanding of audience analytics
* Experience working with large\-scale analytical datasets (e.g., event logs, clickstream data, audience metrics)
* Comfortable using AI\-assisted development tools (e.g., ChatGPT)
* Databricks or cloud certifications (e.g., Databricks Certified Data Engineer)
****What Sets You Apart****
* Passion for clean, reliable, and scalable data systems
* Strong communication and collaboration skills
* Ability to balance near\-term delivery with thoughtful technical design
* Curiosity and a growth mindset
* A team\-first attitude who supports and uplifts others
****Additional Information****
* Hybrid: This position has been designated as hybrid, generally contributing from the office a minimum of three days per week from our NYC office.
* Salary: $140,000 \- $160,000\. This position is eligible for company sponsored benefits, including medical, dental and vision insurance, 401(k), paid leave, tuition reimbursement, and a variety of other benefits and perks.
* As part of our selection process, candidates may be required to attend an in\-person interview with a VERSANT employee in New York. VERSANT's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 VERSANT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8">
      <c r="A8" t="inlineStr">
        <is>
          <t>li-4371451454</t>
        </is>
      </c>
      <c r="B8" t="inlineStr">
        <is>
          <t>Associate Analytics Engineer</t>
        </is>
      </c>
      <c r="C8" t="inlineStr">
        <is>
          <t>Hoffmann Brothers</t>
        </is>
      </c>
      <c r="D8" t="inlineStr">
        <is>
          <t>linkedin</t>
        </is>
      </c>
      <c r="E8" t="inlineStr"/>
      <c r="F8" t="inlineStr"/>
      <c r="G8" t="inlineStr">
        <is>
          <t>Maryland Heights, MO</t>
        </is>
      </c>
      <c r="H8" t="inlineStr"/>
      <c r="I8" t="inlineStr">
        <is>
          <t>For over 40 years, Hoffmann Brothers has served as the premier HVAC, Plumbing, Electrical, and Appliance Repair service and installation contractor in the St Louis area. Pursuing an aggressive expansion campaign, Hoffmann Brothers is looking to expand our reach through both acquisitions and executing our proven "green field" market entry strategy.
 Over the last 6 years, Hoffmann has grown from a small family business of 50 employees to a nearly 450\-team member multi\-market organization with significant aspirations for further growth. We recognize the quality of our people enables this growth and now is your chance to join our team.
 We're hiring an
 **Associate Analytics Engineer** 
 to help build and scale our data ecosystem \- from raw data ingestion and transformation to relational data modeling and curated business\-ready reporting. This is a highly collaborative role that partners closely with the Director of Business Intelligence \&amp; Technology and cross\-functional stakeholders to define analytical needs, translate business requirements into technical specifications, and deliver scalable data solutions.
 You will be deeply hands\-on \- developing ingestion pipelines with Python, writing SQL transformations, building curated datasets, and creating standardized and customized reporting and analytical outputs. In addition to technical execution, you will play a critical role in communicating findings, documenting data logic, and ensuring alignment between business objectives and technical implementation. Your work will directly influence how performance is measured, monitored, and acted upon across the organization.
**Key Responsibilities:**
* Design, develop, and maintain data ingestion pipelines in Python to load and validate raw data within the lakehouse environment
* Write efficient, well\-documented SQL transformations to structure and model data into relational tables optimized for analytics and reporting
* Build and maintain curated, business\-ready datasets to support KPI tracking and cross\-functional reporting needs
* Develop standardized dashboards and ad hoc analytical outputs in Power BI and Excel to monitor operational and financial performance
* Use Python for data exploration, analysis, visualization, and automation of recurring business processes
* Partner with the Director of Business Intelligence \&amp; Technology and cross\-functional stakeholders to gather requirements, define specifications, and deliver scalable data solutions
* Document data logic, transformations, and reporting definitions to ensure clarity, governance, and long\-term maintainability
* Monitor data quality, troubleshoot inconsistencies, and continuously improve performance and reliability across the analytics environment
**Requirements**
* Bachelor's degree in Computer Information Systems, MIS, Data Analytics, or related field
* 1 \- 3 years of hands\-on experience working with Python, SQL, and modern data analytics tools in a professional environment
* Experience building dashboards and reports in Power BI and advanced proficiency in Excel
* Exposure to API\-based data ingestion or integrating data from external systems
* Foundational knowledge of data modeling and data warehousing concepts, including relational structures and transformation best practices
* Experience working with ETL/ELT workflows and structured data transformation processes
* Strong analytical skills with experience developing and tracking KPI\-based business metrics
* Ability to translate business requirements into technical solutions and communicate data insights clearly to both technical and non\-technical stakeholders
* Experience with process automation using Python scripts or tools such as Power Automate
* Strong documentation habits, problem\-solving skills, and attention to detail
* Interest in continuing to grow technical depth in data engineering, analytics engineering, or business intelligence
**Preferred/Bonus:**
* Experience working with Microsoft Fabric or similar lakehouse / cloud data platforms (e.g., Azure, Databricks, Snowflake)
* Familiarity with medallion architecture concepts (bronze, silver, gold) or layered data environments
* Experience supporting operational or service\-based business KPIs (e.g., revenue, job performance, margin, productivity metrics)
* Experience working with Service Titan or similar CRM system
* Basic understanding of version control, code organization, or collaborative development practices</t>
        </is>
      </c>
    </row>
    <row r="9">
      <c r="A9" t="inlineStr">
        <is>
          <t>li-4371168974</t>
        </is>
      </c>
      <c r="B9" t="inlineStr">
        <is>
          <t>Senior Data Engineer</t>
        </is>
      </c>
      <c r="C9" t="inlineStr">
        <is>
          <t>Zeta Global</t>
        </is>
      </c>
      <c r="D9" t="inlineStr">
        <is>
          <t>linkedin</t>
        </is>
      </c>
      <c r="E9" t="inlineStr"/>
      <c r="F9" t="inlineStr"/>
      <c r="G9" t="inlineStr"/>
      <c r="H9" t="inlineStr"/>
      <c r="I9"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We’re looking for a Senior Data Engineer to design, build, and operate the data pipelines and aggregates that power Zeta’s AdTech platform. This is a hands\-on individual contributor role focused on high\-scale batch \+ streaming data processing, reliable data products, and analytics\-ready datasets that enable prediction, agentic workflows, BI reporting, and measurement. You will partner closely with backend, ML, and product teams to deliver trusted, well\-modeled data with strong performance, quality, and observability.
**What You’ll Do**
* Build data pipelines: Develop robust batch and streaming pipelines (Kafka/Kinesis) to ingest, transform, and enrich large\-scale event data (impressions, clicks, conversions, costs, identity signals).
* Create data aggregates \&amp; marts: Design and maintain curated aggregates and dimensional models for multiple consumers—prediction models, agents, BI dashboards, and measurement workflows.
* Data modeling \&amp; contracts: Define schemas, data contracts, and versioning strategies to keep downstream systems stable as sources evolve.
* Data quality \&amp; reliability: Implement validation, anomaly detection, backfills, and reconciliation to ensure completeness, correctness, and timeliness (SLAs/SLOs).
* Performance \&amp; cost optimization: Optimize compute/storage for scale (partitioning, file sizing, incremental processing, indexing), balancing latency, throughput, and cost.
* Orchestration \&amp; automation: Build repeatable workflows with scheduling/orchestration (e.g., Airflow, Dagster, Step Functions) and CI/CD for data pipelines.
* Observability for data systems: Instrument pipelines with metrics, logs, lineage, and alerting to accelerate detection and root\-cause analysis of data issues.
* Security \&amp; governance: Apply least\-privilege access, PII\-aware handling, and governance controls aligned with enterprise standards.
**Qualifications**
* 5\+ years building production data pipelines and data products (batch and/or streaming) in a high\-scale environment.
* Strong experience with SQL and data modeling (dimensional modeling, star/snowflake schemas, event modeling).
* Hands\-on experience with streaming systems (Kafka preferred) and/or AWS Kinesis, including event\-driven designs.
* Proficiency in one or more languages used for data engineering (Python, Java, Scala, or Go).
* Experience with distributed data processing (Spark, Flink, or equivalent) and performance tuning at scale.
* Experience with AWS data services and cloud\-native patterns (S3, Glue/EMR, Athena, Redshift, etc. as applicable).
* Familiarity with lakehouse/table formats and large\-scale storage patterns (e.g., Parquet; Iceberg/Hudi/Delta are a plus).
* Experience with orchestration/workflow tooling (Airflow/Dagster/Step Functions) and CI/CD for data workloads.
* Strong data quality/observability practices (tests, monitoring, lineage; understanding of SLAs/SLOs).
* Experience with SQL \+ NoSQL data stores (e.g., Postgres/MySQL; DynamoDB/Cassandra/Redis) and choosing the right store per use case.
* Clear communicator and collaborator; able to work with mixed audiences and translate needs into reliable data interfaces.
**Preferred Experience**
* AdTech / programmatic advertising domain knowledge: DSP/SSP/exchange/RTB concepts and data flows.
* Experience building measurement pipelines (attribution, incrementality, lift, or experimentation analytics).
* Experience supporting ML feature stores, offline/online feature generation, or model training datasets.
* Experience with real\-time analytics stores (Druid/ClickHouse/Pinot) and high\-cardinality aggregation strategies.
* Deep knowledge of data governance/privacy, including PII handling and consent\-aware data processing.
* Open\-source contributions, publications, or conference speaking.
* BS/MS in CS/Engineering or equivalent practical experience.
**BENEFITS \&amp; PERKS** 
* Unlimited PTO
* Excellent medical, dental, and vision coverage
* Employee Equity
* Employee Discounts, Virtual Wellness Classes, and Pet Insurance And more!!
**SALARY RANGE** 
 The salary range for this role is $165,000 \- $175,000,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10">
      <c r="A10" t="inlineStr">
        <is>
          <t>li-4371188985</t>
        </is>
      </c>
      <c r="B10" t="inlineStr">
        <is>
          <t>Senior Data Engineer</t>
        </is>
      </c>
      <c r="C10" t="inlineStr">
        <is>
          <t>Versant Media</t>
        </is>
      </c>
      <c r="D10" t="inlineStr">
        <is>
          <t>linkedin</t>
        </is>
      </c>
      <c r="E10" t="inlineStr"/>
      <c r="F10" t="inlineStr"/>
      <c r="G10" t="inlineStr">
        <is>
          <t>Los Angeles, CA</t>
        </is>
      </c>
      <c r="H10" t="inlineStr"/>
      <c r="I10"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The Data Engineering team is seeking a Senior Data Engineer to help design, build, and scale the modern data platform that powers analytics, data science, and data products across Versant brands. In this role, you’ll collaborate closely with Data Product, Data Science, Analytics, and Engineering teams to deliver reliable, high\-impact data solutions used by hundreds of internal users. We're looking for engineers who enjoy hands\-on development, take ownership of production systems, and influence implementation through collaboration and technical expertise.
****Key Responsibilities****
* Design and implement lakehouse architecture using Delta Lake, including medallion pipeline patterns (Bronze/Silver/Gold), schema enforcement, and time travel
* Build and operate batch and real\-time ingestion pipelines leveraging Databricks Auto Loader, Structured Streaming, and Change Data Capture patterns
* Implement data governance and security using Unity Catalog, RBAC, and compliance\-driven practices for sensitive environments
* Optimize performance and manage costs through FinOps strategies, including cluster sizing, workload tagging, Spark tuning, and Photon acceleration
* Design, implement, and maintain CI/CD pipelines and orchestration workflows using Databricks Workflows, Delta Live Tables, and tools such as Airflow
* Collaborate with Data Science teams on ML workflows, including MLflow, feature store integration, and model lifecycle management
* Ensure data quality, observability, and lineage across media\-specific datasets such as streaming logs, ad impressions, and audience metrics
* Provide technical mentorship through code reviews, pairing and knowledge sharing
****Qualifications****
* Bachelor’s degree in Computer Science, Data Engineering, or equivalent practical experience
* 5\+ years of experience building production\-grade data pipelines in cloud environments using Spark\-based platforms (e.g., Databricks, EMR, Dataproc, open\-source Spark)
* Expertise in PySpark, SQL, and Spark\-based data processing, with experience operating pipelines at scale in production
* Hands\-on experience building batch or streaming production data pipelines using distributed processing frameworks (e.g., Spark, Flink) and query engines such as Presto
* Proficiency with orchestration tools such as Apache Airflow or Dagster, with hands\-on experience in CI/CD, monitoring, alerting, and data quality for production systems
* Experience working with modern data architectures, including event\-driven and distributed systems
* Proficiency with Git and collaborative development workflows
* Build and operate batch and real\-time ingestion pipelines using Spark based batch and streaming patterns (e.g., Structured Streaming, CDC), with experience on Databricks or comparable platforms
* Solid understanding of infrastructure, networking, and data security fundamentals
****Preferred Qualifications****
* Experience building Lakehouse platforms and medallion pipelines in Databricks
* Familiarity with Unity Catalog, data governance, and compliance frameworks (e.g., PCI)
* Hands\-on experience with CI/CD pipelines, orchestration tools, and infrastructure\-as\-code
* Experience with Lakeflow Spark Declarative Pipelines (SDP), MLflow, feature stores, and MLOps practices
* Background in media and entertainment data (e.g., video metadata, ad tech, audience analytics)
* Experience building data platforms within the media industry, with a strong understanding of audience analytics
* Experience working with large\-scale analytical datasets (e.g., event logs, clickstream data, audience metrics)
* Comfortable using AI\-assisted development tools (e.g., ChatGPT)
* Databricks or cloud certifications (e.g., Databricks Certified Data Engineer)
****What Sets You Apart****
* Passion for clean, reliable, and scalable data systems
* Strong communication and collaboration skills
* Ability to balance near\-term delivery with thoughtful technical design
* Curiosity and a growth mindset
* A team\-first attitude who supports and uplifts others
****Additional Information****
* Hybrid: This position has been designated as hybrid, generally contributing from the office a minimum of three days per week from our LA office.
* Salary: $140,000 \- $160,000\. This position is eligible for company sponsored benefits, including medical, dental and vision insurance, 401(k), paid leave, tuition reimbursement, and a variety of other benefits and perks.
* As part of our selection process, candidates may be required to attend an in\-person interview with a VERSANT employee in New York. VERSANT's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 VERSANT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11">
      <c r="A11" t="inlineStr">
        <is>
          <t>li-4349076692</t>
        </is>
      </c>
      <c r="B11" t="inlineStr">
        <is>
          <t>Senior Analytics Engineer</t>
        </is>
      </c>
      <c r="C11" t="inlineStr">
        <is>
          <t>Attentive</t>
        </is>
      </c>
      <c r="D11" t="inlineStr">
        <is>
          <t>linkedin</t>
        </is>
      </c>
      <c r="E11" t="inlineStr"/>
      <c r="F11" t="inlineStr"/>
      <c r="G11" t="inlineStr"/>
      <c r="H11" t="inlineStr"/>
      <c r="I11"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Our Business Intelligence team transforms complex data into actionable insights and impactful reporting
**.
 We empower clients and internal teams with the metrics, analytics, reports, and visualizations needed to make informed decisions and shape strategies that drive meaningful growth. Joining our team offers a dynamic career opportunity to collaborate with some of the most talented data professionals in a high\-performance, high\-impact environment.
 As a Senior Analytics Engineer, you will design, build, and maintain the data models, pipelines, and semantic layers that power analytics, reporting, and decision\-making across Attentive. Partnering closely with cross\-functional engineering teams, you will interpret complex data, optimize data infrastructure, and drive efficiency across the organization. The ideal candidate thrives on collaborating with diverse teams, delivering actionable reporting, and excelling in fast\-paced, dynamic environments.
**What You'll Accomplish** 
* Engage with cross\-functional product and engineering teams to define analytics requirements and metrics
* Build robust, exec\-facing dashboards to support key business decisions across the organization
* Design, build, and maintain scalable dbt and Looker data models that support analytics, reporting, and domain ownership
* Use data modeling, statistics, and other analytical techniques to extract and analyze data from large datasets, identifying trends, patterns, and anomalies to drive insights
* Develop and manage our data analytics platform Looker
**Your Expertise** 
* Bachelor's degree in Computer Science, Mathematics, Statistics, Finance, or related field, or equivalent professional experience
* At least 4 years of experience in analytics or business intelligence, including proficiency with data visualization tools such as Looker or Tableau
* Proven expertise in writing, optimizing, and utilizing SQL queries within a business context
* Familiarity with infrastructure components, ETL processes, and reporting/analytic tools and environments
* Strong ability to manage and execute fast\-paced, dynamic projects with a high degree of organization and independence
* Ability to perform rigorous data analysis when needed to support high\-impact business and product decisions
* Effective communication skills for presenting analysis results to stakeholders, fostering collaboration, and influencing decision\-making across teams
**Nice To Haves** 
* Experience building dashboards and analyses using tools like Hex, Jupyter, or other reproducible notebook platforms
* Experience using dbt, Airflow, or other modern ELT/ETL workflows
* Proficiency in Python, R, or similar programming languages for data analysis and statistical modeling
* Experience contributing to or establishing modeling standards, testing frameworks, or CI/CD workflows for analytics code.
**What We Use** 
* Our infrastructure runs primarily in Kubernetes hosted in AWS’s EKS
* Infrastructure tooling includes Istio, Datadog, Terraform, CloudFlare, and Helm
* Our backend is Java / Spring Boot microservices, built with Gradle, coupled with things like DynamoDB, AirFlow, Postgres, and Redis, hosted via AWS
* Our frontend is built with React and TypeScript, and uses best practices like GraphQL, Storybook, Radix UI, Vite, esbuild, and Playwright
* Our automation is driven by custom and open source machine learning models, lots of data and built with Python, Metaflow, HuggingFace 🤗, PyTorch, TensorFlow, and Pandas
 You'll get competitive
 perks and benefits
 , from health \&amp; wellness to equity, to help you bring your best self to work.
**US based applicants:
 \- The US base salary range for this full\-time position is $108,120 \- $155,000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12">
      <c r="A12" t="inlineStr">
        <is>
          <t>li-4371168772</t>
        </is>
      </c>
      <c r="B12" t="inlineStr">
        <is>
          <t>Data Engineer</t>
        </is>
      </c>
      <c r="C12" t="inlineStr">
        <is>
          <t>Civil &amp; Environmental Consultants, Inc.</t>
        </is>
      </c>
      <c r="D12" t="inlineStr">
        <is>
          <t>linkedin</t>
        </is>
      </c>
      <c r="E12" t="inlineStr"/>
      <c r="F12" t="inlineStr"/>
      <c r="G12" t="inlineStr">
        <is>
          <t>Coraopolis, PA</t>
        </is>
      </c>
      <c r="H12" t="inlineStr"/>
      <c r="I12" t="inlineStr">
        <is>
          <t>As a Data Engineer, you will design, build, and optimize data architectures and pipelines across Microsoft Fabric and Azure in our Pittsburgh, PA office. You will develop scalable data transformation processes using Data Factory, jupyter notebooks, and SQL, while enabling reliable, automated, and well‑governed data operations. This role plays a key part in advancing DataOps practices—including DevOps, CI/CD, and governance through Microsoft Purview—while supporting a modern analytics ecosystem. Experience with Power Automate and Copilot agents is a plus.
 At CEC, our employees enjoy a flexible/hybrid work schedule. Our comprehensive benefits package includes bonus recognition, based on performance, as well as participation in our employee stock ownership program. Additionally, we conduct mid\-year and end\-of\-year performance reviews and provide goal\-setting opportunities.
**Responsibilities**
* Architect and implement Lakehouse/Warehouse solutions in Fabric (medallion patterns, Delta tables, partitioning, CDC)
* Build and orchestrate pipelines (Fabric Data Factory/Pipelines, notebooks, event\-driven patterns) with robust observability and retry logic
* Develop data products and shared semantic layers for analytics and downstream apps
* Optimize performance and cost (storage formats, Z\-order, indexing, caching, workload management)
* Implement CI/CD (Azure DevOps/GitHub) for notebooks, pipelines, and BI artifacts
* Enforce security (RBAC/ABAC), data quality checks, and privacy/compliance
* Manage Purview collections, scans, lineage, classifications, and ownership workflows
* Collaborate with other analysts and engineers to automate operations and enable self\-service
* Provide architectural guidance and mentor junior engineers to build team capability
* Communicate technical decisions and trade\-offs clearly to stakeholders
* Lead development, configuration, and maintenance of solutions within the Microsoft Power Platform ecosystem, which may include Power Apps, Power Automate, and SharePoint. Use these tools to streamline workflows, enhance data accessibility, and improve collaboration
* Bachelor’s degree in Data Science, Computer Science, or a related field. Additional experience may be substituted for education
* 5\+ years of experience as a data engineer/architect on Microsoft Fabric and Azure. Hands\-on experience with Microsoft Purview (catalog, policies, lineage)
* Python, PySpark, Spark notebooks (structured/streaming), and SQL/SQL Server
* Strong experience with ETL/ELT design, performance tuning, and workload orchestration. DevOps/CI/CD practices (branching, environments, automated testing/deploy). Experience with GIT or other code repositories is required
* Production experience with data modeling and serving layers for BI/AI
* Experience with Kafka, Event Hubs, or other real\-time streaming platforms
* Strong interpersonal, written, and oral communication skills
* Self\-motivated and directed
 We have experts! CEC is consistently ranked as a
 **Top 500 Design Firm and Top 200 Environmental Firm by Engineering News\-Record** 
 . We are looking for people who enjoy using their education and experience to solve difficult technical problems and work on interesting projects. You can accomplish this while working with a team of professionals who are equally motivated to provide high levels of service to our clients and to teach you along the way.
 We have support! We have a variety of Employee Resource Groups, including CEC Community \- focused on giving back to the communities in which we work; CEC Ignite \- focused on helping professionals early in their careers to develop their pathway; CEC iDEA \- focused on inclusion, diversity, equality, and acceptance; and CEC Women \- focused on creating internal and external opportunities for women to network and leverage professional experience!
 We care about our people! People and Culture are two of the five elements of our strategic plan. When you care about your people, they will want to grow a career with you \- that is our goal. CEC offers you a small\-firm work environment with large\-firm opportunities. Not only will we help you develop professionally, but we will also provide an opportunity to become an owner of the firm and share in its success.
 CEC offers a matching 401(k); profit sharing; a performance bonus; company stock; medical, dental, and vision insurance; short and long\-term disability; tuition assistance; professional development; and work\-life balance.
 CEC is an equal opportunity employer. We do not discriminate in recruiting, hiring or promotion based on race, color, religion, sex, national origin, age, disability, protected veteran status or any other basis or characteristic prohibited by applicable federal, state, or local law.
**THIRD PARTY RECRUITERS**
 If CEC has not expressly requested recruiting services or contractually engaged with you for recruiting services on a specific position, any resumes or candidate profiles sent to CEC shall be considered unsolicited. Therefore, any such submissions will be considered property of CEC, with no associated fees due to your firm.</t>
        </is>
      </c>
    </row>
    <row r="13">
      <c r="A13" t="inlineStr">
        <is>
          <t>li-4371449357</t>
        </is>
      </c>
      <c r="B13" t="inlineStr">
        <is>
          <t>Data Platform Engineer</t>
        </is>
      </c>
      <c r="C13" t="inlineStr">
        <is>
          <t>Wild Ducks</t>
        </is>
      </c>
      <c r="D13" t="inlineStr">
        <is>
          <t>linkedin</t>
        </is>
      </c>
      <c r="E13" t="inlineStr"/>
      <c r="F13" t="inlineStr"/>
      <c r="G13" t="inlineStr">
        <is>
          <t>Austin, TX</t>
        </is>
      </c>
      <c r="H13" t="inlineStr"/>
      <c r="I13" t="inlineStr">
        <is>
          <t>Wild Ducks is building a real\-time, event\-driven forecasting platform with complex multi\-tenant datasets, high\-throughput ingestion, and strict SLA and correctness requirements. We’re looking for an engineer to own our data architecture end\-to\-end: modeling, schema evolution, performance, partitioning, RLS, observability, and alignment with our event system and forecasting engine.
 This role sits at the intersection of database engineering, data modeling, platform reliability, and product architecture. If you’re motivated by building durable data systems that scale, stay clean over time, and power critical forecasting logic, you’ll thrive here.
**What You’ll Own** 
**Database Architecture \&amp; Modeling** 
* Own the structure, evolution, and quality of our Postgres schemas across all domains (forecasting, demand ingestion, eventing, TSL, geolocation, etc.).
* Design high\-integrity, multi\-tenant\-safe data models using UUID PKs, real foreign keys, RLS, partitioning, and row\-level auditability.
* Work with engineering leadership to shape the canonical data model behind demand, installed base, forecasting, TSL, and analytics workloads.
* Ensure schemas align with business invariants and support future growth without fragmentation.
**Performance, Reliability \&amp; Partitioning** 
* Design and maintain table partitioning strategies (time\-based and tenant\-based) for high\-throughput workloads.
* Diagnose and resolve performance bottlenecks: query tuning, index planning, materialized views, caching layers.
* Build and maintain observability around database health, query performance, storage growth, and index efficiency.
**Data Engineering \&amp; Pipelines** 
* Partner with ingestion, forecasting, and orchestration teams to ensure all pipelines read/write safely with proper RLS, locking discipline, and idempotency.
* Improve and harden cross\-service data flows (Django ORM, SQLAlchemy, Temporal activities, Pulsar event persistence).
* Maintain the event → DB → projection/read\-model lifecycle and ensure correctness across domains.
**Governance, Integrity \&amp; Tooling** 
* Define and enforce our schema migration standards (zero\-downtime migrations, NOT VALID → VALID foreign keys, safe column evolution).
* Build internal tools that keep the data platform clean (schema diffing, RLS linters, migration validation pipelines).
* Partner with the CTO to establish data governance, retention, backup, and archiving policies.
**Strategic \&amp; Cross\-Functional Work** 
* Work closely with product and engineering teams to design data models that match domain needs (parts, stock\_location, routing, forecasting, TSL).
* Support analytics and insights teams by defining readable, durable read models.
* Participate in architectural reviews and major feature design to ensure the data layer is scalable and future\-proof.
**Who You AreCore Traits** 
* You think in systems, invariants, and lifecycle, not just tables.
* You are obsessive about correctness, consistency, and clarity in data structures.
* You communicate clearly and collaboratively with engineers across backend, eventing, forecasting, and DevOps.
* You enjoy both designing new models and untangling old ones.
**Experience That Helps** 
* Deep familiarity with Postgres: querying, indexing, performance tuning, partitioning, RLS, WAL, explain plans.
* Experience designing multi\-tenant schemas with strong security boundaries.
* Knowledge of event\-driven systems and how data behaves around Pulsar/Kafka, outbox patterns, and projection models.
* Comfort with Python (Django, SQLAlchemy) or equivalent backend frameworks.
* Experience building or evolving data architectures for SaaS, logistics, or forecasting platforms.
* Experience supporting high\-throughput ingestion systems.
* Experience designing data warehouse adjacencies (future ClickHouse, OLAP layers) is a plus.
* Bonus: familiarity with forecasting concepts (demand, installed base, TSL, planning nodes) or willingness to learn.
**What You’ll Work With** 
* **Postgres 14\+** 
 with multi\-tenant RLS
* **Django ORM** 
 , custom SQL, Temporal workflows
* **Pulsar** 
 event streams, outbox\-driven persistence
* **Redis** 
 , caching layers, materialized views
* **GKE Autopilot** 
 , Terraform\-managed infra
* **OpenTelemetry** 
 , query metrics, database monitoring
* Tools for schema evolution (Sqitch, Alembic\-like tooling, Django migrations)
**How We Work** 
* Hybrid: remote\-friendly with periodic in\-person design sessions.
* No silos: you work across forecasting, ingestion, eventing, and infra.
* High trust, high ownership: your work defines the foundation of our system for years ahead.
* Tight collaboration with platform, data science, and product teams.</t>
        </is>
      </c>
    </row>
    <row r="14">
      <c r="A14" t="inlineStr">
        <is>
          <t>li-4371449636</t>
        </is>
      </c>
      <c r="B14" t="inlineStr">
        <is>
          <t>Data Engineer, Sr.</t>
        </is>
      </c>
      <c r="C14" t="inlineStr">
        <is>
          <t>Fusemachines</t>
        </is>
      </c>
      <c r="D14" t="inlineStr">
        <is>
          <t>linkedin</t>
        </is>
      </c>
      <c r="E14" t="inlineStr"/>
      <c r="F14" t="inlineStr"/>
      <c r="G14" t="inlineStr"/>
      <c r="H14" t="inlineStr"/>
      <c r="I14" t="inlineStr">
        <is>
          <t>**About The Company**
 Founded in 2013, Fusemachines is a global leader in enterprise AI products and services dedicated to democratizing artificial intelligence. The company leverages proprietary AI Studio and AI Engines to assist organizations in their AI enterprise transformation, regardless of their stage in the digital AI journey. With a strong international presence, including offices in North America, Asia, and Latin America, Fusemachines offers a comprehensive suite of AI solutions and specialized services tailored to organizations of all sizes. Its client base spans industries such as retail, manufacturing, and government sectors. The company's mission extends beyond business solutions, actively promoting AI education in underserved communities to foster broader AI literacy and innovation.
**About The Role**
 This is a remote, full\-time consulting position (contract) focused on designing, building, and maintaining the infrastructure necessary for data integration, storage, processing, and analytics within the Media domain. The role requires a Senior Data Engineer with expertise in Snowflake and proven experience in implementing clean rooms and data enrichment processes. The successful candidate will be responsible for delivering data and analytics products using Agile methodologies, working closely with cross\-functional teams including product managers, data scientists, and analysts. The role demands a strong technical foundation, analytical mindset, and excellent interpersonal skills to ensure the development of scalable, secure, and efficient data solutions that support strategic decision\-making and operational excellence.
**Qualifications**
* 5\+ years of hands\-on experience in data engineering development, specifically with Snowflake (certifications preferred)
* Proven track record as a Snowflake Developer with deep understanding of Snowflake architecture and core concepts
* Strong proficiency in SQL, capable of writing optimized and efficient code for data integration, transformation, and processing
* Experience with Snowflake services such as clean rooms, snowpipe, stages, stored procedures, views, materialized views, tasks, and streams
* Solid understanding of data partitioning and performance optimization techniques in Snowflake
* Knowledge of data security practices in Snowflake, including role\-based access control (RBAC) and data encryption, especially in clean room contexts
* Proficiency in programming languages such as Python or Scala for data manipulation and automation tasks
* Experience working with Azure cloud platform
* Familiarity with SDLC tools and technologies, including Jira, GitHub, CI/CD pipelines (GitHub Actions, AWS CodeBuild, or similar)
* Ability to perform data integration from diverse sources such as APIs, databases, flat files, and event streams
* Strong understanding of data modeling and database design principles
* Experience with ELT/ETL development and custom integration solutions
* Knowledge of data quality, governance, and monitoring best practices
* Excellent problem\-solving skills with the ability to troubleshoot and optimize data pipelines
* Leadership qualities with a proactive approach to innovation and team collaboration
**Responsibilities**
* Design and architect scalable Snowflake data warehouses and databases to meet organizational data storage and processing needs
* Develop and implement Snowflake clean rooms to ensure secure data sharing and compliance with privacy standards
* Create and optimize ELT processes for efficient data ingestion, transformation, and loading from multiple sources
* Identify and resolve query performance issues, optimizing SQL queries for speed and efficiency
* Integrate Snowflake with other data systems such as data lakes, analytics platforms, and BI tools to enable seamless data access
* Collaborate with cross\-functional teams to understand data requirements and develop reusable data components and solutions
* Evaluate emerging technologies and tools to enhance data integration, processing, and analytics capabilities
* Design and implement data governance frameworks, including data cataloging, lineage, and quality monitoring
* Assess and develop schemas aligned with business needs to support descriptive, diagnostic, predictive, and prescriptive analytics
* Participate actively in Agile ceremonies, contribute to continuous improvement initiatives, and foster a collaborative team environment
**Benefits**
* Competitive compensation package
* Flexible remote working environment
* Opportunities for professional growth and development in cutting\-edge AI and data technologies
* Access to industry\-leading tools and resources
* Collaborative and innovative work culture
* Participation in impactful projects across diverse industries
 Equal Opportunity
 Fusemachines is an equal opportunity employer. We celebrate diversity and are committed to creating an inclusive environment for all employees regardless of race, color, religion, sex, sexual orientation, gender identity, national origin, age, genetic information, disability, protected veteran status, or any other legally protected status.</t>
        </is>
      </c>
    </row>
    <row r="15">
      <c r="A15" t="inlineStr">
        <is>
          <t>li-4371309302</t>
        </is>
      </c>
      <c r="B15" t="inlineStr">
        <is>
          <t>Data Analytics Engineer</t>
        </is>
      </c>
      <c r="C15" t="inlineStr">
        <is>
          <t>Tandym Group</t>
        </is>
      </c>
      <c r="D15" t="inlineStr">
        <is>
          <t>linkedin</t>
        </is>
      </c>
      <c r="E15" t="inlineStr"/>
      <c r="F15" t="inlineStr"/>
      <c r="G15" t="inlineStr">
        <is>
          <t>Stamford, CT</t>
        </is>
      </c>
      <c r="H15" t="inlineStr"/>
      <c r="I15" t="inlineStr">
        <is>
          <t>A recognized financial services organization in Connecticut is actively seeking a new Data Analytics Engineer to build and maintain data foundations that power decision\-making across the firm, encompassing analytics, data engineering, and automation.
**About the Opportunity:** 
* **Schedule:** 
 Monday to Friday
* **Hours:** 
 Standard business
* **Setting:** 
 Hybrid (Tuesday to Thursdays onsite)
**Responsibilities:** 
* Define and standardize key metrics, data definitions, and reporting logic
* Identify data gaps and recommend process improvements
* Build and maintain data pipelines from various systems
* Design and maintain analytical layers and documentation
* Develop and operate ETL/ELT workflows with rigorous validation
**Qualifications:** 
* Proficiency with Data Warehouses and designing datasets for analytics
* Familiarity with SQL and experience with relational databases
* Experience building and maintaining ETL/ELT workflows
* Experience integrating data via APIs
* Demonstrated ability to build dashboards and visualizations
* Familiarity with crypto markets and on\-chain analytics
* Experience with metric layers, semantic models, and documentation
* Practical AI fluency with strong validation habits
**Desired Skills:** 
* Certification in Data Analytics and/or Engineering
* Advanced skills with SQL</t>
        </is>
      </c>
    </row>
    <row r="16">
      <c r="A16" t="inlineStr">
        <is>
          <t>li-4370912212</t>
        </is>
      </c>
      <c r="B16" t="inlineStr">
        <is>
          <t>Analytics Engineer</t>
        </is>
      </c>
      <c r="C16" t="inlineStr">
        <is>
          <t>MONTICELLOAM, LLC</t>
        </is>
      </c>
      <c r="D16" t="inlineStr">
        <is>
          <t>linkedin</t>
        </is>
      </c>
      <c r="E16" t="inlineStr"/>
      <c r="F16" t="inlineStr"/>
      <c r="G16" t="inlineStr">
        <is>
          <t>New York, United States</t>
        </is>
      </c>
      <c r="H16" t="inlineStr"/>
      <c r="I16" t="inlineStr">
        <is>
          <t>MONTICELLOAM, LLC and its affiliates (“Monticello”) is a real estate and asset\-based lender providing asset management and comprehensive capital solutions for healthcare, multifamily, and commercial real estate assets throughout the US. Monticello is seeking team players who can work in a collaborative environment and possess drive, integrity, creativity, compassion, and a strong work ethic.
 We are seeking a talented
 **Analytics Engineer** 
 to join our dynamic team, focusing on optimizing our asset management operations and business intelligence capabilities. This role combines technical data engineering expertise with analytical science skills to drive data\-informed decision\-making across our portfolio.
**The Analytics Engineer’s Primary Responsibilities Are**
* Build automated reporting systems and interactive dashboards for portfolio monitoring, including custom analyses for executive leadership, asset management, and origination
* Implement machine learning (AI) models for asset valuation, market analysis, and investment opportunity screening
* Build and optimize Snowflake databases and queries to support real\-time business intelligence needs
* Design and implement quality assurance processes for data extraction, transformation, and analysis workflows
* Design and maintain scalable data pipelines in Nexla and Python to integrate property management systems, financial databases, and market data feeds into our Snowflake data warehouse
* Develop and implement OCR/NLP models to extract, validate, and classify key information from loan agreements, property reports, and other financial documents
* Create predictive models to identify asset performance trends, risks, and opportunities across the real estate portfolio, with a focus on occupancy rates and NOI metrics
* Design and optimize ETL processes to ensure data quality and consistency, with robust monitoring and alert systems
**Qualifications**
* Bachelor's or Master's Degree in Computer Science, Data Science, or related field with 3\-7 years of experience; additional experience may be considered in lieu of degree
* Expert\-level Python programming with strong proficiency in data science libraries (pandas, numpy, scikit\-learn) and ML frameworks (TensorFlow, PyTorch)
* Experience building and optimizing ETL pipelines using modern data platforms (experience with Nexla preferred) and working with Snowflake or similar cloud data warehouses
* Demonstrated experience with large language models (LLMs), prompt engineering, and NLP frameworks (e.g., Hugging Face Transformers) for document processing and information extraction
* Proficiency in data preprocessing, cleaning, and transformation techniques for both structured and unstructured data sources
* Experience with supervised and unsupervised learning algorithms, model evaluation metrics, and ML deployment in production environments
* Advanced SQL expertise, particularly with Snowflake, including optimization and security best practices
* Intellectual curiosity, asking the “Why?” question
 At Monticello, we believe that finding creative solutions for our clients comes from the collaboration of people with diverse backgrounds and perspectives. We strive to build an inclusive work environment that celebrates differences and empowers all individuals with opportunities to channel their entrepreneurial spirit. Monticello is an EEO employer.
 Monticello offers a competitive base salary and bonus. The base salary range for this position is $110,000\-$140,000/year. The specific compensation that will be offered is based on an understanding of the hired candidates' qualifications at the time of hire. Employees are eligible for a discretionary bonus based on employee work performance reviewed during the annual review process.</t>
        </is>
      </c>
    </row>
    <row r="17">
      <c r="A17" t="inlineStr">
        <is>
          <t>li-4371300090</t>
        </is>
      </c>
      <c r="B17" t="inlineStr">
        <is>
          <t>Data Engineer</t>
        </is>
      </c>
      <c r="C17" t="inlineStr">
        <is>
          <t>DISQO</t>
        </is>
      </c>
      <c r="D17" t="inlineStr">
        <is>
          <t>linkedin</t>
        </is>
      </c>
      <c r="E17" t="inlineStr"/>
      <c r="F17" t="inlineStr"/>
      <c r="G17" t="inlineStr">
        <is>
          <t>Los Angeles, CA</t>
        </is>
      </c>
      <c r="H17" t="inlineStr"/>
      <c r="I17" t="inlineStr">
        <is>
          <t>DISQO’s mission is to build the world’s most trusted ad measurement platform that fuels brand growth.
 The world’s largest brands, agencies, and media companies trust DISQO for expert insight and AI\-driven intelligence about their advertising performance across all platforms. We capture people’s sentiments and journeys, connecting them with the brands they value and the media they consume. With this identity\-based approach, brands gain more accurate and authentic insight so they can create more meaningful interactions.
 Joining DISQO Nation means becoming part of a community that champions speed, innovation, and continuous growth. We invest deeply in our talent, empowering our teams to reach their highest potential. Together, we are shaping the future of work at DISQO—defined by performance, purpose, and impact.
 We show up each day with curiosity and ambition, committed to learning, accelerating growth, and making a lasting difference. Grounded in our values and principles, we lead and collaborate to elevate performance, accountability, and excellence at every level of the organization. And through it all, we make sure to have fun along the way.
 This is a great opportunity to join a high\-impact data engineering team building products that directly power how brands measure advertising effectiveness. At DISQO, we use modern cloud infrastructure, scalable data platforms, and pragmatic engineering practices to solve complex, real\-world problems at scale.
 We are looking for a strong Data Engineer who is hands\-on, curious, and eager to grow. You’ll work closely with staff engineers, product managers, and analytics partners in an environment that values ownership, quality, and continuous improvement. You’ll be encouraged to leverage modern tooling, including AI\-assisted development tools, to move faster while maintaining high engineering standards.
 We believe the best systems are built by small, focused teams that take responsibility for outcomes. We value clean design, data correctness, operational excellence, and thoughtful use of automation to reduce toil and improve developer productivity.
 As a Data Engineer, you will design, build, and operate data pipelines and data products that support DISQO’s ad measurement platform. You’ll work primarily on batch and near\-real\-time data processing systems, contributing to analytics\-ready datasets used by internal teams and customers.
 You’ll own well\-defined components and projects end\-to\-end, from development through production support, while receiving guidance and technical mentorship from senior engineers. Over time, you’ll deepen your expertise across distributed data systems, cloud infrastructure, data modeling, containerized workloads, and modern development workflows, including effective use of AI tools to accelerate development and debugging.
**What you get to do:** 
* Design, build, and maintain scalable, reliable data pipelines using modern big data technologies
* Contribute to core ad measurement data products, including exposure processing, aggregation, and analytics\-ready datasets
* Collaborate with Product, Analytics, and Engineering partners to translate business requirements into robust data solutions
* Implement and optimize ETL/ELT workflows with a focus on data correctness, performance, and cost efficiency
* Develop, deploy, and operate data workloads running on Kubernetes, including Amazon EKS
* Write clean, well\-structured, and well\-tested production code in Scala
* Leverage AI\-assisted development tools (for example code generation, refactoring, test creation, and debugging support) responsibly to improve productivity and code quality
* Implement data quality checks, monitoring, and alerting to support operational excellence and meet SLAs
* Participate actively in code reviews, design discussions, and agile ceremonies
* Maintain clear documentation to support data governance, onboarding, and long\-term maintainability
**What you bring to the role:** 
* 3 to 5\+ years of experience building and supporting production data pipelines or backend data systems
* Strong proficiency in Scala for data\-intensive applications
* Hands\-on experience with Apache Spark for batch and streaming data processing
* Experience working in the AWS data ecosystem (for example S3, EMR, Glue, Athena)
* Working knowledge of Kubernetes concepts and experience deploying or operating workloads on Amazon EKS
* Solid understanding of ETL/ELT concepts, data modeling, and advanced SQL
* Experience with workflow orchestration tools such as Airflow or similar
* Familiarity with distributed systems and working with large\-scale datasets
* Comfortable working in a Linux\-based environment
* Strong collaboration and communication skills in an agile, fast\-moving team
* Demonstrated ability to learn new tools and technologies, including AI\-powered developer tools for coding and testing
**Nice to have:** 
* Experience with containerization and Docker\-based development workflows
* Experience with Snowflake or other cloud data warehouses
* Exposure to streaming or near\-real\-time systems (Kafka, Kinesis, etc.)
* Experience with data quality, observability, or monitoring tooling
* Familiarity with CI/CD pipelines for data platforms
* Experience in AdTech or digital advertising platforms
**Why DISQO:** 
* Build data products that directly influence how brands measure advertising impact
* Work with modern cloud\-based data infrastructure at meaningful scale
* Learn from experienced engineers while owning real production systems
* A culture that values engineering excellence, pragmatism, and continuous learning
 At DISQO, we pride ourselves on having a positive, performance\-oriented workplace that includes a flexible hybrid approach, competitive medical benefits, and an amazing vacation policy. Read more about our culture on
 Glassdoor
 .
 You can learn more about what’s happening at DISQO by visiting the
 DISQO Company Blog
 .
**Perks \&amp; Benefits:
 ·100% covered Medical/Dental/Vision for employee, competitive dependent coverage
 ·Stock options
 ·401K
 ·Generous PTO policy
 ·Team offsites, social events \&amp; happy hours
 ·Life Insurance
 ·Health FSA
 ·Commuter FSA (for hybrid employees)
 ·Catered lunch and fully stocked kitchen
 ·Paid Maternity/Paternity leave
 ·Disability Insurance
 ·Travel Assistance Program
 ·24/7 Counseling Services offered to Employees
***Note: The benefits noted above are for full time US based employees only.***
**DISQO is an equal opportunity employer. Discovery, innovation, and growth are possible when we open ourselves to new possibilities, perspectives, and approaches. That’s why, at DISQO, we welcome, support, and empower individuals from diverse backgrounds. Exceptional teams are rooted in extraordinary people, each with a unique story and a compelling set of skills. DISQO does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***\*Recruiting firms that submit resumes to DISQO without first entering into a written contract will not be entitled to any compensation on candidates referred by that firm.***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
      <c r="A18" t="inlineStr">
        <is>
          <t>li-3970353535</t>
        </is>
      </c>
      <c r="B18" t="inlineStr">
        <is>
          <t>Data Engineer</t>
        </is>
      </c>
      <c r="C18" t="inlineStr">
        <is>
          <t>Figma</t>
        </is>
      </c>
      <c r="D18" t="inlineStr">
        <is>
          <t>linkedin</t>
        </is>
      </c>
      <c r="E18" t="inlineStr"/>
      <c r="F18" t="inlineStr"/>
      <c r="G18" t="inlineStr">
        <is>
          <t>San Francisco, CA</t>
        </is>
      </c>
      <c r="H18" t="inlineStr"/>
      <c r="I18"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loves solving problems. You’ll have a good sense for when it makes sense to build fast, scrappy solutions to unblock a key stakeholder vs. when to push back or bring in an outside service. The ideal candidate will be a great communicator who can help coordinate across multiple internal and external teams and takes pride in building end\-to\-end projects.
 This is a full time role that can be held from one of our US hubs or remotely in the United States.
**What you'll do at Figma** 
**:**
* Own, build, and maintain scalable data pipelines that connect various cloud data sources.
* Develop a deep understanding of Figma’s core data models and optimize data pipelines for scale.
*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 Establish best practices for the development of specialized data sets for analytics and modeling.
 We'd love to hear from you if you have:
* 4\+ years in a relevant field.
* Fluency with both SQL and Python.
* Familiarity with Snowflake, dbt, Dagster, and ETL/reverse ETL tools.
* Excellent judgment and creative problem solving skills.
* A self\-starting mindset along with strong communication and collaboration skills.
 While not required, it’s an added plus if you also have:
* Knowledge in data modeling methodologies to design and build robust data architectures for insightful analytics.
* Experience with business systems such as Salesforce,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$164,000—$338,000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9">
      <c r="A19" t="inlineStr">
        <is>
          <t>li-4371180346</t>
        </is>
      </c>
      <c r="B19" t="inlineStr">
        <is>
          <t>Principal Data Engineer</t>
        </is>
      </c>
      <c r="C19" t="inlineStr">
        <is>
          <t>BlinkRx</t>
        </is>
      </c>
      <c r="D19" t="inlineStr">
        <is>
          <t>linkedin</t>
        </is>
      </c>
      <c r="E19" t="inlineStr"/>
      <c r="F19" t="inlineStr"/>
      <c r="G19" t="inlineStr">
        <is>
          <t>New York, NY</t>
        </is>
      </c>
      <c r="H19" t="inlineStr"/>
      <c r="I19"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**About the Role:** 
 BlinkRx is seeking a highly experienced
 **Principal Data Engineer** 
 to design, build, and evolve our core data ecosystem. This role is for a hands\-on technical leader who thrives on transforming raw, disparate data into trusted, well\-modeled, and analytics\-ready assets that power decision\-making, AI, and operational systems across the company.
 As a senior individual contributor within the Data organization, you will own critical aspects of data architecture, modeling, and transformation. You’ll play a central role in unifying data across domains, evolving schemas and pipelines as the business changes, and ensuring our data foundation supports real\-time use cases, advanced analytics, and AI\-driven initiatives.
 **What You Will Do:** 
**Data Architecture \&amp; Modeling** 
* Design and maintain robust
 **data models** 
 that clearly define structure, relationships, and business meaning across domains.
* Establish and evolve canonical data definitions, schemas, and dimensional models to support analytics, reporting, and AI use cases.
* Ensure data models balance scalability, performance, and ease of use for downstream consumers.
**Data Transformation \&amp; Pipelines** 
* Build and own end\-to\-end data transformation workflows, from
 **raw ingestion through curated, modeled, and reporting\-ready layers** 
 .
* Implement scalable ELT/ETL patterns that support batch and
 **real\-time** 
 data processing.
* Continuously refactor and improve existing pipelines to increase reliability, performance, and clarity as requirements evolve.
**Data Integration \&amp; Unification** 
* Integrate data from diverse internal and external sources into a unified, consistent data foundation.
* Resolve data duplication, inconsistency, and fragmentation across systems through thoughtful modeling and transformation.
* Partner with upstream and downstream teams to ensure clean contracts and reliable data interfaces.
**AI \&amp; Advanced Analytics Enablement** 
* Design data structures and pipelines that enable
 **AI, machine learning, and advanced analytics** 
 use cases.
* Ensure training, feature, and inference data are accurate, timely, and reproducible.
* Collaborate with analytics and data science partners to operationalize AI\-ready datasets.
**Change Management \&amp; Technical Stewardship** 
* Lead
 **change management** 
 for data systems, including schema evolution, backfills, and migration strategies.
* Establish best practices for refactoring data pipelines without disrupting critical reporting or consumers.
* Act as a steward of long\-term data quality, maintainability, and technical integrity.
**Collaboration \&amp; Influence** 
* Partner closely with Analytics, Product, Finance, Operations, and Engineering to translate business needs into scalable data solutions.
* Communicate complex data concepts clearly to technical and non\-technical stakeholders.
* Set standards and provide technical guidance to other data engineers through design reviews and mentorship.
**Qualifications:** 
**Minimum Requirements** 
* 10\+ years of experience in
 **data engineering** 
 or related software engineering roles.
* Deep expertise in
 **SQL** 
 and data transformation frameworks, with strong proficiency in Python.
* Extensive experience designing and maintaining
 **data models** 
 (dimensional, relational, and analytical).
* Proven track record of building reliable data pipelines from raw data to analytics and reporting layers.
* Experience integrating and unifying data across multiple systems and domains.
* Strong understanding of data quality, testing, observability, and lifecycle management.
* Excellent communication skills and ability to drive alignment through technical leadership rather than people management.
**Preferred Qualifications** 
* + Experience supporting
	 **AI or machine learning** 
	 workloads with production\-grade data pipelines.
	+ Background in healthcare, pharmacy, or other regulated data environments.
	+ Experience with real\-time or streaming data architectures.
	+ Familiarity with modern cloud data stacks (e.g., cloud data warehouses, Spark\-based processing).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20">
      <c r="A20" t="inlineStr">
        <is>
          <t>li-4371485474</t>
        </is>
      </c>
      <c r="B20" t="inlineStr">
        <is>
          <t>Data Engineer</t>
        </is>
      </c>
      <c r="C20" t="inlineStr">
        <is>
          <t>Intuitive Machines</t>
        </is>
      </c>
      <c r="D20" t="inlineStr">
        <is>
          <t>linkedin</t>
        </is>
      </c>
      <c r="E20" t="inlineStr"/>
      <c r="F20" t="inlineStr"/>
      <c r="G20" t="inlineStr">
        <is>
          <t>California, United States</t>
        </is>
      </c>
      <c r="H20" t="inlineStr"/>
      <c r="I20" t="inlineStr">
        <is>
          <t>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21">
      <c r="A21" t="inlineStr">
        <is>
          <t>li-4371473559</t>
        </is>
      </c>
      <c r="B21" t="inlineStr">
        <is>
          <t>Data Engineer</t>
        </is>
      </c>
      <c r="C21" t="inlineStr">
        <is>
          <t>NeenOpal Inc.</t>
        </is>
      </c>
      <c r="D21" t="inlineStr">
        <is>
          <t>linkedin</t>
        </is>
      </c>
      <c r="E21" t="inlineStr"/>
      <c r="F21" t="inlineStr"/>
      <c r="G21" t="inlineStr">
        <is>
          <t>Newark, NJ</t>
        </is>
      </c>
      <c r="H21" t="inlineStr"/>
      <c r="I21" t="inlineStr">
        <is>
          <t>**Company Description** 
 NeenOpal is a global consulting firm specializing in Data Science and Business Intelligence, with offices in Bengaluru, Newark, and Fredericton. We provide end\-to\-end solutions tailored to the unique needs of businesses, from startups to large organizations, across domains like digital strategy, sales and marketing, supply chain, and finance. Our mission is to help organizations achieve operational excellence and transform into data\-driven enterprises.
**Role Description** 
 This is a full\-time, hybrid, Data Engineer role located in Newark, NJ. The Data Engineer will be responsible for designing, implementing, and managing data engineering solutions to support business needs. Day\-to\-day tasks include building and optimizing data pipelines, developing and maintaining data models and ETL processes, managing data warehousing solutions, and contributing to the organization’s data analytics initiatives. Collaboration with cross\-functional teams to ensure robust data infrastructure will be a key aspect of this role.
**Key Responsibilities** 
* **Data Pipeline Development:** 
 Design, implement, and manage robust data pipelines to ensure efficient data flow into data warehouses. Automate ETL processes using Python and advanced data engineering tools.
* **Data Integration:** 
 Integrate and transform data using industry\-standard tools. Experience required with:
* **AWS Services:** 
 AWS Glue, Data Pipeline, Redshift, and S3\.
* **Azure Services:** 
 Azure Data Factory, Synapse Analytics, and Blob Storage.
* **Data Warehousing:** 
 Implement and optimize solutions using Snowflake and Amazon Redshift.
* **Database Management:** 
 Develop and manage relational databases (SQL Server, MySQL, PostgreSQL) to ensure data integrity.
* **Performance Optimization:** 
 Continuously monitor and improve data processing workflows and apply best practices for query optimization.
* **Global Collaboration:** 
 Work closely with cross\-functional teams in the US, India, and Canada to deliver high\-quality solutions.
* **Governance \&amp; Support:** 
 Document ETL processes and data mappings in line with governance standards. Diagnose and resolve data\-related issues promptly.
**Required Skills and Experience** 
* **Experience:** 
 Minimum 2\+ years of experience designing and developing ETL processes (AWS Glue, Azure Data Factory, or similar).
* **Integration** 
 : Experience integrating data via RESTful 
 **/ GraphQL** 
  APIs.
* **Programming:** 
 Proficient in
 **Python** 
 for ETL automation and
 **SQL** 
 for database management.
* **Cloud Platforms:** 
 Strong experience with AWS or Azure data services. (GCP familiarity is a plus) .
* **Data Warehousing:** 
 Expertise with Snowflake, Amazon Redshift, or Azure Synapse Analytics.
* **Integration:** 
 Experience integrating data via RESTful APIs.
* **Communication:** 
 Excellent articulation skills to explain technical work directly to clients and stakeholders.
* **Authorization:** 
 Must have valid work authorization in the United States.
* **Salary Range:** 
 $65,000– $80,000 per year
* **Benefits:** 
 This role includes health insurance, paid time off, and opportunities for professional growth and continuous learning within a fast\-growing global analytics company.
**Equal Opportunity Employer** 
 NeenOpal Inc.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t>
        </is>
      </c>
    </row>
    <row r="22">
      <c r="A22" t="inlineStr">
        <is>
          <t>li-4371160483</t>
        </is>
      </c>
      <c r="B22" t="inlineStr">
        <is>
          <t>Data Analytics Engineer</t>
        </is>
      </c>
      <c r="C22" t="inlineStr">
        <is>
          <t>TEC Group International</t>
        </is>
      </c>
      <c r="D22" t="inlineStr">
        <is>
          <t>linkedin</t>
        </is>
      </c>
      <c r="E22" t="inlineStr"/>
      <c r="F22" t="inlineStr"/>
      <c r="G22" t="inlineStr">
        <is>
          <t>Tulsa, OK</t>
        </is>
      </c>
      <c r="H22" t="inlineStr"/>
      <c r="I22" t="inlineStr">
        <is>
          <t>**Job Title:** 
 Data Analytics Engineer
**Job Family:** 
 Information Technology
**Reports To:** 
 IT Leadership
**FLSA Status:** 
 Exempt
**Overtime Eligible:** 
 No
**Job Summary** 
 The Data Analytics Engineer is responsible for transforming raw data into reliable insights and metrics ready for analysis and reporting. This role acts as a bridge between data engineering and data analysis by applying SQL, data modeling, and data warehousing techniques. The position focuses on building and maintaining data pipelines and models, documenting data sources, and ensuring data quality, consistency, and accessibility so business users can make informed decisions.
**Essential Job Functions:** 
**Primary Responsibilities** 
* **Data Transformation:** 
 Convert raw data into metrics, insights, and reports by building scripts and tools to clean and prepare data for analysis.
* **Data Modeling:** 
 Design and implement data models that support efficient access and analytical use cases.
* **Data Pipeline Development:** 
 Build automated, scalable pipelines for data ingestion and processing.
* **Data Documentation and Consolidation:** 
 Document data models, pipelines, and processes to ensure clarity, maintainability, and consolidation of data sources.
* **Collaboration:** 
 Partner with data engineers, analysts, data scientists, and business stakeholders to meet data and reporting needs.
* **Data Quality Assurance:** 
 Apply software engineering best practices and implement testing and validation to ensure data accuracy and reliability.
* **Business Understanding:** 
 Translate business requirements into effective data models and analytical outputs.
* **Performance Monitoring:** 
 Monitor and optimize the performance of data pipelines and models, identifying and resolving issues as needed.
**Quality and Stewardship Responsibilities** 
* Maintains organizational standards related to assigned areas of responsibility.
* Identifies and communicates deficiencies in guidelines, procedures, or processes to appropriate leadership.
**Health, Safety, and Environmental Responsibilities** 
* Completes all required training to meet regulatory and organizational compliance standards.
* Maintains familiarity with emergency and safety procedures applicable to the work environment.
**Policy and Compliance** 
* Adheres to all organizational policies, including HR, safety, quality, and security standards.
* Maintains the highest level of data confidentiality and ethical conduct.
**Education and Skills Requirements** 
* High School diploma or GED required; equivalent experience considered.
* Five or more years of experience in Information Technology or a related field.
* **SQL:** 
 Strong proficiency in querying and manipulating data.
* **Data Modeling:** 
 Knowledge of data modeling concepts and tools.
* **Programming Languages:** 
 Experience with Python, Scala, R, or similar languages.
* **Data Visualization:** 
 Experience using visualization tools such as Tableau or Power BI.
* **Data Warehousing:** 
 Understanding of data warehousing concepts and technologies.
* **Cloud Platforms:** 
 Familiarity with cloud environments such as AWS, Azure, or GCP.
* **Software Engineering Practices:** 
 Experience with version control, CI/CD, and related practices.
* **Communication:** 
 Strong collaboration and communication skills with technical and non\-technical stakeholders.
* **Problem Solving:** 
 Ability to identify and resolve issues related to data quality, accessibility, and performance.
**Physical Demands and Work Environment** 
* Primarily office\-based work environment.
* May occasionally lift or move objects weighing up to 50 pounds.
* Requires repetitive hand and wrist movements and extended computer use.
* Requires close visual acuity for data analysis, documentation, and screen\-based work.</t>
        </is>
      </c>
    </row>
    <row r="23">
      <c r="A23" t="inlineStr">
        <is>
          <t>li-4251984313</t>
        </is>
      </c>
      <c r="B23" t="inlineStr">
        <is>
          <t>Real-Time Data Engineer II</t>
        </is>
      </c>
      <c r="C23" t="inlineStr">
        <is>
          <t>AppFolio</t>
        </is>
      </c>
      <c r="D23" t="inlineStr">
        <is>
          <t>linkedin</t>
        </is>
      </c>
      <c r="E23" t="inlineStr"/>
      <c r="F23" t="inlineStr"/>
      <c r="G23" t="inlineStr">
        <is>
          <t>Dallas, TX</t>
        </is>
      </c>
      <c r="H23" t="inlineStr"/>
      <c r="I23" t="inlineStr">
        <is>
          <t>**Description**
 What we’re looking for:
 As a member of the Data Platform Engineering team, the
 **Real\-Time** 
 Data Engineer II will work collaboratively to develop an infrastructure that ingests data from disparate sources, processes them real\-time and routes them to various target storages and applications, while providing access to high quality data to users, ranging from application developers interested in specific events to data analysts keen on business intelligence to data scientists training ML models.
 At AppFolio, we paddle as one. We ride and make waves together, with a relentless focus on building great products for the way our customers work and live today – and tomorrow. AppFolio is a destination organization where careers are made and accelerated. Here, innovation is a team sport.
 Your impact:
* Design, build and operate on next generation data pipeline infrastructure based on Apache Kafka and its ecosystem
* Improve data architecture, quality, discoverability and access policies to enable and enforce data governance
* Collaborate with engineers, data analysts and scientists to ensure that our data infrastructure meets the SLOs of our data\-intensive customers
* Develop techniques for monitoring the completeness, correctness and reliability of our data sets
* Leverage agile practices, encourage collaboration, prioritization, and urgency to develop at a rapid pace
* Research, share, and recommend new technologies and trends
**Qualifications**
* You have hands\-on experience with using Apache Kafka in production and have a passion for building a reliable, scalable and fault\-tolerant infrastructure.
* You have industry experience with working with real time transformation technologies such as Apache Flink
* You have worked with a variety of data sources, including change data capture systems, data streaming and event sourcing in production.
* You have hands\-on experience with data warehouse technology.
* You embrace the platform\-first approach to build standard solutions and self\-serve capabilities for engineering teams
* You want to work with a high degree of autonomy, while at the same time working on initiatives of high importance to the company.
* You care about work\-life balance and want your company to care about it too; you'll put in the extra hour when needed but won't let it become a habit.
 Must have
* 3\+ years of experience with Apache Kafka, Kafka Connect and its ecosystem
* 2\+ years of experience in streaming processing technologies, such as Apache Flink
* 2\+ years of experience with AWS primitives (IAM, VPC, S3, MSK, EKS, etc.)
* 3\+ years of experience working with programming languages like Python or Ruby
* Excellent SQL skills with working knowledge of query optimization
* 2\+ years of experience working with Infrastructure as Code, configuration management, and monitoring tools.
* Bachelors in Computer Science or other quantitative fields.
 Nice to have
* Experience with Debezium connectors
* Experience with large scale Data Lakes and Lake Houses, especially with Apache Iceberg is a plus
* Experience with distributed SQL query engines, such as Trino is a plus
* Experience with containers and container orchestration tools. Docker and Kubernetes experience is desirable.
* Data science skills for analyzing data and communicating with ML engineers are a plus.
**Compensation \&amp; Benefits**
 The base salary/hourly wage that we reasonably expect to pay for this role is: $104,000 to $130,000\.
 The actual base salary/hourly wage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24">
      <c r="A24" t="inlineStr">
        <is>
          <t>li-4371617215</t>
        </is>
      </c>
      <c r="B24" t="inlineStr">
        <is>
          <t>Senior Data Engineer</t>
        </is>
      </c>
      <c r="C24" t="inlineStr">
        <is>
          <t>Hydrogen Group</t>
        </is>
      </c>
      <c r="D24" t="inlineStr">
        <is>
          <t>linkedin</t>
        </is>
      </c>
      <c r="E24" t="inlineStr"/>
      <c r="F24" t="inlineStr"/>
      <c r="G24" t="inlineStr">
        <is>
          <t>Lakewood, CO</t>
        </is>
      </c>
      <c r="H24" t="inlineStr"/>
      <c r="I24" t="inlineStr">
        <is>
          <t>We are seeking a Senior Data Engineer to play a critical role in our enterprise adoption of Microsoft Fabric. This is a high\-impact, highly visible position focused on designing and delivering modern, scalable data platforms that power analytics, reporting, and strategic decision\-making across the organization.
 The work performed in this role directly supports key business drivers and is expected to deliver material impact within the next two to three years. You will operate at the intersection of Lakehouse, Warehouse, OneLake, and multiple Analytics Platforms, partnering closely with architects, product managers, and business stakeholders to transform complex data into trusted, actionable insights.
 This role offers significant ownership, architectural influence, and the opportunity to establish best practices as we modernize and scale our data ecosystem.
 What You'll Do
 · Design, build, and evolve end\-to\-end data pipelines using Microsoft Fabric, Azure Data Factory, and Spark
 · Serve as a key driver of measurable business impact, ensuring data warehousing solutions directly support enterprise capabilities and outcomes
 · Architect and maintain Lakehouse and Warehouse solutions leveraging Delta Lake for performance, reliability, and scalability
 · Implement and continuously improve Medallion architecture (Bronze / Silver / Gold) within OneLake
 · Develop resilient, scalable ETL/ELT frameworks supporting batch, dynamic, and incremental data ingestion
 · Drive performance optimization through partitioning strategies, schema and file design, caching, and query tuning
 · Enable analytics and reporting through semantic models and Direct Lake integration
 · Establish data quality, validation, observability, and monitoring to ensure trusted and governed data
 · Partner with product and business teams to translate requirements into robust, extensible data models
 · Contribute to data governance standards, documentation, and platform best practices
 · Provide technical leadership within a team of highly experienced engineers through design reviews, code reviews, and collaborative solution sessions
 What We're Looking For
 · Senior\-level experience in Data Engineering, Analytics Engineering, or a related discipline, with a track record of delivering enterprise\-scale solutions
 · Deep, hands\-on experience with Azure data services or comparable cloud ecosystems, including:
 o Microsoft Fabric (Lakehouse, Warehouse, OneLake)
 o Azure Data Factory
 o Azure Synapse Analytics
 o Power BI, Tableau, MicroStrategy, or similar.
 o AWS\- or Snowflake\-based data platforms
 · Strong experience with Spark (PySpark and/or Spark SQL)
 · Advanced SQL expertise (T\-SQL and/or ANSI SQL)
 · Proven ability to design and operate large\-scale, production\-grade, high\-performance data pipelines
 · Hands\-on experience with Delta Lake and modern data lake architectures
 · Strong problem\-solving skills and the ability to clearly communicate complex technical concepts to both technical and non\-technical stakeholders
 Why This Role
 · Opportunity to shape and influence a strategic, enterprise\-wide Microsoft Fabric implementation
 · Work on modern data architecture with meaningful scale and long\-term impact
 · High degree of technical ownership and autonomy
 · Collaborative engineering culture with strong executive sponsorship
 · Clear pathway for technical growth, influence, and leadership
 ...</t>
        </is>
      </c>
    </row>
    <row r="25">
      <c r="A25" t="inlineStr">
        <is>
          <t>li-4371459304</t>
        </is>
      </c>
      <c r="B25" t="inlineStr">
        <is>
          <t>Data Analytics Engineer</t>
        </is>
      </c>
      <c r="C25" t="inlineStr">
        <is>
          <t>Direct Travel</t>
        </is>
      </c>
      <c r="D25" t="inlineStr">
        <is>
          <t>linkedin</t>
        </is>
      </c>
      <c r="E25" t="inlineStr"/>
      <c r="F25" t="inlineStr"/>
      <c r="G25" t="inlineStr"/>
      <c r="H25" t="inlineStr"/>
      <c r="I25" t="inlineStr">
        <is>
          <t>**Your Expedition (Position Overview)**
 Direct travel is on a journey of data transformation, and we are seeking a skilled and motivated Data Analytics Engineer to join our team to be a pivotal part of our history.
 The ideal candidate will be crucial to the design, execution and delivery of a best\-in\-class global analytics platform, providing data insights and global reporting for both internal stakeholders and thousands of clients globally.
 A successful candidate will have hands on experience crafting embedded analytics applications, possess a background in software engineering and understand the latest methods and techniques in provisioning key visualizations and self\-service capabilities within our data products.
 In the role of an Analytics Engineer, a qualified candidate will work across engineering and data related assignments, contributing to the development of analytics products and using a data\-driven mindset to solve business problems across the organization.
**Going The Extra Mile (Responsibilities)**
* Data Management: Data collection and processing across various raw and unimproved data marts.
* Reporting \&amp; Visualization: Develop and implement key visualizations, reports, modeling and performance improving optimizations to our core data products.
* Collaboration: Work closely with IT and business units to understand data requirements and provide actionable insights and solutions to data problems.
* Process Improvement: Identify, analyze, and interpret trends or patterns in complex IT data sets to drive process improvements and policy development.
* Analytics \&amp; Insights: Provide key and differentiating industry insights for our customers through clear and concise analytical representations of core travel data.
**Your Passport To Success (Qualifications)**
* Educational Background: Bachelor’s degree in information technology, Computer Science, Data Science, or a related field or equivalent experience.
* Technical Proficiency:
+ Advanced knowledge of and experience with databases of all varieties including RDBMS SQL based platforms as well as document stores.
+ Demonstrable experience with a programming language typically used in the field of data and analytics engineering e.g. Python, R or Scala.
+ Experience and understanding of web application development, front\-end reactive applications such as VueJS or React as well as familiarity with middle and back\-end software development methodologies.
+ Understanding of the software development lifecycle and SCM through Git or an alternative.
* Cloud proficiency:
+ Experience with a cloud providers such as Amazon AWS, Azure or GCP and associated data platforms and products they provide.
* Analytics:
+ Full understanding of the data lifecycle, from pipeline development to warehouse architecture to reporting and analytics enablement.
+ Senior level experience with more than one cloud\-based analytics platform such as Looker, Tableau or PowerBI.
+ Experience developing semantic models across wide\-reaching data in sustainable and performant ways.
+ Exposure and understanding to cloud\-based warehouse platforms such as Snowflake, DataBricks or Azure DataLake.
+ Prior experience implementing governance and compliance related frameworks to analytics data products.
+ Inquisitive diagnostic skills related to query and system tuning and performance.
+ Experience building bespoke data products from the ground up that utilize analytics and business intelligence platforms in an integration manner for visuals and core functionality.
* Communication Skills: Strong verbal and written communication skills to effectively share findings with stakeholders.
* Attention to Detail: Adept at queries, report writing, and presenting findings.
**Preferred Qualifications**
* Experience: Proven working experience as a data analytics engineer.
* Platforms: Snowflake, Looker and LookML modeling experience.
**Your Benefits Onboard**
 In addition to Medical, Dental, and Vision benefits Direct Travel/ATPI offers a Total Rewards Package which includes Retirement Plans, Wellness, Rewards and Recognition, Sustainability, DE\&amp;I initiatives, and Mental Health Support.
**Embark on the next step in your career journey with Direct Travel!**
 Direct Travel/ATPI is one of the fastest growing Travel Management Companies (TMC) in the world. By leveraging both the expertise of its people and innovative technology solutions, Direct Travel/ATPI enables clients to derive the greatest value from their travel program in terms of superior service, progressive technologies, and significant cost savings. Direct Travel/ATPI has offices globally and is currently ranked among the top providers on Travel Weekly’s Power List. For more information, visit https://www.dt.com/about\-us/careers/
*Direct Travel/ATPI is an EOE/AA/Veteran/People with Disabilities employer*
**If you're ready to chart a new course and advance your career with the valuable moments and travel experiences that await, we welcome you to submit your resume for consideration at Direct Travel/ATPI.**</t>
        </is>
      </c>
    </row>
    <row r="26">
      <c r="A26" t="inlineStr">
        <is>
          <t>li-4342931188</t>
        </is>
      </c>
      <c r="B26" t="inlineStr">
        <is>
          <t>Analytics Engineer</t>
        </is>
      </c>
      <c r="C26" t="inlineStr">
        <is>
          <t>Lovable</t>
        </is>
      </c>
      <c r="D26" t="inlineStr">
        <is>
          <t>linkedin</t>
        </is>
      </c>
      <c r="E26" t="inlineStr"/>
      <c r="F26" t="inlineStr"/>
      <c r="G26" t="inlineStr">
        <is>
          <t>Boston, MA</t>
        </is>
      </c>
      <c r="H26" t="inlineStr"/>
      <c r="I26" t="inlineStr">
        <is>
          <t>**TL;DR** 
 \- We’re seeking an
 **Analytics Engineer** 
 to own the data foundations that fuel the GTM teams: building reliable models, shaping metrics, powering automation, and turning raw data into the insights and data products that drive Sales and Customer Success.
**Why Lovable?**
 Lovable lets anyone and everyone build software with any language. From solopreneurs to Fortune 100 teams, millions of people use Lovable to transform raw ideas into real products \- fast. We are at the forefront of a foundational shift in software creation, which means you have an unprecedented opportunity to change the way the digital world works. Over 2 million people in 200\+ countries already use Lovable to launch businesses, automate work, and bring their ideas to life. And we’re just getting started.
 We’re a small, talent\-dense team building a generation\-defining company. We value extreme ownership, high velocity and low\-ego collaboration. We seek out people who care deeply, ship fast, and are eager to make a dent in the world.
**What We're Looking For**
 We’re looking for an
 **Analytics Engineer** 
 with a background in Data Engineering or Analytics Engineering who operates as a true full\-stack analyst, owning everything from raw data to insights to operationalization.
 You bring:
* Strong SQL and analytical data modeling skills (ideally dbt or SQLMesh).
* Experience with ELT/ETL workflows and cloud warehouses (Snowflake, BigQuery, Redshift, Databricks).
* Comfort with Python for automation and light data engineering.
* Experience with dashboards, BI tools, and self\-serve analytics.
* Clear communication, collaboration, and comfort working in ambiguity.
* Nice to have: experience with AI/LLM products, instrumentation, experimentation, or early\-stage startups.
**What You'll Do**
* Partner with Sales and CS on data and reporting needs. Translate ambiguous business questions into structured data models, analysis and actionable insights, and data\-fueled products.
* Build and maintain data warehouse models that serve as the source of truth for product usage and GTM metrics.
* Model CRM data, usage data, and billing data to power Sales and CS automation, CRM enrichment, lead definition and creation, and GTM tooling.
* Design metrics, dashboards, and data UIs in Hex and Lovable for GTM leadership and teams to access and operationalize data.
* Partner with Product and Engineering on event instrumentation and schema design.
* Improve documentation, observability, governance, and data best practices.
* Contribute to forecasting models, KPI definitions, and experimentation frameworks.
* Own and improve data pipelines, ingestion workflows, and data quality testing.
**You’ll thrive here if you**
* Enjoy building clean, reliable, reusable data models.
* Have experience partnering closely with cross\-functional GTM teams to solve real problems with data.
* Prefer simplicity over complexity in data and tooling design.
* Communicate clearly and proactively with technical and non\-technical teams.
* Take ownership, move quickly, and iterate often.
* Want to help define and scale Lovable’s data foundations and culture.
* Care about the rep experience and view analytics as a product.
**About Your Application**
* Please submit your application in English. It’s our company language so you’ll be speaking lots of it if you join.
* We treat all candidates equally \- if you’re interested please apply through our careers portal.</t>
        </is>
      </c>
    </row>
    <row r="27">
      <c r="A27" t="inlineStr">
        <is>
          <t>li-4371480480</t>
        </is>
      </c>
      <c r="B27" t="inlineStr">
        <is>
          <t>Data Engineer/BI Developer - ADF Focus</t>
        </is>
      </c>
      <c r="C27" t="inlineStr">
        <is>
          <t>Providence Partners, LLC</t>
        </is>
      </c>
      <c r="D27" t="inlineStr">
        <is>
          <t>linkedin</t>
        </is>
      </c>
      <c r="E27" t="inlineStr"/>
      <c r="F27" t="inlineStr"/>
      <c r="G27" t="inlineStr">
        <is>
          <t>Austin, Texas Metropolitan Area</t>
        </is>
      </c>
      <c r="H27" t="inlineStr"/>
      <c r="I27" t="inlineStr">
        <is>
          <t>We are seeking a technically strong Data Engineer \&amp; BI Developer who is equally comfortable building reliable data pipelines and delivering trusted reporting solutions. This role leans heavily toward ETL engineering and Azure Data Factory ownership, while also supporting Power BI reporting and data modeling needs.
 What You’ll Do
* Design, build, and own Azure Data Factory (ADF) pipelines end\-to\-end
* Develop robust ETL processes including incremental loads, reprocessing logic, error handling, and data quality validation
* Monitor and troubleshoot pipelines in production — diagnosing failures and ensuring data reliability
* Write and optimize complex SQL queries to support warehouse design and performance
* Build and maintain Power BI datasets, data models, and reports
* Partner with stakeholders to translate business requirements into scalable data solutions
 What We’re Looking For
* Strong hands\-on experience designing and owning Azure Data Factory pipelines
* Deep understanding of ETL concepts and data warehouse fundamentals
* Advanced SQL proficiency (TSQL)
* Experience supporting pipelines and reporting in live production environments
* Solid experience with Power BI, including:
* Data modeling (star schema understanding)
* DAX fundamentals
* Managing datasets and refresh schedules
* Building business\-facing dashboards from curated warehouse data</t>
        </is>
      </c>
    </row>
    <row r="28">
      <c r="A28" t="inlineStr">
        <is>
          <t>li-4371429834</t>
        </is>
      </c>
      <c r="B28" t="inlineStr">
        <is>
          <t>Data Engineer</t>
        </is>
      </c>
      <c r="C28" t="inlineStr">
        <is>
          <t>Radley James</t>
        </is>
      </c>
      <c r="D28" t="inlineStr">
        <is>
          <t>linkedin</t>
        </is>
      </c>
      <c r="E28" t="inlineStr"/>
      <c r="F28" t="inlineStr"/>
      <c r="G28" t="inlineStr"/>
      <c r="H28" t="inlineStr"/>
      <c r="I28" t="inlineStr">
        <is>
          <t>Role Overview
 We are seeking a highly skilled
 **Data Engineer** 
 to design, build, and maintain low\-latency, high\-throughput data pipelines that power our high\-frequency trading (HFT) systems. You will work closely with quantitative researchers, traders, and infrastructure engineers to ensure the availability, quality, and performance of mission\-critical market and trading data. The primary development language is
 **Python** 
 , with strong emphasis on performance, reliability, and scalability.
 Key Responsibilities
 Data Pipeline \&amp; Infrastructure
* Design and implement
 **real\-time and batch data pipelines** 
 for market data, order data, and research datasets.
* Optimize pipelines for
 **low latency, high throughput, and fault tolerance** 
 .
* Build ingestion systems for multiple data sources (exchanges, vendors, internal feeds).
 Performance \&amp; Reliability
* Profile and optimize Python code for speed and memory efficiency.
* Implement monitoring, alerting, and automated recovery mechanisms.
* Ensure data accuracy, consistency, and completeness across systems.
 Storage \&amp; Architecture
* Design scalable storage solutions for
 **time\-series and tick\-level data** 
 .
* Work with columnar and distributed databases.
* Maintain data schemas, metadata management, and versioning.
 Collaboration
* Partner with quantitative researchers to deliver clean, structured datasets for modeling.
* Work with trading and infrastructure teams to integrate pipelines into production systems.
* Participate in code reviews and architecture discussions.
 Required Qualifications
 Technical Skills
* **Expert\-level Python** 
 programming experience.
* Strong knowledge of
 **data structures, algorithms, and system design** 
 .
* Experience with
 **streaming frameworks** 
 (e.g., Kafka, Redpanda, Pulsar, or similar).
* Experience with
 **databases** 
 : PostgreSQL, ClickHouse, kdb\+/q, or other high\-performance data stores.
* Familiarity with
 **Linux/Unix environments** 
 and shell scripting.
* Understanding of
 **networking fundamentals** 
 and low\-latency system design.
 Data Engineering Experience
* Building and maintaining
 **large\-scale ETL/ELT pipelines** 
 .
* Handling
 **high\-volume, high\-velocity datasets** 
 .
* Schema design, data modeling, and data validation techniques.
 Software Engineering Practices
* Version control (Git), CI/CD pipelines.
* Unit/integration testing and documentation.
* Debugging and performance profiling tools.
 Preferred Qualifications
* Experience in
 **financial markets** 
 , trading systems, or HFT environments.
* Knowledge of
 **C\+\+/Rust/Go** 
 for performance\-critical components.
* Experience with
 **time\-series databases** 
 and tick data processing.
* Familiarity with
 **containerization and orchestration** 
 (Docker, Kubernetes).
* Understanding of
 **quantitative research workflows** 
 and statistical data handling.
 Soft Skills
* Strong analytical and problem\-solving ability.
* Clear communication with both technical and non\-technical stakeholders.
* Ability to work in a
 **fast\-paced, high\-impact environment** 
 .
* Ownership mindset and attention to detail.
 What Success Looks Like
* Pipelines consistently meet strict latency and uptime targets.
* Researchers and traders receive accurate, timely data with minimal friction.
* Systems scale smoothly with increased data volume and market activity.
* Proactive identification and resolution of performance bottlenecks.
 Nice to Have Domain Knowledge
* Market microstructure
* Exchange protocols (FIX, ITCH, OUCH, WebSockets)
* Time synchronization and clock accuracy
* Backtesting and simulation data requirements</t>
        </is>
      </c>
    </row>
    <row r="29">
      <c r="A29" t="inlineStr">
        <is>
          <t>li-4371483741</t>
        </is>
      </c>
      <c r="B29" t="inlineStr">
        <is>
          <t>Fabric Data Engineer</t>
        </is>
      </c>
      <c r="C29" t="inlineStr">
        <is>
          <t>AppTech Consulting</t>
        </is>
      </c>
      <c r="D29" t="inlineStr">
        <is>
          <t>linkedin</t>
        </is>
      </c>
      <c r="E29" t="inlineStr"/>
      <c r="F29" t="inlineStr"/>
      <c r="G29" t="inlineStr"/>
      <c r="H29" t="inlineStr"/>
      <c r="I29" t="inlineStr">
        <is>
          <t>**About AppTech Consulting** 
 AppTech Consulting LLC is a specialized data and analytics consulting firm that helps real estate, property management, and investment organizations modernize their data platforms. We work with systems like Yardi, MRI, Salesforce, and other industry solutions, delivering practical, high\-impact analytics using modern technologies such as Microsoft Fabric.
 What makes AppTech different is our focus on real\-world results over buzzwords. We partner closely with our clients to turn complex, manual processes into streamlined, automated data environments that drive better decisions and measurable outcomes. Just as importantly, we believe great client outcomes come from happy, supported team members. We maintain a friendly, low\-bureaucracy, and collaborative work environment where people are trusted to do great work without unnecessary pressure. We value work\-life balance, respect personal time, and genuinely care about the well\-being and growth of our employees and contractors.
 \_\_\_\_\_\_\_\_\_\_\_\_\_\_\_\_\_\_\_\_\_\_\_\_\_\_\_\_\_\_\_\_\_\_\_\_\_\_\_\_\_\_\_\_\_\_\_\_\_\_\_\_
**Key Responsibilities** 
**Microsoft Fabric Data Engineering** 
* Build Silver\-layer transformation notebooks using PySpark and Spark SQL (PySQL).
* Transform and standardize data from Bronze layer sources into clean, analytics\-ready Silver staging tables.
* Implement data quality checks, standardization rules, and transformation logic.
* Assist in building end\-to\-end data pipelines within Microsoft Fabric.
* Support the development of semantic models and reporting datasets.
**General Data Warehouse Work** 
* Assist with data modeling and transformation design.
* Support Bronze, Silver, and Gold layer architecture in Fabric.
* Troubleshoot data issues and optimize performance.
* Contribute to documentation, standards, and reusable data engineering patterns.
**Required Skills \&amp; Experience** 
* Strong SQL skills.
* Experience with PySpark or Spark SQL.
* Hands\-on experience with Microsoft Fabric, Azure Synapse, or similar data platforms.
* Experience building ETL/ELT pipelines.
* Ability to work with large datasets and perform data transformations.
* Strong problem\-solving and communication skills.
**Preferred Qualifications** 
* Experience with Yardi Voyager databases.
* Knowledge of real estate, property management, or financial systems.
* Familiarity with medallion architecture (Bronze/Silver/Gold).
* Experience with Power BI or semantic models.
 \_\_\_\_\_\_\_\_\_\_\_\_\_\_\_\_\_\_\_\_\_\_\_\_\_\_\_\_\_\_\_\_\_\_\_\_\_\_\_\_\_\_\_\_\_\_\_\_\_\_\_\_
**Why work at AppTech?** 
* A supportive, down\-to\-earth team culture
* Flexible, remote\-friendly work arrangements
* Interesting, real\-world projects with immediate impact
* Opportunities to grow your skills across modern data platforms
* A company that truly values the people behind the work
* Fully banked PTO hours (after 90 days)
* Several paid holidays
* Sick days
* 401k options
***Note:***
*This position will start at 32\-40 hours a week with strong potential to grow into a salaried role. The hourly rate is between $45\-60 USD/hour (based on experience).* 
 If you’re looking for a place where you can do meaningful technical work while being treated with respect, flexibility, and appreciation, AppTech may be the right fit for you!</t>
        </is>
      </c>
    </row>
    <row r="30">
      <c r="A30" t="inlineStr">
        <is>
          <t>li-4371173701</t>
        </is>
      </c>
      <c r="B30" t="inlineStr">
        <is>
          <t>Senior Data Engineer</t>
        </is>
      </c>
      <c r="C30" t="inlineStr">
        <is>
          <t>Thoughtworks</t>
        </is>
      </c>
      <c r="D30" t="inlineStr">
        <is>
          <t>linkedin</t>
        </is>
      </c>
      <c r="E30" t="inlineStr"/>
      <c r="F30" t="inlineStr"/>
      <c r="G30" t="inlineStr">
        <is>
          <t>Chicago, IL</t>
        </is>
      </c>
      <c r="H30" t="inlineStr"/>
      <c r="I30" t="inlineStr">
        <is>
          <t>Senior data engineers at Thoughtworks are engineers who build, maintain and test the software architecture and infrastructure for managing data applications. They are involved in developing core capabilities which include technical and functional data platforms. They are the anchor for functional streams of work and are accountable for timely delivery. They work on the latest big data tools, frameworks and offerings (data mesh, etc.), while also being involved in enabling credible and collaborative problem solving to execute on a strategy.
 Job responsibilities
* You will develop and operate modern data architecture approaches to meet key business objectives and provide end\-to\-end data solutions.
* You will develop intricate data processing pipelines, addressing clients' most challenging problems.
* You will collaborate with data scientists to design scalable implementations of their models.
* You will write clean, iterative code using TDD and leverage various continuous delivery practices to deploy, support and operate data pipelines.
* You will use different distributed storage and computing technologies from the plethora of options available.
* You will develop data models by selecting from a variety of modeling techniques and implementing the chosen data model using the appropriate technology stack.
* You will collaborate with the team on the areas of data governance, data security and data privacy.
* You will incorporate data quality into your day\-to\-day work.
**Job Qualifications**
 Technical Skills
* Working with data excites you; You can build and operate data pipelines, and maintain data storage, all within distributed systems.
* You have hands\-on experience of data modeling and modern data engineering tools and platforms.
* You have experience in writing clean, high\-quality code using the preferred programming language.
* You have built and deployed large\-scale data pipelines and data\-centric applications using any of the distributed storage platforms and distributed processing platforms in a production setting.
* You have experience with data visualization techniques and can communicate the insights as per the audience.
* You have experience with data\-driven approaches and can apply data security and privacy strategy to solve business problems.
* You have experience with different types of databases (i.e.: SQL, NoSQL, data lake, data schemas, etc.).
 Professional Skills
* You understand the importance of stakeholder management and can easily liaise between clients and other key stakeholders throughout projects, ensuring buy\-in and gaining trust along the way.
* You are resilient in ambiguous situations and can adapt your role to approach challenges from multiple perspectives.
* You don’t shy away from risks or conflicts, instead you take them on and skillfully manage them.
* You are eager to coach, mentor and motivate others and you aspire to influence teammates to take positive action and accountability for their work.
* You enjoy influencing others and always advocate for technical excellence while being open to change when needed.
**Other things to know**
 Learning \&amp;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**About Thoughtworks**
 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
 Salary
 Benefits: https://www.thoughtworks.com/en\-us/careers/benefits
 The annual salary range posted is subject to many factors and may vary depending on experience, geographic location, job responsibilities, performance, skills and/or training.
 Salary
 $134—$203 USD
 See here our AI policy.</t>
        </is>
      </c>
    </row>
    <row r="31">
      <c r="A31" t="inlineStr">
        <is>
          <t>li-4371172932</t>
        </is>
      </c>
      <c r="B31" t="inlineStr">
        <is>
          <t>Senior Data Engineer</t>
        </is>
      </c>
      <c r="C31" t="inlineStr">
        <is>
          <t>LatentView Analytics</t>
        </is>
      </c>
      <c r="D31" t="inlineStr">
        <is>
          <t>linkedin</t>
        </is>
      </c>
      <c r="E31" t="inlineStr"/>
      <c r="F31" t="inlineStr"/>
      <c r="G31" t="inlineStr">
        <is>
          <t>Cary, NC</t>
        </is>
      </c>
      <c r="H31" t="inlineStr"/>
      <c r="I31" t="inlineStr">
        <is>
          <t>**About LatentView Analytics:** 
 LatentView Analytics is a leading global analytics and decision sciences provider, delivering solutions that help companies drive digital transformation and use data to gain a competitive advantage. With analytics solutions that provide a 360\-degree view of the digital consumer, fuel machine learning capabilities and support artificial intelligence initiatives., LatentView Analytics enables leading global brands to predict new revenue streams, anticipate product trends and popularity, improve customer retention rates, optimize investment decisions, and turn unstructured data into valuable business assets.
**Skills Required: Snowflake and DBT** 
**Job Description:** 
* Architectural Leadership: Direct the design of scalable ELT pipelines using Snowflake’s cloud\-native architecture and dbt for modular, version\-controlled transformations.
* Governance \&amp; Standards: Establish "gold standard" engineering practices for dbt modeling, automated testing, and Snowflake RBAC to ensure data integrity and security.
* Performance \&amp; Cost Optimization: Optimize cloud compute utilization through warehouse tuning and query profiling to balance high\-speed delivery with credit efficiency.
* Pipeline Orchestration: Manage CI/CD deployment workflows and mentor engineering teams to ensure the reliable, automated delivery of production\-ready data assets.
 At LatentView Analytics, we value a diverse, inclusive workforce and provide equal employment opportunities for all applicants and employees. All qualified applicants for employment will be considered without regard to an individual's race, colour,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t>
        </is>
      </c>
    </row>
    <row r="32">
      <c r="A32" t="inlineStr">
        <is>
          <t>li-4371185917</t>
        </is>
      </c>
      <c r="B32" t="inlineStr">
        <is>
          <t>Analytics Engineer</t>
        </is>
      </c>
      <c r="C32" t="inlineStr">
        <is>
          <t>RemoteHunter</t>
        </is>
      </c>
      <c r="D32" t="inlineStr">
        <is>
          <t>linkedin</t>
        </is>
      </c>
      <c r="E32" t="inlineStr"/>
      <c r="F32" t="inlineStr"/>
      <c r="G32" t="inlineStr"/>
      <c r="H32" t="inlineStr"/>
      <c r="I32"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3">
      <c r="A33" t="inlineStr">
        <is>
          <t>li-4371492433</t>
        </is>
      </c>
      <c r="B33" t="inlineStr">
        <is>
          <t>Data Engineer</t>
        </is>
      </c>
      <c r="C33" t="inlineStr">
        <is>
          <t>Booz Allen Hamilton</t>
        </is>
      </c>
      <c r="D33" t="inlineStr">
        <is>
          <t>linkedin</t>
        </is>
      </c>
      <c r="E33" t="inlineStr"/>
      <c r="F33" t="inlineStr"/>
      <c r="G33" t="inlineStr">
        <is>
          <t>McLean, VA</t>
        </is>
      </c>
      <c r="H33" t="inlineStr"/>
      <c r="I33" t="inlineStr">
        <is>
          <t>**Job Number: R0233775**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Due to the nature of work performed within this facility, U.S. citizenship is required.
 Work with us to use data for good.
 Join us. The world can’t wait.
**You Have:** 
* 2\+ years of experience utilizing programming languages, including C\+\+, Java, or Python
* 2\+ years of experience developing and maintaining scalable data stores that supply big data in forms needed for business analysis
* Experience creating software for retrieving, parsing, and processing structured and unstructured data
* Experience developing scalable ETL/ELT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Ability to obtain and maintain a Public Trust or Suitability/Fitness determination based on client requirements
* Bachelor’s degree
**Nice If You Have:** 
* Experience in application development utilizing SQL or Scala
* Experience with a public cloud, including AWS, Microsoft Azure, or Google Cloud
* Experience with distributed data or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UNIX or Linux, including basic commands and Shell scripting
* Experience with Agile engineering practices
**Vetting** 
**:**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4">
      <c r="A34" t="inlineStr">
        <is>
          <t>li-4371495410</t>
        </is>
      </c>
      <c r="B34" t="inlineStr">
        <is>
          <t>Sr. Data Engineer</t>
        </is>
      </c>
      <c r="C34" t="inlineStr">
        <is>
          <t>WellSky</t>
        </is>
      </c>
      <c r="D34" t="inlineStr">
        <is>
          <t>linkedin</t>
        </is>
      </c>
      <c r="E34" t="inlineStr"/>
      <c r="F34" t="inlineStr"/>
      <c r="G34" t="inlineStr">
        <is>
          <t>Overland Park, KS</t>
        </is>
      </c>
      <c r="H34" t="inlineStr"/>
      <c r="I34" t="inlineStr">
        <is>
          <t>The
 **Sr Data Engineer** 
 is responsible for designing, building, and maintaining scalable data pipelines, infrastructure, and data visualization to support our data\-driven decision\-making processes. The scope of this job includes collaborating with data scientists, analysts, solutions partners, and other stakeholders to increase data quality, accessibility, and security.
**Key Responsibilities:**
* Create, develop, maintain, and leverage data pipelines, data models, reporting, and dashboards to solve business problems or assigned tasks in coordination with multiple teams.
* Develop and maintain data solutions to enable new or existing solutions and BI development for the data warehouse and data visualization solutions.
* Enhance and document workflows for complex data\-related challenges by identifying patterns, trends, and anomalies in the data, and find ways to optimize data processing and storage to promote data quality through automation.
* Develop understanding of different WellSky solutions and become a subject matter expertise in the healthcare domain.
* Identify opportunities in code reviews and contribute to the development of best practices and coding standards.
* Adhere to WellSky core values, ensure PHI data security, and adapt to changing BI technologies.
* Leverage AI tools and platforms as an integral part of daily responsibilities to enhance decision\-making, streamline workflows, and drive data\-informed outcomes.
* Perform other job duties as assigned.
**Required Qualifications:** 
* Bachelor’s degree or relevant work experience
* 4\-6 years of relevant work experience
* Strong SQL skills with hands\-on experience developing and supporting data pipelines and data warehouse solutions
* Experience with SQL Server data integration and ETL development (including SSIS or equivalent)
* Experience with cloud\-based data platforms and services, preferably within GCP environments
**Preferred Qualifications:** 
* Experience with Snowflake data warehouse development and management
* Experience with DBT for ELT/ETL processes, data modeling, testing, and documentation
* GCP expertise, especially with Cloud SQL, BigQuery, and DataStream
* Experience with data replication tools such as HVR (or similar CDC/replication technologies)
* Experience supporting BI/reporting environments such as Tableau through well\-modeled, performant datasets
* Healthcare industry experience
**Job Expectations:**
* Willing to work additional or irregular hours as needed
* Must work in accordance with applicable security policies and procedures to safeguard company and client information
* Must be able to sit and view a computer screen for extended periods of time
 WellSky is where independent thinking and collaboration come together to create an authentic culture. We thrive on innovation, inclusiveness, and cohesive perspectives. At WellSky you can make a difference.
 WellSky provides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 WellSky is proud to be a drug\-free workplace.
 Applicants for U.S.\-based positions with WellSky must be legally authorized to work in the United States. Verification of employment eligibility will be required at the time of hire. Certain client\-facing positions may be required to comply with applicable requirements, such as immunizations and occupational health mandates.
 Here are some of the exciting benefits full\-time teammates are eligible to receive at WellSky:
* Excellent medical with Rx, dental, and vision benefits
* Mental Health support through EAP
* Generous paid time off, plus 13 paid holidays
* 100% vested 401(K) retirement plans
* Educational assistance up to $2500 per year</t>
        </is>
      </c>
    </row>
    <row r="35">
      <c r="A35" t="inlineStr">
        <is>
          <t>li-4362086059</t>
        </is>
      </c>
      <c r="B35" t="inlineStr">
        <is>
          <t>Principal Data Engineer - Red Hat Sales Data Management (Raleigh Office)</t>
        </is>
      </c>
      <c r="C35" t="inlineStr">
        <is>
          <t>Red Hat</t>
        </is>
      </c>
      <c r="D35" t="inlineStr">
        <is>
          <t>linkedin</t>
        </is>
      </c>
      <c r="E35" t="inlineStr"/>
      <c r="F35" t="inlineStr"/>
      <c r="G35" t="inlineStr">
        <is>
          <t>Raleigh, NC</t>
        </is>
      </c>
      <c r="H35" t="inlineStr"/>
      <c r="I35" t="inlineStr">
        <is>
          <t>Red Hat’s Global Sales Go\-To\-Market Strategy, Incentives \&amp; Data Analytics organization is seeking a Principal Data Engineer to work with a high degree of autonomy to lead the integration, automation, and optimization of complex data solutions. In this role, you will move beyond simple execution to provide technical leadership in data massaging, reconciliation, and architectural design. You will be responsible for building robust data pipelines, ensuring data governance, and collaborating with cross\-functional teams to deliver high\-quality data products that drive business decisions.
****What will you do?****
* Advanced SQL Development: Write complex, highly optimized SQL queries across large datasets. You will be the subject matter expert for SQL query tuning and providing performance recommendations to the wider team.
* Python Automation: utilize advanced Python proficiency (including libraries such as Pandas and NumPy) to clean, massage, and merge raw datasets, automating complex data extraction and loading processes.
* Pipeline Orchestration: Design, schedule, and monitor robust data pipelines using tools like Airflow. You will take ownership of debugging workflows and resolving performance bottlenecks.
* Data Stewardship: Act as a guardian of data integrity. This includes leading initiatives on data governance, compliance, transformation, and validation audits.
* Automated Testing \&amp; CI/CD: Develop and maintain automated unit, end\-to\-end, and integration tests to ensure data accuracy. Participate actively in version control (Git) and CI/CD processes for deploying pipeline changes across environments.
* Cross\-Functional Leadership: Partner with Analysts, Engineers, and Operations teams to understand data needs and ensure data accessibility for business stakeholders from the finance and operations organizations.
* Problem Solving: Apply strong analytical skills to translate complex algorithms into efficient software solutions, converting raw data into actionable insights by identifying trends, outliers, and distributions.
****What will you bring?****
* Experience: 5\+ years of experience as a Data Engineer, BI Engineer, or Systems Analyst in an enterprise environment with large, complex data sources.
* Education: Master’s degree in Computer Science, IT, Engineering, or equivalent experience.
* Expert SQL: Deep expertise in relational databases (PostgreSQL, MSSQL, etc.) and query optimization.
* Expert Python: Strong programming skills for data querying, cleaning, and presentation, with hands\-on experience in data\-centric libraries.
* Modern Stack Experience: Working knowledge of DBT (Data Build Tool) and Snowflake data warehousing is highly desirable.
* ELT/ETL Tools: Experience with Fivetran or similar integration tools.
* Autonomy: Ability to manage multiple projects simultaneously in a fast\-paced, distributed team environment across different time zones and cultures.
* Troubleshooting: Exceptional logic and reasoning skills to troubleshoot complex data issues.
* Planning: Ability to think strategically about data architecture and project planning.
 The salary range for this position is $120,720\.00 \- $199,120\.00\.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36">
      <c r="A36" t="inlineStr">
        <is>
          <t>li-4371491455</t>
        </is>
      </c>
      <c r="B36" t="inlineStr">
        <is>
          <t>Data Engineer</t>
        </is>
      </c>
      <c r="C36" t="inlineStr">
        <is>
          <t>Booz Allen Hamilton</t>
        </is>
      </c>
      <c r="D36" t="inlineStr">
        <is>
          <t>linkedin</t>
        </is>
      </c>
      <c r="E36" t="inlineStr"/>
      <c r="F36" t="inlineStr"/>
      <c r="G36" t="inlineStr">
        <is>
          <t>McLean, VA</t>
        </is>
      </c>
      <c r="H36" t="inlineStr"/>
      <c r="I36" t="inlineStr">
        <is>
          <t>**Job Number: R0233774**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Due to the nature of work performed within this facility, U.S. citizenship is required.
 Work with us to use data for good.
 Join us. The world can’t wait.
**You Have:**
* 2\+ years of experience utilizing programming languages, including C\+\+, Java, or Python
* 2\+ years of experience developing and maintaining scalable data stores that supply big data in forms needed for business analysis
* Experience creating software for retrieving, parsing and processing structured and unstructured data
* Experience with developing scalable ETL/ELT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Ability to obtain and maintain a Public Trust or Suitability/Fitness determination based on client requirements
* Bachelor’s degree
**Nice If You Have:** 
* Experience in application development utilizing SQL or Scala
* Experience with a public cloud, including AWS, Microsoft Azure, or Google Cloud
* Experience with distributed data and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UNIX and Linux, including basic commands and Shell scripting
* Experience with Agile engineering practices
**Vetting** 
**:**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7">
      <c r="A37" t="inlineStr">
        <is>
          <t>li-4370919914</t>
        </is>
      </c>
      <c r="B37" t="inlineStr">
        <is>
          <t>Data Engineer II (ETL / SQL / SSIS)</t>
        </is>
      </c>
      <c r="C37" t="inlineStr">
        <is>
          <t>Children's Wisconsin</t>
        </is>
      </c>
      <c r="D37" t="inlineStr">
        <is>
          <t>linkedin</t>
        </is>
      </c>
      <c r="E37" t="inlineStr"/>
      <c r="F37" t="inlineStr"/>
      <c r="G37" t="inlineStr">
        <is>
          <t>Milwaukee, WI</t>
        </is>
      </c>
      <c r="H37" t="inlineStr"/>
      <c r="I37" t="inlineStr">
        <is>
          <t>*At Children’s Wisconsin, we believe kids deserve the best.*
*Children’s Wisconsin is a nationally recognized health system dedicated solely to the health and well\-being of children. We provide primary care, specialty care, urgent care, emergency care, community health services, foster and adoption services, child and family counseling, child advocacy services and family resource centers. Our reputation draws patients and families from around the country.*
*We offer a wide variety of rewarding career opportunities and are seeking individuals dedicated to helping us achieve our vision of the healthiest kids in the country. If you want to work for an organization that makes a difference for children and families, and encourages you to be at your best every day, please apply today.*
***Please follow this link for a closer look at what it’s like to work at Children’s Wisconsin:***
 https://www.instagram.com/lifeatcw/
 Children’s Wisconsin is seeking a
 **Data Engineer II** 
 to support our Data Warehousing and Business Intelligence initiatives. In this role, you will design, develop, and maintain enterprise ETL solutions that power insights across our mission\-driven healthcare organization.
 If you enjoy building scalable data pipelines, working with SQL Server, SSIS, Microsoft Fabric, and collaborating with teams across IT and clinical operations, this is an opportunity where your work directly impacts patient care.
**What You Will Do**
* Design, develop, and maintain ETL routines using Microsoft SQL Server, SSIS, Microsoft Fabric, and stored procedures.
* Serve as an application expert and technical resource for SSIS or similar ETL tools.
* Build and maintain data pipelines that support Data Warehousing and BI initiatives.
* Perform testing, troubleshooting, and code enhancements following established frameworks and development standards.
* Collaborate with cross\-functional teams to support data quality, master data management, and data governance efforts.
* Contribute to modernization initiatives within our analytics and BI environment.
**What You Will Need**
**Required:**
* Bachelor’s degree in IT, Computer Science, Analytics, or equivalent work experience
* 3\+ years of experience in ETL development
* Strong experience with:
+ SQL Server
+ SSIS or similar ETL tools
+ Stored procedures / scripting languages
* Demonstrated analytical and problem‑solving skills
* Ability to work collaboratively on complex, cross\-functional projects
**Preferred:**
* Experience with Microsoft Fabric or cloud\-based ETL tools
* Epic / healthcare data experience
* Knowledge of healthcare delivery systems
* Master’s degree or related certifications
**Why Join Children’s Wisconsin?**
* Make a meaningful impact through data in a healthcare environment
* Collaborate with talented teams across IT, clinical, and analytics groups
* Opportunity to work with modern tools and emerging technologies
* Competitive compensation and benefits
* A mission\-driven workplace where your work truly matters
 Children's Wisconsin is an equal opportunity / affirmative action employer. We are committed to creating a diverse and inclusive environment for all employees. We treat everyone with dignity, respect, and fairness. We do not discriminate against any person on the basis of race, color, religion, sex, gender, gender identity and/or expression, sexual orientation, national origin, age, disability, veteran status, or any other status or condition protected by the law.
**Certifications/Licenses:**</t>
        </is>
      </c>
    </row>
    <row r="38">
      <c r="A38" t="inlineStr">
        <is>
          <t>li-4363290430</t>
        </is>
      </c>
      <c r="B38" t="inlineStr">
        <is>
          <t>Full-Time Senior Data Engineer - US (Remote)</t>
        </is>
      </c>
      <c r="C38" t="inlineStr">
        <is>
          <t>Theoria Medical</t>
        </is>
      </c>
      <c r="D38" t="inlineStr">
        <is>
          <t>linkedin</t>
        </is>
      </c>
      <c r="E38" t="inlineStr"/>
      <c r="F38" t="inlineStr"/>
      <c r="G38" t="inlineStr">
        <is>
          <t>Novi, MI</t>
        </is>
      </c>
      <c r="H38" t="inlineStr"/>
      <c r="I38" t="inlineStr">
        <is>
          <t>**Senior Data Engineer** 
**Position Type:** 
 Full\-time
**Compensation:** 
 TBA
**Company Overview** 
 Theoria Medical is a comprehensive medical group and technology company dedicated to serving patients across the care continuum with an emphasis on post\-acute care and primary care. Theoria serves facilities across the United States with a multitude of services to improve the quality of care delivered, refine facility processes, and enhance critical relationships. We offer multispecialty physician services, telemedicine, remote patient monitoring, and more.
**Job Summary** 
 We’re looking for a Senior Software Engineer responsible for designing, building, and maintaining scalable, reliable data pipelines and data platforms that support enterprise analytics and reporting across the organization. 
 This role will partner closely with analytics, data science, and business teams to ensure healthcare data is well\-modeled, governed, and readily available for downstream use. The ideal candidate has deep experience with modern data engineering tools, strong data modeling expertise, and a solid understanding of healthcare data.
**Shift Structure** 
* Remote position, Shift (TBA)
**Key Responsibilities** 
* Design, build, and maintain scalable data pipelines using Microsoft Fabric and Apache Airflow
* Ingest, transform, and integrate data from a variety of sources, including relational systems, APIs, and MongoDB
* Implement and manage data solutions aligned to Medallion architecture principles (Bronze, Silver, Gold)
* Design and maintain analytical data models, including fact and dimension tables, to support reporting and analytics
* Optimize data storage, performance, and reliability across lakehouse and warehouse environments
* Ensure data quality, observability, and lineage through validation, monitoring, and documentation
* Collaborate with data analysts and BI developers to enable performant, well\-modeled datasets for Power BI
* Partner with clinical, operational, and technical stakeholders to understand data requirements and constraints
* Support data governance, security, and compliance efforts, including HIPAA\-related controls
* Mentor junior data engineers and contribute to engineering standards and best practices
**Qualifications** 
**Background and Skills** 
* 5\+ years of experience as a Data Engineer, Senior Data Engineer, or similar role
* Strong experience with Microsoft Fabric (e.g., Lakehouse, Data Warehouse, pipelines, notebooks)
* Hands\-on experience with Apache Airflow for workflow orchestration and scheduling
* Experience working with MongoDB and integrating NoSQL data sources into analytical platforms
* Strong SQL skills and experience building performant analytical queries and transformations
* Deep understanding of data modeling concepts, including fact and dimension tables
* Practical experience implementing Medallion architecture in a data lake or lakehouse environment
* Experience working with healthcare data (e.g., EHR/EMR, claims, clinical, revenue cycle, or operational data)
* Strong understanding of data engineering best practices around scalability, reliability, and maintainability
**Preferred Experience** 
* Experience in a healthcare provider, payer, or health technology organization
* Familiarity with HIPAA and healthcare data privacy and security requirements
* Experience with CI/CD for data pipelines and infrastructure\-as\-code concepts
* Exposure to streaming or near–real\-time data processing
* Experience supporting enterprise BI platforms such as Power BI
**Compensation and Benefits** 
* Competitive salary
* 401(k) with employer match
* Health, dental, and vision insurance
* PTO \+ paid holidays
* Life insurance coverage
* Remote flexibility with a national legal scope
*Employee must be able to perform the essential functions of this position satisfactorily, with or without a reasonable accommodation.  Employer retains the right to change or assign other duties to this position.* 
 \#IND</t>
        </is>
      </c>
    </row>
    <row r="39">
      <c r="A39" t="inlineStr">
        <is>
          <t>li-4371179384</t>
        </is>
      </c>
      <c r="B39" t="inlineStr">
        <is>
          <t>Sr Data Engineer - Analytics</t>
        </is>
      </c>
      <c r="C39" t="inlineStr">
        <is>
          <t>Xperi Inc.</t>
        </is>
      </c>
      <c r="D39" t="inlineStr">
        <is>
          <t>linkedin</t>
        </is>
      </c>
      <c r="E39" t="inlineStr"/>
      <c r="F39" t="inlineStr"/>
      <c r="G39" t="inlineStr">
        <is>
          <t>Durham, NC</t>
        </is>
      </c>
      <c r="H39" t="inlineStr"/>
      <c r="I39" t="inlineStr">
        <is>
          <t>Xperi invents, develops and delivers technologies that create extraordinary experiences at home and on the go for millions of people around the world. Powering billions of consumer electronics, connected cars and digital content titles, we make entertainment more immersive, driving more intelligent and every interaction seamlessly personalized through our renowned consumer brands: DTS®, HD Radio™ and TiVo®.       Xperi (NYSE: XPER) is a publicly traded technology company headquartered in San Jose, CA with employees across North America, Europe and Asia. Come join a thriving team where you can play an integral role in shaping the future of entertainment technology. About the role: Join a team that is dedicated to creating world\-class development and deployment environments that are highly scalable and resilient. As Data Engineer \- Analytics, you’ll play a truly rewarding part in delivering insights for our TiVo One platform, an industry\-leading Saas offering. Enjoy the opportunity to draw on your passion for problem\-solving and simplifying tasks, as well as your technical skill set to make important contributions to the platform. You’ll collaborate daily in an agile development environment with an extended team of experienced engineers. The Data Engineer \- Analytics is a key role in TiVo’s Content organization. The Content team handles the challenges of creating scalable services for TiVo\-branded experiences, with a key focus on driving TiVo One viewership. This technical role is focused on developing and deploying cloud\-based offerings using a wide range of tools and frameworks, automating operational tasks, improving performance modeling , and working with development and operational teams to solve complex problems.  You will collaborate closely with business stakeholders to help us better understand our TiVo One viewership performance.All candidates must bring a basic understanding of AI concepts or interest in AI tools and technologies. We’re looking for individuals who are curious about AI, eager to learn, and aim to integrate it into their work in alignment with organizational policies.  What you will get to do:
 * Perform exploratory analysis, create dashboards, and generate actionable insights for engineering and business teams.
* Build datasets that support reporting, monitoring, and operational intelligence.
* Design, build, and maintain scalable ETL/ELT pipelines and data models.
* Implement data quality checks, metadata management, and documentation.
* Drive technical and architectural excellence across our data engineering services
* Imagine, design and develop new visualizations that help us understand our business performance
* Utilize and promote sound development practices (requirements gathering, design reviews, code reviews, retrospective meetings, etc.)
* Adhere to core design and testing principles set by team and group leadership
* Identify and automate repetitive operational tasks at all stages of the software lifecycle
* Build tools and systems to increase operational transparency and monitoring of SaaS products across Xperi
 Who we are looking for:Must have:
 * Strong Python and SQL for data manipulation and analytics.
* Strong expertise in Java and OO design
* Experience with modern data engineering tools (Airflow/Dagster/Prefect, dbt).
* Proficiency with cloud data platforms (BigQuery, Snowflake).
* Familiarity with data warehousing concepts, dimensional modeling, and schema design.
* Experience with CI/CD, version control (Git)
* Experience designing and developing large software systems
* Experience with JSON and REST
 Nice to have:
 * Stream processing (Kafka Streams)
* NoSQL databases, key\-stores and other data\-structure solutions (i.e., Dynamo, Cassandra, MongoDB)
* Continuous Integration platforms (Jenkins)
* Offline data processing (PySpark, Airflow)
* Virtualization and container orchestration (Docker, Kubernetes)
* Monitoring and logging tools (Prometheus, ELK)
* Virtual application and web servers (Apache, NGINX)
* Cloud infrastructure (AWS)
 What will make you successful:
 * The ability to propose, design and develop solutions that scale
* Expert problem\-solving skills
* Ability to translate data insights into operational decisions.
* Excellent written and oral communication skills
* Can work independently in fast\-paced IT environments.
* 
 Life @ Xperi:      At Xperi, we value People, Customers, Performance and Innovation. We are dedicated to creating a workplace where all employees have a voice and sense of belonging, feel safe and valued, and are acknowledged for how their unique differences contribute to organizational culture and business outcomes.     Our employees and their families are important to us, and our comprehensive pay, stock and benefits programs reflect that. Xperi supports personal well\-being, builds financial security and enables employees to share in our collective success.     Rewards include:     
 * Competitive compensation (salary, equity and bonuses) and comprehensive benefits designed to foster work\-life balance, care for your health, protect your finances and help you save and invest for the future.
* Generous paid time away from work, including flexible time off, holidays and sick time, health and wellness initiatives, and a charitable match program to help you give back to your community.
* Great perks, which vary by location and can be site\-specific: employee discounts, transportation reimbursements, subsidized cafes and fitness facilities.
* A flexible, hybrid work environment combining the best of in\-office collaboration and community\-building along with the benefits of working from home.</t>
        </is>
      </c>
    </row>
    <row r="40">
      <c r="A40" t="inlineStr">
        <is>
          <t>li-4346695581</t>
        </is>
      </c>
      <c r="B40" t="inlineStr">
        <is>
          <t>Staff  Analytics Engineer</t>
        </is>
      </c>
      <c r="C40" t="inlineStr">
        <is>
          <t>Huntress</t>
        </is>
      </c>
      <c r="D40" t="inlineStr">
        <is>
          <t>linkedin</t>
        </is>
      </c>
      <c r="E40" t="inlineStr"/>
      <c r="F40" t="inlineStr"/>
      <c r="G40" t="inlineStr"/>
      <c r="H40" t="inlineStr"/>
      <c r="I40" t="inlineStr">
        <is>
          <t>**Reports to: Senior Manager, Analytics Engineering**
**Location: Remote US**
**Compensation Range: $170,000 to $200,000 base plus bonus and equity**
**What We Do:**
 Huntress is a fully remote, global team of passionate experts and ethical badasses on a mission to break down the barriers to cybersecurity. Whether creating purpose\-built security solutions, hunting down hackers, or impacting our community, our people go above and beyond to change the security game and make a real difference.
 Founded in 2015 by former NSA cyber operators, Huntress protects all businesses—not just the 1%—with enterprise\-grade, fully owned, and managed cybersecurity products at the price of an affordable SaaS application. The Huntress difference is our One Team advantage: our technology is designed with our industry\-defining Security Operations Center (SOC) in mind and is never separated from our service.
 We protect 4M\+ endpoints and 7M\+ identities worldwide, elevating underresourced IT teams with protection that works as hard as they do. As long as hackers keep hacking, Huntress keeps hunting.
**What You’ll Do:**
 Analytics engineer is a hybrid Data Engineer/Data Scientist/Business Analyst role that has the ability to understand data flows end to end, and the engineering toolkit to extract the most value and solve business problems. As a Staff Analytics Engineer at Huntress, you will be a key technical leader, driving the strategy, architecture, and execution of our data analytics platform. You'll provide thought leadership, architect cutting\-edge solutions, and serve as a technical mentor to the rest of the team by providing expertise and code reviews to unlock the full potential of our data. Your work will directly influence business strategy and drive growth in a dynamic startup environment. This is a great role for a seasoned expert passionate about building scalable, high\-impact data systems.
**Responsibilities:**
* Architect, design, and lead the implementation of highly complex, scalable, and resilient data solutions in the cloud, leveraging AWS, Snowflake, dbt, Fivetran, and other modern technologies.
* Be the Expert. Quickly build subject matter expertise in a specific business area and data domain. Understand the data flows from creation, ingestion, transformation, and delivery.
+ Examples: Embed into a new line of business and work with engineering and finance partners to deliver initial data models and insights. Communicate with the engineering teams to fix data gaps (e.g. missing data objects or attributes) and take accountability for fixing issues anywhere in the stack.
* Support defining and executing the overarching strategy for the analytics engineering function, including the development and evangelization of data frameworks, standards, and best practices across the organization.
* Lead efforts in designing, building, and maintaining a robust, governed, and scalable semantic layer to provide consistent and reliable data access for business intelligence and analytics.
* Spearhead the technical vision and roadmap for data quality and governance, establishing frameworks and processes to ensure data integrity and proactively address systemic issues.
* Act as a primary technical consultant to senior executives and business stakeholders, translating complex data concepts into actionable insights and strategic recommendations.
* Mentor, coach, and develop junior and mid\-level analytics engineers, fostering a culture of technical excellence, innovation, and continuous learning within the team.
* Set standards for documentation, conduct advanced peer code reviews, and define comprehensive testing strategies for data solutions.
* Continuously evaluate and champion new technologies and methodologies to enhance the data and analytics capabilities at Huntress.
**What You Bring To The Team:**
 In addition to out of the box thinking, attention to detail, a sense of urgency and a high degree of autonomy and accountability, we look for:
* 7\+ years of progressive experience in analytics engineering, data engineering, or a similar role, with a strong emphasis on architecting and implementing large\-scale data solutions.SaaS experience is a plus.
* Financial \&amp; Go\-to\-Market Data Experience: Familiarity with data producers supporting Financial, Marketing, and Sales data initiatives and the handling of sensitive PII and board level reporting across a broad stakeholder base.
* Data Modeling Expertise: Mastery of developing modular and reusable data models to accelerate self\-service analytics (e.g. star schemas, snowflake schemas). Experience migrating legacy architectures \&amp; data models is a plus.
* Expert\-level proficiency with cloud data warehousing technologies such as Snowflake (preferred), Redshift, or BigQuery.
* Extensive experience developing and optimizing complex ETL/ELT programs and data pipelines using tools like DBT, Fivetran, Airflow, etc. Expertise in query performance tuning, materialization strategies, and data transformation.
* Data Visualization: Proficient in building polished dashboards in tools like Looker, Sigma, Tableau.
* Proficiency with AI Tools: Expertise in prompt engineering and design for LLMs (e.g., GPT) including creating, refining, and optimizing prompts to internal use cases and the end to end process of delivering data products.
* Demonstrated ownership of full life cycle data analytics development: Strategic Planning, Requirements, Architecture, Design, Testing, Deployment, and Operations.
* Exceptional presentation, communication, and interpersonal skills, with the ability to articulate complex technical ideas to both technical and non\-technical audiences, including C\-level executives, and drive consensus.
* Intermediate to Advanced Python: proficient in data science languages (e.g Python, R) for advanced data manipulation, statistical modeling and ML
* Intermediate to Advanced experience with a wide range of Machine Learning and analytical techniques, their real\-world advantages/drawbacks, and experience deploying models to production.
* Strong strategic thinking, problem\-solving, and decision\-making capabilities.
* A bachelor’s or master’s degree in Computer Science, Technology, Engineering, or a related field; or equivalent deep industry experience.
**What We Offer:**
* 100% remote work environment \- since our founding in 2015
* Generous paid time off policy, including vacation, sick time, and paid holidays
* 12 weeks of paid parental leave
* Highly competitive and comprehensive medical, dental, and vision benefits plans
* 401(k) with a 5% contribution regardless of employee contribution
* Life and Disability insurance plans
* Stock options for all full\-time employees
* One\-time $500 reimbursement for building/upgrading home office
* Annual allowance for education and professional development assistance
* $75 USD/month digital reimbursement
* Access to the BetterUp platform for coaching, personal, and professional growth
*Huntress is committed to creating a culture of inclusivity where every single member of our team is valued, has a voice, and is empowered to come to work every day just as they are.*
*We do not discriminate based on race, ethnicity, color, ancestry, national origin, religion, sex, sexual orientation, gender identity, disability, veteran status, genetic information, marital status, or any other legally protected status.*
*We do discriminate against hackers who try to exploit businesses of all sizes.*
**Accommodations:**
*If you require reasonable accommodation to complete this application, interview, or pre\-employment testing or participate in the employee selection process, please direct your inquiries to* 
*accommodations@huntresslabs.com* 
*. Please note that non\-accommodation requests to this inbox will not receive a response.*
**Huntress uses artificial intelligence tools to assist in reviewing and evaluating job applications, including resume screening, skills assessment, and candidate matching and comparisons. These AI tools support our human recruiters in the initial review process but do not make final hiring decisions without human involvement. By submitting your application, you acknowledge this use of AI in our recruitment process. Please review our Candidate Privacy Notice for more details on our practices and your data privacy rights.**
**\#BI\-Remote**</t>
        </is>
      </c>
    </row>
    <row r="41">
      <c r="A41" t="inlineStr">
        <is>
          <t>li-4322450973</t>
        </is>
      </c>
      <c r="B41" t="inlineStr">
        <is>
          <t>Principal Data Engineer</t>
        </is>
      </c>
      <c r="C41" t="inlineStr">
        <is>
          <t>TAG - The Aspen Group</t>
        </is>
      </c>
      <c r="D41" t="inlineStr">
        <is>
          <t>linkedin</t>
        </is>
      </c>
      <c r="E41" t="inlineStr"/>
      <c r="F41" t="inlineStr"/>
      <c r="G41" t="inlineStr">
        <is>
          <t>Chicago, IL</t>
        </is>
      </c>
      <c r="H41" t="inlineStr"/>
      <c r="I41" t="inlineStr">
        <is>
          <t>The Aspen Group (TAG) is one of the largest and most trusted retail healthcare business support organizations in the U.S., supporting 15,000 healthcare professionals and team members at more than 1,000 health and wellness offices across 46 states in four distinct categories: Dental Care, Urgent Care, Pet Care, and Medical Aesthetics. Working in partnership with independent practice owners and clinicians, the team is united by a single purpose: to prove that healthcare can be better and smarter for everyone. TAG provides a comprehensive suite of centralized business support services that power the impact of four consumer\-facing businesses: Aspen Dental, ClearChoice Dental Implant Centers, WellNow Urgent Care, Lovet Veterinary Clinics and Chapter Aesthetic Studio. Each brand has access to a deep community of experts, tools and resources to grow their practices, and an unwavering commitment to delivering high\-quality consumer healthcare experiences at scale.
**Job Summary:** 
 We are looking for a Principal Data Engineer to architect, build, and optimize scalable cloud\-native data platforms that power business insights and decision\-making. This role will lead the technical direction of our data engineering initiatives using DBT Cloud, Python, Airflow, and Google BigQuery while ensuring best practices in data modeling, pipeline orchestration, and platform scalability.
 As a technical leader, you will mentor data engineers, drive engineering excellence, and collaborate with cross\-functional teams to design and implement high\-performance data solutions.
**Key Responsibilities:** 
*Data Platform Architecture \&amp; Development:* 
* Design, develop, and optimize scalable, cloud\-native data platforms on Google Cloud (BigQuery, Cloud Storage, Pub/Sub, etc.).
* Lead the development of efficient ELT data pipelines using DBT Cloud, Python, and Airflow.
* Establish best practices for data modeling, performance tuning, and cost optimization in BigQuery.
* Design and implement data governance, security, and compliance frameworks.
*Leadership \&amp; Mentorship:* 
* Act as a technical mentor for the data engineering team, providing guidance on architecture, code quality, and best practices.
* Drive engineering excellence by establishing and promoting CI/CD, infrastructure as code, and automation.
* Advocate for modern data engineering practices, including data observability and monitoring.
*Collaboration \&amp; Strategy:* 
* Work closely with data analysts, data scientists, and business teams to translate business needs into scalable data solutions.
* Partner with ML and analytics teams to support real\-time and batch data processing for AI\-driven applications.
* Evaluate and implement emerging technologies to enhance platform scalability and efficiency.
*Qualifications \&amp; Experience:* 
* 5\+ years of experience in data engineering with a focus on cloud\-native architectures.
* Strong expertise in DBT Cloud, Python, Airflow, and Google BigQuery.
* Hands\-on experience designing scalable, cost\-efficient data platforms in Google Cloud (GCP).
* Deep understanding of data warehousing, ELT architectures, and distributed computing.
* Experience with orchestration tools like Airflow and event\-driven architectures.
* Strong knowledge of CI/CD, infrastructure as code (Terraform), and DevOps principles.
* Ability to lead teams, mentor engineers, and influence technical strategy.
*Preferred Qualifications:* 
* Experience with streaming data pipelines (Kafka, Pub/Sub, Dataflow, etc.).
* Familiarity with data observability and monitoring tools (Monte Carlo).
* Knowledge of ML and AI data pipelines is a plus.
 \*This role is onsite 4 days/week in our Chicago office (Fulton Market District)
* A generous benefits package that includes paid time off, health, dental, vision, and 401(k) savings plan with match
* Salary: $147,000 \- 175,000/year
* If you are an applicant residing in California, please view our privacy policy here: https://careers.aspendental.com/us/en/tag\-privacy\-policy\-for\-california\-employees</t>
        </is>
      </c>
    </row>
    <row r="42">
      <c r="A42" t="inlineStr">
        <is>
          <t>li-4368643431</t>
        </is>
      </c>
      <c r="B42" t="inlineStr">
        <is>
          <t>Staff Data Platform Engineer</t>
        </is>
      </c>
      <c r="C42" t="inlineStr">
        <is>
          <t>Orbis Group</t>
        </is>
      </c>
      <c r="D42" t="inlineStr">
        <is>
          <t>linkedin</t>
        </is>
      </c>
      <c r="E42" t="inlineStr"/>
      <c r="F42" t="inlineStr"/>
      <c r="G42" t="inlineStr">
        <is>
          <t>New York, United States</t>
        </is>
      </c>
      <c r="H42" t="inlineStr"/>
      <c r="I42" t="inlineStr">
        <is>
          <t>**Staff Data Platform Engineer \- up to \~£310,000 base \+ substantial equity (\~$1m)** 
 📍 San Francisco or New York
 I’m working with a
 **high\-growth, product\-led software company** 
 that’s built a category\-defining platform used by modern GTM teams to find, research, and engage the right customers. The company has crossed
 **$100M in revenue** 
 , raised a
 **large growth round** 
 , and is now scaling the core systems that underpin the product as usage and customer complexity increase.
 At the heart of this is the data platform.
 The team owns all
 **people and jobs data** 
 , which directly powers
 **search, enrichments, and signals** 
 across the platform. As the company scales, they’re investing heavily in the systems that keep this data
 **fresh, reliable, and accurate** 
 , including live web scraping and continuous refresh pipelines.
 They’re now hiring a
 **Staff Data Platform Engineer** 
 to help build and scale this core foundation.
**What you’ll be working on** 
* Designing and building
 **software\-oriented data systems** 
 (not classic BI / analytics)
* Owning the platforms that ingest, refresh, and serve people and jobs data
* Working on
 **live web scraping** 
 , data freshness, and reliability at scale
* Building internal data services that power product features like search and enrichment
* Shaping architecture and technical direction as the platform grows
**What they’re looking for** 
* Experience working on
 **data platforms where data is central to the product**
* Strong software engineering background with a data focus
* Comfortable operating at
 **Staff level** 
 with real ownership and technical judgment
* Experience with distributed systems and production data workloads
* Product\-minded — you care how data is used, not just how it’s stored
**Location \&amp; comp** 
* San Francisco or New York
* Up to \~$310,000 base
* **Very strong equity with real liquidity history**
 If this sounds interesting to you, apply below!</t>
        </is>
      </c>
    </row>
    <row r="43">
      <c r="A43" t="inlineStr">
        <is>
          <t>li-4371448893</t>
        </is>
      </c>
      <c r="B43" t="inlineStr">
        <is>
          <t>Senior Analytics Engineer, Orion</t>
        </is>
      </c>
      <c r="C43" t="inlineStr">
        <is>
          <t>Orion Group</t>
        </is>
      </c>
      <c r="D43" t="inlineStr">
        <is>
          <t>linkedin</t>
        </is>
      </c>
      <c r="E43" t="inlineStr"/>
      <c r="F43" t="inlineStr"/>
      <c r="G43" t="inlineStr">
        <is>
          <t>New York, NY</t>
        </is>
      </c>
      <c r="H43" t="inlineStr"/>
      <c r="I43" t="inlineStr">
        <is>
          <t>Senior Analytics Engineer \- Role Description
 Location: Remote \| Type: Full\-Time \| Reports to: VP, Finance \&amp; Accounting
 About Orion
 Orion Group is a holding company dedicated to building the highest\-quality, highest\-throughput investing business in the world, and analytics is a core part of how we get there.
 This role sits at the center of how Orion leadership understands and operates the business. Today, too much of our most important reporting is manual, fragmented, and locked in Excel. This role exists to change that by building trusted, scalable analytics that give leadership clear visibility into financial performance, operations, and growth.
 We are operators at heart. We care about what works in the real world, not what looks elegant on a whiteboard. We’re not interested in vanity dashboards or perfect architectures that never ship. We’re building practical analytics systems that drive better decisions and measurable ROI.
 If you’re a hands\-on builder who enjoys solving messy data problems, shipping real solutions, and seeing your work directly influence how a business is run, we want to talk to you.
 What You’ll Do
 As the Senior Analytics Engineer, you will build Orion’s first real analytics layer and take ownership of how leadership consumes data across the business.
 This is a hands\-on, execution\-first role focused on shipping reporting that gets used. You will build and deliver reliable dashboards and analytics models.
 In this role, you will:
 · Build BI dashboards for Orion leadership
 · Translate existing management reporting into scalable, validated analytics models
 · Source and integrate data from platform warehouses, APIs, and managed systems
 · Design data models that unify financial, operational, and workforce data across platforms
 · Iterate quickly based on feedback and improve reporting continuously
 · Document datasets and metric definitions that are clear and reusable
 · Identify data quality issues, integration gaps, and architectural friction through real execution
 What Success Looks Like (first 12 months)
 · 50% of recurring reports previously delivered in Excel are delivered via BI dashboard
 · 100% of Orion\-level financial dashboards reconcile to source systems, within an agreed tolerance
 · 40% reduction of recurring manual Excel\-based reporting effort
 · 25%\+ reduction of Ad\-hoc data pull requests
 · BI dashboards adopted as a primary source of truth, based on accuracy and reliability
 · Deliver a documented inventory of data gaps, integration challenges, and recurring data patterns
 Who You Are
 We’re looking for a hands\-on analytics engineer who gets energy from turning data into reliable reporting and delivering work that gets used. You likely have:
 · 5–8 years of experience in data engineering, analytics engineering, BI engineering, or advanced analytics roles
 · Deep hands\-on experience building production\-grade dashboards and data models
 · Strong SQL skills and comfort sourcing data from APIs, connectors, and external systems
 · Experience working with cloud data warehouses (e.g., Snowflake or similar)
 · Experienced working with visualization tools (e.g., Power BI or similar)
 · Experience working with financial and operational data from ERP and business systems (e.g., Sage Intacct, or similar)
 · A disciplined approach to producing clear documentation (manually or using AI\-assisted tools such as Claude Code or similar)
 · Judgment to use lightweight automation or no\-code tools (e.g., Power Automate) when appropriate instead of over\-engineering pipelines
 You are someone who:
 · Prefers execution over theory and shipping over over\-design
 · Is comfortable working in ambiguity and uneven data environments
 · Has a strong bias toward pragmatic MVPs and rapid iteration
 · Cares deeply about accuracy, clarity, and trust in data
 · Can operate independently without heavy processing or a large team
 · Brings sound business judgment to prioritize what matters most
 You thrive in environments where the roadmap is incomplete, the data isn’t perfect, and the work actually matters.
 Our Values
 · Growth: Growth creates opportunity for our people
 · Partnership: Growth creates opportunity for our people
 · Empowerment: Our people move fast and act as owners.
 · All\-In: We find fulfillment in the hard work excellence demands.
 · Win the Right Way: We never shortcut integrity.
 · Pursuit of Quality: We take pride in doing things well and pursuing excellence.
 This Role is Not for You If:
 · You need a large team, perfect data, or mature infrastructure to be effective
 · You prefer designing ideal architectures over shipping practical reporting
 · You are not comfortable working hands\-on with messy data, SQL, and imperfect sources
 · You need a tightly defined scope or complete requirements to make progress
 · You are uncomfortable being accountable for outcomes, not just deliverables
 · You struggle to explain technical work to non\-technical stakeholders
 · You are looking for pure data engineering, architecture, or reporting role</t>
        </is>
      </c>
    </row>
    <row r="44">
      <c r="A44" t="inlineStr">
        <is>
          <t>li-4371177865</t>
        </is>
      </c>
      <c r="B44" t="inlineStr">
        <is>
          <t>Data Engineer</t>
        </is>
      </c>
      <c r="C44" t="inlineStr">
        <is>
          <t>Jobs via Dice</t>
        </is>
      </c>
      <c r="D44" t="inlineStr">
        <is>
          <t>linkedin</t>
        </is>
      </c>
      <c r="E44" t="inlineStr"/>
      <c r="F44" t="inlineStr"/>
      <c r="G44" t="inlineStr"/>
      <c r="H44" t="inlineStr"/>
      <c r="I44" t="inlineStr">
        <is>
          <t>Dice is the leading career destination for tech experts at every stage of their careers. Our client, New Era Technology, is seeking the following. Apply via Dice today!
 Proven experience building data pipelines and infrastructure.
**Strong Skills In Python (preferred) And SQL.**
 Ability to creatively structure data for performance and scalability.
 Experience working with large volumes of data (millions of rows).
 Bachelor’s degree in Computer Science, Data Analytics, or related field.
 Strong collaboration and communication skills.
 Experience with customer lifecycle management, CRM data, or marketing data tables is a plus.
 Comfortable working in fast\-paced environments with large datasets.</t>
        </is>
      </c>
    </row>
    <row r="45">
      <c r="A45" t="inlineStr">
        <is>
          <t>li-4311398315</t>
        </is>
      </c>
      <c r="B45" t="inlineStr">
        <is>
          <t>Senior Staff Data Engineer</t>
        </is>
      </c>
      <c r="C45" t="inlineStr">
        <is>
          <t>CME Group</t>
        </is>
      </c>
      <c r="D45" t="inlineStr">
        <is>
          <t>linkedin</t>
        </is>
      </c>
      <c r="E45" t="inlineStr"/>
      <c r="F45" t="inlineStr"/>
      <c r="G45" t="inlineStr">
        <is>
          <t>Chicago, IL</t>
        </is>
      </c>
      <c r="H45" t="inlineStr"/>
      <c r="I45" t="inlineStr">
        <is>
          <t>We are seeking a hands\-on Technology Specialist to lead our database modernization efforts as we migrate from legacy on\-premise databases to strategic cloud platforms. This role requires deep expertise in Google Cloud Platform \- specifically Cloud SQL, AlloyDB, and Bigtable \- alongside advanced proficiency in Python for building scalable data pipelines and automation. You will be responsible for tackling systemic performance challenges, managing our database fleet programmatically, and serving as the go\-to expert for our development and reliability teams. Your technical leadership will directly ensure our new cloud infrastructure is performant, stable, and built for scale.
**Core Responsibilities**
* Cloud Architecture: Design robust, scalable, and cost\-effective data architectures on Google Cloud Platform (GCP), focusing on Cloud SQL, AlloyDB, and Bigtable.
* Database Performance \&amp; Optimization: Lead performance tuning and optimization efforts for PostgreSQL, diagnosing and resolving complex issues stemming from our legacy Oracle Exadata environment.
* Data Pipeline Development: Build and maintain resilient, cloud\-native data pipelines (ETL/ELT) using Python and GCP services such as Dataflow, BigQuery, and Pub/Sub.
* Automation \&amp; Infrastructure as Code (IaC): Develop and implement automation in Python for performance monitoring, remediation, and infrastructure management using IaC tools like Terraform.
* Migration \&amp; Modernization: Guide the technical execution of migrating large, complex databases from Oracle to PostgreSQL on GCP, ensuring data integrity and performance.
* Mentorship \&amp; Guidance: Serve as a subject matter expert and mentor for development and data reliability teams on PostgreSQL and GCP best practices, helping to elevate the team's technical capabilities.
**Required Qualifications \&amp; Experience**
* Experience: 7\-10 years of professional experience in a data engineering or database specialist role, with a proven track record of building and maintaining production\-grade cloud data systems.
* Google Cloud Platform (GCP) Expertise: Deep, hands\-on expertise with GCP, including architecting solutions with BigQuery, Dataflow, Cloud Storage, Pub/Sub, Cloud SQL, and AlloyDB.
* Python Proficiency: 6\+ years of advanced Python development experience for data processing, automation, and building ETL/ELT pipelines.
* Database Expertise:
+ Expert\-level knowledge of PostgreSQL internals (query planner, indexing, vacuuming, locking mechanisms) and performance tuning.
+ Proven experience migrating large, complex databases from Oracle (ideally Exadata) to PostgreSQL.
+ Strong professional experience with other enterprise databases like MS SQL Server.
* DevOps \&amp; IaC: Demonstrable experience building CI/CD pipelines (e.g., GitLab CI, Jenkins) and managing infrastructure as code (IaC) with Terraform.
* Experience with data orchestration tools such as Apache Airflow or Cloud Composer.
* Experience with other GCP data services like Bigtable and Memory Store (Redis).
* Experience with enterprise database monitoring and administration tools (e.g., IDERA, SCOM, Oracle OEM).
* Understanding of data privacy and compliance standards (e.g., HIPAA, GDPR).
 CME Group is committed to offering a competitive total rewards package for our employees that recognizes their contributions to the business and reflects our long\-term investment in their future. The pay range for this role is $135,000\-$225,000\. Actual salary offered will be dependent on a wide array of factors including but not limited to: relevant experience, skills, education and comparison to internal employees (where relevant). Our compensation program also includes an annual target bonus opportunity for all employees, as well as the opportunity to become an owner in the company through our broad\-based equity program. Through our benefits program, we strive to offer flexibility, value and choice. From comprehensive health coverage, to a retirement package that includes both a 401(k) and an active pension plan, to highly competitive education reimbursement provisions, paid time off and a mental health benefit, CME Group offers a holistic benefits package for our team and their dependents.
**CME Group: Where Futures are Made**
 CME Group is the world’s leading derivatives marketplace. But who we are goes deeper than that. Here, you can impact markets worldwide. Transform industries. And build a career by shaping tomorrow. We invest in your success and you own it – all while working alongside a team of leading experts who inspire you in ways big and small. Problem solvers, difference makers, trailblazers. Those are our people. And we’re looking for more.
 At CME Group, we embrace our employees' unique experiences and skills to ensure that everyone’s perspectives are acknowledged and valued. As an equal\-opportunity employer, we consider all potential employees without regard to any protected characteristic.
**Important Notice:** 
 Recruitment fraud is on the rise, with scammers using misleading promises of job offers and interviews to solicit money and personal information from job seekers. CME Group adheres to established procedures designed to maintain trust, confidence and security throughout our recruitment process. Learn more here.</t>
        </is>
      </c>
    </row>
    <row r="46">
      <c r="A46" t="inlineStr">
        <is>
          <t>li-4371607176</t>
        </is>
      </c>
      <c r="B46" t="inlineStr">
        <is>
          <t>Senior Analytics Engineer</t>
        </is>
      </c>
      <c r="C46" t="inlineStr">
        <is>
          <t>EMC Insurance Companies</t>
        </is>
      </c>
      <c r="D46" t="inlineStr">
        <is>
          <t>linkedin</t>
        </is>
      </c>
      <c r="E46" t="inlineStr"/>
      <c r="F46" t="inlineStr"/>
      <c r="G46" t="inlineStr">
        <is>
          <t>Des Moines, IA</t>
        </is>
      </c>
      <c r="H46" t="inlineStr"/>
      <c r="I46" t="inlineStr">
        <is>
          <t>**At EMC, we’re all about working together to make an impact. As part of our team, you’ll have the opportunity to grow, contribute, and gain experience that matters. We strive to be caring leaders, close partners, and responsive experts—always supporting each other to do our best work. Join us, and let’s improve lives together.**
* This role can be performed remotely in the Des Moines, Iowa metro area with the ability to work on\-site one day per week\*\*
**Essential Functions**
 Business Intelligence \&amp; Analytics Lifecycle:
* Leads highly complex and enterprise\-wide business analysis activities to gather stakeholders’ reporting and dashboard requirements.
* Determines stakeholders’ objectives, important metrics and method of performance measurement.
* Develops advanced data and analytic products implementing technology best practices, guidelines and repeatable processes.
* Collaborates with business units and subject matter experts to capture complex analytical requirements.
* Maintains highly complex curated data sets and analytical solutions.
**Data Modeling \&amp; Technical Design**
* Leads the design of scalable and efficient complex data models optimized for analytic and business intelligence tools.
* Develops highly complex data models that support advanced analytic products.
* Provides reporting architecture services on projects and keeps a reporting reference architecture up to date for the data analytic product teams.
* Acts as liaison during IT architectural conversations to help drive new architectural needs and align with best practices.
* Serves as a subject matter expert regarding technical design, analytics lifecycle and business intelligence best practices.
**Development \&amp; Implementation**
* Writes highly complex code to transform raw data into clean, structured data sets including data cleansing, aggregation, and other necessary business rules and transformations.
* Translates complex business requirements into technical requirements to implement reports and dashboards created from multiple data sources.
* Determines and analyzes the data sources required for each report.
* Develops complex reporting schemas and data sets.
* Builds highly complex, including enterprise wide reports, dashboards and visualizations using business intelligence tools.
* Reviews report changes and documents to ensure proper configuration management and change controls are implemented for report development and analytic life cycle.
* Serves as a technical resource to other Analytics Engineering team members.
**Communication \&amp; Collaboration**
* Promotes continuous improvement through business intelligence practices.
* Partners with leadership to integrate improved business intelligence in functions’ processes, workflows, and decision\-making methods.
* Collaborates with IT leaders to increase EMC's business intelligence maturity.
* Communicates and explains the results of team deliverables to stakeholders.
* Serves as a technical expert and resource to other analytics engineers.
* Collaborates with Data Governance to help maintain analytic catalogues and metadata assets.
**Innovation \&amp; Advanced Analytics**
* Identifies necessary system enhancements to deploy new products and process enhancements.
* Researches and investigates new technologies and methodologies to enhance advanced analytical and operational performance, focusing on regional and/or local data source exploration and supporting advanced analytics sandboxes.
* Works cross\-functionally with Innovation to integrate Generative AI opportunities with data analytics products.
* Applies Machine Learning (ML) techniques and augmented analytics capabilities to automatically generate insights for end users.
* Analyzes current state of business intelligence maturity and identifies opportunities for improvement.
**Education \&amp; Experience**
* Bachelor’s degree, preferably in a computer science, analytics, or business related field or equivalent relevant experience
* Eight years of experience in data and analytics programs or related experience
* Prior experience with BI products, such as Power BI or Tableau
* Experience in semantic layer and schema designs
* Experience in descriptive statistics and preparing big data sets preferred
**Knowledge, Skills \&amp; Abilities**
* Superior knowledge of Cognos, Tableau, Power BI or similar product
* Strong report architecture and reference architecture skills
* Excellent Microsoft Excel skills
* Strong knowledge of database platforms such as MongoDB, Hortonworks, Azure, and AWS
* Superior knowledge of SQL, Python or R
* Excellent knowledge of SQLdbm
* Excellent ability to build processes supporting data transformation, data structures, metadata, dependency and workload management
* Advanced ability to manipulate, process and extract value from large disconnected datasets
* Excellent verbal and written communication skills and presentation skills
* Strong analytical and problem\-solving abilities
* Ability to work independently and as part of a team
* Excellent project coordination skills and attention to detail
**The hiring salary range for this position will vary based on geographic location, falling within either of the following:**
 $100,085 \- $138,285 or $110,624 \- $152,122
**A hiring range represents a subset of the full salary range. The actual salary will depend on several factors, including relevant education, skills, and experience of an applicant, geographic location, and business needs.**
**For information relating to the benefits EMC Team Members receive as part of a comprehensive rewards package, please visit** 
**www.emcins.com/careers** 
**.**
*Our employment practices are in accordance with the laws that prohibit discrimination due to race, color, creed, sex, sexual orientation, gender identity, genetic information, religion, age, national origin or ancestry, physical or mental disability, medical condition, veteran status, active military status, citizenship status, marital status or any other consideration made unlawful by federal, state, or local laws.*
***All of our locations are tobacco free including in company vehicles.***</t>
        </is>
      </c>
    </row>
    <row r="47">
      <c r="A47" t="inlineStr">
        <is>
          <t>li-4363223786</t>
        </is>
      </c>
      <c r="B47" t="inlineStr">
        <is>
          <t>Staff Data Platform Engineer - Weights &amp; Biases</t>
        </is>
      </c>
      <c r="C47" t="inlineStr">
        <is>
          <t>Weights &amp; Biases</t>
        </is>
      </c>
      <c r="D47" t="inlineStr">
        <is>
          <t>linkedin</t>
        </is>
      </c>
      <c r="E47" t="inlineStr"/>
      <c r="F47" t="inlineStr"/>
      <c r="G47" t="inlineStr">
        <is>
          <t>San Francisco, CA</t>
        </is>
      </c>
      <c r="H47" t="inlineStr"/>
      <c r="I47"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CoreWeave, the AI Hyperscaler™, acquired Weights \&amp; Biases to create the most powerful end\-to\-end platform for AI development and deployment.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ML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and inference at scale, we’re combining forces to serve the full AI lifecycle — all in one seamless platform.
 Weights \&amp; Biases has long been trusted by over 1,000 organizations — including OpenAI, NVIDIA, Microsoft, and Toyota — to build better models.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machine learning, there's never been a more exciting time to join our team.
****What We Do:****
 The Data group at Weights \&amp; Biases works across the full range of data\-related topics:
* We help business partners set goals, make decisions, and understand the levers to achieve their goals.
* We build reporting to keep the business attuned and aligned.
* We build datasets and pipelines to support self\-service analysis.
* We train models to understand our customer growth, churn risk, and detect spam and abuse.
* We’re exploring novel benchmarks and recs for model training.
* We build and maintain a massive data platform to power it all.
****About The Role:****
 As a Staff Data Platform Engineer, you will:
* Build and operate the core data platform that powers reporting, self\-serve analytics, and data\-driven product decisions.
* Lead end\-to\-end platform initiatives—from design to rollout to operational ownership—balancing performance, cost, reliability, and developer experience.
* Partner closely with Data Scientists/Analysts and product engineering teams to improve telemetry quality and unlock new use cases on operational data.
* Design and scale ingestion and transformation systems that keep pace with rapid product growth and an increasingly distributed operational footprint.
* Build the platform with operability in mind: observability, on\-call readiness, incident response, and well\-documented runbooks.
* Participate in the data platform on\-call rotation after an onboarding period.
* Strategic goals for the team over the next 12 months:
+ Evolve our analytics architecture to effectively support multi\-petabyte scale by shifting high\-volume workloads to more scalable, cost\-effective compute and storage patterns, while maintaining (or improving) query performance and reliability.
+ Unify and standardize ingestion across a growing number of operational databases and deployment environments, enabling consistent governance, and observability as we scale from centralized infrastructure toward customer\-dedicated environments.
+ Lay foundations for internal applications (including ML/AI use cases) built on top of trustworthy, governed operational data.
 This role is ideal for engineers excited by platform evolution: scaling analytics beyond warehouse\-only load patterns, moving toward near\-real\-time ingestion, and standardizing data systems across an increasingly distributed operational footprint.
****Who You Are:****
* Deep knowledge (practical and theoretical) of data engineering and the accompanying workflows.
* History of writing easy\-to\-follow code and effective documentation for your projects.
* Expert knowledge of data orchestration / data pipeline tools (dbt, dagster, airflow, etc).
* Experience working with large \&amp; high demand data warehouses / platforms. Multi\-PB scale, with extreme business demand of the systems.
* Experience evolving architectures as scale changes (e.g., warehouse\-only → hybrid / lakehouse\-style patterns; storage/compute separation; open table formats).
* Expert knowledge and understanding of web apps and best practices for logging and event instrumentation.
* Ability to clearly communicate your ideas to folks across a range of backgrounds and levels of technical knowledge.
****Preferred:****
* Autonomous: If you work well in a self\-directed environment, and proactively find ways to improve processes and collaborate with team members or engaged users, your initiative will really shine in this role.
* Outgoing and friendly: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Theoretical or practical knowledge of machine learning workflows and terminology.
**Why Us?**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pay and target total cash for this position range from $188,000 to $275,000,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48">
      <c r="A48" t="inlineStr">
        <is>
          <t>li-4363107013</t>
        </is>
      </c>
      <c r="B48" t="inlineStr">
        <is>
          <t>Staff Data Platform Engineer - Weights &amp; Biases</t>
        </is>
      </c>
      <c r="C48" t="inlineStr">
        <is>
          <t>Weights &amp; Biases</t>
        </is>
      </c>
      <c r="D48" t="inlineStr">
        <is>
          <t>linkedin</t>
        </is>
      </c>
      <c r="E48" t="inlineStr"/>
      <c r="F48" t="inlineStr"/>
      <c r="G48" t="inlineStr">
        <is>
          <t>Sunnyvale, CA</t>
        </is>
      </c>
      <c r="H48" t="inlineStr"/>
      <c r="I48"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CoreWeave, the AI Hyperscaler™, acquired Weights \&amp; Biases to create the most powerful end\-to\-end platform for AI development and deployment.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ML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and inference at scale, we’re combining forces to serve the full AI lifecycle — all in one seamless platform.
 Weights \&amp; Biases has long been trusted by over 1,000 organizations — including OpenAI, NVIDIA, Microsoft, and Toyota — to build better models.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machine learning, there's never been a more exciting time to join our team.
****What We Do:****
 The Data group at Weights \&amp; Biases works across the full range of data\-related topics:
* We help business partners set goals, make decisions, and understand the levers to achieve their goals.
* We build reporting to keep the business attuned and aligned.
* We build datasets and pipelines to support self\-service analysis.
* We train models to understand our customer growth, churn risk, and detect spam and abuse.
* We’re exploring novel benchmarks and recs for model training.
* We build and maintain a massive data platform to power it all.
****About The Role:****
 As a Staff Data Platform Engineer, you will:
* Build and operate the core data platform that powers reporting, self\-serve analytics, and data\-driven product decisions.
* Lead end\-to\-end platform initiatives—from design to rollout to operational ownership—balancing performance, cost, reliability, and developer experience.
* Partner closely with Data Scientists/Analysts and product engineering teams to improve telemetry quality and unlock new use cases on operational data.
* Design and scale ingestion and transformation systems that keep pace with rapid product growth and an increasingly distributed operational footprint.
* Build the platform with operability in mind: observability, on\-call readiness, incident response, and well\-documented runbooks.
* Participate in the data platform on\-call rotation after an onboarding period.
* Strategic goals for the team over the next 12 months:
+ Evolve our analytics architecture to effectively support multi\-petabyte scale by shifting high\-volume workloads to more scalable, cost\-effective compute and storage patterns, while maintaining (or improving) query performance and reliability.
+ Unify and standardize ingestion across a growing number of operational databases and deployment environments, enabling consistent governance, and observability as we scale from centralized infrastructure toward customer\-dedicated environments.
+ Lay foundations for internal applications (including ML/AI use cases) built on top of trustworthy, governed operational data.
 This role is ideal for engineers excited by platform evolution: scaling analytics beyond warehouse\-only load patterns, moving toward near\-real\-time ingestion, and standardizing data systems across an increasingly distributed operational footprint.
****Who You Are:****
* Deep knowledge (practical and theoretical) of data engineering and the accompanying workflows.
* History of writing easy\-to\-follow code and effective documentation for your projects.
* Expert knowledge of data orchestration / data pipeline tools (dbt, dagster, airflow, etc).
* Experience working with large \&amp; high demand data warehouses / platforms. Multi\-PB scale, with extreme business demand of the systems.
* Experience evolving architectures as scale changes (e.g., warehouse\-only → hybrid / lakehouse\-style patterns; storage/compute separation; open table formats).
* Expert knowledge and understanding of web apps and best practices for logging and event instrumentation.
* Ability to clearly communicate your ideas to folks across a range of backgrounds and levels of technical knowledge.
****Preferred:****
* Autonomous: If you work well in a self\-directed environment, and proactively find ways to improve processes and collaborate with team members or engaged users, your initiative will really shine in this role.
* Outgoing and friendly: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Theoretical or practical knowledge of machine learning workflows and terminology.
**Why Us?**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pay and target total cash for this position range from $188,000 to $275,000,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49">
      <c r="A49" t="inlineStr">
        <is>
          <t>li-4371614195</t>
        </is>
      </c>
      <c r="B49" t="inlineStr">
        <is>
          <t>Staff AI Data Engineer - Rockerbox</t>
        </is>
      </c>
      <c r="C49" t="inlineStr">
        <is>
          <t>DoubleVerify</t>
        </is>
      </c>
      <c r="D49" t="inlineStr">
        <is>
          <t>linkedin</t>
        </is>
      </c>
      <c r="E49" t="inlineStr"/>
      <c r="F49" t="inlineStr"/>
      <c r="G49" t="inlineStr"/>
      <c r="H49" t="inlineStr"/>
      <c r="I49" t="inlineStr">
        <is>
          <t>Rockerbox is building the next generation of marketing intelligence, and we’re looking for someone to help us build the AI systems everyone else just theorizes about. As a Staff AI Data Engineer, you’ll research, design, and architect data systems purpose\-built for AI agents, automations, and decisioning engines. You’ll also apply data science and model\-tuning techniques to optimize LLMs and solve complex marketing challenges for our clients.
 If you enjoy turning high\-volume data into clean, powerful systems—and you want your work to drive real business outcomes rather than just dashboards—this role puts you right at the center of the action.
**What You’ll Do**
* Apply bleeding edge AI theory to the design and implementation of large\-scale data systems that feed AI agents and autonomous workflows.
* Use data science techniques to fine\-tune, evaluate, and optimize LLMs for marketing\-specific tasks: attribution insights, anomaly detection, summarization, classification, and automated recommendations.
* Build end\-to\-end automations using LLMs, internal data, and external signals to eliminate repetitive human tasks.
* Build AI\-driven automations that reduce manual work across Rockerbox and unlock new client\-facing capabilities.
* Design retrieval, orchestration, and memory layers that make our AI agents smarter over time.
* Establish best practices for AI data quality, observability, experiments, and safety.
* Lead R\&amp;D initiatives: rapid prototyping, experimentation, model evaluations, and productionization.
* Mentor data scientists and engineers across organization to raise the bar on LLM use company\-wide.
**What You Bring**
* 8\+ years of experience in data engineering, AI, ML platforms, or large\-scale distributed systems.
* Hands\-on experience integrating LLMs into production systems (OpenAI, fine\-tuning, embeddings, RAG, vector stores, or custom agent orchestration).
* Strong understanding of experimentation, model evaluation, and performance tuning.
* You think in systems: storage, retrieval, metadata, reliability, latency, failure modes.
* Ability to work from ambiguity to execution — you’re comfortable being the first to figure something out.
* Strong communication skills: you can explain tradeoffs, scope decisions, and technical strategy clearly.
 The successful candidate’s starting salary will be determined based on a number of non\-discriminating factors, including qualifications for the role, level, skills, experience, location, and balancing internal equity relative to peers at DV.
 The estimated salary range for this role based on the qualifications set forth in the job description is between \[$128,000 \- $230,000]. This role will also be eligible for bonus/commission (as applicable), equity, and benefits.
 The range above is for the expectations as laid out in the job description; however, we are often open to a wide variety of profiles, and recognize that the person we hire may be more or less experienced than this job description as posted.
 Why You’ll Love Rockerbox: At Rockerbox, you’ll find a fast\-paced, results\-driven environment where your work has a direct impact on our growth and the success of our clients. Our iterative development process means you’ll see your contributions come to life quickly. You’ll join a supportive, light\-hearted team that values collaboration and innovation. We are committed to professional growth and will actively support your development in both technical and business domains.
**Not\-so\-fun fact:** 
 Research shows that while men apply to jobs when they meet an average of 60% of job criteria, women and other marginalized groups tend to only apply when they check every box. So if you think you have what it takes but you’re not sure that you check every box, apply anyway!</t>
        </is>
      </c>
    </row>
    <row r="50">
      <c r="A50" t="inlineStr">
        <is>
          <t>li-4371311004</t>
        </is>
      </c>
      <c r="B50" t="inlineStr">
        <is>
          <t>Lead Data Engineer</t>
        </is>
      </c>
      <c r="C50" t="inlineStr">
        <is>
          <t>Randstad Digital Americas</t>
        </is>
      </c>
      <c r="D50" t="inlineStr">
        <is>
          <t>linkedin</t>
        </is>
      </c>
      <c r="E50" t="inlineStr"/>
      <c r="F50" t="inlineStr"/>
      <c r="G50" t="inlineStr">
        <is>
          <t>Atlanta, GA</t>
        </is>
      </c>
      <c r="H50" t="inlineStr"/>
      <c r="I50" t="inlineStr">
        <is>
          <t>**Job Summary**
 We are seeking a highly skilled Lead Data Engineer to join a major financial services project. In this role, you will lead the design and implementation of large\-scale data solutions using Ab Initio and cloud\-native tools. This is an excellent opportunity to manage agile teams and drive complex data migrations within a high\-impact banking environment.
 location: Telecommute
 job type: Contract
 salary: $50\.00 \- 56\.20 per hour
 work hours: 8am to 5pm
 education: Bachelors
**Responsibilities**
* Lead and manage DWH and Cloud Agile teams through the full development lifecycle.
* Design, code, and deliver business solutions using Ab Initio, including Metaprogramming, PDL, and generic frameworks.
* Perform data migration and integration tasks for cloud applications.
* Identify the level of effort and enablers required for data ingestion and transformation within the Data Warehouse.
* Utilize Hadoop ecosystems, including Hive and Spark, for data processing.
* Coach team members and share expertise/insights to improve deliverables.
**Qualifications**
 5\+ years of expert experience with Ab Initio (including PDL and generic frameworks).
 Proven experience in the Banking or Financial Services industry.
 Strong technical background in AWS (S3, Redshift) and Hadoop (Hive, Spark).
 Demonstrated leadership experience in an Agile project setting.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t>
        </is>
      </c>
    </row>
    <row r="51">
      <c r="A51" t="inlineStr">
        <is>
          <t>li-4363233066</t>
        </is>
      </c>
      <c r="B51" t="inlineStr">
        <is>
          <t>Staff Data Platform Engineer - Weights &amp; Biases</t>
        </is>
      </c>
      <c r="C51" t="inlineStr">
        <is>
          <t>Weights &amp; Biases</t>
        </is>
      </c>
      <c r="D51" t="inlineStr">
        <is>
          <t>linkedin</t>
        </is>
      </c>
      <c r="E51" t="inlineStr"/>
      <c r="F51" t="inlineStr"/>
      <c r="G51" t="inlineStr">
        <is>
          <t>New York, NY</t>
        </is>
      </c>
      <c r="H51" t="inlineStr"/>
      <c r="I51"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CoreWeave, the AI Hyperscaler™, acquired Weights \&amp; Biases to create the most powerful end\-to\-end platform for AI development and deployment.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ML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and inference at scale, we’re combining forces to serve the full AI lifecycle — all in one seamless platform.
 Weights \&amp; Biases has long been trusted by over 1,000 organizations — including OpenAI, NVIDIA, Microsoft, and Toyota — to build better models.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machine learning, there's never been a more exciting time to join our team.
****What We Do:****
 The Data group at Weights \&amp; Biases works across the full range of data\-related topics:
* We help business partners set goals, make decisions, and understand the levers to achieve their goals.
* We build reporting to keep the business attuned and aligned.
* We build datasets and pipelines to support self\-service analysis.
* We train models to understand our customer growth, churn risk, and detect spam and abuse.
* We’re exploring novel benchmarks and recs for model training.
* We build and maintain a massive data platform to power it all.
****About The Role:****
 As a Staff Data Platform Engineer, you will:
* Build and operate the core data platform that powers reporting, self\-serve analytics, and data\-driven product decisions.
* Lead end\-to\-end platform initiatives—from design to rollout to operational ownership—balancing performance, cost, reliability, and developer experience.
* Partner closely with Data Scientists/Analysts and product engineering teams to improve telemetry quality and unlock new use cases on operational data.
* Design and scale ingestion and transformation systems that keep pace with rapid product growth and an increasingly distributed operational footprint.
* Build the platform with operability in mind: observability, on\-call readiness, incident response, and well\-documented runbooks.
* Participate in the data platform on\-call rotation after an onboarding period.
* Strategic goals for the team over the next 12 months:
+ Evolve our analytics architecture to effectively support multi\-petabyte scale by shifting high\-volume workloads to more scalable, cost\-effective compute and storage patterns, while maintaining (or improving) query performance and reliability.
+ Unify and standardize ingestion across a growing number of operational databases and deployment environments, enabling consistent governance, and observability as we scale from centralized infrastructure toward customer\-dedicated environments.
+ Lay foundations for internal applications (including ML/AI use cases) built on top of trustworthy, governed operational data.
 This role is ideal for engineers excited by platform evolution: scaling analytics beyond warehouse\-only load patterns, moving toward near\-real\-time ingestion, and standardizing data systems across an increasingly distributed operational footprint.
****Who You Are:****
* Deep knowledge (practical and theoretical) of data engineering and the accompanying workflows.
* History of writing easy\-to\-follow code and effective documentation for your projects.
* Expert knowledge of data orchestration / data pipeline tools (dbt, dagster, airflow, etc).
* Experience working with large \&amp; high demand data warehouses / platforms. Multi\-PB scale, with extreme business demand of the systems.
* Experience evolving architectures as scale changes (e.g., warehouse\-only → hybrid / lakehouse\-style patterns; storage/compute separation; open table formats).
* Expert knowledge and understanding of web apps and best practices for logging and event instrumentation.
* Ability to clearly communicate your ideas to folks across a range of backgrounds and levels of technical knowledge.
****Preferred:****
* Autonomous: If you work well in a self\-directed environment, and proactively find ways to improve processes and collaborate with team members or engaged users, your initiative will really shine in this role.
* Outgoing and friendly: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Theoretical or practical knowledge of machine learning workflows and terminology.
**Why Us?**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pay and target total cash for this position range from $188,000 to $275,000,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52">
      <c r="A52" t="inlineStr">
        <is>
          <t>li-4371468490</t>
        </is>
      </c>
      <c r="B52" t="inlineStr">
        <is>
          <t>Sr. Distinguished Data Engineer</t>
        </is>
      </c>
      <c r="C52" t="inlineStr">
        <is>
          <t>Capital One</t>
        </is>
      </c>
      <c r="D52" t="inlineStr">
        <is>
          <t>linkedin</t>
        </is>
      </c>
      <c r="E52" t="inlineStr"/>
      <c r="F52" t="inlineStr"/>
      <c r="G52" t="inlineStr">
        <is>
          <t>Cambridge, MA</t>
        </is>
      </c>
      <c r="H52" t="inlineStr"/>
      <c r="I52"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 Zero\-Registration Observability: Implement an automated discovery framework for 100% systemic data flow visibility without manual registration.
* Deterministic Inference Engine: Engineer an SCA/AST\-based inference engine to map data logic in imperative code for compliance\-grade lineage.
* Data Passport Protocol: Define a cross\-boundary protocol to embed immutable metadata for end\-to\-end traceability across external systems.
* Advanced Static Analysis: Develop language\-agnostic parsers to interpret data flow intent from codebases without requiring execution.
* Autonomous Triage: Interface the DCG with AI agents via MCP to enable autonomous Root Cause Analysis and real\-time failure remediation.
* Map Data Movement: Prototype infrastructure\-level data interception using kernel\-level tools to create a geographic map of enterprise data movement.
* Simplification \&amp; Governance: Consolidate fragmented metadata silos into a single queryable graph and automate capture to eliminate documentation overhead.
**Basic Qualifications:**
* Bachelor’s Degree
* At least 9 years of experience in data engineering
* At least 5 years of experience in data architecture
* At least 3 years of experience building applications in AWS
**Preferred Qualifications:**
* Masters’ Degree
* 10\+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$314,800 \- $359,300 for Sr Distinguished Data Engineer
 McLean, VA: $314,800 \- $359,300 for Sr Distinguished Data Engineer
 Richmond, VA: $286,200 \- $326,700 for Sr Distinguished Data Engineer
 San Francisco, CA: $343,400 \- $392,000 for Sr Distinguished Data Engineer
 San Jose, CA: $343,400 \- $392,000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3">
      <c r="A53" t="inlineStr">
        <is>
          <t>li-4332071806</t>
        </is>
      </c>
      <c r="B53" t="inlineStr">
        <is>
          <t>Postgres Database Administrator (DBA) / Data Engineer</t>
        </is>
      </c>
      <c r="C53" t="inlineStr">
        <is>
          <t>Nodal Exchange</t>
        </is>
      </c>
      <c r="D53" t="inlineStr">
        <is>
          <t>linkedin</t>
        </is>
      </c>
      <c r="E53" t="inlineStr"/>
      <c r="F53" t="inlineStr"/>
      <c r="G53" t="inlineStr">
        <is>
          <t>Tysons Corner, VA</t>
        </is>
      </c>
      <c r="H53" t="inlineStr"/>
      <c r="I53" t="inlineStr">
        <is>
          <t>**Department:** 
 Technology
**Location:** 
 Tysons Corner
**Compensation:** 
 $110,000 \- $150,000 / year
**Description**
 Nodal Exchange, the largest power futures exchange in North America, is a derivatives exchange providing price, credit and liquidity risk management to participants. Nodal Exchange is a leader in innovation, having introduced the world's largest sets of environmental and electric power futures and options contracts. All transactions on Nodal Exchange (power, environmental and natural gas) are cleared through its wholly owned subsidiary, Nodal Clear, using its award\-winning portfolio margining methodology. As leaders in innovation, Nodal Exchange and Nodal Clear have built in\-house most of the trading and clearing platforms that fuel our business. Nodal Exchange is part of the EEX Group which is in turn part of the Deutsche Börse Group.
 We are now looking for talented, innovative individuals to join our team in Tyson’s Corner, VA (DC Metro area).
**Key Responsibilities**
***Primary responsibilities include:***
**Postgres Data Engineer**
 The TechOps team scope at Nodal Exchange covers all data services within the organization including production database management, data transformation processes, reporting infrastructure, test data management, data modeling, and more. Across these areas, Nodal seeks to use a project delivery model in which the TechOps team takes responsibility for identifying needs and opportunities and designing solutions, then implementing and deploying them, following up with ongoing monitoring and continuous improvement.
 Nodal seeks candidates who have significant experience with technology delivery and database administration but seek to advance their career by deepening their skills across infrastructure/networking and continuously improving Nodal’s data architecture.
 This candidate will be responsible for providing Data support to teams across the company. The candidate is also expected to provide responsive database operational support and modernize data warehouse and reporting solutions. You will be part of a team with cross\-divisional responsibility for Data Warehousing, Data Self Services, Big Data and Data Science within a regulated environment. The candidate is expected to be able to fully understand all components of data architecture (physical/logical replication, monitoring, provisioning, performance tuning at both SQL/system levels, etc.).
 The TechOps team scope at Nodal Exchange covers all data services within the organization including production database management, data transformation processes, reporting infrastructure, test data management, data modeling, and more. Across these areas, Nodal seeks to use a project delivery model in which the TechOps team takes responsibility for identifying needs and opportunities and designing solutions, then implementing and deploying them, following up with ongoing monitoring and continuous improvement.
 Nodal seeks candidates who have significant experience with technology delivery and database administration but seek to advance their career by deepening their skills across infrastructure/networking and continuously improving Nodal’s data architecture.
 This candidate will be responsible for providing Data support to teams across the company. The candidate is also expected to provide responsive database operational support and modernize data warehouse and reporting solutions. You will be part of a team with cross\-divisional responsibility for Data Warehousing, Data Self Services, Big Data and Data Science within a regulated environment. The candidate is expected to be able to fully understand all components of data architecture (physical/logical replication, monitoring, provisioning, performance tuning at both SQL/system levels, etc.).
**Requirements**
**Skills, Knowledge \&amp; Expertise**
* Minimum 4\+ years’ experience with database administration including operation, administration (patching, backup/restore, replication), and SQL performance tuning
* Expert understanding of how database internals function (Write\-Ahead Logging, Point\-in\-time recovery, database optimizers, query planning and optimization, etc.)
* Strong Linux experience
* Excellent communication skills
* Experience using JIRA, Confluence
* Bachelor’s degree or higher in CS, MIS, Mathematics, or related field
* Familiarity with cloud technologies like AWS’ data offerings
* Up to date with latest developments in database technology (PostgreSQL or whichever RDBMS they work with most frequently)
* Experience building ETL Pipelines
* Capable of being part of a team with on\-call responsibilities for after\-hours emergencies
***Preferred:***
* Experience with data obfuscation (masking)
* Experience migrating data solutions from on\-premises servers to Cloud
* Experience using Python and/or R
* Familiarity with Ansible and Terraform
**Salary Range: $110,000 \- $150,000 per year base salary, when annualized
 Pay Transparency Notice** 
 : The salary range is based on the D.C. metro area, the successful candidate’s starting salary will vary depending on permissible, non\-discriminatory factors including but not limited to qualifications, skills, and experience. Nodal also offers a wide range of benefits and perks for full\-time employees, which may include target bonuses.
**Job Benefits**
 Nodal Exchange, LLC does not discriminate on the basis of race, color, religion, sex, gender, sexual orientation, gender identity or expression, pregnancy, parental status, marital status, citizenship, national origin, age, disability, genetic information, military status, veteran status, physical or mental health, hairstyle, or any other characteristic protected by federal, state or local law with respect to recruitment, hiring, training, promotion, or in any other terms and conditions of employment. Nodal Exchange is an E\-verify participant.</t>
        </is>
      </c>
    </row>
    <row r="54">
      <c r="A54" t="inlineStr">
        <is>
          <t>li-4371192267</t>
        </is>
      </c>
      <c r="B54" t="inlineStr">
        <is>
          <t>Senior Data Engineer (Azure)</t>
        </is>
      </c>
      <c r="C54" t="inlineStr">
        <is>
          <t>Jobs via Dice</t>
        </is>
      </c>
      <c r="D54" t="inlineStr">
        <is>
          <t>linkedin</t>
        </is>
      </c>
      <c r="E54" t="inlineStr"/>
      <c r="F54" t="inlineStr"/>
      <c r="G54" t="inlineStr">
        <is>
          <t>Chicago, IL</t>
        </is>
      </c>
      <c r="H54" t="inlineStr"/>
      <c r="I54" t="inlineStr">
        <is>
          <t>We are looking for a Senior Data Engineer to support our modernization efforts. This role focuses on building and maintaining data pipelines, data models, and analytics environments as we move from legacy systems to a modern, cloud\-native platform on Microsoft Azure.
 This role does require the ability to obtain a public trust clearance!
**Responsibilities:**
* Build and maintain scalable data pipelines on Azure.
* Develop data ingestion, transformation, and processing solutions.
* Work with engineers, analysts, and business teams to understand data needs.
* Support reporting and analytics by ensuring data is accurate and accessible.
* Automate repetitive data tasks and create reusable code.
* Optimize pipelines for performance, cost, and security.
* Manage data storage solutions such as data lakes and data warehouses.
* Document data processes and follow data governance standards.
* Monitor pipelines, troubleshoot issues, and ensure stability.
* Mentor junior team members and participate in code reviews.
**Required Qualifications:**
* Strong experience with Python, Airflow, Data Modeling, Azure DevOps.
* Ability to obtain a public trust clearance.
* Database experience with SQL and NoSQL.
* Experiencex with Azure Synapse, Azure Data Factory, Databricks, ADLS, Azure SQL, and Power BI.
* Knowledge of ETL processes, data warehousing, and cloud architecture.
**Job Type \&amp; Location**
 This is a Contract position based out of Chicago, IL.
**Pay And Benefits**
 The pay range for this position is $65\.00 \- $80\.00/hr.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remote position.
**Application Deadline**
 This position is anticipated to close on Feb 24,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55">
      <c r="A55" t="inlineStr">
        <is>
          <t>li-4350797708</t>
        </is>
      </c>
      <c r="B55" t="inlineStr">
        <is>
          <t>MDM Data Engineer</t>
        </is>
      </c>
      <c r="C55" t="inlineStr">
        <is>
          <t>Jobs via eFinancialCareers</t>
        </is>
      </c>
      <c r="D55" t="inlineStr">
        <is>
          <t>linkedin</t>
        </is>
      </c>
      <c r="E55" t="inlineStr"/>
      <c r="F55" t="inlineStr"/>
      <c r="G55" t="inlineStr">
        <is>
          <t>Springfield, MA</t>
        </is>
      </c>
      <c r="H55" t="inlineStr"/>
      <c r="I55" t="inlineStr">
        <is>
          <t>**Objectives of the role**
 As an MDM Data Engineer, you will work in a fast\-paced, innovative, and collaborative environment on exciting data management directives. You will design, build, and measure complex Informatica Power Center and MDM processes to master data for different Master Data domains in MassMutual. This role involves working on a range of projects including batch pipelines, data modeling, and Master Data solutions to implement robust data collection and processing pipelines to meet specific business needs.
**The Team**
 The Data Platform Data Engineering team comprises a diverse group of data engineers, analysts, and data architects who are passionate about data integrity and innovation. The team is motivated by the opportunity to drive business decisions through accurate and reliable data. We foster a collaborative culture where knowledge\-sharing and continuous learning are encouraged. Our MDM team is dedicated to mastering data management processes that are essential for MassMutual's data\-driven strategies.
**The Impact:**
* Design, construct, and evaluate intricate ELT/ETL tasks: Assimilate data from diverse sources into a high\-quality, reliable data repository, directly impacting the accuracy of MassMutual's data\-driven decisions.
* Develop Master Data Management (MDM) solutions: Implement solutions across various master data domains within MassMutual, ensuring data consistency and reliability.
* Provide comprehensive support for MDM solutions: Manage data ingestion, master record creation, outbound data extracts, and API integration to maintain seamless data operations.
* Implement data modeling policies and procedures: Establish standards for data modeling, contributing to the efficiency and consistency of data processes.
* Collaborate across departments: Engage with various teams to understand emerging data patterns, translating high\-level business needs into precise technical specifications.
* Actively engage in the development and rollout of MDM Solutions and other Information Management initiatives at MassMutual.
* Establish data quality benchmarks and develop tools/processes to ensure data accuracy.
**The Minimum Qualifications**
* Bachelor’s degree in computer science or engineering.
* 5\+ years of experience with Informatica Power Center.
* 5\+ years of experience in data analytics, data modeling, and database design.
* 3\+ years of coding and scripting (Python, Java, Scala) and design experience.
* 3\+ years of experience with the Informatica MDM platform in the customer/party subject area.
* 3\+ years of experience in ELT methodologies, SQL tuning, and troubleshooting.
* 3\+ years of experience with Oracle database and AWS.
* 2\+ years of experience with basic UNIX commands and shell scripts.
**The Ideal Qualifications**
* Master’s degree in computer science or engineering.
* Familiarity with agile project delivery processes.
* Proficiency in SQL and data access/analysis.
* Ability to manage diverse projects impacting multiple roles and processes.
* Experience with Python, Kafka, and database technologies like Vertica or Redshift.
* Experience designing and implementing automated ETL processes.
* Experience with RESTful APIs and near real\-time mastering via SIF.
* Willingness to provide Level 2 support for batch processing cycles outside business hours.
**What to Expect as Part of MassMutual and the Team**
* Regular collaboration with the Data Management Team.
* Focused one\-on\-one time with your manager.
* Access to mentorship opportunities.
* Networking opportunities, including access to Asian, Hispanic/Latinx, African American, women, LGBTQ, veteran, and disability\-focused Business Resource Groups.
* Access to learning content on Degreed and other informational platforms.
* Your ethics and integrity will be valued by a company with a strong and stable ethical business, with industry\-leading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t>
        </is>
      </c>
    </row>
    <row r="56">
      <c r="A56" t="inlineStr">
        <is>
          <t>li-4371199080</t>
        </is>
      </c>
      <c r="B56" t="inlineStr">
        <is>
          <t>Lead Data Engineer - (Salesforce Development and DataStage ETL)</t>
        </is>
      </c>
      <c r="C56" t="inlineStr">
        <is>
          <t>Jobs via Dice</t>
        </is>
      </c>
      <c r="D56" t="inlineStr">
        <is>
          <t>linkedin</t>
        </is>
      </c>
      <c r="E56" t="inlineStr"/>
      <c r="F56" t="inlineStr"/>
      <c r="G56" t="inlineStr">
        <is>
          <t>Michigan, United States</t>
        </is>
      </c>
      <c r="H56" t="inlineStr"/>
      <c r="I56" t="inlineStr">
        <is>
          <t>Dice is the leading career destination for tech experts at every stage of their careers. Our client, TekShapers, is seeking the following. Apply via Dice today!
**Lead Data Engineer \- (Salesforce Development and DataStage ETL)**
**Location : Cincinnati, OH (Remote )**
**Duration : Long term**
**Technical Skills**
* Must Have 2\+ years salesforce application salesforce development
* 3\+ years of proven experience with IBM DataStage.
* Business Intelligence \- Systems/ETL
* Deep experience performing mapping, cleansing, deduplication, validation, and reconciliation for large datasets migration experience SQL
* Nice To Have Experience in banking, regulatory, or compliance\-driven data migrations.
* nCino Proven experience leading data migration workstreams or teams
**Summary:**
* Lead Data Engineer to oversee and guide complex, enterprises cale Salesforce data migration initiatives.
* This role provides technical leadership, solution direction, quality oversight, and execution leadership across all phases of data migration \- from mapping and extraction through transformation, validation, mock runs, cutover, and reconciliation.
* You will work closely with Salesforce architects, business SMEs, DataStage developers, enterprise data teams, and project leadership to ensure the migration is accurate, compliant, repeatable, scalable, and fully documented.
* This is a hands\-on leadership role, not an architecture\-only position \- you will design, review, troubleshoot, and build at key points, while guiding other engineers in execution.
 "Tekshapers is an equal opportunity employer and will consider all applications without regards to race, sex, age, color, religion, national origin, veteran status, disability, sexual orientation, gender identity, genetic information or any characteristic protected by law."</t>
        </is>
      </c>
    </row>
    <row r="57">
      <c r="A57" t="inlineStr">
        <is>
          <t>li-4371195173</t>
        </is>
      </c>
      <c r="B57" t="inlineStr">
        <is>
          <t>Senior Data Engineer Azure</t>
        </is>
      </c>
      <c r="C57" t="inlineStr">
        <is>
          <t>Jobs via Dice</t>
        </is>
      </c>
      <c r="D57" t="inlineStr">
        <is>
          <t>linkedin</t>
        </is>
      </c>
      <c r="E57" t="inlineStr"/>
      <c r="F57" t="inlineStr"/>
      <c r="G57" t="inlineStr">
        <is>
          <t>Dallas, TX</t>
        </is>
      </c>
      <c r="H57" t="inlineStr"/>
      <c r="I57" t="inlineStr">
        <is>
          <t>Dice is the leading career destination for tech experts at every stage of their careers. Our client, Purple Drive Technologies LLC, is seeking the following. Apply via Dice today!
**Role\- Senior Data Engineer \-Azure**
**Location\- Remote**
**Experience:** 
 8\-12 Years
**Role Summary**
 Seeking a Senior Data Engineer with strong API and Azure experience to design scalable data platforms, develop pipelines, and support cloud migration initiatives. The role requires solving complex business problems, optimizing data systems, and collaborating across teams to deliver high\-quality solutions.
**Key Responsibilities**
* Develop and support APIs and Azure Functions (Python).
* Build scalable data pipelines and migrate legacy platforms to Azure.
* Write and optimize complex SQL queries.
* Perform full lifecycle development and testing.
* Troubleshoot multi\-threaded and distributed systems.
* Collaborate with technical and business teams to deliver data\-driven solutions.
**Required Skills**
* 3\+ years Python and/or Azure SQL experience.
* 3\+ years data engineering with large datasets.
* Strong SQL optimization skills.
* Experience with Azure tools such as Databricks, Data Factory, Event Hub, Synapse, Delta Lake, Cosmos DB.
* Knowledge of Git, Jenkins, or similar CI/CD tools.
* Strong analytical, communication, and problem\-solving skills.
**Preferred**
* Big Data and NoSQL experience.
* Public cloud exposure (Azure/AWS).
* Agile methodology experience.
* Experience leading large projects.</t>
        </is>
      </c>
    </row>
    <row r="58">
      <c r="A58" t="inlineStr">
        <is>
          <t>li-4371194288</t>
        </is>
      </c>
      <c r="B58" t="inlineStr">
        <is>
          <t>Senior ETL Data Engineer</t>
        </is>
      </c>
      <c r="C58" t="inlineStr">
        <is>
          <t>Jobs via Dice</t>
        </is>
      </c>
      <c r="D58" t="inlineStr">
        <is>
          <t>linkedin</t>
        </is>
      </c>
      <c r="E58" t="inlineStr"/>
      <c r="F58" t="inlineStr"/>
      <c r="G58" t="inlineStr">
        <is>
          <t>Columbia, MD</t>
        </is>
      </c>
      <c r="H58" t="inlineStr"/>
      <c r="I58" t="inlineStr">
        <is>
          <t>Dice is the leading career destination for tech experts at every stage of their careers. Our client, System One, is seeking the following. Apply via Dice today!
**Interested candidates should email their resume to , along with work authorization information, current location, availability, and compensation details.
 Work authorization status
 current location
 availability
 compensation details.
 Can you work onsite from Day 1 ?
 Please reference the specific job title and job location in your email.
 Senior Data Engineer**
**Columbia, MD**
**Contract**
**Visa : on W2**
 The
 **Senior Data Engineer** 
 is responsible for orchestrating, deploying, maintaining, and scaling cloud and/or on\-premise infrastructure supporting big data and enterprise data platforms (Relational and NoSQL, distributed and converged systems).
 This role focuses on:
* Reliability
* Automation
* Performance optimization
* Delivering data\-driven insights and business value
**Key Responsibilities (Essential Functions)**
**20% – Infrastructure Development**
* Develop and maintain data infrastructure systems (data warehouses, data lakes).
* Build and maintain data access APIs.
* Prepare and manipulate data using multiple technologies.
**15% – Data Analysis \&amp; Reporting**
* Interpret and analyze data using statistical techniques.
* Deliver ongoing reports and actionable insights.
* Support data\-driven decision\-making for key projects.
* Design and execute quality control procedures across multiple systems.
**15% – Data Modeling**
* Develop logical and physical data models.
* Evaluate and enhance data warehouse architecture.
* Apply metadata standards and modeling conventions.
* Plan data classes, indexing, replication, backup, retention, and recovery strategies.
**15% – Data Collection Frameworks**
* Create frameworks for structured and unstructured data collection.
**15% – Continuous Learning \&amp; Innovation**
* Stay current with emerging technologies and best practices.
* Participate in professional workshops and industry networking.
**10% – ETL / ELT Development**
* Apply data extraction, transformation, and loading techniques.
* Integrate large datasets from multiple sources.
**10% – Best Practices Implementation**
* Implement best practices in:
+ Data auditing
+ Scalability
+ Reliability
+ Application performance
**Required Qualifications**
**Education**
* Bachelor’s Degree in:
+ Computer Science
+ Information Technology
+ Engineering
+ Related field
**In lieu of degree:**
 Additional 4 years of relevant experience (on top of required experience).
**Experience**
* 5\+ years of experience in:
+ Database design
+ Data modeling tools
+ ETL/ELT development
+ Application development
+ Relational database development
+ Data architecture
**Preferred Knowledge, Skills \&amp; Abilities (KSAs)**
**Expert Level**
* SQL / NoSQL / Python (at least one programming language)
* Database design \&amp; implementation
* Data exchange formats
* Data movement concepts
* Strong analytical \&amp; problem\-solving skills
**Advanced Level**
* Organizational and communication skills
* Ability to manage multiple priorities
**Compliance \&amp; Work Expectations**
* Must disclose any debarment or exclusion impacting Federal healthcare program eligibility.
* Ability to work in a fast\-paced, dynamic environment.
* Capable of handling shifting priorities and deadlines.
* Strong customer service skills (internal \&amp; external stakeholders).
* Ability to manage demanding or complex situations professionally.
**\#M1
 \#DI\-CB2**
 Ref: \#851\-Rockville\-S1</t>
        </is>
      </c>
    </row>
    <row r="59">
      <c r="A59" t="inlineStr">
        <is>
          <t>li-4363231418</t>
        </is>
      </c>
      <c r="B59" t="inlineStr">
        <is>
          <t>Sr. Data Engineer - MFS Investment Management</t>
        </is>
      </c>
      <c r="C59" t="inlineStr">
        <is>
          <t>Jobs via eFinancialCareers</t>
        </is>
      </c>
      <c r="D59" t="inlineStr">
        <is>
          <t>linkedin</t>
        </is>
      </c>
      <c r="E59" t="inlineStr"/>
      <c r="F59" t="inlineStr"/>
      <c r="G59" t="inlineStr">
        <is>
          <t>Boston, MA</t>
        </is>
      </c>
      <c r="H59" t="inlineStr"/>
      <c r="I59" t="inlineStr">
        <is>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**THE ROLE**
 The Sr. Data Engineer will play a critical role in enhancing and maintaining a data platform for execution and operations research within the trading department. The candidate will be working as a part of a team of Quantitative Trading Strategists to store new data sets, ensure reliability of data pipelines, build out additional capabilities across multiple asset classes. The Sr. Data Engineer will work across vendors and internal teams to ensure seamless, scalable data flows are built in an accessible way throughout the trading ecosystem.
**What You Will Do**
* Design, build, and maintain scalable data pipelines to ingest data from numerous sources.
* Proactively and independently work to enhance reliability of data capture.
* Collaborate with team to develop processes to transform raw data into more usable data sets.
* Find and action opportunities for automation in analytics production.
* Implement robust data quality checks and enhance monitoring for data pipelines.
* Partner with Quantitative Trading Strategists to improve current platform capabilities and performance.
**WHAT WE ARE LOOKING FOR**
* Bachelor's degree in Computer Science or Engineering, with a focus on software engineering. Knowledge of data science or statistics is beneficial.
* Minimum of three to five years of experience in a data intensive field.
* Experience with Python, KDB/Q or other programming languages with a focus on interfacing with high volume data.
* Experience working with large data sets, structured and unstructured
* Experience with data visualization and concepts around display of data
* Equity and fixed income quantitative background, market structure knowledge, plus experience with trading processes and/or transaction cost analysis (TCA).
* Ability to work independently and proactively generate project ideas.
* Strong interpersonal and communication skills.
* Some international travel.
 Base Salary Range: $ 95,500 \- $ 137,500
 This position is eligible for competitive incentive bonus.
 At MFS, we believe in fair and transparent compensation. For that reason, we're including the salary range for this position. This range reflects our good\-faith expectation for what we'll pay depending on the candidate's experience, training and education. In addition to the salary, we also offer significant and competitive incentive compensation based on both individual and company performance. Other components of our Total Rewards Package include:
* MFS contributes an amount equal to 15% of your base salary to your retirement account that is separate from the company \-sponsored 401(k)
* Education Assistance: MFS contributes $100 monthly up to $10,000 lifetime maximum directly to loan provider
* Education Assistance: Tuition reimbursement up to $8,000 annually
* Education Assistance: Access to discounted tutors and college coaches
* Generous time off and fully paid leaves including 20\-weeks for maternity, 12\-weeks for parental and caregiver leaves
* Choice of medical and dental plans and an and an employer contribution into the Health Savings Account
* Tax deferred commuter benefits \&amp; flexible spending accounts (medical \&amp; dependent care)
* Wellness Programs: Robust wellness webinars, employee assistance program with a focus on mental health, subsidized fitness benefit via Wellhub (formerly Gympass), where you can workout at gyms, studios and boutique fitness locations near you, join virtual personal training sessions and access a wide variety of well\-being apps
 Our compensation philosophy is to pay competitively for talent while ensuring equity across employees performing comparable work. We are committed to transparency \- if you have questions about how we arrived at this range or what additional benefits and bonus opportunities come with the role, we'll be happy to discuss them
 At MFS, we are dedicated to building a diverse, inclusive and authentic workplace. If you are excited about this role but your past experience doesn't align perfectly, we encourage you to apply \- you might be just the right candidate for this role or others.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linked for your reference.</t>
        </is>
      </c>
    </row>
    <row r="60">
      <c r="A60" t="inlineStr">
        <is>
          <t>li-4371187585</t>
        </is>
      </c>
      <c r="B60" t="inlineStr">
        <is>
          <t>Senior Data Engineer</t>
        </is>
      </c>
      <c r="C60" t="inlineStr">
        <is>
          <t>Jobs via Dice</t>
        </is>
      </c>
      <c r="D60" t="inlineStr">
        <is>
          <t>linkedin</t>
        </is>
      </c>
      <c r="E60" t="inlineStr"/>
      <c r="F60" t="inlineStr"/>
      <c r="G60" t="inlineStr">
        <is>
          <t>O'Fallon, MO</t>
        </is>
      </c>
      <c r="H60" t="inlineStr"/>
      <c r="I60" t="inlineStr">
        <is>
          <t>Dice is the leading career destination for tech experts at every stage of their careers. Our client, SYSTEM SOFT TECHNOLOGIES LLC, is seeking the following. Apply via Dice today!
 Senior Data Engineer
**Location: O'Fallon, MO (Main Campus)/Hybrid**
**Call notes**
**Key Requirements:**
**Technical Skills:**
 Strong experience in Hadoop environments
 Spark
 Python
**ETL Tools:**
 Alteryx (currently used) or NiFi (client is transitioning to this good to have) or SSIS
 Data Platform: Hybrid (on\-premises \+ cloud)
 Cloud: Azure preferred, AWS acceptable
 Microsoft Products / Viva Connect: Preferred but not mandatory
**Experience:**
 8\+ years in data engineering
 Experience working in Agile methodologies
**Soft Skills:**
 Excellent communication skills are a must</t>
        </is>
      </c>
    </row>
    <row r="61">
      <c r="A61" t="inlineStr">
        <is>
          <t>li-4371488474</t>
        </is>
      </c>
      <c r="B61" t="inlineStr">
        <is>
          <t>Senior Data Engineer</t>
        </is>
      </c>
      <c r="C61" t="inlineStr">
        <is>
          <t>PMAT, Inc.</t>
        </is>
      </c>
      <c r="D61" t="inlineStr">
        <is>
          <t>linkedin</t>
        </is>
      </c>
      <c r="E61" t="inlineStr"/>
      <c r="F61" t="inlineStr"/>
      <c r="G61" t="inlineStr">
        <is>
          <t>San Diego, CA</t>
        </is>
      </c>
      <c r="H61" t="inlineStr"/>
      <c r="I61" t="inlineStr">
        <is>
          <t>**About Us:** 
 PMAT is an innovative small business founded with a passion for developing forward\-leaning solutions from exceptional people that increase the mission's capability. We focus on designing and building impactful digital solutions that utilize modern cloud, data, and software concepts. Our passion is working on complex and progressive challenges such as edge platform computing, containerizing legacy platforms, distributed data platforms, or heterogeneous data analysis. We recruit, retain, and foster a team motivated to pursue passions, investigate new ways of doing things, and embody an innovative and entrepreneurial spirit.
 We believe in being curious about every element of a problem and experiment relentlessly. We foster continuous learning in an environment that encourages positive collaboration and expands our capabilities. We tap into collective intelligence, acknowledging that the most brilliant people may not be in the room. Above all else, we believe that delivering and demonstrating is more potent than a sheet of paper. We are passionate about mission\-centric design and delivering effective capabilities to and for the warfighter.
 Whether you’re an experienced engineer or just beginning your career, you’ll work alongside experts who are committed to solving mission\-critical problems. If you’re passionate about using your skills to make a real difference, apply today and become part of a team that’s shaping the future of defense technology!
**About the Role:** 
 PMAT is seeking a Senior Data Engineer to design, build, and operationalize advanced data pipelines and analytics supporting Naval and DoD mission challenges. This role requires deep experience across data engineering, distributed systems, event streaming, cloud data frameworks, and mission\-focused analytics. The Senior Data Engineer will support complex data integration efforts, collaborate with cross\-functional engineering teams, and lead data architecture improvements aligned with operational Navy needs.
**Responsibilities:** 
* Collaborate with cross\-functional teams to understand and address Navy operational challenges using data pipelines and analytics.
* Design, develop, and implement data pipelines and analytics for naval applications.
* Perform exploratory data analysis, algorithm development, and testing.
* Normalize and structure data to common standards for interoperability.
* Work with multiple data formats, including CSV, JSON, XML, Parquet, and ORC.
* Develop and deploy data pipelines and analytics in real\-world operational environments.
* Deploy, monitor, and optimize data pipelines to ensure high performance and reliability.
* Implement event streaming pipelines using Apache Kafka, AWS Kinesis, RabbitMQ, or ZeroMQ.
* Utilize distributed computing platforms such as AWS Lambda, Dask, or Spark.
* Leverage cloud\-native tools including AWS S3, RDS, EFS, SNS, and SQS.
* Utilize data pipeline frameworks such as AirByte, Apache Airflow, dbt, Apache Iceberg, and Snowflake.
* Work with GIS data using ArcGIS, PostGIS, and related tooling.
* Implement containerized environments using Docker or Kubernetes.
* Apply cybersecurity principles in the context of secure DoD data applications.
* Communicate findings and engineering solutions effectively with technical and mission stakeholders.
**Required Skills and Experience:** 
* At least 10 years of experience as a business analyst, data analyst, data scientist, data engineer, database administrator, geospatial analyst/engineer, machine learning engineer, or software engineer.
* Strong programming skills in Python.
* Programming experience in Go or Rust.
* Proven experience designing, developing, and deploying complex data pipelines.
* Familiarity with data formats including CSV, JSON, XML, Parquet, ORC.
* Familiarity with event streaming technologies: Kafka, AWS Kinesis, RabbitMQ, ZeroMQ.
* Experience deploying, monitoring, and optimizing operational data pipelines.
* Expertise in Elasticsearch, Redis, S3, PostgreSQL, or related datastores.
* Experience with AWS data services (EFS, RDS, S3, SNS, SQS).
* Experience with distributed computing: AWS Lambda, DASK, Spark.
* Familiarity with AirByte, Airflow, dbt, Iceberg, Snowflake.
* Experience integrating and retrieving GIS data (ArcGIS, PostGIS).
* Strong analytical and problem\-solving skills.
* Excellent communication skills in a collaborative team environment.
* Previous experience supporting government agencies or military organizations.
* Ability to safely carry tools, equipment, and materials aboard ship, including ascending and descending shipboard ladders(stairwells) and navigating confined spaces while maintaining required points of contact. Tools and equipment will weigh no more than 50 lbs.
* Ability to perform required work aboard Navy vessels and in shipboard environments, including navigating narrow passageways, ascending, and descending ladders (stairwells), working on elevated platforms, and operating in variable sea conditions.
* Ability to perform activities on a reoccurring basis during shipboard operations or testing evolutions.
* Ability to comply with Navy safety requirements and wear required personal protective equipment (PPE).
* Ability to operate in a DDIL office environment
 Reasonable accommodations may be provided to enable qualified individuals to meet these requirements and perform the essential functions of the position.
**Preferred Skills and Experience:** 
* Experience leading data engineering efforts in secure DoD environments.
* Experience working with NAVWAR, NIWC Pacific, or naval C2/ISR programs.
* Experience architecting data solutions across multi\-domain or cross\-domain systems.
* Familiarity with MLOps pipelines or AI\-enabled analytics workflows.
* Experience with cloud\-native data architecture and API design.
**Education and Certification Requirements:** 
* Master of Science in Computer Science, Data Science, Geography, Math, Machine Learning, or Statistics.
* Additional certifications in data engineering, cloud, geospatial, or cybersecurity are a plus if required by contract.
**Citizenship and Clearance Requirements:** 
* US Citizenship
* No dual citizenship
* Active DoD TS/SCI clearance required
**Location:** 
* On Site
* NAVWAR
* San Diego
**Travel:** 
* Up to 15% CONUS, and limited OCONUS if mission requires.
**Work Environment:** 
 PMAT offices as needed. In some cases, work in a government facility may be required. Travel may be required for customer engagement, team coordination, and mission execution.
 PMAT is an equal\-opportunity employer. We believe in hiring a diverse workforce and sustaining an inclusive, people\-first culture. We are committed to non\-discrimination on any protected basis, such as disability and veteran status, or any other basis covered under applicable law.</t>
        </is>
      </c>
    </row>
    <row r="62">
      <c r="A62" t="inlineStr">
        <is>
          <t>li-4342586073</t>
        </is>
      </c>
      <c r="B62" t="inlineStr">
        <is>
          <t>Data Engineer - Data Engineering</t>
        </is>
      </c>
      <c r="C62" t="inlineStr">
        <is>
          <t>Plaid</t>
        </is>
      </c>
      <c r="D62" t="inlineStr">
        <is>
          <t>linkedin</t>
        </is>
      </c>
      <c r="E62">
        <f>HYPERLINK("https://www.linkedin.com/jobs/view/4342586073", "https://www.linkedin.com/jobs/view/4342586073")</f>
        <v/>
      </c>
      <c r="F62">
        <f>HYPERLINK("https://jobs.lever.co/plaid/0dc0a0f9-7c59-468c-8bc7-8918a09d24d4/apply?lever-origin=applied&amp;lever-source=LinkedInPaid&amp;urlHash=EHR8", "https://jobs.lever.co/plaid/0dc0a0f9-7c59-468c-8bc7-8918a09d24d4/apply?lever-origin=applied&amp;lever-source=LinkedInPaid&amp;urlHash=EHR8")</f>
        <v/>
      </c>
      <c r="G62" t="inlineStr">
        <is>
          <t>San Francisco, CA</t>
        </is>
      </c>
      <c r="H62" t="inlineStr"/>
      <c r="I62" t="inlineStr">
        <is>
          <t>The main goal of the DE team in 2024\-25 is to build robust golden data sets to power our business goals of creating more insights based products. Making data\-driven decisions is key to Plaid's culture. To support that, we need to scale our data systems while maintaining correct and complete data. We provide tooling and guidance to teams across engineering, product, and business and help them explore our data quickly and safely to get the data insights they need, which ultimately helps Plaid serve our customers more effectively. Data Engineers heavily leverage SQL and Python to build data workflows. We use tools like DBT, Airflow, Redshift, ElasticSearch, Atlanta, and Retool to orchestrate data pipelines and define workflows. We work with engineers, product managers, business intelligence, data analysts, and many other teams to build Plaid's data strategy and a data\-first mindset. Our engineering culture is IC\-driven \-\- we favor bottom\-up ideation and empowerment of our incredibly talented team. We are looking for engineers who are motivated by creating impact for our consumers and customers, growing together as a team, shipping the MVP, and leaving things better than we found them.
 You will be in a high impact role that will directly enable business leaders to make faster and more informed business judgements based on the datasets you build. You will have the opportunity to carve out the ownership and scope of internal datasets and visualizations across Plaid which is a currently unowned area that we intend to take over and build SLAs on. You will have the opportunity to learn best practices and up\-level your technical skills from our strong DE team and from the broader Data Platform team. You will collaborate with and have strong and cross functional partnerships with literally all teams at Plaid from Engineering to Product to Marketing/Finance etc.
**Responsibilities**
* Understanding different aspects of the Plaid product and strategy to inform golden dataset choices, design and data usage principles.
* Have data quality and performance top of mind while designing datasets
* Advocating for adopting industry tools and practices at the right time
* Owning core SQL and Python data pipelines that power our data lake and data warehouse
* Well\-documented data with defined dataset quality, uptime, and usefulness.
**Qualifications**
* 2\+ years of dedicated data engineering experience, solving complex data pipeline issues at scale.
* You have experience building data models and data pipelines on top of large datasets (in the order of 500TB to petabytes)
* You value SQL as a flexible and extensible tool and are comfortable with modern SQL data orchestration tools like DBT, Mode, and Airflow.
* \[Nice to have] You have experience working with different performant warehouses and data lakes; Redshift, Snowflake, Databricks
* \[Nice to have] You have experience building and maintaining batch and real\-time pipelines using technologies like Spark, Kafka.
 $163,200 \- $223,200 a year
 The target base salary for this position ranges from $163,200/year to $223,200/year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row>
    <row r="63">
      <c r="A63" t="inlineStr">
        <is>
          <t>li-4371499041</t>
        </is>
      </c>
      <c r="B63" t="inlineStr">
        <is>
          <t>Data Engineer</t>
        </is>
      </c>
      <c r="C63" t="inlineStr">
        <is>
          <t>Koala Health</t>
        </is>
      </c>
      <c r="D63" t="inlineStr">
        <is>
          <t>linkedin</t>
        </is>
      </c>
      <c r="E63">
        <f>HYPERLINK("https://www.linkedin.com/jobs/view/4371499041", "https://www.linkedin.com/jobs/view/4371499041")</f>
        <v/>
      </c>
      <c r="F63">
        <f>HYPERLINK("https://jobs.lever.co/koalahealth/1defbdc8-d1e0-4454-bf58-36068e46719c/apply?source=LinkedIn&amp;urlHash=NydD", "https://jobs.lever.co/koalahealth/1defbdc8-d1e0-4454-bf58-36068e46719c/apply?source=LinkedIn&amp;urlHash=NydD")</f>
        <v/>
      </c>
      <c r="G63" t="inlineStr"/>
      <c r="H63" t="inlineStr"/>
      <c r="I63" t="inlineStr">
        <is>
          <t>At Koala Health, our mission is to make managing your pet’s health simple and enjoyable. We’ve built an innovative online pharmacy that delivers pet medications and supplements in presorted pouches, directly to customers’ doors. As we continue to scale, high\-quality, reliable data is becoming increasingly critical to how we operate, measure success, and make decisions.
 The Data Engineer will take ownership of Koala Health’s data infrastructure: designing, building, and maintaining our data pipelines, models, and analytics foundation, and evolving it into a trusted, scalable platform used across the organization. Partnering closely with product, operations, growth, finance, and leadership, you will ensure data is accurate, accessible, and actionable, transforming our existing infrastructure into a reliable internal product that balances speed, quality, and long\-term maintainability.
 For this role, we’re seeking a hands\-on, highly competent, self\-directed engineer who thrives in ambiguity, enjoys building durable systems, and can operate independently without close day\-to\-day oversight.
 This is a remote position for individuals authorized to work in the United States without sponsorship.
**What You'll Do**
* Own and evolve Koala Health’s end\-to\-end data infrastructure, including ingestion, transformation, modeling, and delivery.
* Design and maintain reliable data pipelines from production systems (e.g., application databases, third\-party tools, vendors).Build and manage data models that support analytics, reporting, and operational use cases.
* Establish and enforce best practices for data quality, testing, monitoring, and documentation.
* Partner with stakeholders across product, operations, finance, and marketing to understand data needs and translate them into scalable solutions.
* Improve the reliability, performance, and cost\-efficiency of the data stack as the business grows.
* Own incident response and debugging for data issues, proactively identifying and resolving root causes.
* Create and maintain clear documentation so data assets are understandable and usable across the company.
* Evaluate and implement tooling improvements where it meaningfully improves developer velocity or data quality.
* Act as a thought partner to leadership on how data can better support decision\-making and operational efficiency.
**What You'll Need**
* 4\+ years of experience as a Data Engineer, Analytics Engineer, or in a similar role with significant end\-to\-end ownership.
* Strong SQL skills and experience building well\-structured analytical data models.
* Hands\-on experience working with cloud data warehouses, including Snowflake.
* Experience designing and operating ELT pipelines using managed tools such as Fivetran (or comparable ELT solutions).Familiarity with modern data platform orchestration and transformation frameworks (e.g., Mozart or similar).Experience enabling analytics and reporting workflows using Looker with an understanding of how data modeling impacts downstream usage.
* Solid programming experience (Python) for data pipelines and transformations.
* Experience working with cloud infrastructure (AWS, GCP, or similar).Ability to independently diagnose data quality issues, identify root causes, and implement durable fixes.
* Proven ability to work autonomously, manage priorities, and deliver high\-quality outcomes in a fast\-moving environment.
* Strong systems thinking and an instinct for building simple, reliable solutions.
* Excellent communication skills and comfort collaborating with non\-technical stakeholders.
**Preferred**
* Experience in healthcare/pharmacy tech, veterinary or pet\-health platforms, and/or high\-volume eCommerce/subscription businesses with strong order, fulfillment, and operational analytics needs.
* Experience treating data as a product with clear ownership and accountability.
 $125,000 \- $150,000 a year
 We believe interviews are a two\-way process: you're interviewing us just as much as we're interviewing you. We respect candidates by moving quickly and communicating clearly during the process. We want to see you at your best and will take steps within reason to make that happen.
 We look forwards to meeting you!
*Koala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64">
      <c r="A64" t="inlineStr">
        <is>
          <t>li-4371472672</t>
        </is>
      </c>
      <c r="B64" t="inlineStr">
        <is>
          <t>Data Engineer</t>
        </is>
      </c>
      <c r="C64" t="inlineStr">
        <is>
          <t>Microsoft</t>
        </is>
      </c>
      <c r="D64" t="inlineStr">
        <is>
          <t>linkedin</t>
        </is>
      </c>
      <c r="E64">
        <f>HYPERLINK("https://www.linkedin.com/jobs/view/4371472672", "https://www.linkedin.com/jobs/view/4371472672")</f>
        <v/>
      </c>
      <c r="F64">
        <f>HYPERLINK("https://apply.careers.microsoft.com/careers/job/1970393556638740?utm_source=linkedin&amp;domain=microsoft.com&amp;src=LinkedIn&amp;urlHash=HZ3a", "https://apply.careers.microsoft.com/careers/job/1970393556638740?utm_source=linkedin&amp;domain=microsoft.com&amp;src=LinkedIn&amp;urlHash=HZ3a")</f>
        <v/>
      </c>
      <c r="G64" t="inlineStr">
        <is>
          <t>Redmond, WA</t>
        </is>
      </c>
      <c r="H64" t="inlineStr"/>
      <c r="I64" t="inlineStr">
        <is>
          <t>**Overview**
 Join Microsoft’s Microsoft 365 Growth \+ Experiences FastTrack Data Engineering team, the architects behind MIDAS (Microsoft Intelligent Data Analytics System)—the backbone powering 30\+ business applications, self\-service analytics, and AI\-driven insights. Our mission is to deliver a single source of truth and version for data, eliminating redundancies and duplications by applying FastTrack’s unique business rules centrally. This unified approach transforms traditional deployment experiences into reliable, data\-driven, personalized, automated, AI\-powered onboarding services for delivery and partner personas.
 As a
 **Data Engineer** 
 , you’ll design, build, and optimize data solutions—including but not limited to transactional and star/snowflake data models, data engineering pipelines —that accelerate customer success, enable M365 Copilot and E5 solution deployment and adoption, and support strategic decision\-making across the Microsoft ecosystem. You’ll thrive in a collaborative, growth\-mindset environment, partnering with engineering, product, delivery, partner, and business teams to deliver secure, scalable, and innovative data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\&amp; Develop: Build and optimize data pipelines, models, and storage solutions using technologies like SQL, Azure Synapse, Fabric, Data Factory and GenAI.
* End\-to\-End Ownership: Align discrete tasks into complete technical solutions for data ingestion, transformation, and provisioning.
* Collaboration: Work closely with PMs, software engineers, and business stakeholders to deliver secure, scalable, and efficient data solutions.
* Quality \&amp; Testing: Implement unit and integration testing, CI/CD pipelines, and ensure compliance with security and privacy standards.
* Continuous Improvement: Review module/feature issues, identify opportunities for optimization, and proactively resolve problems before they escalate.
* Documentation: Create design documents, data models, and operational runbooks for maintainability and transparency.
**Qualifications**
**Required Qualifications:**
*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 OR equivalent experience.
**Preferred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5\+ years experience in business analytics, data science, software development, data modeling, or data engineering OR equivalent experience.
* 1\+ year(s) experience with data governance, data compliance and/or data security.
* Experience with Microsoft data stack (Azure, Fabric, Synapse, Data Factory, Databricks, Power BI, GenAI, Copilot, Agent).
* Knowledge of AI/ML/GenAI data workflows and analytics.
* Exposure to large\-scale telemetry, customer health, enterprise data platform/warehouse or business intelligence systems.
* Demonstrated growth mindset and commitment to diversity and inclusion.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5">
      <c r="A65" t="inlineStr">
        <is>
          <t>li-4370912212</t>
        </is>
      </c>
      <c r="B65" t="inlineStr">
        <is>
          <t>Analytics Engineer</t>
        </is>
      </c>
      <c r="C65" t="inlineStr">
        <is>
          <t>MONTICELLOAM, LLC</t>
        </is>
      </c>
      <c r="D65" t="inlineStr">
        <is>
          <t>linkedin</t>
        </is>
      </c>
      <c r="E65">
        <f>HYPERLINK("https://www.linkedin.com/jobs/view/4370912212", "https://www.linkedin.com/jobs/view/4370912212")</f>
        <v/>
      </c>
      <c r="F65" t="inlineStr"/>
      <c r="G65" t="inlineStr">
        <is>
          <t>New York, United States</t>
        </is>
      </c>
      <c r="H65" t="inlineStr"/>
      <c r="I65" t="inlineStr">
        <is>
          <t>MONTICELLOAM, LLC and its affiliates (“Monticello”) is a real estate and asset\-based lender providing asset management and comprehensive capital solutions for healthcare, multifamily, and commercial real estate assets throughout the US. Monticello is seeking team players who can work in a collaborative environment and possess drive, integrity, creativity, compassion, and a strong work ethic.
 We are seeking a talented
 **Analytics Engineer** 
 to join our dynamic team, focusing on optimizing our asset management operations and business intelligence capabilities. This role combines technical data engineering expertise with analytical science skills to drive data\-informed decision\-making across our portfolio.
**The Analytics Engineer’s Primary Responsibilities Are**
* Build automated reporting systems and interactive dashboards for portfolio monitoring, including custom analyses for executive leadership, asset management, and origination
* Implement machine learning (AI) models for asset valuation, market analysis, and investment opportunity screening
* Build and optimize Snowflake databases and queries to support real\-time business intelligence needs
* Design and implement quality assurance processes for data extraction, transformation, and analysis workflows
* Design and maintain scalable data pipelines in Nexla and Python to integrate property management systems, financial databases, and market data feeds into our Snowflake data warehouse
* Develop and implement OCR/NLP models to extract, validate, and classify key information from loan agreements, property reports, and other financial documents
* Create predictive models to identify asset performance trends, risks, and opportunities across the real estate portfolio, with a focus on occupancy rates and NOI metrics
* Design and optimize ETL processes to ensure data quality and consistency, with robust monitoring and alert systems
**Qualifications**
* Bachelor's or Master's Degree in Computer Science, Data Science, or related field with 3\-7 years of experience; additional experience may be considered in lieu of degree
* Expert\-level Python programming with strong proficiency in data science libraries (pandas, numpy, scikit\-learn) and ML frameworks (TensorFlow, PyTorch)
* Experience building and optimizing ETL pipelines using modern data platforms (experience with Nexla preferred) and working with Snowflake or similar cloud data warehouses
* Demonstrated experience with large language models (LLMs), prompt engineering, and NLP frameworks (e.g., Hugging Face Transformers) for document processing and information extraction
* Proficiency in data preprocessing, cleaning, and transformation techniques for both structured and unstructured data sources
* Experience with supervised and unsupervised learning algorithms, model evaluation metrics, and ML deployment in production environments
* Advanced SQL expertise, particularly with Snowflake, including optimization and security best practices
* Intellectual curiosity, asking the “Why?” question
 At Monticello, we believe that finding creative solutions for our clients comes from the collaboration of people with diverse backgrounds and perspectives. We strive to build an inclusive work environment that celebrates differences and empowers all individuals with opportunities to channel their entrepreneurial spirit. Monticello is an EEO employer.
 Monticello offers a competitive base salary and bonus. The base salary range for this position is $110,000\-$140,000/year. The specific compensation that will be offered is based on an understanding of the hired candidates' qualifications at the time of hire. Employees are eligible for a discretionary bonus based on employee work performance reviewed during the annual review process.</t>
        </is>
      </c>
    </row>
    <row r="66">
      <c r="A66" t="inlineStr">
        <is>
          <t>li-4371466035</t>
        </is>
      </c>
      <c r="B66" t="inlineStr">
        <is>
          <t>Data Engineer</t>
        </is>
      </c>
      <c r="C66" t="inlineStr">
        <is>
          <t>540</t>
        </is>
      </c>
      <c r="D66" t="inlineStr">
        <is>
          <t>linkedin</t>
        </is>
      </c>
      <c r="E66">
        <f>HYPERLINK("https://www.linkedin.com/jobs/view/4371466035", "https://www.linkedin.com/jobs/view/4371466035")</f>
        <v/>
      </c>
      <c r="F66" t="inlineStr"/>
      <c r="G66" t="inlineStr">
        <is>
          <t>Arlington, VA</t>
        </is>
      </c>
      <c r="H66" t="inlineStr"/>
      <c r="I66" t="inlineStr">
        <is>
          <t>540 is seeking a Data Engineer to join the Advana team supporting the MHS Caduceus program. In this role, you'll help build and maintain the Financial Management Data Analytics stream supporting the Defense Health Program portfolio.
 You'll work hands\-on with complex DoD and DHA data to develop scalable data products that provide actionable financial insight. This role focuses on delivering production\-ready data capabilities that support mission\-critical healthcare and financial decision\-making.
**Location** 
 : Remote, with preference for candidates located near Arlington, VA for occasional in\-person client meetings
**Citizenship \&amp; Clearance Requirement** 
 : per client requirements, candidates must be U.S. Citizens with an active DoD Secret clearance
**Education Requirement:** 
 Bachelor's Degree
**540 Internal Thrive Level:** 
 Software Engineer II or III
**WHY 540?**
 540 is a forward\-thinking company that the government turns to in order to \#getshitdone. We don't just talk about innovation – we deliver it. We break down barriers, build impactful technology, and solve mission\-critical problems.
**HOW YOU'LL DRIVE IMPACT**
* Develop and maintain scalable data pipelines using Spark (Python/SQL) in a Databricks environment
* Integrate and transform diverse DoD healthcare and financial datasets into production\-ready data products
* Support development of financial analytics datasets used for Defense Health Program reporting
* Monitor, troubleshoot, and optimize scheduled workflows and production data pipelines
* Implement data validation, quality checks, and governance processes
* Collaborate with engineers, analysts, and stakeholders to ensure data supports operational decision\-making
**REQUIRED SKILLS \&amp; EXPERIENCE**
* 3\+ years of data engineering or related experience
* Strong Python experience
* Experience engaging with clients and/or stakeholders
* Experience building and maintaining data pipelines and ETL processes
* Experience working with Databricks or similar modern data platforms
* Experience consuming data via APIs
* Familiarity with Git\-based development workflows
* Comfortable working in terminal / command\-line environments
* Experience with data visualization tools (Tableau or similar)
**NICE TO HAVE SKILLS \&amp; EXPERIENCE**
* AWS cloud experience
* Experience working with very large datasets (billions of records)
* Experience with Palantir Foundry
* Experience building, deploying and managing Tableau dashboards
* Experience working with Advana data environments
* GitLab experience
* Experience working with DoD systems
* Experience working with financial systems
**BENEFITS \&amp; PERKS**
* Flexible PTO \+ all Federal holidays off
* Health, dental and vision insurance plans
* Flexible Spending Account (FSA)
* 401k with employer match
* Company\-sponsored life insurance, short\- and long\-term disability
* Professional development (training, certifications, conferences)
* Paid cloud developer accounts
* Referral bonuses
* HQ office perks (parking / metro reimbursement, nitro coffee \&amp; lunches)
* Annual social events (540 Week, hackathon, charity golf tournament, etc.)
* Access to 540's Washington Capitals \&amp; Nationals tickets
**EQUAL EMPLOYMENT OPPORTUNITY (EEO)**
 540's policy is to provide equal employment opportunity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67">
      <c r="A67" t="inlineStr">
        <is>
          <t>li-4371169945</t>
        </is>
      </c>
      <c r="B67" t="inlineStr">
        <is>
          <t>Senior Data Engineer</t>
        </is>
      </c>
      <c r="C67" t="inlineStr">
        <is>
          <t>Zeta Global</t>
        </is>
      </c>
      <c r="D67" t="inlineStr">
        <is>
          <t>linkedin</t>
        </is>
      </c>
      <c r="E67">
        <f>HYPERLINK("https://www.linkedin.com/jobs/view/4371169945", "https://www.linkedin.com/jobs/view/4371169945")</f>
        <v/>
      </c>
      <c r="F67" t="inlineStr"/>
      <c r="G67" t="inlineStr">
        <is>
          <t>San Francisco, CA</t>
        </is>
      </c>
      <c r="H67" t="inlineStr"/>
      <c r="I67"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We’re looking for a Senior Data Engineer to design, build, and operate the data pipelines and aggregates that power Zeta’s AdTech platform. This is a hands\-on individual contributor role focused on high\-scale batch \+ streaming data processing, reliable data products, and analytics\-ready datasets that enable prediction, agentic workflows, BI reporting, and measurement. You will partner closely with backend, ML, and product teams to deliver trusted, well\-modeled data with strong performance, quality, and observability.
**What You’ll Do**
* Build data pipelines: Develop robust batch and streaming pipelines (Kafka/Kinesis) to ingest, transform, and enrich large\-scale event data (impressions, clicks, conversions, costs, identity signals).
* Create data aggregates \&amp; marts: Design and maintain curated aggregates and dimensional models for multiple consumers—prediction models, agents, BI dashboards, and measurement workflows.
* Data modeling \&amp; contracts: Define schemas, data contracts, and versioning strategies to keep downstream systems stable as sources evolve.
* Data quality \&amp; reliability: Implement validation, anomaly detection, backfills, and reconciliation to ensure completeness, correctness, and timeliness (SLAs/SLOs).
* Performance \&amp; cost optimization: Optimize compute/storage for scale (partitioning, file sizing, incremental processing, indexing), balancing latency, throughput, and cost.
* Orchestration \&amp; automation: Build repeatable workflows with scheduling/orchestration (e.g., Airflow, Dagster, Step Functions) and CI/CD for data pipelines.
* Observability for data systems: Instrument pipelines with metrics, logs, lineage, and alerting to accelerate detection and root\-cause analysis of data issues.
* Security \&amp; governance: Apply least\-privilege access, PII\-aware handling, and governance controls aligned with enterprise standards.
**Qualifications**
* 5\+ years building production data pipelines and data products (batch and/or streaming) in a high\-scale environment.
* Strong experience with SQL and data modeling (dimensional modeling, star/snowflake schemas, event modeling).
* Hands\-on experience with streaming systems (Kafka preferred) and/or AWS Kinesis, including event\-driven designs.
* Proficiency in one or more languages used for data engineering (Python, Java, Scala, or Go).
* Experience with distributed data processing (Spark, Flink, or equivalent) and performance tuning at scale.
* Experience with AWS data services and cloud\-native patterns (S3, Glue/EMR, Athena, Redshift, etc. as applicable).
* Familiarity with lakehouse/table formats and large\-scale storage patterns (e.g., Parquet; Iceberg/Hudi/Delta are a plus).
* Experience with orchestration/workflow tooling (Airflow/Dagster/Step Functions) and CI/CD for data workloads.
* Strong data quality/observability practices (tests, monitoring, lineage; understanding of SLAs/SLOs).
* Experience with SQL \+ NoSQL data stores (e.g., Postgres/MySQL; DynamoDB/Cassandra/Redis) and choosing the right store per use case.
* Clear communicator and collaborator; able to work with mixed audiences and translate needs into reliable data interfaces.
**Preferred Experience**
* AdTech / programmatic advertising domain knowledge: DSP/SSP/exchange/RTB concepts and data flows.
* Experience building measurement pipelines (attribution, incrementality, lift, or experimentation analytics).
* Experience supporting ML feature stores, offline/online feature generation, or model training datasets.
* Experience with real\-time analytics stores (Druid/ClickHouse/Pinot) and high\-cardinality aggregation strategies.
* Deep knowledge of data governance/privacy, including PII handling and consent\-aware data processing.
* Open\-source contributions, publications, or conference speaking.
* BS/MS in CS/Engineering or equivalent practical experience.
**BENEFITS \&amp; PERKS** 
* Unlimited PTO
* Excellent medical, dental, and vision coverage
* Employee Equity
* Employee Discounts, Virtual Wellness Classes, and Pet Insurance And more!!
**SALARY RANGE** 
 The salary range for this role is $165,000 \- $175,000,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68">
      <c r="A68" t="inlineStr">
        <is>
          <t>li-4371300540</t>
        </is>
      </c>
      <c r="B68" t="inlineStr">
        <is>
          <t>Senior Data Engineer</t>
        </is>
      </c>
      <c r="C68" t="inlineStr">
        <is>
          <t>Versant Media</t>
        </is>
      </c>
      <c r="D68" t="inlineStr">
        <is>
          <t>linkedin</t>
        </is>
      </c>
      <c r="E68">
        <f>HYPERLINK("https://www.linkedin.com/jobs/view/4371300540", "https://www.linkedin.com/jobs/view/4371300540")</f>
        <v/>
      </c>
      <c r="F68" t="inlineStr"/>
      <c r="G68" t="inlineStr">
        <is>
          <t>New York, NY</t>
        </is>
      </c>
      <c r="H68" t="inlineStr"/>
      <c r="I68"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The Data Engineering team is seeking a Senior Data Engineer to help design, build, and scale the modern data platform that powers analytics, data science, and data products across Versant brands. In this role, you’ll collaborate closely with Data Product, Data Science, Analytics, and Engineering teams to deliver reliable, high\-impact data solutions used by hundreds of internal users. We're looking for engineers who enjoy hands\-on development, take ownership of production systems, and influence implementation through collaboration and technical expertise.
****Key Responsibilities****
* Design and implement lakehouse architecture using Delta Lake, including medallion pipeline patterns (Bronze/Silver/Gold), schema enforcement, and time travel
* Build and operate batch and real\-time ingestion pipelines leveraging Databricks Auto Loader, Structured Streaming, and Change Data Capture patterns
* Implement data governance and security using Unity Catalog, RBAC, and compliance\-driven practices for sensitive environments
* Optimize performance and manage costs through FinOps strategies, including cluster sizing, workload tagging, Spark tuning, and Photon acceleration
* Design, implement, and maintain CI/CD pipelines and orchestration workflows using Databricks Workflows, Delta Live Tables, and tools such as Airflow
* Collaborate with Data Science teams on ML workflows, including MLflow, feature store integration, and model lifecycle management
* Ensure data quality, observability, and lineage across media\-specific datasets such as streaming logs, ad impressions, and audience metrics
* Provide technical mentorship through code reviews, pairing and knowledge sharing
****Qualifications****
* Bachelor’s degree in Computer Science, Data Engineering, or equivalent practical experience
* 5\+ years of experience building production\-grade data pipelines in cloud environments using Spark\-based platforms (e.g., Databricks, EMR, Dataproc, open\-source Spark)
* Expertise in PySpark, SQL, and Spark\-based data processing, with experience operating pipelines at scale in production
* Hands\-on experience building batch or streaming production data pipelines using distributed processing frameworks (e.g., Spark, Flink) and query engines such as Presto
* Proficiency with orchestration tools such as Apache Airflow or Dagster, with hands\-on experience in CI/CD, monitoring, alerting, and data quality for production systems
* Experience working with modern data architectures, including event\-driven and distributed systems
* Proficiency with Git and collaborative development workflows
* Build and operate batch and real\-time ingestion pipelines using Spark based batch and streaming patterns (e.g., Structured Streaming, CDC), with experience on Databricks or comparable platforms
* Solid understanding of infrastructure, networking, and data security fundamentals
****Preferred Qualifications****
* Experience building Lakehouse platforms and medallion pipelines in Databricks
* Familiarity with Unity Catalog, data governance, and compliance frameworks (e.g., PCI)
* Hands\-on experience with CI/CD pipelines, orchestration tools, and infrastructure\-as\-code
* Experience with Lakeflow Spark Declarative Pipelines (SDP), MLflow, feature stores, and MLOps practices
* Background in media and entertainment data (e.g., video metadata, ad tech, audience analytics)
* Experience building data platforms within the media industry, with a strong understanding of audience analytics
* Experience working with large\-scale analytical datasets (e.g., event logs, clickstream data, audience metrics)
* Comfortable using AI\-assisted development tools (e.g., ChatGPT)
* Databricks or cloud certifications (e.g., Databricks Certified Data Engineer)
****What Sets You Apart****
* Passion for clean, reliable, and scalable data systems
* Strong communication and collaboration skills
* Ability to balance near\-term delivery with thoughtful technical design
* Curiosity and a growth mindset
* A team\-first attitude who supports and uplifts others
****Additional Information****
* Hybrid: This position has been designated as hybrid, generally contributing from the office a minimum of three days per week from our NYC office.
* Salary: $140,000 \- $160,000\. This position is eligible for company sponsored benefits, including medical, dental and vision insurance, 401(k), paid leave, tuition reimbursement, and a variety of other benefits and perks.
* As part of our selection process, candidates may be required to attend an in\-person interview with a VERSANT employee in New York. VERSANT's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 VERSANT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69">
      <c r="A69" t="inlineStr">
        <is>
          <t>li-4371451454</t>
        </is>
      </c>
      <c r="B69" t="inlineStr">
        <is>
          <t>Associate Analytics Engineer</t>
        </is>
      </c>
      <c r="C69" t="inlineStr">
        <is>
          <t>Hoffmann Brothers</t>
        </is>
      </c>
      <c r="D69" t="inlineStr">
        <is>
          <t>linkedin</t>
        </is>
      </c>
      <c r="E69">
        <f>HYPERLINK("https://www.linkedin.com/jobs/view/4371451454", "https://www.linkedin.com/jobs/view/4371451454")</f>
        <v/>
      </c>
      <c r="F69" t="inlineStr"/>
      <c r="G69" t="inlineStr">
        <is>
          <t>Maryland Heights, MO</t>
        </is>
      </c>
      <c r="H69" t="inlineStr"/>
      <c r="I69" t="inlineStr">
        <is>
          <t>For over 40 years, Hoffmann Brothers has served as the premier HVAC, Plumbing, Electrical, and Appliance Repair service and installation contractor in the St Louis area. Pursuing an aggressive expansion campaign, Hoffmann Brothers is looking to expand our reach through both acquisitions and executing our proven "green field" market entry strategy.
 Over the last 6 years, Hoffmann has grown from a small family business of 50 employees to a nearly 450\-team member multi\-market organization with significant aspirations for further growth. We recognize the quality of our people enables this growth and now is your chance to join our team.
 We're hiring an
 **Associate Analytics Engineer** 
 to help build and scale our data ecosystem \- from raw data ingestion and transformation to relational data modeling and curated business\-ready reporting. This is a highly collaborative role that partners closely with the Director of Business Intelligence \&amp; Technology and cross\-functional stakeholders to define analytical needs, translate business requirements into technical specifications, and deliver scalable data solutions.
 You will be deeply hands\-on \- developing ingestion pipelines with Python, writing SQL transformations, building curated datasets, and creating standardized and customized reporting and analytical outputs. In addition to technical execution, you will play a critical role in communicating findings, documenting data logic, and ensuring alignment between business objectives and technical implementation. Your work will directly influence how performance is measured, monitored, and acted upon across the organization.
**Key Responsibilities:**
* Design, develop, and maintain data ingestion pipelines in Python to load and validate raw data within the lakehouse environment
* Write efficient, well\-documented SQL transformations to structure and model data into relational tables optimized for analytics and reporting
* Build and maintain curated, business\-ready datasets to support KPI tracking and cross\-functional reporting needs
* Develop standardized dashboards and ad hoc analytical outputs in Power BI and Excel to monitor operational and financial performance
* Use Python for data exploration, analysis, visualization, and automation of recurring business processes
* Partner with the Director of Business Intelligence \&amp; Technology and cross\-functional stakeholders to gather requirements, define specifications, and deliver scalable data solutions
* Document data logic, transformations, and reporting definitions to ensure clarity, governance, and long\-term maintainability
* Monitor data quality, troubleshoot inconsistencies, and continuously improve performance and reliability across the analytics environment
**Requirements**
* Bachelor's degree in Computer Information Systems, MIS, Data Analytics, or related field
* 1 \- 3 years of hands\-on experience working with Python, SQL, and modern data analytics tools in a professional environment
* Experience building dashboards and reports in Power BI and advanced proficiency in Excel
* Exposure to API\-based data ingestion or integrating data from external systems
* Foundational knowledge of data modeling and data warehousing concepts, including relational structures and transformation best practices
* Experience working with ETL/ELT workflows and structured data transformation processes
* Strong analytical skills with experience developing and tracking KPI\-based business metrics
* Ability to translate business requirements into technical solutions and communicate data insights clearly to both technical and non\-technical stakeholders
* Experience with process automation using Python scripts or tools such as Power Automate
* Strong documentation habits, problem\-solving skills, and attention to detail
* Interest in continuing to grow technical depth in data engineering, analytics engineering, or business intelligence
**Preferred/Bonus:**
* Experience working with Microsoft Fabric or similar lakehouse / cloud data platforms (e.g., Azure, Databricks, Snowflake)
* Familiarity with medallion architecture concepts (bronze, silver, gold) or layered data environments
* Experience supporting operational or service\-based business KPIs (e.g., revenue, job performance, margin, productivity metrics)
* Experience working with Service Titan or similar CRM system
* Basic understanding of version control, code organization, or collaborative development practices</t>
        </is>
      </c>
    </row>
    <row r="70">
      <c r="A70" t="inlineStr">
        <is>
          <t>li-4371168974</t>
        </is>
      </c>
      <c r="B70" t="inlineStr">
        <is>
          <t>Senior Data Engineer</t>
        </is>
      </c>
      <c r="C70" t="inlineStr">
        <is>
          <t>Zeta Global</t>
        </is>
      </c>
      <c r="D70" t="inlineStr">
        <is>
          <t>linkedin</t>
        </is>
      </c>
      <c r="E70">
        <f>HYPERLINK("https://www.linkedin.com/jobs/view/4371168974", "https://www.linkedin.com/jobs/view/4371168974")</f>
        <v/>
      </c>
      <c r="F70" t="inlineStr"/>
      <c r="G70" t="inlineStr"/>
      <c r="H70" t="inlineStr"/>
      <c r="I70"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We’re looking for a Senior Data Engineer to design, build, and operate the data pipelines and aggregates that power Zeta’s AdTech platform. This is a hands\-on individual contributor role focused on high\-scale batch \+ streaming data processing, reliable data products, and analytics\-ready datasets that enable prediction, agentic workflows, BI reporting, and measurement. You will partner closely with backend, ML, and product teams to deliver trusted, well\-modeled data with strong performance, quality, and observability.
**What You’ll Do**
* Build data pipelines: Develop robust batch and streaming pipelines (Kafka/Kinesis) to ingest, transform, and enrich large\-scale event data (impressions, clicks, conversions, costs, identity signals).
* Create data aggregates \&amp; marts: Design and maintain curated aggregates and dimensional models for multiple consumers—prediction models, agents, BI dashboards, and measurement workflows.
* Data modeling \&amp; contracts: Define schemas, data contracts, and versioning strategies to keep downstream systems stable as sources evolve.
* Data quality \&amp; reliability: Implement validation, anomaly detection, backfills, and reconciliation to ensure completeness, correctness, and timeliness (SLAs/SLOs).
* Performance \&amp; cost optimization: Optimize compute/storage for scale (partitioning, file sizing, incremental processing, indexing), balancing latency, throughput, and cost.
* Orchestration \&amp; automation: Build repeatable workflows with scheduling/orchestration (e.g., Airflow, Dagster, Step Functions) and CI/CD for data pipelines.
* Observability for data systems: Instrument pipelines with metrics, logs, lineage, and alerting to accelerate detection and root\-cause analysis of data issues.
* Security \&amp; governance: Apply least\-privilege access, PII\-aware handling, and governance controls aligned with enterprise standards.
**Qualifications**
* 5\+ years building production data pipelines and data products (batch and/or streaming) in a high\-scale environment.
* Strong experience with SQL and data modeling (dimensional modeling, star/snowflake schemas, event modeling).
* Hands\-on experience with streaming systems (Kafka preferred) and/or AWS Kinesis, including event\-driven designs.
* Proficiency in one or more languages used for data engineering (Python, Java, Scala, or Go).
* Experience with distributed data processing (Spark, Flink, or equivalent) and performance tuning at scale.
* Experience with AWS data services and cloud\-native patterns (S3, Glue/EMR, Athena, Redshift, etc. as applicable).
* Familiarity with lakehouse/table formats and large\-scale storage patterns (e.g., Parquet; Iceberg/Hudi/Delta are a plus).
* Experience with orchestration/workflow tooling (Airflow/Dagster/Step Functions) and CI/CD for data workloads.
* Strong data quality/observability practices (tests, monitoring, lineage; understanding of SLAs/SLOs).
* Experience with SQL \+ NoSQL data stores (e.g., Postgres/MySQL; DynamoDB/Cassandra/Redis) and choosing the right store per use case.
* Clear communicator and collaborator; able to work with mixed audiences and translate needs into reliable data interfaces.
**Preferred Experience**
* AdTech / programmatic advertising domain knowledge: DSP/SSP/exchange/RTB concepts and data flows.
* Experience building measurement pipelines (attribution, incrementality, lift, or experimentation analytics).
* Experience supporting ML feature stores, offline/online feature generation, or model training datasets.
* Experience with real\-time analytics stores (Druid/ClickHouse/Pinot) and high\-cardinality aggregation strategies.
* Deep knowledge of data governance/privacy, including PII handling and consent\-aware data processing.
* Open\-source contributions, publications, or conference speaking.
* BS/MS in CS/Engineering or equivalent practical experience.
**BENEFITS \&amp; PERKS** 
* Unlimited PTO
* Excellent medical, dental, and vision coverage
* Employee Equity
* Employee Discounts, Virtual Wellness Classes, and Pet Insurance And more!!
**SALARY RANGE** 
 The salary range for this role is $165,000 \- $175,000,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71">
      <c r="A71" t="inlineStr">
        <is>
          <t>li-4371188985</t>
        </is>
      </c>
      <c r="B71" t="inlineStr">
        <is>
          <t>Senior Data Engineer</t>
        </is>
      </c>
      <c r="C71" t="inlineStr">
        <is>
          <t>Versant Media</t>
        </is>
      </c>
      <c r="D71" t="inlineStr">
        <is>
          <t>linkedin</t>
        </is>
      </c>
      <c r="E71">
        <f>HYPERLINK("https://www.linkedin.com/jobs/view/4371188985", "https://www.linkedin.com/jobs/view/4371188985")</f>
        <v/>
      </c>
      <c r="F71" t="inlineStr"/>
      <c r="G71" t="inlineStr">
        <is>
          <t>Los Angeles, CA</t>
        </is>
      </c>
      <c r="H71" t="inlineStr"/>
      <c r="I71"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The Data Engineering team is seeking a Senior Data Engineer to help design, build, and scale the modern data platform that powers analytics, data science, and data products across Versant brands. In this role, you’ll collaborate closely with Data Product, Data Science, Analytics, and Engineering teams to deliver reliable, high\-impact data solutions used by hundreds of internal users. We're looking for engineers who enjoy hands\-on development, take ownership of production systems, and influence implementation through collaboration and technical expertise.
****Key Responsibilities****
* Design and implement lakehouse architecture using Delta Lake, including medallion pipeline patterns (Bronze/Silver/Gold), schema enforcement, and time travel
* Build and operate batch and real\-time ingestion pipelines leveraging Databricks Auto Loader, Structured Streaming, and Change Data Capture patterns
* Implement data governance and security using Unity Catalog, RBAC, and compliance\-driven practices for sensitive environments
* Optimize performance and manage costs through FinOps strategies, including cluster sizing, workload tagging, Spark tuning, and Photon acceleration
* Design, implement, and maintain CI/CD pipelines and orchestration workflows using Databricks Workflows, Delta Live Tables, and tools such as Airflow
* Collaborate with Data Science teams on ML workflows, including MLflow, feature store integration, and model lifecycle management
* Ensure data quality, observability, and lineage across media\-specific datasets such as streaming logs, ad impressions, and audience metrics
* Provide technical mentorship through code reviews, pairing and knowledge sharing
****Qualifications****
* Bachelor’s degree in Computer Science, Data Engineering, or equivalent practical experience
* 5\+ years of experience building production\-grade data pipelines in cloud environments using Spark\-based platforms (e.g., Databricks, EMR, Dataproc, open\-source Spark)
* Expertise in PySpark, SQL, and Spark\-based data processing, with experience operating pipelines at scale in production
* Hands\-on experience building batch or streaming production data pipelines using distributed processing frameworks (e.g., Spark, Flink) and query engines such as Presto
* Proficiency with orchestration tools such as Apache Airflow or Dagster, with hands\-on experience in CI/CD, monitoring, alerting, and data quality for production systems
* Experience working with modern data architectures, including event\-driven and distributed systems
* Proficiency with Git and collaborative development workflows
* Build and operate batch and real\-time ingestion pipelines using Spark based batch and streaming patterns (e.g., Structured Streaming, CDC), with experience on Databricks or comparable platforms
* Solid understanding of infrastructure, networking, and data security fundamentals
****Preferred Qualifications****
* Experience building Lakehouse platforms and medallion pipelines in Databricks
* Familiarity with Unity Catalog, data governance, and compliance frameworks (e.g., PCI)
* Hands\-on experience with CI/CD pipelines, orchestration tools, and infrastructure\-as\-code
* Experience with Lakeflow Spark Declarative Pipelines (SDP), MLflow, feature stores, and MLOps practices
* Background in media and entertainment data (e.g., video metadata, ad tech, audience analytics)
* Experience building data platforms within the media industry, with a strong understanding of audience analytics
* Experience working with large\-scale analytical datasets (e.g., event logs, clickstream data, audience metrics)
* Comfortable using AI\-assisted development tools (e.g., ChatGPT)
* Databricks or cloud certifications (e.g., Databricks Certified Data Engineer)
****What Sets You Apart****
* Passion for clean, reliable, and scalable data systems
* Strong communication and collaboration skills
* Ability to balance near\-term delivery with thoughtful technical design
* Curiosity and a growth mindset
* A team\-first attitude who supports and uplifts others
****Additional Information****
* Hybrid: This position has been designated as hybrid, generally contributing from the office a minimum of three days per week from our LA office.
* Salary: $140,000 \- $160,000\. This position is eligible for company sponsored benefits, including medical, dental and vision insurance, 401(k), paid leave, tuition reimbursement, and a variety of other benefits and perks.
* As part of our selection process, candidates may be required to attend an in\-person interview with a VERSANT employee in New York. VERSANT's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 VERSANT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72">
      <c r="A72" t="inlineStr">
        <is>
          <t>li-4349076692</t>
        </is>
      </c>
      <c r="B72" t="inlineStr">
        <is>
          <t>Senior Analytics Engineer</t>
        </is>
      </c>
      <c r="C72" t="inlineStr">
        <is>
          <t>Attentive</t>
        </is>
      </c>
      <c r="D72" t="inlineStr">
        <is>
          <t>linkedin</t>
        </is>
      </c>
      <c r="E72">
        <f>HYPERLINK("https://www.linkedin.com/jobs/view/4349076692", "https://www.linkedin.com/jobs/view/4349076692")</f>
        <v/>
      </c>
      <c r="F72" t="inlineStr"/>
      <c r="G72" t="inlineStr"/>
      <c r="H72" t="inlineStr"/>
      <c r="I72"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Our Business Intelligence team transforms complex data into actionable insights and impactful reporting
**.
 We empower clients and internal teams with the metrics, analytics, reports, and visualizations needed to make informed decisions and shape strategies that drive meaningful growth. Joining our team offers a dynamic career opportunity to collaborate with some of the most talented data professionals in a high\-performance, high\-impact environment.
 As a Senior Analytics Engineer, you will design, build, and maintain the data models, pipelines, and semantic layers that power analytics, reporting, and decision\-making across Attentive. Partnering closely with cross\-functional engineering teams, you will interpret complex data, optimize data infrastructure, and drive efficiency across the organization. The ideal candidate thrives on collaborating with diverse teams, delivering actionable reporting, and excelling in fast\-paced, dynamic environments.
**What You'll Accomplish** 
* Engage with cross\-functional product and engineering teams to define analytics requirements and metrics
* Build robust, exec\-facing dashboards to support key business decisions across the organization
* Design, build, and maintain scalable dbt and Looker data models that support analytics, reporting, and domain ownership
* Use data modeling, statistics, and other analytical techniques to extract and analyze data from large datasets, identifying trends, patterns, and anomalies to drive insights
* Develop and manage our data analytics platform Looker
**Your Expertise** 
* Bachelor's degree in Computer Science, Mathematics, Statistics, Finance, or related field, or equivalent professional experience
* At least 4 years of experience in analytics or business intelligence, including proficiency with data visualization tools such as Looker or Tableau
* Proven expertise in writing, optimizing, and utilizing SQL queries within a business context
* Familiarity with infrastructure components, ETL processes, and reporting/analytic tools and environments
* Strong ability to manage and execute fast\-paced, dynamic projects with a high degree of organization and independence
* Ability to perform rigorous data analysis when needed to support high\-impact business and product decisions
* Effective communication skills for presenting analysis results to stakeholders, fostering collaboration, and influencing decision\-making across teams
**Nice To Haves** 
* Experience building dashboards and analyses using tools like Hex, Jupyter, or other reproducible notebook platforms
* Experience using dbt, Airflow, or other modern ELT/ETL workflows
* Proficiency in Python, R, or similar programming languages for data analysis and statistical modeling
* Experience contributing to or establishing modeling standards, testing frameworks, or CI/CD workflows for analytics code.
**What We Use** 
* Our infrastructure runs primarily in Kubernetes hosted in AWS’s EKS
* Infrastructure tooling includes Istio, Datadog, Terraform, CloudFlare, and Helm
* Our backend is Java / Spring Boot microservices, built with Gradle, coupled with things like DynamoDB, AirFlow, Postgres, and Redis, hosted via AWS
* Our frontend is built with React and TypeScript, and uses best practices like GraphQL, Storybook, Radix UI, Vite, esbuild, and Playwright
* Our automation is driven by custom and open source machine learning models, lots of data and built with Python, Metaflow, HuggingFace 🤗, PyTorch, TensorFlow, and Pandas
 You'll get competitive
 perks and benefits
 , from health \&amp; wellness to equity, to help you bring your best self to work.
**US based applicants:
 \- The US base salary range for this full\-time position is $108,120 \- $155,000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73">
      <c r="A73" t="inlineStr">
        <is>
          <t>li-4371168772</t>
        </is>
      </c>
      <c r="B73" t="inlineStr">
        <is>
          <t>Data Engineer</t>
        </is>
      </c>
      <c r="C73" t="inlineStr">
        <is>
          <t>Civil &amp; Environmental Consultants, Inc.</t>
        </is>
      </c>
      <c r="D73" t="inlineStr">
        <is>
          <t>linkedin</t>
        </is>
      </c>
      <c r="E73">
        <f>HYPERLINK("https://www.linkedin.com/jobs/view/4371168772", "https://www.linkedin.com/jobs/view/4371168772")</f>
        <v/>
      </c>
      <c r="F73" t="inlineStr"/>
      <c r="G73" t="inlineStr">
        <is>
          <t>Coraopolis, PA</t>
        </is>
      </c>
      <c r="H73" t="inlineStr"/>
      <c r="I73" t="inlineStr">
        <is>
          <t>As a Data Engineer, you will design, build, and optimize data architectures and pipelines across Microsoft Fabric and Azure in our Pittsburgh, PA office. You will develop scalable data transformation processes using Data Factory, jupyter notebooks, and SQL, while enabling reliable, automated, and well‑governed data operations. This role plays a key part in advancing DataOps practices—including DevOps, CI/CD, and governance through Microsoft Purview—while supporting a modern analytics ecosystem. Experience with Power Automate and Copilot agents is a plus.
 At CEC, our employees enjoy a flexible/hybrid work schedule. Our comprehensive benefits package includes bonus recognition, based on performance, as well as participation in our employee stock ownership program. Additionally, we conduct mid\-year and end\-of\-year performance reviews and provide goal\-setting opportunities.
**Responsibilities**
* Architect and implement Lakehouse/Warehouse solutions in Fabric (medallion patterns, Delta tables, partitioning, CDC)
* Build and orchestrate pipelines (Fabric Data Factory/Pipelines, notebooks, event\-driven patterns) with robust observability and retry logic
* Develop data products and shared semantic layers for analytics and downstream apps
* Optimize performance and cost (storage formats, Z\-order, indexing, caching, workload management)
* Implement CI/CD (Azure DevOps/GitHub) for notebooks, pipelines, and BI artifacts
* Enforce security (RBAC/ABAC), data quality checks, and privacy/compliance
* Manage Purview collections, scans, lineage, classifications, and ownership workflows
* Collaborate with other analysts and engineers to automate operations and enable self\-service
* Provide architectural guidance and mentor junior engineers to build team capability
* Communicate technical decisions and trade\-offs clearly to stakeholders
* Lead development, configuration, and maintenance of solutions within the Microsoft Power Platform ecosystem, which may include Power Apps, Power Automate, and SharePoint. Use these tools to streamline workflows, enhance data accessibility, and improve collaboration
* Bachelor’s degree in Data Science, Computer Science, or a related field. Additional experience may be substituted for education
* 5\+ years of experience as a data engineer/architect on Microsoft Fabric and Azure. Hands\-on experience with Microsoft Purview (catalog, policies, lineage)
* Python, PySpark, Spark notebooks (structured/streaming), and SQL/SQL Server
* Strong experience with ETL/ELT design, performance tuning, and workload orchestration. DevOps/CI/CD practices (branching, environments, automated testing/deploy). Experience with GIT or other code repositories is required
* Production experience with data modeling and serving layers for BI/AI
* Experience with Kafka, Event Hubs, or other real\-time streaming platforms
* Strong interpersonal, written, and oral communication skills
* Self\-motivated and directed
 We have experts! CEC is consistently ranked as a
 **Top 500 Design Firm and Top 200 Environmental Firm by Engineering News\-Record** 
 . We are looking for people who enjoy using their education and experience to solve difficult technical problems and work on interesting projects. You can accomplish this while working with a team of professionals who are equally motivated to provide high levels of service to our clients and to teach you along the way.
 We have support! We have a variety of Employee Resource Groups, including CEC Community \- focused on giving back to the communities in which we work; CEC Ignite \- focused on helping professionals early in their careers to develop their pathway; CEC iDEA \- focused on inclusion, diversity, equality, and acceptance; and CEC Women \- focused on creating internal and external opportunities for women to network and leverage professional experience!
 We care about our people! People and Culture are two of the five elements of our strategic plan. When you care about your people, they will want to grow a career with you \- that is our goal. CEC offers you a small\-firm work environment with large\-firm opportunities. Not only will we help you develop professionally, but we will also provide an opportunity to become an owner of the firm and share in its success.
 CEC offers a matching 401(k); profit sharing; a performance bonus; company stock; medical, dental, and vision insurance; short and long\-term disability; tuition assistance; professional development; and work\-life balance.
 CEC is an equal opportunity employer. We do not discriminate in recruiting, hiring or promotion based on race, color, religion, sex, national origin, age, disability, protected veteran status or any other basis or characteristic prohibited by applicable federal, state, or local law.
**THIRD PARTY RECRUITERS**
 If CEC has not expressly requested recruiting services or contractually engaged with you for recruiting services on a specific position, any resumes or candidate profiles sent to CEC shall be considered unsolicited. Therefore, any such submissions will be considered property of CEC, with no associated fees due to your firm.</t>
        </is>
      </c>
    </row>
    <row r="74">
      <c r="A74" t="inlineStr">
        <is>
          <t>li-4371449357</t>
        </is>
      </c>
      <c r="B74" t="inlineStr">
        <is>
          <t>Data Platform Engineer</t>
        </is>
      </c>
      <c r="C74" t="inlineStr">
        <is>
          <t>Wild Ducks</t>
        </is>
      </c>
      <c r="D74" t="inlineStr">
        <is>
          <t>linkedin</t>
        </is>
      </c>
      <c r="E74">
        <f>HYPERLINK("https://www.linkedin.com/jobs/view/4371449357", "https://www.linkedin.com/jobs/view/4371449357")</f>
        <v/>
      </c>
      <c r="F74" t="inlineStr"/>
      <c r="G74" t="inlineStr">
        <is>
          <t>Austin, TX</t>
        </is>
      </c>
      <c r="H74" t="inlineStr"/>
      <c r="I74" t="inlineStr">
        <is>
          <t>Wild Ducks is building a real\-time, event\-driven forecasting platform with complex multi\-tenant datasets, high\-throughput ingestion, and strict SLA and correctness requirements. We’re looking for an engineer to own our data architecture end\-to\-end: modeling, schema evolution, performance, partitioning, RLS, observability, and alignment with our event system and forecasting engine.
 This role sits at the intersection of database engineering, data modeling, platform reliability, and product architecture. If you’re motivated by building durable data systems that scale, stay clean over time, and power critical forecasting logic, you’ll thrive here.
**What You’ll Own** 
**Database Architecture \&amp; Modeling** 
* Own the structure, evolution, and quality of our Postgres schemas across all domains (forecasting, demand ingestion, eventing, TSL, geolocation, etc.).
* Design high\-integrity, multi\-tenant\-safe data models using UUID PKs, real foreign keys, RLS, partitioning, and row\-level auditability.
* Work with engineering leadership to shape the canonical data model behind demand, installed base, forecasting, TSL, and analytics workloads.
* Ensure schemas align with business invariants and support future growth without fragmentation.
**Performance, Reliability \&amp; Partitioning** 
* Design and maintain table partitioning strategies (time\-based and tenant\-based) for high\-throughput workloads.
* Diagnose and resolve performance bottlenecks: query tuning, index planning, materialized views, caching layers.
* Build and maintain observability around database health, query performance, storage growth, and index efficiency.
**Data Engineering \&amp; Pipelines** 
* Partner with ingestion, forecasting, and orchestration teams to ensure all pipelines read/write safely with proper RLS, locking discipline, and idempotency.
* Improve and harden cross\-service data flows (Django ORM, SQLAlchemy, Temporal activities, Pulsar event persistence).
* Maintain the event → DB → projection/read\-model lifecycle and ensure correctness across domains.
**Governance, Integrity \&amp; Tooling** 
* Define and enforce our schema migration standards (zero\-downtime migrations, NOT VALID → VALID foreign keys, safe column evolution).
* Build internal tools that keep the data platform clean (schema diffing, RLS linters, migration validation pipelines).
* Partner with the CTO to establish data governance, retention, backup, and archiving policies.
**Strategic \&amp; Cross\-Functional Work** 
* Work closely with product and engineering teams to design data models that match domain needs (parts, stock\_location, routing, forecasting, TSL).
* Support analytics and insights teams by defining readable, durable read models.
* Participate in architectural reviews and major feature design to ensure the data layer is scalable and future\-proof.
**Who You AreCore Traits** 
* You think in systems, invariants, and lifecycle, not just tables.
* You are obsessive about correctness, consistency, and clarity in data structures.
* You communicate clearly and collaboratively with engineers across backend, eventing, forecasting, and DevOps.
* You enjoy both designing new models and untangling old ones.
**Experience That Helps** 
* Deep familiarity with Postgres: querying, indexing, performance tuning, partitioning, RLS, WAL, explain plans.
* Experience designing multi\-tenant schemas with strong security boundaries.
* Knowledge of event\-driven systems and how data behaves around Pulsar/Kafka, outbox patterns, and projection models.
* Comfort with Python (Django, SQLAlchemy) or equivalent backend frameworks.
* Experience building or evolving data architectures for SaaS, logistics, or forecasting platforms.
* Experience supporting high\-throughput ingestion systems.
* Experience designing data warehouse adjacencies (future ClickHouse, OLAP layers) is a plus.
* Bonus: familiarity with forecasting concepts (demand, installed base, TSL, planning nodes) or willingness to learn.
**What You’ll Work With** 
* **Postgres 14\+** 
 with multi\-tenant RLS
* **Django ORM** 
 , custom SQL, Temporal workflows
* **Pulsar** 
 event streams, outbox\-driven persistence
* **Redis** 
 , caching layers, materialized views
* **GKE Autopilot** 
 , Terraform\-managed infra
* **OpenTelemetry** 
 , query metrics, database monitoring
* Tools for schema evolution (Sqitch, Alembic\-like tooling, Django migrations)
**How We Work** 
* Hybrid: remote\-friendly with periodic in\-person design sessions.
* No silos: you work across forecasting, ingestion, eventing, and infra.
* High trust, high ownership: your work defines the foundation of our system for years ahead.
* Tight collaboration with platform, data science, and product teams.</t>
        </is>
      </c>
    </row>
    <row r="75">
      <c r="A75" t="inlineStr">
        <is>
          <t>li-4371449636</t>
        </is>
      </c>
      <c r="B75" t="inlineStr">
        <is>
          <t>Data Engineer, Sr.</t>
        </is>
      </c>
      <c r="C75" t="inlineStr">
        <is>
          <t>Fusemachines</t>
        </is>
      </c>
      <c r="D75" t="inlineStr">
        <is>
          <t>linkedin</t>
        </is>
      </c>
      <c r="E75">
        <f>HYPERLINK("https://www.linkedin.com/jobs/view/4371449636", "https://www.linkedin.com/jobs/view/4371449636")</f>
        <v/>
      </c>
      <c r="F75" t="inlineStr"/>
      <c r="G75" t="inlineStr"/>
      <c r="H75" t="inlineStr"/>
      <c r="I75" t="inlineStr">
        <is>
          <t>**About The Company**
 Founded in 2013, Fusemachines is a global leader in enterprise AI products and services dedicated to democratizing artificial intelligence. The company leverages proprietary AI Studio and AI Engines to assist organizations in their AI enterprise transformation, regardless of their stage in the digital AI journey. With a strong international presence, including offices in North America, Asia, and Latin America, Fusemachines offers a comprehensive suite of AI solutions and specialized services tailored to organizations of all sizes. Its client base spans industries such as retail, manufacturing, and government sectors. The company's mission extends beyond business solutions, actively promoting AI education in underserved communities to foster broader AI literacy and innovation.
**About The Role**
 This is a remote, full\-time consulting position (contract) focused on designing, building, and maintaining the infrastructure necessary for data integration, storage, processing, and analytics within the Media domain. The role requires a Senior Data Engineer with expertise in Snowflake and proven experience in implementing clean rooms and data enrichment processes. The successful candidate will be responsible for delivering data and analytics products using Agile methodologies, working closely with cross\-functional teams including product managers, data scientists, and analysts. The role demands a strong technical foundation, analytical mindset, and excellent interpersonal skills to ensure the development of scalable, secure, and efficient data solutions that support strategic decision\-making and operational excellence.
**Qualifications**
* 5\+ years of hands\-on experience in data engineering development, specifically with Snowflake (certifications preferred)
* Proven track record as a Snowflake Developer with deep understanding of Snowflake architecture and core concepts
* Strong proficiency in SQL, capable of writing optimized and efficient code for data integration, transformation, and processing
* Experience with Snowflake services such as clean rooms, snowpipe, stages, stored procedures, views, materialized views, tasks, and streams
* Solid understanding of data partitioning and performance optimization techniques in Snowflake
* Knowledge of data security practices in Snowflake, including role\-based access control (RBAC) and data encryption, especially in clean room contexts
* Proficiency in programming languages such as Python or Scala for data manipulation and automation tasks
* Experience working with Azure cloud platform
* Familiarity with SDLC tools and technologies, including Jira, GitHub, CI/CD pipelines (GitHub Actions, AWS CodeBuild, or similar)
* Ability to perform data integration from diverse sources such as APIs, databases, flat files, and event streams
* Strong understanding of data modeling and database design principles
* Experience with ELT/ETL development and custom integration solutions
* Knowledge of data quality, governance, and monitoring best practices
* Excellent problem\-solving skills with the ability to troubleshoot and optimize data pipelines
* Leadership qualities with a proactive approach to innovation and team collaboration
**Responsibilities**
* Design and architect scalable Snowflake data warehouses and databases to meet organizational data storage and processing needs
* Develop and implement Snowflake clean rooms to ensure secure data sharing and compliance with privacy standards
* Create and optimize ELT processes for efficient data ingestion, transformation, and loading from multiple sources
* Identify and resolve query performance issues, optimizing SQL queries for speed and efficiency
* Integrate Snowflake with other data systems such as data lakes, analytics platforms, and BI tools to enable seamless data access
* Collaborate with cross\-functional teams to understand data requirements and develop reusable data components and solutions
* Evaluate emerging technologies and tools to enhance data integration, processing, and analytics capabilities
* Design and implement data governance frameworks, including data cataloging, lineage, and quality monitoring
* Assess and develop schemas aligned with business needs to support descriptive, diagnostic, predictive, and prescriptive analytics
* Participate actively in Agile ceremonies, contribute to continuous improvement initiatives, and foster a collaborative team environment
**Benefits**
* Competitive compensation package
* Flexible remote working environment
* Opportunities for professional growth and development in cutting\-edge AI and data technologies
* Access to industry\-leading tools and resources
* Collaborative and innovative work culture
* Participation in impactful projects across diverse industries
 Equal Opportunity
 Fusemachines is an equal opportunity employer. We celebrate diversity and are committed to creating an inclusive environment for all employees regardless of race, color, religion, sex, sexual orientation, gender identity, national origin, age, genetic information, disability, protected veteran status, or any other legally protected status.</t>
        </is>
      </c>
    </row>
    <row r="76">
      <c r="A76" t="inlineStr">
        <is>
          <t>li-4371309302</t>
        </is>
      </c>
      <c r="B76" t="inlineStr">
        <is>
          <t>Data Analytics Engineer</t>
        </is>
      </c>
      <c r="C76" t="inlineStr">
        <is>
          <t>Tandym Group</t>
        </is>
      </c>
      <c r="D76" t="inlineStr">
        <is>
          <t>linkedin</t>
        </is>
      </c>
      <c r="E76">
        <f>HYPERLINK("https://www.linkedin.com/jobs/view/4371309302", "https://www.linkedin.com/jobs/view/4371309302")</f>
        <v/>
      </c>
      <c r="F76" t="inlineStr"/>
      <c r="G76" t="inlineStr">
        <is>
          <t>Stamford, CT</t>
        </is>
      </c>
      <c r="H76" t="inlineStr"/>
      <c r="I76" t="inlineStr">
        <is>
          <t>A recognized financial services organization in Connecticut is actively seeking a new Data Analytics Engineer to build and maintain data foundations that power decision\-making across the firm, encompassing analytics, data engineering, and automation.
**About the Opportunity:** 
* **Schedule:** 
 Monday to Friday
* **Hours:** 
 Standard business
* **Setting:** 
 Hybrid (Tuesday to Thursdays onsite)
**Responsibilities:** 
* Define and standardize key metrics, data definitions, and reporting logic
* Identify data gaps and recommend process improvements
* Build and maintain data pipelines from various systems
* Design and maintain analytical layers and documentation
* Develop and operate ETL/ELT workflows with rigorous validation
**Qualifications:** 
* Proficiency with Data Warehouses and designing datasets for analytics
* Familiarity with SQL and experience with relational databases
* Experience building and maintaining ETL/ELT workflows
* Experience integrating data via APIs
* Demonstrated ability to build dashboards and visualizations
* Familiarity with crypto markets and on\-chain analytics
* Experience with metric layers, semantic models, and documentation
* Practical AI fluency with strong validation habits
**Desired Skills:** 
* Certification in Data Analytics and/or Engineering
* Advanced skills with SQL</t>
        </is>
      </c>
    </row>
    <row r="77">
      <c r="A77" t="inlineStr">
        <is>
          <t>li-4371300090</t>
        </is>
      </c>
      <c r="B77" t="inlineStr">
        <is>
          <t>Data Engineer</t>
        </is>
      </c>
      <c r="C77" t="inlineStr">
        <is>
          <t>DISQO</t>
        </is>
      </c>
      <c r="D77" t="inlineStr">
        <is>
          <t>linkedin</t>
        </is>
      </c>
      <c r="E77">
        <f>HYPERLINK("https://www.linkedin.com/jobs/view/4371300090", "https://www.linkedin.com/jobs/view/4371300090")</f>
        <v/>
      </c>
      <c r="F77" t="inlineStr"/>
      <c r="G77" t="inlineStr">
        <is>
          <t>Los Angeles, CA</t>
        </is>
      </c>
      <c r="H77" t="inlineStr"/>
      <c r="I77" t="inlineStr">
        <is>
          <t>DISQO’s mission is to build the world’s most trusted ad measurement platform that fuels brand growth.
 The world’s largest brands, agencies, and media companies trust DISQO for expert insight and AI\-driven intelligence about their advertising performance across all platforms. We capture people’s sentiments and journeys, connecting them with the brands they value and the media they consume. With this identity\-based approach, brands gain more accurate and authentic insight so they can create more meaningful interactions.
 Joining DISQO Nation means becoming part of a community that champions speed, innovation, and continuous growth. We invest deeply in our talent, empowering our teams to reach their highest potential. Together, we are shaping the future of work at DISQO—defined by performance, purpose, and impact.
 We show up each day with curiosity and ambition, committed to learning, accelerating growth, and making a lasting difference. Grounded in our values and principles, we lead and collaborate to elevate performance, accountability, and excellence at every level of the organization. And through it all, we make sure to have fun along the way.
 This is a great opportunity to join a high\-impact data engineering team building products that directly power how brands measure advertising effectiveness. At DISQO, we use modern cloud infrastructure, scalable data platforms, and pragmatic engineering practices to solve complex, real\-world problems at scale.
 We are looking for a strong Data Engineer who is hands\-on, curious, and eager to grow. You’ll work closely with staff engineers, product managers, and analytics partners in an environment that values ownership, quality, and continuous improvement. You’ll be encouraged to leverage modern tooling, including AI\-assisted development tools, to move faster while maintaining high engineering standards.
 We believe the best systems are built by small, focused teams that take responsibility for outcomes. We value clean design, data correctness, operational excellence, and thoughtful use of automation to reduce toil and improve developer productivity.
 As a Data Engineer, you will design, build, and operate data pipelines and data products that support DISQO’s ad measurement platform. You’ll work primarily on batch and near\-real\-time data processing systems, contributing to analytics\-ready datasets used by internal teams and customers.
 You’ll own well\-defined components and projects end\-to\-end, from development through production support, while receiving guidance and technical mentorship from senior engineers. Over time, you’ll deepen your expertise across distributed data systems, cloud infrastructure, data modeling, containerized workloads, and modern development workflows, including effective use of AI tools to accelerate development and debugging.
**What you get to do:** 
* Design, build, and maintain scalable, reliable data pipelines using modern big data technologies
* Contribute to core ad measurement data products, including exposure processing, aggregation, and analytics\-ready datasets
* Collaborate with Product, Analytics, and Engineering partners to translate business requirements into robust data solutions
* Implement and optimize ETL/ELT workflows with a focus on data correctness, performance, and cost efficiency
* Develop, deploy, and operate data workloads running on Kubernetes, including Amazon EKS
* Write clean, well\-structured, and well\-tested production code in Scala
* Leverage AI\-assisted development tools (for example code generation, refactoring, test creation, and debugging support) responsibly to improve productivity and code quality
* Implement data quality checks, monitoring, and alerting to support operational excellence and meet SLAs
* Participate actively in code reviews, design discussions, and agile ceremonies
* Maintain clear documentation to support data governance, onboarding, and long\-term maintainability
**What you bring to the role:** 
* 3 to 5\+ years of experience building and supporting production data pipelines or backend data systems
* Strong proficiency in Scala for data\-intensive applications
* Hands\-on experience with Apache Spark for batch and streaming data processing
* Experience working in the AWS data ecosystem (for example S3, EMR, Glue, Athena)
* Working knowledge of Kubernetes concepts and experience deploying or operating workloads on Amazon EKS
* Solid understanding of ETL/ELT concepts, data modeling, and advanced SQL
* Experience with workflow orchestration tools such as Airflow or similar
* Familiarity with distributed systems and working with large\-scale datasets
* Comfortable working in a Linux\-based environment
* Strong collaboration and communication skills in an agile, fast\-moving team
* Demonstrated ability to learn new tools and technologies, including AI\-powered developer tools for coding and testing
**Nice to have:** 
* Experience with containerization and Docker\-based development workflows
* Experience with Snowflake or other cloud data warehouses
* Exposure to streaming or near\-real\-time systems (Kafka, Kinesis, etc.)
* Experience with data quality, observability, or monitoring tooling
* Familiarity with CI/CD pipelines for data platforms
* Experience in AdTech or digital advertising platforms
**Why DISQO:** 
* Build data products that directly influence how brands measure advertising impact
* Work with modern cloud\-based data infrastructure at meaningful scale
* Learn from experienced engineers while owning real production systems
* A culture that values engineering excellence, pragmatism, and continuous learning
 At DISQO, we pride ourselves on having a positive, performance\-oriented workplace that includes a flexible hybrid approach, competitive medical benefits, and an amazing vacation policy. Read more about our culture on
 Glassdoor
 .
 You can learn more about what’s happening at DISQO by visiting the
 DISQO Company Blog
 .
**Perks \&amp; Benefits:
 ·100% covered Medical/Dental/Vision for employee, competitive dependent coverage
 ·Stock options
 ·401K
 ·Generous PTO policy
 ·Team offsites, social events \&amp; happy hours
 ·Life Insurance
 ·Health FSA
 ·Commuter FSA (for hybrid employees)
 ·Catered lunch and fully stocked kitchen
 ·Paid Maternity/Paternity leave
 ·Disability Insurance
 ·Travel Assistance Program
 ·24/7 Counseling Services offered to Employees
***Note: The benefits noted above are for full time US based employees only.***
**DISQO is an equal opportunity employer. Discovery, innovation, and growth are possible when we open ourselves to new possibilities, perspectives, and approaches. That’s why, at DISQO, we welcome, support, and empower individuals from diverse backgrounds. Exceptional teams are rooted in extraordinary people, each with a unique story and a compelling set of skills. DISQO does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***\*Recruiting firms that submit resumes to DISQO without first entering into a written contract will not be entitled to any compensation on candidates referred by that firm.***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8">
      <c r="A78" t="inlineStr">
        <is>
          <t>li-3970353535</t>
        </is>
      </c>
      <c r="B78" t="inlineStr">
        <is>
          <t>Data Engineer</t>
        </is>
      </c>
      <c r="C78" t="inlineStr">
        <is>
          <t>Figma</t>
        </is>
      </c>
      <c r="D78" t="inlineStr">
        <is>
          <t>linkedin</t>
        </is>
      </c>
      <c r="E78">
        <f>HYPERLINK("https://www.linkedin.com/jobs/view/3970353535", "https://www.linkedin.com/jobs/view/3970353535")</f>
        <v/>
      </c>
      <c r="F78" t="inlineStr"/>
      <c r="G78" t="inlineStr">
        <is>
          <t>San Francisco, CA</t>
        </is>
      </c>
      <c r="H78" t="inlineStr"/>
      <c r="I78"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loves solving problems. You’ll have a good sense for when it makes sense to build fast, scrappy solutions to unblock a key stakeholder vs. when to push back or bring in an outside service. The ideal candidate will be a great communicator who can help coordinate across multiple internal and external teams and takes pride in building end\-to\-end projects.
 This is a full time role that can be held from one of our US hubs or remotely in the United States.
**What you'll do at Figma** 
**:**
* Own, build, and maintain scalable data pipelines that connect various cloud data sources.
* Develop a deep understanding of Figma’s core data models and optimize data pipelines for scale.
*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 Establish best practices for the development of specialized data sets for analytics and modeling.
 We'd love to hear from you if you have:
* 4\+ years in a relevant field.
* Fluency with both SQL and Python.
* Familiarity with Snowflake, dbt, Dagster, and ETL/reverse ETL tools.
* Excellent judgment and creative problem solving skills.
* A self\-starting mindset along with strong communication and collaboration skills.
 While not required, it’s an added plus if you also have:
* Knowledge in data modeling methodologies to design and build robust data architectures for insightful analytics.
* Experience with business systems such as Salesforce,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$164,000—$338,000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79">
      <c r="A79" t="inlineStr">
        <is>
          <t>li-4371180346</t>
        </is>
      </c>
      <c r="B79" t="inlineStr">
        <is>
          <t>Principal Data Engineer</t>
        </is>
      </c>
      <c r="C79" t="inlineStr">
        <is>
          <t>BlinkRx</t>
        </is>
      </c>
      <c r="D79" t="inlineStr">
        <is>
          <t>linkedin</t>
        </is>
      </c>
      <c r="E79">
        <f>HYPERLINK("https://www.linkedin.com/jobs/view/4371180346", "https://www.linkedin.com/jobs/view/4371180346")</f>
        <v/>
      </c>
      <c r="F79" t="inlineStr"/>
      <c r="G79" t="inlineStr">
        <is>
          <t>New York, NY</t>
        </is>
      </c>
      <c r="H79" t="inlineStr"/>
      <c r="I79"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**About the Role:** 
 BlinkRx is seeking a highly experienced
 **Principal Data Engineer** 
 to design, build, and evolve our core data ecosystem. This role is for a hands\-on technical leader who thrives on transforming raw, disparate data into trusted, well\-modeled, and analytics\-ready assets that power decision\-making, AI, and operational systems across the company.
 As a senior individual contributor within the Data organization, you will own critical aspects of data architecture, modeling, and transformation. You’ll play a central role in unifying data across domains, evolving schemas and pipelines as the business changes, and ensuring our data foundation supports real\-time use cases, advanced analytics, and AI\-driven initiatives.
 **What You Will Do:** 
**Data Architecture \&amp; Modeling** 
* Design and maintain robust
 **data models** 
 that clearly define structure, relationships, and business meaning across domains.
* Establish and evolve canonical data definitions, schemas, and dimensional models to support analytics, reporting, and AI use cases.
* Ensure data models balance scalability, performance, and ease of use for downstream consumers.
**Data Transformation \&amp; Pipelines** 
* Build and own end\-to\-end data transformation workflows, from
 **raw ingestion through curated, modeled, and reporting\-ready layers** 
 .
* Implement scalable ELT/ETL patterns that support batch and
 **real\-time** 
 data processing.
* Continuously refactor and improve existing pipelines to increase reliability, performance, and clarity as requirements evolve.
**Data Integration \&amp; Unification** 
* Integrate data from diverse internal and external sources into a unified, consistent data foundation.
* Resolve data duplication, inconsistency, and fragmentation across systems through thoughtful modeling and transformation.
* Partner with upstream and downstream teams to ensure clean contracts and reliable data interfaces.
**AI \&amp; Advanced Analytics Enablement** 
* Design data structures and pipelines that enable
 **AI, machine learning, and advanced analytics** 
 use cases.
* Ensure training, feature, and inference data are accurate, timely, and reproducible.
* Collaborate with analytics and data science partners to operationalize AI\-ready datasets.
**Change Management \&amp; Technical Stewardship** 
* Lead
 **change management** 
 for data systems, including schema evolution, backfills, and migration strategies.
* Establish best practices for refactoring data pipelines without disrupting critical reporting or consumers.
* Act as a steward of long\-term data quality, maintainability, and technical integrity.
**Collaboration \&amp; Influence** 
* Partner closely with Analytics, Product, Finance, Operations, and Engineering to translate business needs into scalable data solutions.
* Communicate complex data concepts clearly to technical and non\-technical stakeholders.
* Set standards and provide technical guidance to other data engineers through design reviews and mentorship.
**Qualifications:** 
**Minimum Requirements** 
* 10\+ years of experience in
 **data engineering** 
 or related software engineering roles.
* Deep expertise in
 **SQL** 
 and data transformation frameworks, with strong proficiency in Python.
* Extensive experience designing and maintaining
 **data models** 
 (dimensional, relational, and analytical).
* Proven track record of building reliable data pipelines from raw data to analytics and reporting layers.
* Experience integrating and unifying data across multiple systems and domains.
* Strong understanding of data quality, testing, observability, and lifecycle management.
* Excellent communication skills and ability to drive alignment through technical leadership rather than people management.
**Preferred Qualifications** 
* + Experience supporting
	 **AI or machine learning** 
	 workloads with production\-grade data pipelines.
	+ Background in healthcare, pharmacy, or other regulated data environments.
	+ Experience with real\-time or streaming data architectures.
	+ Familiarity with modern cloud data stacks (e.g., cloud data warehouses, Spark\-based processing).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80">
      <c r="A80" t="inlineStr">
        <is>
          <t>li-4371485474</t>
        </is>
      </c>
      <c r="B80" t="inlineStr">
        <is>
          <t>Data Engineer</t>
        </is>
      </c>
      <c r="C80" t="inlineStr">
        <is>
          <t>Intuitive Machines</t>
        </is>
      </c>
      <c r="D80" t="inlineStr">
        <is>
          <t>linkedin</t>
        </is>
      </c>
      <c r="E80">
        <f>HYPERLINK("https://www.linkedin.com/jobs/view/4371485474", "https://www.linkedin.com/jobs/view/4371485474")</f>
        <v/>
      </c>
      <c r="F80" t="inlineStr"/>
      <c r="G80" t="inlineStr">
        <is>
          <t>California, United States</t>
        </is>
      </c>
      <c r="H80" t="inlineStr"/>
      <c r="I80" t="inlineStr">
        <is>
          <t>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81">
      <c r="A81" t="inlineStr">
        <is>
          <t>li-4371473559</t>
        </is>
      </c>
      <c r="B81" t="inlineStr">
        <is>
          <t>Data Engineer</t>
        </is>
      </c>
      <c r="C81" t="inlineStr">
        <is>
          <t>NeenOpal Inc.</t>
        </is>
      </c>
      <c r="D81" t="inlineStr">
        <is>
          <t>linkedin</t>
        </is>
      </c>
      <c r="E81">
        <f>HYPERLINK("https://www.linkedin.com/jobs/view/4371473559", "https://www.linkedin.com/jobs/view/4371473559")</f>
        <v/>
      </c>
      <c r="F81" t="inlineStr"/>
      <c r="G81" t="inlineStr">
        <is>
          <t>Newark, NJ</t>
        </is>
      </c>
      <c r="H81" t="inlineStr"/>
      <c r="I81" t="inlineStr">
        <is>
          <t>**Company Description** 
 NeenOpal is a global consulting firm specializing in Data Science and Business Intelligence, with offices in Bengaluru, Newark, and Fredericton. We provide end\-to\-end solutions tailored to the unique needs of businesses, from startups to large organizations, across domains like digital strategy, sales and marketing, supply chain, and finance. Our mission is to help organizations achieve operational excellence and transform into data\-driven enterprises.
**Role Description** 
 This is a full\-time, hybrid, Data Engineer role located in Newark, NJ. The Data Engineer will be responsible for designing, implementing, and managing data engineering solutions to support business needs. Day\-to\-day tasks include building and optimizing data pipelines, developing and maintaining data models and ETL processes, managing data warehousing solutions, and contributing to the organization’s data analytics initiatives. Collaboration with cross\-functional teams to ensure robust data infrastructure will be a key aspect of this role.
**Key Responsibilities** 
* **Data Pipeline Development:** 
 Design, implement, and manage robust data pipelines to ensure efficient data flow into data warehouses. Automate ETL processes using Python and advanced data engineering tools.
* **Data Integration:** 
 Integrate and transform data using industry\-standard tools. Experience required with:
* **AWS Services:** 
 AWS Glue, Data Pipeline, Redshift, and S3\.
* **Azure Services:** 
 Azure Data Factory, Synapse Analytics, and Blob Storage.
* **Data Warehousing:** 
 Implement and optimize solutions using Snowflake and Amazon Redshift.
* **Database Management:** 
 Develop and manage relational databases (SQL Server, MySQL, PostgreSQL) to ensure data integrity.
* **Performance Optimization:** 
 Continuously monitor and improve data processing workflows and apply best practices for query optimization.
* **Global Collaboration:** 
 Work closely with cross\-functional teams in the US, India, and Canada to deliver high\-quality solutions.
* **Governance \&amp; Support:** 
 Document ETL processes and data mappings in line with governance standards. Diagnose and resolve data\-related issues promptly.
**Required Skills and Experience** 
* **Experience:** 
 Minimum 2\+ years of experience designing and developing ETL processes (AWS Glue, Azure Data Factory, or similar).
* **Integration** 
 : Experience integrating data via RESTful 
 **/ GraphQL** 
  APIs.
* **Programming:** 
 Proficient in
 **Python** 
 for ETL automation and
 **SQL** 
 for database management.
* **Cloud Platforms:** 
 Strong experience with AWS or Azure data services. (GCP familiarity is a plus) .
* **Data Warehousing:** 
 Expertise with Snowflake, Amazon Redshift, or Azure Synapse Analytics.
* **Integration:** 
 Experience integrating data via RESTful APIs.
* **Communication:** 
 Excellent articulation skills to explain technical work directly to clients and stakeholders.
* **Authorization:** 
 Must have valid work authorization in the United States.
* **Salary Range:** 
 $65,000– $80,000 per year
* **Benefits:** 
 This role includes health insurance, paid time off, and opportunities for professional growth and continuous learning within a fast\-growing global analytics company.
**Equal Opportunity Employer** 
 NeenOpal Inc.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t>
        </is>
      </c>
    </row>
    <row r="82">
      <c r="A82" t="inlineStr">
        <is>
          <t>li-4371160483</t>
        </is>
      </c>
      <c r="B82" t="inlineStr">
        <is>
          <t>Data Analytics Engineer</t>
        </is>
      </c>
      <c r="C82" t="inlineStr">
        <is>
          <t>TEC Group International</t>
        </is>
      </c>
      <c r="D82" t="inlineStr">
        <is>
          <t>linkedin</t>
        </is>
      </c>
      <c r="E82">
        <f>HYPERLINK("https://www.linkedin.com/jobs/view/4371160483", "https://www.linkedin.com/jobs/view/4371160483")</f>
        <v/>
      </c>
      <c r="F82" t="inlineStr"/>
      <c r="G82" t="inlineStr">
        <is>
          <t>Tulsa, OK</t>
        </is>
      </c>
      <c r="H82" t="inlineStr"/>
      <c r="I82" t="inlineStr">
        <is>
          <t>**Job Title:** 
 Data Analytics Engineer
**Job Family:** 
 Information Technology
**Reports To:** 
 IT Leadership
**FLSA Status:** 
 Exempt
**Overtime Eligible:** 
 No
**Job Summary** 
 The Data Analytics Engineer is responsible for transforming raw data into reliable insights and metrics ready for analysis and reporting. This role acts as a bridge between data engineering and data analysis by applying SQL, data modeling, and data warehousing techniques. The position focuses on building and maintaining data pipelines and models, documenting data sources, and ensuring data quality, consistency, and accessibility so business users can make informed decisions.
**Essential Job Functions:** 
**Primary Responsibilities** 
* **Data Transformation:** 
 Convert raw data into metrics, insights, and reports by building scripts and tools to clean and prepare data for analysis.
* **Data Modeling:** 
 Design and implement data models that support efficient access and analytical use cases.
* **Data Pipeline Development:** 
 Build automated, scalable pipelines for data ingestion and processing.
* **Data Documentation and Consolidation:** 
 Document data models, pipelines, and processes to ensure clarity, maintainability, and consolidation of data sources.
* **Collaboration:** 
 Partner with data engineers, analysts, data scientists, and business stakeholders to meet data and reporting needs.
* **Data Quality Assurance:** 
 Apply software engineering best practices and implement testing and validation to ensure data accuracy and reliability.
* **Business Understanding:** 
 Translate business requirements into effective data models and analytical outputs.
* **Performance Monitoring:** 
 Monitor and optimize the performance of data pipelines and models, identifying and resolving issues as needed.
**Quality and Stewardship Responsibilities** 
* Maintains organizational standards related to assigned areas of responsibility.
* Identifies and communicates deficiencies in guidelines, procedures, or processes to appropriate leadership.
**Health, Safety, and Environmental Responsibilities** 
* Completes all required training to meet regulatory and organizational compliance standards.
* Maintains familiarity with emergency and safety procedures applicable to the work environment.
**Policy and Compliance** 
* Adheres to all organizational policies, including HR, safety, quality, and security standards.
* Maintains the highest level of data confidentiality and ethical conduct.
**Education and Skills Requirements** 
* High School diploma or GED required; equivalent experience considered.
* Five or more years of experience in Information Technology or a related field.
* **SQL:** 
 Strong proficiency in querying and manipulating data.
* **Data Modeling:** 
 Knowledge of data modeling concepts and tools.
* **Programming Languages:** 
 Experience with Python, Scala, R, or similar languages.
* **Data Visualization:** 
 Experience using visualization tools such as Tableau or Power BI.
* **Data Warehousing:** 
 Understanding of data warehousing concepts and technologies.
* **Cloud Platforms:** 
 Familiarity with cloud environments such as AWS, Azure, or GCP.
* **Software Engineering Practices:** 
 Experience with version control, CI/CD, and related practices.
* **Communication:** 
 Strong collaboration and communication skills with technical and non\-technical stakeholders.
* **Problem Solving:** 
 Ability to identify and resolve issues related to data quality, accessibility, and performance.
**Physical Demands and Work Environment** 
* Primarily office\-based work environment.
* May occasionally lift or move objects weighing up to 50 pounds.
* Requires repetitive hand and wrist movements and extended computer use.
* Requires close visual acuity for data analysis, documentation, and screen\-based work.</t>
        </is>
      </c>
    </row>
    <row r="83">
      <c r="A83" t="inlineStr">
        <is>
          <t>li-4251984313</t>
        </is>
      </c>
      <c r="B83" t="inlineStr">
        <is>
          <t>Real-Time Data Engineer II</t>
        </is>
      </c>
      <c r="C83" t="inlineStr">
        <is>
          <t>AppFolio</t>
        </is>
      </c>
      <c r="D83" t="inlineStr">
        <is>
          <t>linkedin</t>
        </is>
      </c>
      <c r="E83">
        <f>HYPERLINK("https://www.linkedin.com/jobs/view/4251984313", "https://www.linkedin.com/jobs/view/4251984313")</f>
        <v/>
      </c>
      <c r="F83" t="inlineStr"/>
      <c r="G83" t="inlineStr">
        <is>
          <t>Dallas, TX</t>
        </is>
      </c>
      <c r="H83" t="inlineStr"/>
      <c r="I83" t="inlineStr">
        <is>
          <t>**Description**
 What we’re looking for:
 As a member of the Data Platform Engineering team, the
 **Real\-Time** 
 Data Engineer II will work collaboratively to develop an infrastructure that ingests data from disparate sources, processes them real\-time and routes them to various target storages and applications, while providing access to high quality data to users, ranging from application developers interested in specific events to data analysts keen on business intelligence to data scientists training ML models.
 At AppFolio, we paddle as one. We ride and make waves together, with a relentless focus on building great products for the way our customers work and live today – and tomorrow. AppFolio is a destination organization where careers are made and accelerated. Here, innovation is a team sport.
 Your impact:
* Design, build and operate on next generation data pipeline infrastructure based on Apache Kafka and its ecosystem
* Improve data architecture, quality, discoverability and access policies to enable and enforce data governance
* Collaborate with engineers, data analysts and scientists to ensure that our data infrastructure meets the SLOs of our data\-intensive customers
* Develop techniques for monitoring the completeness, correctness and reliability of our data sets
* Leverage agile practices, encourage collaboration, prioritization, and urgency to develop at a rapid pace
* Research, share, and recommend new technologies and trends
**Qualifications**
* You have hands\-on experience with using Apache Kafka in production and have a passion for building a reliable, scalable and fault\-tolerant infrastructure.
* You have industry experience with working with real time transformation technologies such as Apache Flink
* You have worked with a variety of data sources, including change data capture systems, data streaming and event sourcing in production.
* You have hands\-on experience with data warehouse technology.
* You embrace the platform\-first approach to build standard solutions and self\-serve capabilities for engineering teams
* You want to work with a high degree of autonomy, while at the same time working on initiatives of high importance to the company.
* You care about work\-life balance and want your company to care about it too; you'll put in the extra hour when needed but won't let it become a habit.
 Must have
* 3\+ years of experience with Apache Kafka, Kafka Connect and its ecosystem
* 2\+ years of experience in streaming processing technologies, such as Apache Flink
* 2\+ years of experience with AWS primitives (IAM, VPC, S3, MSK, EKS, etc.)
* 3\+ years of experience working with programming languages like Python or Ruby
* Excellent SQL skills with working knowledge of query optimization
* 2\+ years of experience working with Infrastructure as Code, configuration management, and monitoring tools.
* Bachelors in Computer Science or other quantitative fields.
 Nice to have
* Experience with Debezium connectors
* Experience with large scale Data Lakes and Lake Houses, especially with Apache Iceberg is a plus
* Experience with distributed SQL query engines, such as Trino is a plus
* Experience with containers and container orchestration tools. Docker and Kubernetes experience is desirable.
* Data science skills for analyzing data and communicating with ML engineers are a plus.
**Compensation \&amp; Benefits**
 The base salary/hourly wage that we reasonably expect to pay for this role is: $104,000 to $130,000\.
 The actual base salary/hourly wage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84">
      <c r="A84" t="inlineStr">
        <is>
          <t>li-4371617215</t>
        </is>
      </c>
      <c r="B84" t="inlineStr">
        <is>
          <t>Senior Data Engineer</t>
        </is>
      </c>
      <c r="C84" t="inlineStr">
        <is>
          <t>Hydrogen Group</t>
        </is>
      </c>
      <c r="D84" t="inlineStr">
        <is>
          <t>linkedin</t>
        </is>
      </c>
      <c r="E84">
        <f>HYPERLINK("https://www.linkedin.com/jobs/view/4371617215", "https://www.linkedin.com/jobs/view/4371617215")</f>
        <v/>
      </c>
      <c r="F84" t="inlineStr"/>
      <c r="G84" t="inlineStr">
        <is>
          <t>Lakewood, CO</t>
        </is>
      </c>
      <c r="H84" t="inlineStr"/>
      <c r="I84" t="inlineStr">
        <is>
          <t>We are seeking a Senior Data Engineer to play a critical role in our enterprise adoption of Microsoft Fabric. This is a high\-impact, highly visible position focused on designing and delivering modern, scalable data platforms that power analytics, reporting, and strategic decision\-making across the organization.
 The work performed in this role directly supports key business drivers and is expected to deliver material impact within the next two to three years. You will operate at the intersection of Lakehouse, Warehouse, OneLake, and multiple Analytics Platforms, partnering closely with architects, product managers, and business stakeholders to transform complex data into trusted, actionable insights.
 This role offers significant ownership, architectural influence, and the opportunity to establish best practices as we modernize and scale our data ecosystem.
 What You'll Do
 · Design, build, and evolve end\-to\-end data pipelines using Microsoft Fabric, Azure Data Factory, and Spark
 · Serve as a key driver of measurable business impact, ensuring data warehousing solutions directly support enterprise capabilities and outcomes
 · Architect and maintain Lakehouse and Warehouse solutions leveraging Delta Lake for performance, reliability, and scalability
 · Implement and continuously improve Medallion architecture (Bronze / Silver / Gold) within OneLake
 · Develop resilient, scalable ETL/ELT frameworks supporting batch, dynamic, and incremental data ingestion
 · Drive performance optimization through partitioning strategies, schema and file design, caching, and query tuning
 · Enable analytics and reporting through semantic models and Direct Lake integration
 · Establish data quality, validation, observability, and monitoring to ensure trusted and governed data
 · Partner with product and business teams to translate requirements into robust, extensible data models
 · Contribute to data governance standards, documentation, and platform best practices
 · Provide technical leadership within a team of highly experienced engineers through design reviews, code reviews, and collaborative solution sessions
 What We're Looking For
 · Senior\-level experience in Data Engineering, Analytics Engineering, or a related discipline, with a track record of delivering enterprise\-scale solutions
 · Deep, hands\-on experience with Azure data services or comparable cloud ecosystems, including:
 o Microsoft Fabric (Lakehouse, Warehouse, OneLake)
 o Azure Data Factory
 o Azure Synapse Analytics
 o Power BI, Tableau, MicroStrategy, or similar.
 o AWS\- or Snowflake\-based data platforms
 · Strong experience with Spark (PySpark and/or Spark SQL)
 · Advanced SQL expertise (T\-SQL and/or ANSI SQL)
 · Proven ability to design and operate large\-scale, production\-grade, high\-performance data pipelines
 · Hands\-on experience with Delta Lake and modern data lake architectures
 · Strong problem\-solving skills and the ability to clearly communicate complex technical concepts to both technical and non\-technical stakeholders
 Why This Role
 · Opportunity to shape and influence a strategic, enterprise\-wide Microsoft Fabric implementation
 · Work on modern data architecture with meaningful scale and long\-term impact
 · High degree of technical ownership and autonomy
 · Collaborative engineering culture with strong executive sponsorship
 · Clear pathway for technical growth, influence, and leadership
 ...</t>
        </is>
      </c>
    </row>
    <row r="85">
      <c r="A85" t="inlineStr">
        <is>
          <t>li-4371459304</t>
        </is>
      </c>
      <c r="B85" t="inlineStr">
        <is>
          <t>Data Analytics Engineer</t>
        </is>
      </c>
      <c r="C85" t="inlineStr">
        <is>
          <t>Direct Travel</t>
        </is>
      </c>
      <c r="D85" t="inlineStr">
        <is>
          <t>linkedin</t>
        </is>
      </c>
      <c r="E85">
        <f>HYPERLINK("https://www.linkedin.com/jobs/view/4371459304", "https://www.linkedin.com/jobs/view/4371459304")</f>
        <v/>
      </c>
      <c r="F85" t="inlineStr"/>
      <c r="G85" t="inlineStr"/>
      <c r="H85" t="inlineStr"/>
      <c r="I85" t="inlineStr">
        <is>
          <t>**Your Expedition (Position Overview)**
 Direct travel is on a journey of data transformation, and we are seeking a skilled and motivated Data Analytics Engineer to join our team to be a pivotal part of our history.
 The ideal candidate will be crucial to the design, execution and delivery of a best\-in\-class global analytics platform, providing data insights and global reporting for both internal stakeholders and thousands of clients globally.
 A successful candidate will have hands on experience crafting embedded analytics applications, possess a background in software engineering and understand the latest methods and techniques in provisioning key visualizations and self\-service capabilities within our data products.
 In the role of an Analytics Engineer, a qualified candidate will work across engineering and data related assignments, contributing to the development of analytics products and using a data\-driven mindset to solve business problems across the organization.
**Going The Extra Mile (Responsibilities)**
* Data Management: Data collection and processing across various raw and unimproved data marts.
* Reporting \&amp; Visualization: Develop and implement key visualizations, reports, modeling and performance improving optimizations to our core data products.
* Collaboration: Work closely with IT and business units to understand data requirements and provide actionable insights and solutions to data problems.
* Process Improvement: Identify, analyze, and interpret trends or patterns in complex IT data sets to drive process improvements and policy development.
* Analytics \&amp; Insights: Provide key and differentiating industry insights for our customers through clear and concise analytical representations of core travel data.
**Your Passport To Success (Qualifications)**
* Educational Background: Bachelor’s degree in information technology, Computer Science, Data Science, or a related field or equivalent experience.
* Technical Proficiency:
+ Advanced knowledge of and experience with databases of all varieties including RDBMS SQL based platforms as well as document stores.
+ Demonstrable experience with a programming language typically used in the field of data and analytics engineering e.g. Python, R or Scala.
+ Experience and understanding of web application development, front\-end reactive applications such as VueJS or React as well as familiarity with middle and back\-end software development methodologies.
+ Understanding of the software development lifecycle and SCM through Git or an alternative.
* Cloud proficiency:
+ Experience with a cloud providers such as Amazon AWS, Azure or GCP and associated data platforms and products they provide.
* Analytics:
+ Full understanding of the data lifecycle, from pipeline development to warehouse architecture to reporting and analytics enablement.
+ Senior level experience with more than one cloud\-based analytics platform such as Looker, Tableau or PowerBI.
+ Experience developing semantic models across wide\-reaching data in sustainable and performant ways.
+ Exposure and understanding to cloud\-based warehouse platforms such as Snowflake, DataBricks or Azure DataLake.
+ Prior experience implementing governance and compliance related frameworks to analytics data products.
+ Inquisitive diagnostic skills related to query and system tuning and performance.
+ Experience building bespoke data products from the ground up that utilize analytics and business intelligence platforms in an integration manner for visuals and core functionality.
* Communication Skills: Strong verbal and written communication skills to effectively share findings with stakeholders.
* Attention to Detail: Adept at queries, report writing, and presenting findings.
**Preferred Qualifications**
* Experience: Proven working experience as a data analytics engineer.
* Platforms: Snowflake, Looker and LookML modeling experience.
**Your Benefits Onboard**
 In addition to Medical, Dental, and Vision benefits Direct Travel/ATPI offers a Total Rewards Package which includes Retirement Plans, Wellness, Rewards and Recognition, Sustainability, DE\&amp;I initiatives, and Mental Health Support.
**Embark on the next step in your career journey with Direct Travel!**
 Direct Travel/ATPI is one of the fastest growing Travel Management Companies (TMC) in the world. By leveraging both the expertise of its people and innovative technology solutions, Direct Travel/ATPI enables clients to derive the greatest value from their travel program in terms of superior service, progressive technologies, and significant cost savings. Direct Travel/ATPI has offices globally and is currently ranked among the top providers on Travel Weekly’s Power List. For more information, visit https://www.dt.com/about\-us/careers/
*Direct Travel/ATPI is an EOE/AA/Veteran/People with Disabilities employer*
**If you're ready to chart a new course and advance your career with the valuable moments and travel experiences that await, we welcome you to submit your resume for consideration at Direct Travel/ATPI.**</t>
        </is>
      </c>
    </row>
    <row r="86">
      <c r="A86" t="inlineStr">
        <is>
          <t>li-4342931188</t>
        </is>
      </c>
      <c r="B86" t="inlineStr">
        <is>
          <t>Analytics Engineer</t>
        </is>
      </c>
      <c r="C86" t="inlineStr">
        <is>
          <t>Lovable</t>
        </is>
      </c>
      <c r="D86" t="inlineStr">
        <is>
          <t>linkedin</t>
        </is>
      </c>
      <c r="E86">
        <f>HYPERLINK("https://www.linkedin.com/jobs/view/4342931188", "https://www.linkedin.com/jobs/view/4342931188")</f>
        <v/>
      </c>
      <c r="F86">
        <f>HYPERLINK("https://jobs.ashbyhq.com/lovable/0c2305f7-6174-4f42-a22d-c8a39fa28c76/application?utm_source=O5ZQQay2mB&amp;urlHash=e4l2", "https://jobs.ashbyhq.com/lovable/0c2305f7-6174-4f42-a22d-c8a39fa28c76/application?utm_source=O5ZQQay2mB&amp;urlHash=e4l2")</f>
        <v/>
      </c>
      <c r="G86" t="inlineStr">
        <is>
          <t>Boston, MA</t>
        </is>
      </c>
      <c r="H86" t="inlineStr"/>
      <c r="I86" t="inlineStr">
        <is>
          <t>**TL;DR** 
 \- We’re seeking an
 **Analytics Engineer** 
 to own the data foundations that fuel the GTM teams: building reliable models, shaping metrics, powering automation, and turning raw data into the insights and data products that drive Sales and Customer Success.
**Why Lovable?**
 Lovable lets anyone and everyone build software with any language. From solopreneurs to Fortune 100 teams, millions of people use Lovable to transform raw ideas into real products \- fast. We are at the forefront of a foundational shift in software creation, which means you have an unprecedented opportunity to change the way the digital world works. Over 2 million people in 200\+ countries already use Lovable to launch businesses, automate work, and bring their ideas to life. And we’re just getting started.
 We’re a small, talent\-dense team building a generation\-defining company. We value extreme ownership, high velocity and low\-ego collaboration. We seek out people who care deeply, ship fast, and are eager to make a dent in the world.
**What We're Looking For**
 We’re looking for an
 **Analytics Engineer** 
 with a background in Data Engineering or Analytics Engineering who operates as a true full\-stack analyst, owning everything from raw data to insights to operationalization.
 You bring:
* Strong SQL and analytical data modeling skills (ideally dbt or SQLMesh).
* Experience with ELT/ETL workflows and cloud warehouses (Snowflake, BigQuery, Redshift, Databricks).
* Comfort with Python for automation and light data engineering.
* Experience with dashboards, BI tools, and self\-serve analytics.
* Clear communication, collaboration, and comfort working in ambiguity.
* Nice to have: experience with AI/LLM products, instrumentation, experimentation, or early\-stage startups.
**What You'll Do**
* Partner with Sales and CS on data and reporting needs. Translate ambiguous business questions into structured data models, analysis and actionable insights, and data\-fueled products.
* Build and maintain data warehouse models that serve as the source of truth for product usage and GTM metrics.
* Model CRM data, usage data, and billing data to power Sales and CS automation, CRM enrichment, lead definition and creation, and GTM tooling.
* Design metrics, dashboards, and data UIs in Hex and Lovable for GTM leadership and teams to access and operationalize data.
* Partner with Product and Engineering on event instrumentation and schema design.
* Improve documentation, observability, governance, and data best practices.
* Contribute to forecasting models, KPI definitions, and experimentation frameworks.
* Own and improve data pipelines, ingestion workflows, and data quality testing.
**You’ll thrive here if you**
* Enjoy building clean, reliable, reusable data models.
* Have experience partnering closely with cross\-functional GTM teams to solve real problems with data.
* Prefer simplicity over complexity in data and tooling design.
* Communicate clearly and proactively with technical and non\-technical teams.
* Take ownership, move quickly, and iterate often.
* Want to help define and scale Lovable’s data foundations and culture.
* Care about the rep experience and view analytics as a product.
**About Your Application**
* Please submit your application in English. It’s our company language so you’ll be speaking lots of it if you join.
* We treat all candidates equally \- if you’re interested please apply through our careers portal.</t>
        </is>
      </c>
    </row>
    <row r="87">
      <c r="A87" t="inlineStr">
        <is>
          <t>li-4371480480</t>
        </is>
      </c>
      <c r="B87" t="inlineStr">
        <is>
          <t>Data Engineer/BI Developer - ADF Focus</t>
        </is>
      </c>
      <c r="C87" t="inlineStr">
        <is>
          <t>Providence Partners, LLC</t>
        </is>
      </c>
      <c r="D87" t="inlineStr">
        <is>
          <t>linkedin</t>
        </is>
      </c>
      <c r="E87">
        <f>HYPERLINK("https://www.linkedin.com/jobs/view/4371480480", "https://www.linkedin.com/jobs/view/4371480480")</f>
        <v/>
      </c>
      <c r="F87" t="inlineStr"/>
      <c r="G87" t="inlineStr">
        <is>
          <t>Austin, Texas Metropolitan Area</t>
        </is>
      </c>
      <c r="H87" t="inlineStr"/>
      <c r="I87" t="inlineStr">
        <is>
          <t>We are seeking a technically strong Data Engineer \&amp; BI Developer who is equally comfortable building reliable data pipelines and delivering trusted reporting solutions. This role leans heavily toward ETL engineering and Azure Data Factory ownership, while also supporting Power BI reporting and data modeling needs.
 What You’ll Do
* Design, build, and own Azure Data Factory (ADF) pipelines end\-to\-end
* Develop robust ETL processes including incremental loads, reprocessing logic, error handling, and data quality validation
* Monitor and troubleshoot pipelines in production — diagnosing failures and ensuring data reliability
* Write and optimize complex SQL queries to support warehouse design and performance
* Build and maintain Power BI datasets, data models, and reports
* Partner with stakeholders to translate business requirements into scalable data solutions
 What We’re Looking For
* Strong hands\-on experience designing and owning Azure Data Factory pipelines
* Deep understanding of ETL concepts and data warehouse fundamentals
* Advanced SQL proficiency (TSQL)
* Experience supporting pipelines and reporting in live production environments
* Solid experience with Power BI, including:
* Data modeling (star schema understanding)
* DAX fundamentals
* Managing datasets and refresh schedules
* Building business\-facing dashboards from curated warehouse data</t>
        </is>
      </c>
    </row>
    <row r="88">
      <c r="A88" t="inlineStr">
        <is>
          <t>li-4371429834</t>
        </is>
      </c>
      <c r="B88" t="inlineStr">
        <is>
          <t>Data Engineer</t>
        </is>
      </c>
      <c r="C88" t="inlineStr">
        <is>
          <t>Radley James</t>
        </is>
      </c>
      <c r="D88" t="inlineStr">
        <is>
          <t>linkedin</t>
        </is>
      </c>
      <c r="E88">
        <f>HYPERLINK("https://www.linkedin.com/jobs/view/4371429834", "https://www.linkedin.com/jobs/view/4371429834")</f>
        <v/>
      </c>
      <c r="F88" t="inlineStr"/>
      <c r="G88" t="inlineStr"/>
      <c r="H88" t="inlineStr"/>
      <c r="I88" t="inlineStr">
        <is>
          <t>Role Overview
 We are seeking a highly skilled
 **Data Engineer** 
 to design, build, and maintain low\-latency, high\-throughput data pipelines that power our high\-frequency trading (HFT) systems. You will work closely with quantitative researchers, traders, and infrastructure engineers to ensure the availability, quality, and performance of mission\-critical market and trading data. The primary development language is
 **Python** 
 , with strong emphasis on performance, reliability, and scalability.
 Key Responsibilities
 Data Pipeline \&amp; Infrastructure
* Design and implement
 **real\-time and batch data pipelines** 
 for market data, order data, and research datasets.
* Optimize pipelines for
 **low latency, high throughput, and fault tolerance** 
 .
* Build ingestion systems for multiple data sources (exchanges, vendors, internal feeds).
 Performance \&amp; Reliability
* Profile and optimize Python code for speed and memory efficiency.
* Implement monitoring, alerting, and automated recovery mechanisms.
* Ensure data accuracy, consistency, and completeness across systems.
 Storage \&amp; Architecture
* Design scalable storage solutions for
 **time\-series and tick\-level data** 
 .
* Work with columnar and distributed databases.
* Maintain data schemas, metadata management, and versioning.
 Collaboration
* Partner with quantitative researchers to deliver clean, structured datasets for modeling.
* Work with trading and infrastructure teams to integrate pipelines into production systems.
* Participate in code reviews and architecture discussions.
 Required Qualifications
 Technical Skills
* **Expert\-level Python** 
 programming experience.
* Strong knowledge of
 **data structures, algorithms, and system design** 
 .
* Experience with
 **streaming frameworks** 
 (e.g., Kafka, Redpanda, Pulsar, or similar).
* Experience with
 **databases** 
 : PostgreSQL, ClickHouse, kdb\+/q, or other high\-performance data stores.
* Familiarity with
 **Linux/Unix environments** 
 and shell scripting.
* Understanding of
 **networking fundamentals** 
 and low\-latency system design.
 Data Engineering Experience
* Building and maintaining
 **large\-scale ETL/ELT pipelines** 
 .
* Handling
 **high\-volume, high\-velocity datasets** 
 .
* Schema design, data modeling, and data validation techniques.
 Software Engineering Practices
* Version control (Git), CI/CD pipelines.
* Unit/integration testing and documentation.
* Debugging and performance profiling tools.
 Preferred Qualifications
* Experience in
 **financial markets** 
 , trading systems, or HFT environments.
* Knowledge of
 **C\+\+/Rust/Go** 
 for performance\-critical components.
* Experience with
 **time\-series databases** 
 and tick data processing.
* Familiarity with
 **containerization and orchestration** 
 (Docker, Kubernetes).
* Understanding of
 **quantitative research workflows** 
 and statistical data handling.
 Soft Skills
* Strong analytical and problem\-solving ability.
* Clear communication with both technical and non\-technical stakeholders.
* Ability to work in a
 **fast\-paced, high\-impact environment** 
 .
* Ownership mindset and attention to detail.
 What Success Looks Like
* Pipelines consistently meet strict latency and uptime targets.
* Researchers and traders receive accurate, timely data with minimal friction.
* Systems scale smoothly with increased data volume and market activity.
* Proactive identification and resolution of performance bottlenecks.
 Nice to Have Domain Knowledge
* Market microstructure
* Exchange protocols (FIX, ITCH, OUCH, WebSockets)
* Time synchronization and clock accuracy
* Backtesting and simulation data requirements</t>
        </is>
      </c>
    </row>
    <row r="89">
      <c r="A89" t="inlineStr">
        <is>
          <t>li-4371483741</t>
        </is>
      </c>
      <c r="B89" t="inlineStr">
        <is>
          <t>Fabric Data Engineer</t>
        </is>
      </c>
      <c r="C89" t="inlineStr">
        <is>
          <t>AppTech Consulting</t>
        </is>
      </c>
      <c r="D89" t="inlineStr">
        <is>
          <t>linkedin</t>
        </is>
      </c>
      <c r="E89">
        <f>HYPERLINK("https://www.linkedin.com/jobs/view/4371483741", "https://www.linkedin.com/jobs/view/4371483741")</f>
        <v/>
      </c>
      <c r="F89" t="inlineStr"/>
      <c r="G89" t="inlineStr"/>
      <c r="H89" t="inlineStr"/>
      <c r="I89" t="inlineStr">
        <is>
          <t>**About AppTech Consulting** 
 AppTech Consulting LLC is a specialized data and analytics consulting firm that helps real estate, property management, and investment organizations modernize their data platforms. We work with systems like Yardi, MRI, Salesforce, and other industry solutions, delivering practical, high\-impact analytics using modern technologies such as Microsoft Fabric.
 What makes AppTech different is our focus on real\-world results over buzzwords. We partner closely with our clients to turn complex, manual processes into streamlined, automated data environments that drive better decisions and measurable outcomes. Just as importantly, we believe great client outcomes come from happy, supported team members. We maintain a friendly, low\-bureaucracy, and collaborative work environment where people are trusted to do great work without unnecessary pressure. We value work\-life balance, respect personal time, and genuinely care about the well\-being and growth of our employees and contractors.
 \_\_\_\_\_\_\_\_\_\_\_\_\_\_\_\_\_\_\_\_\_\_\_\_\_\_\_\_\_\_\_\_\_\_\_\_\_\_\_\_\_\_\_\_\_\_\_\_\_\_\_\_
**Key Responsibilities** 
**Microsoft Fabric Data Engineering** 
* Build Silver\-layer transformation notebooks using PySpark and Spark SQL (PySQL).
* Transform and standardize data from Bronze layer sources into clean, analytics\-ready Silver staging tables.
* Implement data quality checks, standardization rules, and transformation logic.
* Assist in building end\-to\-end data pipelines within Microsoft Fabric.
* Support the development of semantic models and reporting datasets.
**General Data Warehouse Work** 
* Assist with data modeling and transformation design.
* Support Bronze, Silver, and Gold layer architecture in Fabric.
* Troubleshoot data issues and optimize performance.
* Contribute to documentation, standards, and reusable data engineering patterns.
**Required Skills \&amp; Experience** 
* Strong SQL skills.
* Experience with PySpark or Spark SQL.
* Hands\-on experience with Microsoft Fabric, Azure Synapse, or similar data platforms.
* Experience building ETL/ELT pipelines.
* Ability to work with large datasets and perform data transformations.
* Strong problem\-solving and communication skills.
**Preferred Qualifications** 
* Experience with Yardi Voyager databases.
* Knowledge of real estate, property management, or financial systems.
* Familiarity with medallion architecture (Bronze/Silver/Gold).
* Experience with Power BI or semantic models.
 \_\_\_\_\_\_\_\_\_\_\_\_\_\_\_\_\_\_\_\_\_\_\_\_\_\_\_\_\_\_\_\_\_\_\_\_\_\_\_\_\_\_\_\_\_\_\_\_\_\_\_\_
**Why work at AppTech?** 
* A supportive, down\-to\-earth team culture
* Flexible, remote\-friendly work arrangements
* Interesting, real\-world projects with immediate impact
* Opportunities to grow your skills across modern data platforms
* A company that truly values the people behind the work
* Fully banked PTO hours (after 90 days)
* Several paid holidays
* Sick days
* 401k options
***Note:***
*This position will start at 32\-40 hours a week with strong potential to grow into a salaried role. The hourly rate is between $45\-60 USD/hour (based on experience).* 
 If you’re looking for a place where you can do meaningful technical work while being treated with respect, flexibility, and appreciation, AppTech may be the right fit for you!</t>
        </is>
      </c>
    </row>
    <row r="90">
      <c r="A90" t="inlineStr">
        <is>
          <t>li-4371173701</t>
        </is>
      </c>
      <c r="B90" t="inlineStr">
        <is>
          <t>Senior Data Engineer</t>
        </is>
      </c>
      <c r="C90" t="inlineStr">
        <is>
          <t>Thoughtworks</t>
        </is>
      </c>
      <c r="D90" t="inlineStr">
        <is>
          <t>linkedin</t>
        </is>
      </c>
      <c r="E90">
        <f>HYPERLINK("https://www.linkedin.com/jobs/view/4371173701", "https://www.linkedin.com/jobs/view/4371173701")</f>
        <v/>
      </c>
      <c r="F90" t="inlineStr"/>
      <c r="G90" t="inlineStr">
        <is>
          <t>Chicago, IL</t>
        </is>
      </c>
      <c r="H90" t="inlineStr"/>
      <c r="I90" t="inlineStr">
        <is>
          <t>Senior data engineers at Thoughtworks are engineers who build, maintain and test the software architecture and infrastructure for managing data applications. They are involved in developing core capabilities which include technical and functional data platforms. They are the anchor for functional streams of work and are accountable for timely delivery. They work on the latest big data tools, frameworks and offerings (data mesh, etc.), while also being involved in enabling credible and collaborative problem solving to execute on a strategy.
 Job responsibilities
* You will develop and operate modern data architecture approaches to meet key business objectives and provide end\-to\-end data solutions.
* You will develop intricate data processing pipelines, addressing clients' most challenging problems.
* You will collaborate with data scientists to design scalable implementations of their models.
* You will write clean, iterative code using TDD and leverage various continuous delivery practices to deploy, support and operate data pipelines.
* You will use different distributed storage and computing technologies from the plethora of options available.
* You will develop data models by selecting from a variety of modeling techniques and implementing the chosen data model using the appropriate technology stack.
* You will collaborate with the team on the areas of data governance, data security and data privacy.
* You will incorporate data quality into your day\-to\-day work.
**Job Qualifications**
 Technical Skills
* Working with data excites you; You can build and operate data pipelines, and maintain data storage, all within distributed systems.
* You have hands\-on experience of data modeling and modern data engineering tools and platforms.
* You have experience in writing clean, high\-quality code using the preferred programming language.
* You have built and deployed large\-scale data pipelines and data\-centric applications using any of the distributed storage platforms and distributed processing platforms in a production setting.
* You have experience with data visualization techniques and can communicate the insights as per the audience.
* You have experience with data\-driven approaches and can apply data security and privacy strategy to solve business problems.
* You have experience with different types of databases (i.e.: SQL, NoSQL, data lake, data schemas, etc.).
 Professional Skills
* You understand the importance of stakeholder management and can easily liaise between clients and other key stakeholders throughout projects, ensuring buy\-in and gaining trust along the way.
* You are resilient in ambiguous situations and can adapt your role to approach challenges from multiple perspectives.
* You don’t shy away from risks or conflicts, instead you take them on and skillfully manage them.
* You are eager to coach, mentor and motivate others and you aspire to influence teammates to take positive action and accountability for their work.
* You enjoy influencing others and always advocate for technical excellence while being open to change when needed.
**Other things to know**
 Learning \&amp;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**About Thoughtworks**
 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
 Salary
 Benefits: https://www.thoughtworks.com/en\-us/careers/benefits
 The annual salary range posted is subject to many factors and may vary depending on experience, geographic location, job responsibilities, performance, skills and/or training.
 Salary
 $134—$203 USD
 See here our AI policy.</t>
        </is>
      </c>
    </row>
    <row r="91">
      <c r="A91" t="inlineStr">
        <is>
          <t>li-4371172932</t>
        </is>
      </c>
      <c r="B91" t="inlineStr">
        <is>
          <t>Senior Data Engineer</t>
        </is>
      </c>
      <c r="C91" t="inlineStr">
        <is>
          <t>LatentView Analytics</t>
        </is>
      </c>
      <c r="D91" t="inlineStr">
        <is>
          <t>linkedin</t>
        </is>
      </c>
      <c r="E91">
        <f>HYPERLINK("https://www.linkedin.com/jobs/view/4371172932", "https://www.linkedin.com/jobs/view/4371172932")</f>
        <v/>
      </c>
      <c r="F91" t="inlineStr"/>
      <c r="G91" t="inlineStr">
        <is>
          <t>Cary, NC</t>
        </is>
      </c>
      <c r="H91" t="inlineStr"/>
      <c r="I91" t="inlineStr">
        <is>
          <t>**About LatentView Analytics:** 
 LatentView Analytics is a leading global analytics and decision sciences provider, delivering solutions that help companies drive digital transformation and use data to gain a competitive advantage. With analytics solutions that provide a 360\-degree view of the digital consumer, fuel machine learning capabilities and support artificial intelligence initiatives., LatentView Analytics enables leading global brands to predict new revenue streams, anticipate product trends and popularity, improve customer retention rates, optimize investment decisions, and turn unstructured data into valuable business assets.
**Skills Required: Snowflake and DBT** 
**Job Description:** 
* Architectural Leadership: Direct the design of scalable ELT pipelines using Snowflake’s cloud\-native architecture and dbt for modular, version\-controlled transformations.
* Governance \&amp; Standards: Establish "gold standard" engineering practices for dbt modeling, automated testing, and Snowflake RBAC to ensure data integrity and security.
* Performance \&amp; Cost Optimization: Optimize cloud compute utilization through warehouse tuning and query profiling to balance high\-speed delivery with credit efficiency.
* Pipeline Orchestration: Manage CI/CD deployment workflows and mentor engineering teams to ensure the reliable, automated delivery of production\-ready data assets.
 At LatentView Analytics, we value a diverse, inclusive workforce and provide equal employment opportunities for all applicants and employees. All qualified applicants for employment will be considered without regard to an individual's race, colour,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t>
        </is>
      </c>
    </row>
    <row r="92">
      <c r="A92" t="inlineStr">
        <is>
          <t>li-4371185917</t>
        </is>
      </c>
      <c r="B92" t="inlineStr">
        <is>
          <t>Analytics Engineer</t>
        </is>
      </c>
      <c r="C92" t="inlineStr">
        <is>
          <t>RemoteHunter</t>
        </is>
      </c>
      <c r="D92" t="inlineStr">
        <is>
          <t>linkedin</t>
        </is>
      </c>
      <c r="E92">
        <f>HYPERLINK("https://www.linkedin.com/jobs/view/4371185917", "https://www.linkedin.com/jobs/view/4371185917")</f>
        <v/>
      </c>
      <c r="F92" t="inlineStr"/>
      <c r="G92" t="inlineStr"/>
      <c r="H92" t="inlineStr"/>
      <c r="I92"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3">
      <c r="A93" t="inlineStr">
        <is>
          <t>li-4371492433</t>
        </is>
      </c>
      <c r="B93" t="inlineStr">
        <is>
          <t>Data Engineer</t>
        </is>
      </c>
      <c r="C93" t="inlineStr">
        <is>
          <t>Booz Allen Hamilton</t>
        </is>
      </c>
      <c r="D93" t="inlineStr">
        <is>
          <t>linkedin</t>
        </is>
      </c>
      <c r="E93">
        <f>HYPERLINK("https://www.linkedin.com/jobs/view/4371492433", "https://www.linkedin.com/jobs/view/4371492433")</f>
        <v/>
      </c>
      <c r="F93" t="inlineStr"/>
      <c r="G93" t="inlineStr">
        <is>
          <t>McLean, VA</t>
        </is>
      </c>
      <c r="H93" t="inlineStr"/>
      <c r="I93" t="inlineStr">
        <is>
          <t>**Job Number: R0233775**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Due to the nature of work performed within this facility, U.S. citizenship is required.
 Work with us to use data for good.
 Join us. The world can’t wait.
**You Have:** 
* 2\+ years of experience utilizing programming languages, including C\+\+, Java, or Python
* 2\+ years of experience developing and maintaining scalable data stores that supply big data in forms needed for business analysis
* Experience creating software for retrieving, parsing, and processing structured and unstructured data
* Experience developing scalable ETL/ELT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Ability to obtain and maintain a Public Trust or Suitability/Fitness determination based on client requirements
* Bachelor’s degree
**Nice If You Have:** 
* Experience in application development utilizing SQL or Scala
* Experience with a public cloud, including AWS, Microsoft Azure, or Google Cloud
* Experience with distributed data or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UNIX or Linux, including basic commands and Shell scripting
* Experience with Agile engineering practices
**Vetting** 
**:**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4">
      <c r="A94" t="inlineStr">
        <is>
          <t>li-4371495410</t>
        </is>
      </c>
      <c r="B94" t="inlineStr">
        <is>
          <t>Sr. Data Engineer</t>
        </is>
      </c>
      <c r="C94" t="inlineStr">
        <is>
          <t>WellSky</t>
        </is>
      </c>
      <c r="D94" t="inlineStr">
        <is>
          <t>linkedin</t>
        </is>
      </c>
      <c r="E94">
        <f>HYPERLINK("https://www.linkedin.com/jobs/view/4371495410", "https://www.linkedin.com/jobs/view/4371495410")</f>
        <v/>
      </c>
      <c r="F94">
        <f>HYPERLINK("https://wellsky.wd1.myworkdayjobs.com/WellSkyCareers/job/Overland-Park-KS/Sr-Data-Engineer_JR4162?source=LinkedIn&amp;urlHash=fQPt", "https://wellsky.wd1.myworkdayjobs.com/WellSkyCareers/job/Overland-Park-KS/Sr-Data-Engineer_JR4162?source=LinkedIn&amp;urlHash=fQPt")</f>
        <v/>
      </c>
      <c r="G94" t="inlineStr">
        <is>
          <t>Overland Park, KS</t>
        </is>
      </c>
      <c r="H94" t="inlineStr"/>
      <c r="I94" t="inlineStr">
        <is>
          <t>The
 **Sr Data Engineer** 
 is responsible for designing, building, and maintaining scalable data pipelines, infrastructure, and data visualization to support our data\-driven decision\-making processes. The scope of this job includes collaborating with data scientists, analysts, solutions partners, and other stakeholders to increase data quality, accessibility, and security.
**Key Responsibilities:**
* Create, develop, maintain, and leverage data pipelines, data models, reporting, and dashboards to solve business problems or assigned tasks in coordination with multiple teams.
* Develop and maintain data solutions to enable new or existing solutions and BI development for the data warehouse and data visualization solutions.
* Enhance and document workflows for complex data\-related challenges by identifying patterns, trends, and anomalies in the data, and find ways to optimize data processing and storage to promote data quality through automation.
* Develop understanding of different WellSky solutions and become a subject matter expertise in the healthcare domain.
* Identify opportunities in code reviews and contribute to the development of best practices and coding standards.
* Adhere to WellSky core values, ensure PHI data security, and adapt to changing BI technologies.
* Leverage AI tools and platforms as an integral part of daily responsibilities to enhance decision\-making, streamline workflows, and drive data\-informed outcomes.
* Perform other job duties as assigned.
**Required Qualifications:** 
* Bachelor’s degree or relevant work experience
* 4\-6 years of relevant work experience
* Strong SQL skills with hands\-on experience developing and supporting data pipelines and data warehouse solutions
* Experience with SQL Server data integration and ETL development (including SSIS or equivalent)
* Experience with cloud\-based data platforms and services, preferably within GCP environments
**Preferred Qualifications:** 
* Experience with Snowflake data warehouse development and management
* Experience with DBT for ELT/ETL processes, data modeling, testing, and documentation
* GCP expertise, especially with Cloud SQL, BigQuery, and DataStream
* Experience with data replication tools such as HVR (or similar CDC/replication technologies)
* Experience supporting BI/reporting environments such as Tableau through well\-modeled, performant datasets
* Healthcare industry experience
**Job Expectations:**
* Willing to work additional or irregular hours as needed
* Must work in accordance with applicable security policies and procedures to safeguard company and client information
* Must be able to sit and view a computer screen for extended periods of time
 WellSky is where independent thinking and collaboration come together to create an authentic culture. We thrive on innovation, inclusiveness, and cohesive perspectives. At WellSky you can make a difference.
 WellSky provides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 WellSky is proud to be a drug\-free workplace.
 Applicants for U.S.\-based positions with WellSky must be legally authorized to work in the United States. Verification of employment eligibility will be required at the time of hire. Certain client\-facing positions may be required to comply with applicable requirements, such as immunizations and occupational health mandates.
 Here are some of the exciting benefits full\-time teammates are eligible to receive at WellSky:
* Excellent medical with Rx, dental, and vision benefits
* Mental Health support through EAP
* Generous paid time off, plus 13 paid holidays
* 100% vested 401(K) retirement plans
* Educational assistance up to $2500 per year</t>
        </is>
      </c>
    </row>
    <row r="95">
      <c r="A95" t="inlineStr">
        <is>
          <t>li-4362086059</t>
        </is>
      </c>
      <c r="B95" t="inlineStr">
        <is>
          <t>Principal Data Engineer - Red Hat Sales Data Management (Raleigh Office)</t>
        </is>
      </c>
      <c r="C95" t="inlineStr">
        <is>
          <t>Red Hat</t>
        </is>
      </c>
      <c r="D95" t="inlineStr">
        <is>
          <t>linkedin</t>
        </is>
      </c>
      <c r="E95">
        <f>HYPERLINK("https://www.linkedin.com/jobs/view/4362086059", "https://www.linkedin.com/jobs/view/4362086059")</f>
        <v/>
      </c>
      <c r="F95">
        <f>HYPERLINK("https://redhat.wd5.myworkdayjobs.com/jobs/job/Raleigh/Principal-Data\u002d\u002dEngineer\u002d\u002d-Red-Hat-Sales-Data-Management\u002d\u002dRaleigh-Office-_R-053898-1?%26%3Fmode=job&amp;%26iis=Job%2BBoard&amp;%26iisn=LinkedIn%2BPosting&amp;source=LinkedIn&amp;urlHash=JJjB", "https://redhat.wd5.myworkdayjobs.com/jobs/job/Raleigh/Principal-Data\u002d\u002dEngineer\u002d\u002d-Red-Hat-Sales-Data-Management\u002d\u002dRaleigh-Office-_R-053898-1?%26%3Fmode=job&amp;%26iis=Job%2BBoard&amp;%26iisn=LinkedIn%2BPosting&amp;source=LinkedIn&amp;urlHash=JJjB")</f>
        <v/>
      </c>
      <c r="G95" t="inlineStr">
        <is>
          <t>Raleigh, NC</t>
        </is>
      </c>
      <c r="H95" t="inlineStr"/>
      <c r="I95" t="inlineStr">
        <is>
          <t>Red Hat’s Global Sales Go\-To\-Market Strategy, Incentives \&amp; Data Analytics organization is seeking a Principal Data Engineer to work with a high degree of autonomy to lead the integration, automation, and optimization of complex data solutions. In this role, you will move beyond simple execution to provide technical leadership in data massaging, reconciliation, and architectural design. You will be responsible for building robust data pipelines, ensuring data governance, and collaborating with cross\-functional teams to deliver high\-quality data products that drive business decisions.
****What will you do?****
* Advanced SQL Development: Write complex, highly optimized SQL queries across large datasets. You will be the subject matter expert for SQL query tuning and providing performance recommendations to the wider team.
* Python Automation: utilize advanced Python proficiency (including libraries such as Pandas and NumPy) to clean, massage, and merge raw datasets, automating complex data extraction and loading processes.
* Pipeline Orchestration: Design, schedule, and monitor robust data pipelines using tools like Airflow. You will take ownership of debugging workflows and resolving performance bottlenecks.
* Data Stewardship: Act as a guardian of data integrity. This includes leading initiatives on data governance, compliance, transformation, and validation audits.
* Automated Testing \&amp; CI/CD: Develop and maintain automated unit, end\-to\-end, and integration tests to ensure data accuracy. Participate actively in version control (Git) and CI/CD processes for deploying pipeline changes across environments.
* Cross\-Functional Leadership: Partner with Analysts, Engineers, and Operations teams to understand data needs and ensure data accessibility for business stakeholders from the finance and operations organizations.
* Problem Solving: Apply strong analytical skills to translate complex algorithms into efficient software solutions, converting raw data into actionable insights by identifying trends, outliers, and distributions.
****What will you bring?****
* Experience: 5\+ years of experience as a Data Engineer, BI Engineer, or Systems Analyst in an enterprise environment with large, complex data sources.
* Education: Master’s degree in Computer Science, IT, Engineering, or equivalent experience.
* Expert SQL: Deep expertise in relational databases (PostgreSQL, MSSQL, etc.) and query optimization.
* Expert Python: Strong programming skills for data querying, cleaning, and presentation, with hands\-on experience in data\-centric libraries.
* Modern Stack Experience: Working knowledge of DBT (Data Build Tool) and Snowflake data warehousing is highly desirable.
* ELT/ETL Tools: Experience with Fivetran or similar integration tools.
* Autonomy: Ability to manage multiple projects simultaneously in a fast\-paced, distributed team environment across different time zones and cultures.
* Troubleshooting: Exceptional logic and reasoning skills to troubleshoot complex data issues.
* Planning: Ability to think strategically about data architecture and project planning.
 The salary range for this position is $120,720\.00 \- $199,120\.00\.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96">
      <c r="A96" t="inlineStr">
        <is>
          <t>li-4371491455</t>
        </is>
      </c>
      <c r="B96" t="inlineStr">
        <is>
          <t>Data Engineer</t>
        </is>
      </c>
      <c r="C96" t="inlineStr">
        <is>
          <t>Booz Allen Hamilton</t>
        </is>
      </c>
      <c r="D96" t="inlineStr">
        <is>
          <t>linkedin</t>
        </is>
      </c>
      <c r="E96">
        <f>HYPERLINK("https://www.linkedin.com/jobs/view/4371491455", "https://www.linkedin.com/jobs/view/4371491455")</f>
        <v/>
      </c>
      <c r="F96" t="inlineStr"/>
      <c r="G96" t="inlineStr">
        <is>
          <t>McLean, VA</t>
        </is>
      </c>
      <c r="H96" t="inlineStr"/>
      <c r="I96" t="inlineStr">
        <is>
          <t>**Job Number: R0233774**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Due to the nature of work performed within this facility, U.S. citizenship is required.
 Work with us to use data for good.
 Join us. The world can’t wait.
**You Have:**
* 2\+ years of experience utilizing programming languages, including C\+\+, Java, or Python
* 2\+ years of experience developing and maintaining scalable data stores that supply big data in forms needed for business analysis
* Experience creating software for retrieving, parsing and processing structured and unstructured data
* Experience with developing scalable ETL/ELT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Ability to obtain and maintain a Public Trust or Suitability/Fitness determination based on client requirements
* Bachelor’s degree
**Nice If You Have:** 
* Experience in application development utilizing SQL or Scala
* Experience with a public cloud, including AWS, Microsoft Azure, or Google Cloud
* Experience with distributed data and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UNIX and Linux, including basic commands and Shell scripting
* Experience with Agile engineering practices
**Vetting** 
**:**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7">
      <c r="A97" t="inlineStr">
        <is>
          <t>li-4370919914</t>
        </is>
      </c>
      <c r="B97" t="inlineStr">
        <is>
          <t>Data Engineer II (ETL / SQL / SSIS)</t>
        </is>
      </c>
      <c r="C97" t="inlineStr">
        <is>
          <t>Children's Wisconsin</t>
        </is>
      </c>
      <c r="D97" t="inlineStr">
        <is>
          <t>linkedin</t>
        </is>
      </c>
      <c r="E97">
        <f>HYPERLINK("https://www.linkedin.com/jobs/view/4370919914", "https://www.linkedin.com/jobs/view/4370919914")</f>
        <v/>
      </c>
      <c r="F97">
        <f>HYPERLINK("https://cwi.wd1.myworkdayjobs.com/CW_Careers/job/Milwaukee-WI/Data-Engineer-II_R13568-1?source=LinkedIn&amp;urlHash=X86g", "https://cwi.wd1.myworkdayjobs.com/CW_Careers/job/Milwaukee-WI/Data-Engineer-II_R13568-1?source=LinkedIn&amp;urlHash=X86g")</f>
        <v/>
      </c>
      <c r="G97" t="inlineStr">
        <is>
          <t>Milwaukee, WI</t>
        </is>
      </c>
      <c r="H97" t="inlineStr"/>
      <c r="I97" t="inlineStr">
        <is>
          <t>*At Children’s Wisconsin, we believe kids deserve the best.*
*Children’s Wisconsin is a nationally recognized health system dedicated solely to the health and well\-being of children. We provide primary care, specialty care, urgent care, emergency care, community health services, foster and adoption services, child and family counseling, child advocacy services and family resource centers. Our reputation draws patients and families from around the country.*
*We offer a wide variety of rewarding career opportunities and are seeking individuals dedicated to helping us achieve our vision of the healthiest kids in the country. If you want to work for an organization that makes a difference for children and families, and encourages you to be at your best every day, please apply today.*
***Please follow this link for a closer look at what it’s like to work at Children’s Wisconsin:***
 https://www.instagram.com/lifeatcw/
 Children’s Wisconsin is seeking a
 **Data Engineer II** 
 to support our Data Warehousing and Business Intelligence initiatives. In this role, you will design, develop, and maintain enterprise ETL solutions that power insights across our mission\-driven healthcare organization.
 If you enjoy building scalable data pipelines, working with SQL Server, SSIS, Microsoft Fabric, and collaborating with teams across IT and clinical operations, this is an opportunity where your work directly impacts patient care.
**What You Will Do**
* Design, develop, and maintain ETL routines using Microsoft SQL Server, SSIS, Microsoft Fabric, and stored procedures.
* Serve as an application expert and technical resource for SSIS or similar ETL tools.
* Build and maintain data pipelines that support Data Warehousing and BI initiatives.
* Perform testing, troubleshooting, and code enhancements following established frameworks and development standards.
* Collaborate with cross\-functional teams to support data quality, master data management, and data governance efforts.
* Contribute to modernization initiatives within our analytics and BI environment.
**What You Will Need**
**Required:**
* Bachelor’s degree in IT, Computer Science, Analytics, or equivalent work experience
* 3\+ years of experience in ETL development
* Strong experience with:
+ SQL Server
+ SSIS or similar ETL tools
+ Stored procedures / scripting languages
* Demonstrated analytical and problem‑solving skills
* Ability to work collaboratively on complex, cross\-functional projects
**Preferred:**
* Experience with Microsoft Fabric or cloud\-based ETL tools
* Epic / healthcare data experience
* Knowledge of healthcare delivery systems
* Master’s degree or related certifications
**Why Join Children’s Wisconsin?**
* Make a meaningful impact through data in a healthcare environment
* Collaborate with talented teams across IT, clinical, and analytics groups
* Opportunity to work with modern tools and emerging technologies
* Competitive compensation and benefits
* A mission\-driven workplace where your work truly matters
 Children's Wisconsin is an equal opportunity / affirmative action employer. We are committed to creating a diverse and inclusive environment for all employees. We treat everyone with dignity, respect, and fairness. We do not discriminate against any person on the basis of race, color, religion, sex, gender, gender identity and/or expression, sexual orientation, national origin, age, disability, veteran status, or any other status or condition protected by the law.
**Certifications/Licenses:**</t>
        </is>
      </c>
    </row>
    <row r="98">
      <c r="A98" t="inlineStr">
        <is>
          <t>li-4363290430</t>
        </is>
      </c>
      <c r="B98" t="inlineStr">
        <is>
          <t>Full-Time Senior Data Engineer - US (Remote)</t>
        </is>
      </c>
      <c r="C98" t="inlineStr">
        <is>
          <t>Theoria Medical</t>
        </is>
      </c>
      <c r="D98" t="inlineStr">
        <is>
          <t>linkedin</t>
        </is>
      </c>
      <c r="E98">
        <f>HYPERLINK("https://www.linkedin.com/jobs/view/4363290430", "https://www.linkedin.com/jobs/view/4363290430")</f>
        <v/>
      </c>
      <c r="F98" t="inlineStr"/>
      <c r="G98" t="inlineStr">
        <is>
          <t>Novi, MI</t>
        </is>
      </c>
      <c r="H98" t="inlineStr"/>
      <c r="I98" t="inlineStr">
        <is>
          <t>**Senior Data Engineer** 
**Position Type:** 
 Full\-time
**Compensation:** 
 TBA
**Company Overview** 
 Theoria Medical is a comprehensive medical group and technology company dedicated to serving patients across the care continuum with an emphasis on post\-acute care and primary care. Theoria serves facilities across the United States with a multitude of services to improve the quality of care delivered, refine facility processes, and enhance critical relationships. We offer multispecialty physician services, telemedicine, remote patient monitoring, and more.
**Job Summary** 
 We’re looking for a Senior Software Engineer responsible for designing, building, and maintaining scalable, reliable data pipelines and data platforms that support enterprise analytics and reporting across the organization. 
 This role will partner closely with analytics, data science, and business teams to ensure healthcare data is well\-modeled, governed, and readily available for downstream use. The ideal candidate has deep experience with modern data engineering tools, strong data modeling expertise, and a solid understanding of healthcare data.
**Shift Structure** 
* Remote position, Shift (TBA)
**Key Responsibilities** 
* Design, build, and maintain scalable data pipelines using Microsoft Fabric and Apache Airflow
* Ingest, transform, and integrate data from a variety of sources, including relational systems, APIs, and MongoDB
* Implement and manage data solutions aligned to Medallion architecture principles (Bronze, Silver, Gold)
* Design and maintain analytical data models, including fact and dimension tables, to support reporting and analytics
* Optimize data storage, performance, and reliability across lakehouse and warehouse environments
* Ensure data quality, observability, and lineage through validation, monitoring, and documentation
* Collaborate with data analysts and BI developers to enable performant, well\-modeled datasets for Power BI
* Partner with clinical, operational, and technical stakeholders to understand data requirements and constraints
* Support data governance, security, and compliance efforts, including HIPAA\-related controls
* Mentor junior data engineers and contribute to engineering standards and best practices
**Qualifications** 
**Background and Skills** 
* 5\+ years of experience as a Data Engineer, Senior Data Engineer, or similar role
* Strong experience with Microsoft Fabric (e.g., Lakehouse, Data Warehouse, pipelines, notebooks)
* Hands\-on experience with Apache Airflow for workflow orchestration and scheduling
* Experience working with MongoDB and integrating NoSQL data sources into analytical platforms
* Strong SQL skills and experience building performant analytical queries and transformations
* Deep understanding of data modeling concepts, including fact and dimension tables
* Practical experience implementing Medallion architecture in a data lake or lakehouse environment
* Experience working with healthcare data (e.g., EHR/EMR, claims, clinical, revenue cycle, or operational data)
* Strong understanding of data engineering best practices around scalability, reliability, and maintainability
**Preferred Experience** 
* Experience in a healthcare provider, payer, or health technology organization
* Familiarity with HIPAA and healthcare data privacy and security requirements
* Experience with CI/CD for data pipelines and infrastructure\-as\-code concepts
* Exposure to streaming or near–real\-time data processing
* Experience supporting enterprise BI platforms such as Power BI
**Compensation and Benefits** 
* Competitive salary
* 401(k) with employer match
* Health, dental, and vision insurance
* PTO \+ paid holidays
* Life insurance coverage
* Remote flexibility with a national legal scope
*Employee must be able to perform the essential functions of this position satisfactorily, with or without a reasonable accommodation.  Employer retains the right to change or assign other duties to this position.* 
 \#IND</t>
        </is>
      </c>
    </row>
    <row r="99">
      <c r="A99" t="inlineStr">
        <is>
          <t>li-4371179384</t>
        </is>
      </c>
      <c r="B99" t="inlineStr">
        <is>
          <t>Sr Data Engineer - Analytics</t>
        </is>
      </c>
      <c r="C99" t="inlineStr">
        <is>
          <t>Xperi Inc.</t>
        </is>
      </c>
      <c r="D99" t="inlineStr">
        <is>
          <t>linkedin</t>
        </is>
      </c>
      <c r="E99">
        <f>HYPERLINK("https://www.linkedin.com/jobs/view/4371179384", "https://www.linkedin.com/jobs/view/4371179384")</f>
        <v/>
      </c>
      <c r="F99" t="inlineStr"/>
      <c r="G99" t="inlineStr">
        <is>
          <t>Durham, NC</t>
        </is>
      </c>
      <c r="H99" t="inlineStr"/>
      <c r="I99" t="inlineStr">
        <is>
          <t>Xperi invents, develops and delivers technologies that create extraordinary experiences at home and on the go for millions of people around the world. Powering billions of consumer electronics, connected cars and digital content titles, we make entertainment more immersive, driving more intelligent and every interaction seamlessly personalized through our renowned consumer brands: DTS®, HD Radio™ and TiVo®.       Xperi (NYSE: XPER) is a publicly traded technology company headquartered in San Jose, CA with employees across North America, Europe and Asia. Come join a thriving team where you can play an integral role in shaping the future of entertainment technology. About the role: Join a team that is dedicated to creating world\-class development and deployment environments that are highly scalable and resilient. As Data Engineer \- Analytics, you’ll play a truly rewarding part in delivering insights for our TiVo One platform, an industry\-leading Saas offering. Enjoy the opportunity to draw on your passion for problem\-solving and simplifying tasks, as well as your technical skill set to make important contributions to the platform. You’ll collaborate daily in an agile development environment with an extended team of experienced engineers. The Data Engineer \- Analytics is a key role in TiVo’s Content organization. The Content team handles the challenges of creating scalable services for TiVo\-branded experiences, with a key focus on driving TiVo One viewership. This technical role is focused on developing and deploying cloud\-based offerings using a wide range of tools and frameworks, automating operational tasks, improving performance modeling , and working with development and operational teams to solve complex problems.  You will collaborate closely with business stakeholders to help us better understand our TiVo One viewership performance.All candidates must bring a basic understanding of AI concepts or interest in AI tools and technologies. We’re looking for individuals who are curious about AI, eager to learn, and aim to integrate it into their work in alignment with organizational policies.  What you will get to do:
 * Perform exploratory analysis, create dashboards, and generate actionable insights for engineering and business teams.
* Build datasets that support reporting, monitoring, and operational intelligence.
* Design, build, and maintain scalable ETL/ELT pipelines and data models.
* Implement data quality checks, metadata management, and documentation.
* Drive technical and architectural excellence across our data engineering services
* Imagine, design and develop new visualizations that help us understand our business performance
* Utilize and promote sound development practices (requirements gathering, design reviews, code reviews, retrospective meetings, etc.)
* Adhere to core design and testing principles set by team and group leadership
* Identify and automate repetitive operational tasks at all stages of the software lifecycle
* Build tools and systems to increase operational transparency and monitoring of SaaS products across Xperi
 Who we are looking for:Must have:
 * Strong Python and SQL for data manipulation and analytics.
* Strong expertise in Java and OO design
* Experience with modern data engineering tools (Airflow/Dagster/Prefect, dbt).
* Proficiency with cloud data platforms (BigQuery, Snowflake).
* Familiarity with data warehousing concepts, dimensional modeling, and schema design.
* Experience with CI/CD, version control (Git)
* Experience designing and developing large software systems
* Experience with JSON and REST
 Nice to have:
 * Stream processing (Kafka Streams)
* NoSQL databases, key\-stores and other data\-structure solutions (i.e., Dynamo, Cassandra, MongoDB)
* Continuous Integration platforms (Jenkins)
* Offline data processing (PySpark, Airflow)
* Virtualization and container orchestration (Docker, Kubernetes)
* Monitoring and logging tools (Prometheus, ELK)
* Virtual application and web servers (Apache, NGINX)
* Cloud infrastructure (AWS)
 What will make you successful:
 * The ability to propose, design and develop solutions that scale
* Expert problem\-solving skills
* Ability to translate data insights into operational decisions.
* Excellent written and oral communication skills
* Can work independently in fast\-paced IT environments.
* 
 Life @ Xperi:      At Xperi, we value People, Customers, Performance and Innovation. We are dedicated to creating a workplace where all employees have a voice and sense of belonging, feel safe and valued, and are acknowledged for how their unique differences contribute to organizational culture and business outcomes.     Our employees and their families are important to us, and our comprehensive pay, stock and benefits programs reflect that. Xperi supports personal well\-being, builds financial security and enables employees to share in our collective success.     Rewards include:     
 * Competitive compensation (salary, equity and bonuses) and comprehensive benefits designed to foster work\-life balance, care for your health, protect your finances and help you save and invest for the future.
* Generous paid time away from work, including flexible time off, holidays and sick time, health and wellness initiatives, and a charitable match program to help you give back to your community.
* Great perks, which vary by location and can be site\-specific: employee discounts, transportation reimbursements, subsidized cafes and fitness facilities.
* A flexible, hybrid work environment combining the best of in\-office collaboration and community\-building along with the benefits of working from home.</t>
        </is>
      </c>
    </row>
    <row r="100">
      <c r="A100" t="inlineStr">
        <is>
          <t>li-4346695581</t>
        </is>
      </c>
      <c r="B100" t="inlineStr">
        <is>
          <t>Staff  Analytics Engineer</t>
        </is>
      </c>
      <c r="C100" t="inlineStr">
        <is>
          <t>Huntress</t>
        </is>
      </c>
      <c r="D100" t="inlineStr">
        <is>
          <t>linkedin</t>
        </is>
      </c>
      <c r="E100">
        <f>HYPERLINK("https://www.linkedin.com/jobs/view/4346695581", "https://www.linkedin.com/jobs/view/4346695581")</f>
        <v/>
      </c>
      <c r="F100" t="inlineStr"/>
      <c r="G100" t="inlineStr"/>
      <c r="H100" t="inlineStr"/>
      <c r="I100" t="inlineStr">
        <is>
          <t>**Reports to: Senior Manager, Analytics Engineering**
**Location: Remote US**
**Compensation Range: $170,000 to $200,000 base plus bonus and equity**
**What We Do:**
 Huntress is a fully remote, global team of passionate experts and ethical badasses on a mission to break down the barriers to cybersecurity. Whether creating purpose\-built security solutions, hunting down hackers, or impacting our community, our people go above and beyond to change the security game and make a real difference.
 Founded in 2015 by former NSA cyber operators, Huntress protects all businesses—not just the 1%—with enterprise\-grade, fully owned, and managed cybersecurity products at the price of an affordable SaaS application. The Huntress difference is our One Team advantage: our technology is designed with our industry\-defining Security Operations Center (SOC) in mind and is never separated from our service.
 We protect 4M\+ endpoints and 7M\+ identities worldwide, elevating underresourced IT teams with protection that works as hard as they do. As long as hackers keep hacking, Huntress keeps hunting.
**What You’ll Do:**
 Analytics engineer is a hybrid Data Engineer/Data Scientist/Business Analyst role that has the ability to understand data flows end to end, and the engineering toolkit to extract the most value and solve business problems. As a Staff Analytics Engineer at Huntress, you will be a key technical leader, driving the strategy, architecture, and execution of our data analytics platform. You'll provide thought leadership, architect cutting\-edge solutions, and serve as a technical mentor to the rest of the team by providing expertise and code reviews to unlock the full potential of our data. Your work will directly influence business strategy and drive growth in a dynamic startup environment. This is a great role for a seasoned expert passionate about building scalable, high\-impact data systems.
**Responsibilities:**
* Architect, design, and lead the implementation of highly complex, scalable, and resilient data solutions in the cloud, leveraging AWS, Snowflake, dbt, Fivetran, and other modern technologies.
* Be the Expert. Quickly build subject matter expertise in a specific business area and data domain. Understand the data flows from creation, ingestion, transformation, and delivery.
+ Examples: Embed into a new line of business and work with engineering and finance partners to deliver initial data models and insights. Communicate with the engineering teams to fix data gaps (e.g. missing data objects or attributes) and take accountability for fixing issues anywhere in the stack.
* Support defining and executing the overarching strategy for the analytics engineering function, including the development and evangelization of data frameworks, standards, and best practices across the organization.
* Lead efforts in designing, building, and maintaining a robust, governed, and scalable semantic layer to provide consistent and reliable data access for business intelligence and analytics.
* Spearhead the technical vision and roadmap for data quality and governance, establishing frameworks and processes to ensure data integrity and proactively address systemic issues.
* Act as a primary technical consultant to senior executives and business stakeholders, translating complex data concepts into actionable insights and strategic recommendations.
* Mentor, coach, and develop junior and mid\-level analytics engineers, fostering a culture of technical excellence, innovation, and continuous learning within the team.
* Set standards for documentation, conduct advanced peer code reviews, and define comprehensive testing strategies for data solutions.
* Continuously evaluate and champion new technologies and methodologies to enhance the data and analytics capabilities at Huntress.
**What You Bring To The Team:**
 In addition to out of the box thinking, attention to detail, a sense of urgency and a high degree of autonomy and accountability, we look for:
* 7\+ years of progressive experience in analytics engineering, data engineering, or a similar role, with a strong emphasis on architecting and implementing large\-scale data solutions.SaaS experience is a plus.
* Financial \&amp; Go\-to\-Market Data Experience: Familiarity with data producers supporting Financial, Marketing, and Sales data initiatives and the handling of sensitive PII and board level reporting across a broad stakeholder base.
* Data Modeling Expertise: Mastery of developing modular and reusable data models to accelerate self\-service analytics (e.g. star schemas, snowflake schemas). Experience migrating legacy architectures \&amp; data models is a plus.
* Expert\-level proficiency with cloud data warehousing technologies such as Snowflake (preferred), Redshift, or BigQuery.
* Extensive experience developing and optimizing complex ETL/ELT programs and data pipelines using tools like DBT, Fivetran, Airflow, etc. Expertise in query performance tuning, materialization strategies, and data transformation.
* Data Visualization: Proficient in building polished dashboards in tools like Looker, Sigma, Tableau.
* Proficiency with AI Tools: Expertise in prompt engineering and design for LLMs (e.g., GPT) including creating, refining, and optimizing prompts to internal use cases and the end to end process of delivering data products.
* Demonstrated ownership of full life cycle data analytics development: Strategic Planning, Requirements, Architecture, Design, Testing, Deployment, and Operations.
* Exceptional presentation, communication, and interpersonal skills, with the ability to articulate complex technical ideas to both technical and non\-technical audiences, including C\-level executives, and drive consensus.
* Intermediate to Advanced Python: proficient in data science languages (e.g Python, R) for advanced data manipulation, statistical modeling and ML
* Intermediate to Advanced experience with a wide range of Machine Learning and analytical techniques, their real\-world advantages/drawbacks, and experience deploying models to production.
* Strong strategic thinking, problem\-solving, and decision\-making capabilities.
* A bachelor’s or master’s degree in Computer Science, Technology, Engineering, or a related field; or equivalent deep industry experience.
**What We Offer:**
* 100% remote work environment \- since our founding in 2015
* Generous paid time off policy, including vacation, sick time, and paid holidays
* 12 weeks of paid parental leave
* Highly competitive and comprehensive medical, dental, and vision benefits plans
* 401(k) with a 5% contribution regardless of employee contribution
* Life and Disability insurance plans
* Stock options for all full\-time employees
* One\-time $500 reimbursement for building/upgrading home office
* Annual allowance for education and professional development assistance
* $75 USD/month digital reimbursement
* Access to the BetterUp platform for coaching, personal, and professional growth
*Huntress is committed to creating a culture of inclusivity where every single member of our team is valued, has a voice, and is empowered to come to work every day just as they are.*
*We do not discriminate based on race, ethnicity, color, ancestry, national origin, religion, sex, sexual orientation, gender identity, disability, veteran status, genetic information, marital status, or any other legally protected status.*
*We do discriminate against hackers who try to exploit businesses of all sizes.*
**Accommodations:**
*If you require reasonable accommodation to complete this application, interview, or pre\-employment testing or participate in the employee selection process, please direct your inquiries to* 
*accommodations@huntresslabs.com* 
*. Please note that non\-accommodation requests to this inbox will not receive a response.*
**Huntress uses artificial intelligence tools to assist in reviewing and evaluating job applications, including resume screening, skills assessment, and candidate matching and comparisons. These AI tools support our human recruiters in the initial review process but do not make final hiring decisions without human involvement. By submitting your application, you acknowledge this use of AI in our recruitment process. Please review our Candidate Privacy Notice for more details on our practices and your data privacy rights.**
**\#BI\-Remote**</t>
        </is>
      </c>
    </row>
    <row r="101">
      <c r="A101" t="inlineStr">
        <is>
          <t>li-4322450973</t>
        </is>
      </c>
      <c r="B101" t="inlineStr">
        <is>
          <t>Principal Data Engineer</t>
        </is>
      </c>
      <c r="C101" t="inlineStr">
        <is>
          <t>TAG - The Aspen Group</t>
        </is>
      </c>
      <c r="D101" t="inlineStr">
        <is>
          <t>linkedin</t>
        </is>
      </c>
      <c r="E101">
        <f>HYPERLINK("https://www.linkedin.com/jobs/view/4322450973", "https://www.linkedin.com/jobs/view/4322450973")</f>
        <v/>
      </c>
      <c r="F101" t="inlineStr"/>
      <c r="G101" t="inlineStr">
        <is>
          <t>Chicago, IL</t>
        </is>
      </c>
      <c r="H101" t="inlineStr"/>
      <c r="I101" t="inlineStr">
        <is>
          <t>The Aspen Group (TAG) is one of the largest and most trusted retail healthcare business support organizations in the U.S., supporting 15,000 healthcare professionals and team members at more than 1,000 health and wellness offices across 46 states in four distinct categories: Dental Care, Urgent Care, Pet Care, and Medical Aesthetics. Working in partnership with independent practice owners and clinicians, the team is united by a single purpose: to prove that healthcare can be better and smarter for everyone. TAG provides a comprehensive suite of centralized business support services that power the impact of four consumer\-facing businesses: Aspen Dental, ClearChoice Dental Implant Centers, WellNow Urgent Care, Lovet Veterinary Clinics and Chapter Aesthetic Studio. Each brand has access to a deep community of experts, tools and resources to grow their practices, and an unwavering commitment to delivering high\-quality consumer healthcare experiences at scale.
**Job Summary:** 
 We are looking for a Principal Data Engineer to architect, build, and optimize scalable cloud\-native data platforms that power business insights and decision\-making. This role will lead the technical direction of our data engineering initiatives using DBT Cloud, Python, Airflow, and Google BigQuery while ensuring best practices in data modeling, pipeline orchestration, and platform scalability.
 As a technical leader, you will mentor data engineers, drive engineering excellence, and collaborate with cross\-functional teams to design and implement high\-performance data solutions.
**Key Responsibilities:** 
*Data Platform Architecture \&amp; Development:* 
* Design, develop, and optimize scalable, cloud\-native data platforms on Google Cloud (BigQuery, Cloud Storage, Pub/Sub, etc.).
* Lead the development of efficient ELT data pipelines using DBT Cloud, Python, and Airflow.
* Establish best practices for data modeling, performance tuning, and cost optimization in BigQuery.
* Design and implement data governance, security, and compliance frameworks.
*Leadership \&amp; Mentorship:* 
* Act as a technical mentor for the data engineering team, providing guidance on architecture, code quality, and best practices.
* Drive engineering excellence by establishing and promoting CI/CD, infrastructure as code, and automation.
* Advocate for modern data engineering practices, including data observability and monitoring.
*Collaboration \&amp; Strategy:* 
* Work closely with data analysts, data scientists, and business teams to translate business needs into scalable data solutions.
* Partner with ML and analytics teams to support real\-time and batch data processing for AI\-driven applications.
* Evaluate and implement emerging technologies to enhance platform scalability and efficiency.
*Qualifications \&amp; Experience:* 
* 5\+ years of experience in data engineering with a focus on cloud\-native architectures.
* Strong expertise in DBT Cloud, Python, Airflow, and Google BigQuery.
* Hands\-on experience designing scalable, cost\-efficient data platforms in Google Cloud (GCP).
* Deep understanding of data warehousing, ELT architectures, and distributed computing.
* Experience with orchestration tools like Airflow and event\-driven architectures.
* Strong knowledge of CI/CD, infrastructure as code (Terraform), and DevOps principles.
* Ability to lead teams, mentor engineers, and influence technical strategy.
*Preferred Qualifications:* 
* Experience with streaming data pipelines (Kafka, Pub/Sub, Dataflow, etc.).
* Familiarity with data observability and monitoring tools (Monte Carlo).
* Knowledge of ML and AI data pipelines is a plus.
 \*This role is onsite 4 days/week in our Chicago office (Fulton Market District)
* A generous benefits package that includes paid time off, health, dental, vision, and 401(k) savings plan with match
* Salary: $147,000 \- 175,000/year
* If you are an applicant residing in California, please view our privacy policy here: https://careers.aspendental.com/us/en/tag\-privacy\-policy\-for\-california\-employees</t>
        </is>
      </c>
    </row>
    <row r="102">
      <c r="A102" t="inlineStr">
        <is>
          <t>li-4368643431</t>
        </is>
      </c>
      <c r="B102" t="inlineStr">
        <is>
          <t>Staff Data Platform Engineer</t>
        </is>
      </c>
      <c r="C102" t="inlineStr">
        <is>
          <t>Orbis Group</t>
        </is>
      </c>
      <c r="D102" t="inlineStr">
        <is>
          <t>linkedin</t>
        </is>
      </c>
      <c r="E102">
        <f>HYPERLINK("https://www.linkedin.com/jobs/view/4368643431", "https://www.linkedin.com/jobs/view/4368643431")</f>
        <v/>
      </c>
      <c r="F102" t="inlineStr"/>
      <c r="G102" t="inlineStr">
        <is>
          <t>New York, United States</t>
        </is>
      </c>
      <c r="H102" t="inlineStr"/>
      <c r="I102" t="inlineStr">
        <is>
          <t>**Staff Data Platform Engineer \- up to \~£310,000 base \+ substantial equity (\~$1m)** 
 📍 San Francisco or New York
 I’m working with a
 **high\-growth, product\-led software company** 
 that’s built a category\-defining platform used by modern GTM teams to find, research, and engage the right customers. The company has crossed
 **$100M in revenue** 
 , raised a
 **large growth round** 
 , and is now scaling the core systems that underpin the product as usage and customer complexity increase.
 At the heart of this is the data platform.
 The team owns all
 **people and jobs data** 
 , which directly powers
 **search, enrichments, and signals** 
 across the platform. As the company scales, they’re investing heavily in the systems that keep this data
 **fresh, reliable, and accurate** 
 , including live web scraping and continuous refresh pipelines.
 They’re now hiring a
 **Staff Data Platform Engineer** 
 to help build and scale this core foundation.
**What you’ll be working on** 
* Designing and building
 **software\-oriented data systems** 
 (not classic BI / analytics)
* Owning the platforms that ingest, refresh, and serve people and jobs data
* Working on
 **live web scraping** 
 , data freshness, and reliability at scale
* Building internal data services that power product features like search and enrichment
* Shaping architecture and technical direction as the platform grows
**What they’re looking for** 
* Experience working on
 **data platforms where data is central to the product**
* Strong software engineering background with a data focus
* Comfortable operating at
 **Staff level** 
 with real ownership and technical judgment
* Experience with distributed systems and production data workloads
* Product\-minded — you care how data is used, not just how it’s stored
**Location \&amp; comp** 
* San Francisco or New York
* Up to \~$310,000 base
* **Very strong equity with real liquidity history**
 If this sounds interesting to you, apply below!</t>
        </is>
      </c>
    </row>
    <row r="103">
      <c r="A103" t="inlineStr">
        <is>
          <t>li-4371448893</t>
        </is>
      </c>
      <c r="B103" t="inlineStr">
        <is>
          <t>Senior Analytics Engineer, Orion</t>
        </is>
      </c>
      <c r="C103" t="inlineStr">
        <is>
          <t>Orion Group</t>
        </is>
      </c>
      <c r="D103" t="inlineStr">
        <is>
          <t>linkedin</t>
        </is>
      </c>
      <c r="E103">
        <f>HYPERLINK("https://www.linkedin.com/jobs/view/4371448893", "https://www.linkedin.com/jobs/view/4371448893")</f>
        <v/>
      </c>
      <c r="F103" t="inlineStr"/>
      <c r="G103" t="inlineStr">
        <is>
          <t>New York, NY</t>
        </is>
      </c>
      <c r="H103" t="inlineStr"/>
      <c r="I103" t="inlineStr">
        <is>
          <t>Senior Analytics Engineer \- Role Description
 Location: Remote \| Type: Full\-Time \| Reports to: VP, Finance \&amp; Accounting
 About Orion
 Orion Group is a holding company dedicated to building the highest\-quality, highest\-throughput investing business in the world, and analytics is a core part of how we get there.
 This role sits at the center of how Orion leadership understands and operates the business. Today, too much of our most important reporting is manual, fragmented, and locked in Excel. This role exists to change that by building trusted, scalable analytics that give leadership clear visibility into financial performance, operations, and growth.
 We are operators at heart. We care about what works in the real world, not what looks elegant on a whiteboard. We’re not interested in vanity dashboards or perfect architectures that never ship. We’re building practical analytics systems that drive better decisions and measurable ROI.
 If you’re a hands\-on builder who enjoys solving messy data problems, shipping real solutions, and seeing your work directly influence how a business is run, we want to talk to you.
 What You’ll Do
 As the Senior Analytics Engineer, you will build Orion’s first real analytics layer and take ownership of how leadership consumes data across the business.
 This is a hands\-on, execution\-first role focused on shipping reporting that gets used. You will build and deliver reliable dashboards and analytics models.
 In this role, you will:
 · Build BI dashboards for Orion leadership
 · Translate existing management reporting into scalable, validated analytics models
 · Source and integrate data from platform warehouses, APIs, and managed systems
 · Design data models that unify financial, operational, and workforce data across platforms
 · Iterate quickly based on feedback and improve reporting continuously
 · Document datasets and metric definitions that are clear and reusable
 · Identify data quality issues, integration gaps, and architectural friction through real execution
 What Success Looks Like (first 12 months)
 · 50% of recurring reports previously delivered in Excel are delivered via BI dashboard
 · 100% of Orion\-level financial dashboards reconcile to source systems, within an agreed tolerance
 · 40% reduction of recurring manual Excel\-based reporting effort
 · 25%\+ reduction of Ad\-hoc data pull requests
 · BI dashboards adopted as a primary source of truth, based on accuracy and reliability
 · Deliver a documented inventory of data gaps, integration challenges, and recurring data patterns
 Who You Are
 We’re looking for a hands\-on analytics engineer who gets energy from turning data into reliable reporting and delivering work that gets used. You likely have:
 · 5–8 years of experience in data engineering, analytics engineering, BI engineering, or advanced analytics roles
 · Deep hands\-on experience building production\-grade dashboards and data models
 · Strong SQL skills and comfort sourcing data from APIs, connectors, and external systems
 · Experience working with cloud data warehouses (e.g., Snowflake or similar)
 · Experienced working with visualization tools (e.g., Power BI or similar)
 · Experience working with financial and operational data from ERP and business systems (e.g., Sage Intacct, or similar)
 · A disciplined approach to producing clear documentation (manually or using AI\-assisted tools such as Claude Code or similar)
 · Judgment to use lightweight automation or no\-code tools (e.g., Power Automate) when appropriate instead of over\-engineering pipelines
 You are someone who:
 · Prefers execution over theory and shipping over over\-design
 · Is comfortable working in ambiguity and uneven data environments
 · Has a strong bias toward pragmatic MVPs and rapid iteration
 · Cares deeply about accuracy, clarity, and trust in data
 · Can operate independently without heavy processing or a large team
 · Brings sound business judgment to prioritize what matters most
 You thrive in environments where the roadmap is incomplete, the data isn’t perfect, and the work actually matters.
 Our Values
 · Growth: Growth creates opportunity for our people
 · Partnership: Growth creates opportunity for our people
 · Empowerment: Our people move fast and act as owners.
 · All\-In: We find fulfillment in the hard work excellence demands.
 · Win the Right Way: We never shortcut integrity.
 · Pursuit of Quality: We take pride in doing things well and pursuing excellence.
 This Role is Not for You If:
 · You need a large team, perfect data, or mature infrastructure to be effective
 · You prefer designing ideal architectures over shipping practical reporting
 · You are not comfortable working hands\-on with messy data, SQL, and imperfect sources
 · You need a tightly defined scope or complete requirements to make progress
 · You are uncomfortable being accountable for outcomes, not just deliverables
 · You struggle to explain technical work to non\-technical stakeholders
 · You are looking for pure data engineering, architecture, or reporting role</t>
        </is>
      </c>
    </row>
    <row r="104">
      <c r="A104" t="inlineStr">
        <is>
          <t>li-4371177865</t>
        </is>
      </c>
      <c r="B104" t="inlineStr">
        <is>
          <t>Data Engineer</t>
        </is>
      </c>
      <c r="C104" t="inlineStr">
        <is>
          <t>Jobs via Dice</t>
        </is>
      </c>
      <c r="D104" t="inlineStr">
        <is>
          <t>linkedin</t>
        </is>
      </c>
      <c r="E104">
        <f>HYPERLINK("https://www.linkedin.com/jobs/view/4371177865", "https://www.linkedin.com/jobs/view/4371177865")</f>
        <v/>
      </c>
      <c r="F104">
        <f>HYPERLINK("https://click.appcast.io/t/DFHuyV0RWnwhxbwRDakZw3x8SvQumyyDXHNdUSzB-Qc=&amp;urlHash=hr6t", "https://click.appcast.io/t/DFHuyV0RWnwhxbwRDakZw3x8SvQumyyDXHNdUSzB-Qc=&amp;urlHash=hr6t")</f>
        <v/>
      </c>
      <c r="G104" t="inlineStr"/>
      <c r="H104" t="inlineStr"/>
      <c r="I104" t="inlineStr">
        <is>
          <t>Dice is the leading career destination for tech experts at every stage of their careers. Our client, New Era Technology, is seeking the following. Apply via Dice today!
 Proven experience building data pipelines and infrastructure.
**Strong Skills In Python (preferred) And SQL.**
 Ability to creatively structure data for performance and scalability.
 Experience working with large volumes of data (millions of rows).
 Bachelor’s degree in Computer Science, Data Analytics, or related field.
 Strong collaboration and communication skills.
 Experience with customer lifecycle management, CRM data, or marketing data tables is a plus.
 Comfortable working in fast\-paced environments with large datasets.</t>
        </is>
      </c>
    </row>
    <row r="105">
      <c r="A105" t="inlineStr">
        <is>
          <t>li-4311398315</t>
        </is>
      </c>
      <c r="B105" t="inlineStr">
        <is>
          <t>Senior Staff Data Engineer</t>
        </is>
      </c>
      <c r="C105" t="inlineStr">
        <is>
          <t>CME Group</t>
        </is>
      </c>
      <c r="D105" t="inlineStr">
        <is>
          <t>linkedin</t>
        </is>
      </c>
      <c r="E105">
        <f>HYPERLINK("https://www.linkedin.com/jobs/view/4311398315", "https://www.linkedin.com/jobs/view/4311398315")</f>
        <v/>
      </c>
      <c r="F105" t="inlineStr"/>
      <c r="G105" t="inlineStr">
        <is>
          <t>Chicago, IL</t>
        </is>
      </c>
      <c r="H105" t="inlineStr"/>
      <c r="I105" t="inlineStr">
        <is>
          <t>We are seeking a hands\-on Technology Specialist to lead our database modernization efforts as we migrate from legacy on\-premise databases to strategic cloud platforms. This role requires deep expertise in Google Cloud Platform \- specifically Cloud SQL, AlloyDB, and Bigtable \- alongside advanced proficiency in Python for building scalable data pipelines and automation. You will be responsible for tackling systemic performance challenges, managing our database fleet programmatically, and serving as the go\-to expert for our development and reliability teams. Your technical leadership will directly ensure our new cloud infrastructure is performant, stable, and built for scale.
**Core Responsibilities**
* Cloud Architecture: Design robust, scalable, and cost\-effective data architectures on Google Cloud Platform (GCP), focusing on Cloud SQL, AlloyDB, and Bigtable.
* Database Performance \&amp; Optimization: Lead performance tuning and optimization efforts for PostgreSQL, diagnosing and resolving complex issues stemming from our legacy Oracle Exadata environment.
* Data Pipeline Development: Build and maintain resilient, cloud\-native data pipelines (ETL/ELT) using Python and GCP services such as Dataflow, BigQuery, and Pub/Sub.
* Automation \&amp; Infrastructure as Code (IaC): Develop and implement automation in Python for performance monitoring, remediation, and infrastructure management using IaC tools like Terraform.
* Migration \&amp; Modernization: Guide the technical execution of migrating large, complex databases from Oracle to PostgreSQL on GCP, ensuring data integrity and performance.
* Mentorship \&amp; Guidance: Serve as a subject matter expert and mentor for development and data reliability teams on PostgreSQL and GCP best practices, helping to elevate the team's technical capabilities.
**Required Qualifications \&amp; Experience**
* Experience: 7\-10 years of professional experience in a data engineering or database specialist role, with a proven track record of building and maintaining production\-grade cloud data systems.
* Google Cloud Platform (GCP) Expertise: Deep, hands\-on expertise with GCP, including architecting solutions with BigQuery, Dataflow, Cloud Storage, Pub/Sub, Cloud SQL, and AlloyDB.
* Python Proficiency: 6\+ years of advanced Python development experience for data processing, automation, and building ETL/ELT pipelines.
* Database Expertise:
+ Expert\-level knowledge of PostgreSQL internals (query planner, indexing, vacuuming, locking mechanisms) and performance tuning.
+ Proven experience migrating large, complex databases from Oracle (ideally Exadata) to PostgreSQL.
+ Strong professional experience with other enterprise databases like MS SQL Server.
* DevOps \&amp; IaC: Demonstrable experience building CI/CD pipelines (e.g., GitLab CI, Jenkins) and managing infrastructure as code (IaC) with Terraform.
* Experience with data orchestration tools such as Apache Airflow or Cloud Composer.
* Experience with other GCP data services like Bigtable and Memory Store (Redis).
* Experience with enterprise database monitoring and administration tools (e.g., IDERA, SCOM, Oracle OEM).
* Understanding of data privacy and compliance standards (e.g., HIPAA, GDPR).
 CME Group is committed to offering a competitive total rewards package for our employees that recognizes their contributions to the business and reflects our long\-term investment in their future. The pay range for this role is $135,000\-$225,000\. Actual salary offered will be dependent on a wide array of factors including but not limited to: relevant experience, skills, education and comparison to internal employees (where relevant). Our compensation program also includes an annual target bonus opportunity for all employees, as well as the opportunity to become an owner in the company through our broad\-based equity program. Through our benefits program, we strive to offer flexibility, value and choice. From comprehensive health coverage, to a retirement package that includes both a 401(k) and an active pension plan, to highly competitive education reimbursement provisions, paid time off and a mental health benefit, CME Group offers a holistic benefits package for our team and their dependents.
**CME Group: Where Futures are Made**
 CME Group is the world’s leading derivatives marketplace. But who we are goes deeper than that. Here, you can impact markets worldwide. Transform industries. And build a career by shaping tomorrow. We invest in your success and you own it – all while working alongside a team of leading experts who inspire you in ways big and small. Problem solvers, difference makers, trailblazers. Those are our people. And we’re looking for more.
 At CME Group, we embrace our employees' unique experiences and skills to ensure that everyone’s perspectives are acknowledged and valued. As an equal\-opportunity employer, we consider all potential employees without regard to any protected characteristic.
**Important Notice:** 
 Recruitment fraud is on the rise, with scammers using misleading promises of job offers and interviews to solicit money and personal information from job seekers. CME Group adheres to established procedures designed to maintain trust, confidence and security throughout our recruitment process. Learn more here.</t>
        </is>
      </c>
    </row>
    <row r="106">
      <c r="A106" t="inlineStr">
        <is>
          <t>li-4371607176</t>
        </is>
      </c>
      <c r="B106" t="inlineStr">
        <is>
          <t>Senior Analytics Engineer</t>
        </is>
      </c>
      <c r="C106" t="inlineStr">
        <is>
          <t>EMC Insurance Companies</t>
        </is>
      </c>
      <c r="D106" t="inlineStr">
        <is>
          <t>linkedin</t>
        </is>
      </c>
      <c r="E106">
        <f>HYPERLINK("https://www.linkedin.com/jobs/view/4371607176", "https://www.linkedin.com/jobs/view/4371607176")</f>
        <v/>
      </c>
      <c r="F106" t="inlineStr"/>
      <c r="G106" t="inlineStr">
        <is>
          <t>Des Moines, IA</t>
        </is>
      </c>
      <c r="H106" t="inlineStr"/>
      <c r="I106" t="inlineStr">
        <is>
          <t>**At EMC, we’re all about working together to make an impact. As part of our team, you’ll have the opportunity to grow, contribute, and gain experience that matters. We strive to be caring leaders, close partners, and responsive experts—always supporting each other to do our best work. Join us, and let’s improve lives together.**
* This role can be performed remotely in the Des Moines, Iowa metro area with the ability to work on\-site one day per week\*\*
**Essential Functions**
 Business Intelligence \&amp; Analytics Lifecycle:
* Leads highly complex and enterprise\-wide business analysis activities to gather stakeholders’ reporting and dashboard requirements.
* Determines stakeholders’ objectives, important metrics and method of performance measurement.
* Develops advanced data and analytic products implementing technology best practices, guidelines and repeatable processes.
* Collaborates with business units and subject matter experts to capture complex analytical requirements.
* Maintains highly complex curated data sets and analytical solutions.
**Data Modeling \&amp; Technical Design**
* Leads the design of scalable and efficient complex data models optimized for analytic and business intelligence tools.
* Develops highly complex data models that support advanced analytic products.
* Provides reporting architecture services on projects and keeps a reporting reference architecture up to date for the data analytic product teams.
* Acts as liaison during IT architectural conversations to help drive new architectural needs and align with best practices.
* Serves as a subject matter expert regarding technical design, analytics lifecycle and business intelligence best practices.
**Development \&amp; Implementation**
* Writes highly complex code to transform raw data into clean, structured data sets including data cleansing, aggregation, and other necessary business rules and transformations.
* Translates complex business requirements into technical requirements to implement reports and dashboards created from multiple data sources.
* Determines and analyzes the data sources required for each report.
* Develops complex reporting schemas and data sets.
* Builds highly complex, including enterprise wide reports, dashboards and visualizations using business intelligence tools.
* Reviews report changes and documents to ensure proper configuration management and change controls are implemented for report development and analytic life cycle.
* Serves as a technical resource to other Analytics Engineering team members.
**Communication \&amp; Collaboration**
* Promotes continuous improvement through business intelligence practices.
* Partners with leadership to integrate improved business intelligence in functions’ processes, workflows, and decision\-making methods.
* Collaborates with IT leaders to increase EMC's business intelligence maturity.
* Communicates and explains the results of team deliverables to stakeholders.
* Serves as a technical expert and resource to other analytics engineers.
* Collaborates with Data Governance to help maintain analytic catalogues and metadata assets.
**Innovation \&amp; Advanced Analytics**
* Identifies necessary system enhancements to deploy new products and process enhancements.
* Researches and investigates new technologies and methodologies to enhance advanced analytical and operational performance, focusing on regional and/or local data source exploration and supporting advanced analytics sandboxes.
* Works cross\-functionally with Innovation to integrate Generative AI opportunities with data analytics products.
* Applies Machine Learning (ML) techniques and augmented analytics capabilities to automatically generate insights for end users.
* Analyzes current state of business intelligence maturity and identifies opportunities for improvement.
**Education \&amp; Experience**
* Bachelor’s degree, preferably in a computer science, analytics, or business related field or equivalent relevant experience
* Eight years of experience in data and analytics programs or related experience
* Prior experience with BI products, such as Power BI or Tableau
* Experience in semantic layer and schema designs
* Experience in descriptive statistics and preparing big data sets preferred
**Knowledge, Skills \&amp; Abilities**
* Superior knowledge of Cognos, Tableau, Power BI or similar product
* Strong report architecture and reference architecture skills
* Excellent Microsoft Excel skills
* Strong knowledge of database platforms such as MongoDB, Hortonworks, Azure, and AWS
* Superior knowledge of SQL, Python or R
* Excellent knowledge of SQLdbm
* Excellent ability to build processes supporting data transformation, data structures, metadata, dependency and workload management
* Advanced ability to manipulate, process and extract value from large disconnected datasets
* Excellent verbal and written communication skills and presentation skills
* Strong analytical and problem\-solving abilities
* Ability to work independently and as part of a team
* Excellent project coordination skills and attention to detail
**The hiring salary range for this position will vary based on geographic location, falling within either of the following:**
 $100,085 \- $138,285 or $110,624 \- $152,122
**A hiring range represents a subset of the full salary range. The actual salary will depend on several factors, including relevant education, skills, and experience of an applicant, geographic location, and business needs.**
**For information relating to the benefits EMC Team Members receive as part of a comprehensive rewards package, please visit** 
**www.emcins.com/careers** 
**.**
*Our employment practices are in accordance with the laws that prohibit discrimination due to race, color, creed, sex, sexual orientation, gender identity, genetic information, religion, age, national origin or ancestry, physical or mental disability, medical condition, veteran status, active military status, citizenship status, marital status or any other consideration made unlawful by federal, state, or local laws.*
***All of our locations are tobacco free including in company vehicles.***</t>
        </is>
      </c>
    </row>
    <row r="107">
      <c r="A107" t="inlineStr">
        <is>
          <t>li-4363223786</t>
        </is>
      </c>
      <c r="B107" t="inlineStr">
        <is>
          <t>Staff Data Platform Engineer - Weights &amp; Biases</t>
        </is>
      </c>
      <c r="C107" t="inlineStr">
        <is>
          <t>Weights &amp; Biases</t>
        </is>
      </c>
      <c r="D107" t="inlineStr">
        <is>
          <t>linkedin</t>
        </is>
      </c>
      <c r="E107">
        <f>HYPERLINK("https://www.linkedin.com/jobs/view/4363223786", "https://www.linkedin.com/jobs/view/4363223786")</f>
        <v/>
      </c>
      <c r="F107" t="inlineStr"/>
      <c r="G107" t="inlineStr">
        <is>
          <t>San Francisco, CA</t>
        </is>
      </c>
      <c r="H107" t="inlineStr"/>
      <c r="I107"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CoreWeave, the AI Hyperscaler™, acquired Weights \&amp; Biases to create the most powerful end\-to\-end platform for AI development and deployment.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ML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and inference at scale, we’re combining forces to serve the full AI lifecycle — all in one seamless platform.
 Weights \&amp; Biases has long been trusted by over 1,000 organizations — including OpenAI, NVIDIA, Microsoft, and Toyota — to build better models.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machine learning, there's never been a more exciting time to join our team.
****What We Do:****
 The Data group at Weights \&amp; Biases works across the full range of data\-related topics:
* We help business partners set goals, make decisions, and understand the levers to achieve their goals.
* We build reporting to keep the business attuned and aligned.
* We build datasets and pipelines to support self\-service analysis.
* We train models to understand our customer growth, churn risk, and detect spam and abuse.
* We’re exploring novel benchmarks and recs for model training.
* We build and maintain a massive data platform to power it all.
****About The Role:****
 As a Staff Data Platform Engineer, you will:
* Build and operate the core data platform that powers reporting, self\-serve analytics, and data\-driven product decisions.
* Lead end\-to\-end platform initiatives—from design to rollout to operational ownership—balancing performance, cost, reliability, and developer experience.
* Partner closely with Data Scientists/Analysts and product engineering teams to improve telemetry quality and unlock new use cases on operational data.
* Design and scale ingestion and transformation systems that keep pace with rapid product growth and an increasingly distributed operational footprint.
* Build the platform with operability in mind: observability, on\-call readiness, incident response, and well\-documented runbooks.
* Participate in the data platform on\-call rotation after an onboarding period.
* Strategic goals for the team over the next 12 months:
+ Evolve our analytics architecture to effectively support multi\-petabyte scale by shifting high\-volume workloads to more scalable, cost\-effective compute and storage patterns, while maintaining (or improving) query performance and reliability.
+ Unify and standardize ingestion across a growing number of operational databases and deployment environments, enabling consistent governance, and observability as we scale from centralized infrastructure toward customer\-dedicated environments.
+ Lay foundations for internal applications (including ML/AI use cases) built on top of trustworthy, governed operational data.
 This role is ideal for engineers excited by platform evolution: scaling analytics beyond warehouse\-only load patterns, moving toward near\-real\-time ingestion, and standardizing data systems across an increasingly distributed operational footprint.
****Who You Are:****
* Deep knowledge (practical and theoretical) of data engineering and the accompanying workflows.
* History of writing easy\-to\-follow code and effective documentation for your projects.
* Expert knowledge of data orchestration / data pipeline tools (dbt, dagster, airflow, etc).
* Experience working with large \&amp; high demand data warehouses / platforms. Multi\-PB scale, with extreme business demand of the systems.
* Experience evolving architectures as scale changes (e.g., warehouse\-only → hybrid / lakehouse\-style patterns; storage/compute separation; open table formats).
* Expert knowledge and understanding of web apps and best practices for logging and event instrumentation.
* Ability to clearly communicate your ideas to folks across a range of backgrounds and levels of technical knowledge.
****Preferred:****
* Autonomous: If you work well in a self\-directed environment, and proactively find ways to improve processes and collaborate with team members or engaged users, your initiative will really shine in this role.
* Outgoing and friendly: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Theoretical or practical knowledge of machine learning workflows and terminology.
**Why Us?**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pay and target total cash for this position range from $188,000 to $275,000,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08">
      <c r="A108" t="inlineStr">
        <is>
          <t>li-4363107013</t>
        </is>
      </c>
      <c r="B108" t="inlineStr">
        <is>
          <t>Staff Data Platform Engineer - Weights &amp; Biases</t>
        </is>
      </c>
      <c r="C108" t="inlineStr">
        <is>
          <t>Weights &amp; Biases</t>
        </is>
      </c>
      <c r="D108" t="inlineStr">
        <is>
          <t>linkedin</t>
        </is>
      </c>
      <c r="E108">
        <f>HYPERLINK("https://www.linkedin.com/jobs/view/4363107013", "https://www.linkedin.com/jobs/view/4363107013")</f>
        <v/>
      </c>
      <c r="F108">
        <f>HYPERLINK("https://coreweave.com/careers/job?4653597006&amp;board=weights_and_biases&amp;gh_jid=4653597006&amp;urlHash=qEPe", "https://coreweave.com/careers/job?4653597006&amp;board=weights_and_biases&amp;gh_jid=4653597006&amp;urlHash=qEPe")</f>
        <v/>
      </c>
      <c r="G108" t="inlineStr">
        <is>
          <t>Sunnyvale, CA</t>
        </is>
      </c>
      <c r="H108" t="inlineStr"/>
      <c r="I108"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CoreWeave, the AI Hyperscaler™, acquired Weights \&amp; Biases to create the most powerful end\-to\-end platform for AI development and deployment.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ML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and inference at scale, we’re combining forces to serve the full AI lifecycle — all in one seamless platform.
 Weights \&amp; Biases has long been trusted by over 1,000 organizations — including OpenAI, NVIDIA, Microsoft, and Toyota — to build better models.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machine learning, there's never been a more exciting time to join our team.
****What We Do:****
 The Data group at Weights \&amp; Biases works across the full range of data\-related topics:
* We help business partners set goals, make decisions, and understand the levers to achieve their goals.
* We build reporting to keep the business attuned and aligned.
* We build datasets and pipelines to support self\-service analysis.
* We train models to understand our customer growth, churn risk, and detect spam and abuse.
* We’re exploring novel benchmarks and recs for model training.
* We build and maintain a massive data platform to power it all.
****About The Role:****
 As a Staff Data Platform Engineer, you will:
* Build and operate the core data platform that powers reporting, self\-serve analytics, and data\-driven product decisions.
* Lead end\-to\-end platform initiatives—from design to rollout to operational ownership—balancing performance, cost, reliability, and developer experience.
* Partner closely with Data Scientists/Analysts and product engineering teams to improve telemetry quality and unlock new use cases on operational data.
* Design and scale ingestion and transformation systems that keep pace with rapid product growth and an increasingly distributed operational footprint.
* Build the platform with operability in mind: observability, on\-call readiness, incident response, and well\-documented runbooks.
* Participate in the data platform on\-call rotation after an onboarding period.
* Strategic goals for the team over the next 12 months:
+ Evolve our analytics architecture to effectively support multi\-petabyte scale by shifting high\-volume workloads to more scalable, cost\-effective compute and storage patterns, while maintaining (or improving) query performance and reliability.
+ Unify and standardize ingestion across a growing number of operational databases and deployment environments, enabling consistent governance, and observability as we scale from centralized infrastructure toward customer\-dedicated environments.
+ Lay foundations for internal applications (including ML/AI use cases) built on top of trustworthy, governed operational data.
 This role is ideal for engineers excited by platform evolution: scaling analytics beyond warehouse\-only load patterns, moving toward near\-real\-time ingestion, and standardizing data systems across an increasingly distributed operational footprint.
****Who You Are:****
* Deep knowledge (practical and theoretical) of data engineering and the accompanying workflows.
* History of writing easy\-to\-follow code and effective documentation for your projects.
* Expert knowledge of data orchestration / data pipeline tools (dbt, dagster, airflow, etc).
* Experience working with large \&amp; high demand data warehouses / platforms. Multi\-PB scale, with extreme business demand of the systems.
* Experience evolving architectures as scale changes (e.g., warehouse\-only → hybrid / lakehouse\-style patterns; storage/compute separation; open table formats).
* Expert knowledge and understanding of web apps and best practices for logging and event instrumentation.
* Ability to clearly communicate your ideas to folks across a range of backgrounds and levels of technical knowledge.
****Preferred:****
* Autonomous: If you work well in a self\-directed environment, and proactively find ways to improve processes and collaborate with team members or engaged users, your initiative will really shine in this role.
* Outgoing and friendly: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Theoretical or practical knowledge of machine learning workflows and terminology.
**Why Us?**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pay and target total cash for this position range from $188,000 to $275,000,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09">
      <c r="A109" t="inlineStr">
        <is>
          <t>li-4371614195</t>
        </is>
      </c>
      <c r="B109" t="inlineStr">
        <is>
          <t>Staff AI Data Engineer - Rockerbox</t>
        </is>
      </c>
      <c r="C109" t="inlineStr">
        <is>
          <t>DoubleVerify</t>
        </is>
      </c>
      <c r="D109" t="inlineStr">
        <is>
          <t>linkedin</t>
        </is>
      </c>
      <c r="E109">
        <f>HYPERLINK("https://www.linkedin.com/jobs/view/4371614195", "https://www.linkedin.com/jobs/view/4371614195")</f>
        <v/>
      </c>
      <c r="F109">
        <f>HYPERLINK("https://app.greenhouse.io/embed/job_app?token=8117673002&amp;urlHash=_8Go", "https://app.greenhouse.io/embed/job_app?token=8117673002&amp;urlHash=_8Go")</f>
        <v/>
      </c>
      <c r="G109" t="inlineStr"/>
      <c r="H109" t="inlineStr"/>
      <c r="I109" t="inlineStr">
        <is>
          <t>Rockerbox is building the next generation of marketing intelligence, and we’re looking for someone to help us build the AI systems everyone else just theorizes about. As a Staff AI Data Engineer, you’ll research, design, and architect data systems purpose\-built for AI agents, automations, and decisioning engines. You’ll also apply data science and model\-tuning techniques to optimize LLMs and solve complex marketing challenges for our clients.
 If you enjoy turning high\-volume data into clean, powerful systems—and you want your work to drive real business outcomes rather than just dashboards—this role puts you right at the center of the action.
**What You’ll Do**
* Apply bleeding edge AI theory to the design and implementation of large\-scale data systems that feed AI agents and autonomous workflows.
* Use data science techniques to fine\-tune, evaluate, and optimize LLMs for marketing\-specific tasks: attribution insights, anomaly detection, summarization, classification, and automated recommendations.
* Build end\-to\-end automations using LLMs, internal data, and external signals to eliminate repetitive human tasks.
* Build AI\-driven automations that reduce manual work across Rockerbox and unlock new client\-facing capabilities.
* Design retrieval, orchestration, and memory layers that make our AI agents smarter over time.
* Establish best practices for AI data quality, observability, experiments, and safety.
* Lead R\&amp;D initiatives: rapid prototyping, experimentation, model evaluations, and productionization.
* Mentor data scientists and engineers across organization to raise the bar on LLM use company\-wide.
**What You Bring**
* 8\+ years of experience in data engineering, AI, ML platforms, or large\-scale distributed systems.
* Hands\-on experience integrating LLMs into production systems (OpenAI, fine\-tuning, embeddings, RAG, vector stores, or custom agent orchestration).
* Strong understanding of experimentation, model evaluation, and performance tuning.
* You think in systems: storage, retrieval, metadata, reliability, latency, failure modes.
* Ability to work from ambiguity to execution — you’re comfortable being the first to figure something out.
* Strong communication skills: you can explain tradeoffs, scope decisions, and technical strategy clearly.
 The successful candidate’s starting salary will be determined based on a number of non\-discriminating factors, including qualifications for the role, level, skills, experience, location, and balancing internal equity relative to peers at DV.
 The estimated salary range for this role based on the qualifications set forth in the job description is between \[$128,000 \- $230,000]. This role will also be eligible for bonus/commission (as applicable), equity, and benefits.
 The range above is for the expectations as laid out in the job description; however, we are often open to a wide variety of profiles, and recognize that the person we hire may be more or less experienced than this job description as posted.
 Why You’ll Love Rockerbox: At Rockerbox, you’ll find a fast\-paced, results\-driven environment where your work has a direct impact on our growth and the success of our clients. Our iterative development process means you’ll see your contributions come to life quickly. You’ll join a supportive, light\-hearted team that values collaboration and innovation. We are committed to professional growth and will actively support your development in both technical and business domains.
**Not\-so\-fun fact:** 
 Research shows that while men apply to jobs when they meet an average of 60% of job criteria, women and other marginalized groups tend to only apply when they check every box. So if you think you have what it takes but you’re not sure that you check every box, apply anyway!</t>
        </is>
      </c>
    </row>
    <row r="110">
      <c r="A110" t="inlineStr">
        <is>
          <t>li-4371311004</t>
        </is>
      </c>
      <c r="B110" t="inlineStr">
        <is>
          <t>Lead Data Engineer</t>
        </is>
      </c>
      <c r="C110" t="inlineStr">
        <is>
          <t>Randstad Digital Americas</t>
        </is>
      </c>
      <c r="D110" t="inlineStr">
        <is>
          <t>linkedin</t>
        </is>
      </c>
      <c r="E110">
        <f>HYPERLINK("https://www.linkedin.com/jobs/view/4371311004", "https://www.linkedin.com/jobs/view/4371311004")</f>
        <v/>
      </c>
      <c r="F110">
        <f>HYPERLINK("https://www.randstadusa.com/jobs/4/1324349/lead-data-engineer_atlanta/&amp;urlHash=YbGB", "https://www.randstadusa.com/jobs/4/1324349/lead-data-engineer_atlanta/&amp;urlHash=YbGB")</f>
        <v/>
      </c>
      <c r="G110" t="inlineStr">
        <is>
          <t>Atlanta, GA</t>
        </is>
      </c>
      <c r="H110" t="inlineStr"/>
      <c r="I110" t="inlineStr">
        <is>
          <t>**Job Summary**
 We are seeking a highly skilled Lead Data Engineer to join a major financial services project. In this role, you will lead the design and implementation of large\-scale data solutions using Ab Initio and cloud\-native tools. This is an excellent opportunity to manage agile teams and drive complex data migrations within a high\-impact banking environment.
 location: Telecommute
 job type: Contract
 salary: $50\.00 \- 56\.20 per hour
 work hours: 8am to 5pm
 education: Bachelors
**Responsibilities**
* Lead and manage DWH and Cloud Agile teams through the full development lifecycle.
* Design, code, and deliver business solutions using Ab Initio, including Metaprogramming, PDL, and generic frameworks.
* Perform data migration and integration tasks for cloud applications.
* Identify the level of effort and enablers required for data ingestion and transformation within the Data Warehouse.
* Utilize Hadoop ecosystems, including Hive and Spark, for data processing.
* Coach team members and share expertise/insights to improve deliverables.
**Qualifications**
 5\+ years of expert experience with Ab Initio (including PDL and generic frameworks).
 Proven experience in the Banking or Financial Services industry.
 Strong technical background in AWS (S3, Redshift) and Hadoop (Hive, Spark).
 Demonstrated leadership experience in an Agile project setting.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t>
        </is>
      </c>
    </row>
    <row r="111">
      <c r="A111" t="inlineStr">
        <is>
          <t>li-4363233066</t>
        </is>
      </c>
      <c r="B111" t="inlineStr">
        <is>
          <t>Staff Data Platform Engineer - Weights &amp; Biases</t>
        </is>
      </c>
      <c r="C111" t="inlineStr">
        <is>
          <t>Weights &amp; Biases</t>
        </is>
      </c>
      <c r="D111" t="inlineStr">
        <is>
          <t>linkedin</t>
        </is>
      </c>
      <c r="E111">
        <f>HYPERLINK("https://www.linkedin.com/jobs/view/4363233066", "https://www.linkedin.com/jobs/view/4363233066")</f>
        <v/>
      </c>
      <c r="F111">
        <f>HYPERLINK("https://coreweave.com/careers/job?4653597006&amp;board=weights_and_biases&amp;gh_jid=4653597006&amp;urlHash=qEPe", "https://coreweave.com/careers/job?4653597006&amp;board=weights_and_biases&amp;gh_jid=4653597006&amp;urlHash=qEPe")</f>
        <v/>
      </c>
      <c r="G111" t="inlineStr">
        <is>
          <t>New York, NY</t>
        </is>
      </c>
      <c r="H111" t="inlineStr"/>
      <c r="I111"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CoreWeave, the AI Hyperscaler™, acquired Weights \&amp; Biases to create the most powerful end\-to\-end platform for AI development and deployment.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ML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and inference at scale, we’re combining forces to serve the full AI lifecycle — all in one seamless platform.
 Weights \&amp; Biases has long been trusted by over 1,000 organizations — including OpenAI, NVIDIA, Microsoft, and Toyota — to build better models.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machine learning, there's never been a more exciting time to join our team.
****What We Do:****
 The Data group at Weights \&amp; Biases works across the full range of data\-related topics:
* We help business partners set goals, make decisions, and understand the levers to achieve their goals.
* We build reporting to keep the business attuned and aligned.
* We build datasets and pipelines to support self\-service analysis.
* We train models to understand our customer growth, churn risk, and detect spam and abuse.
* We’re exploring novel benchmarks and recs for model training.
* We build and maintain a massive data platform to power it all.
****About The Role:****
 As a Staff Data Platform Engineer, you will:
* Build and operate the core data platform that powers reporting, self\-serve analytics, and data\-driven product decisions.
* Lead end\-to\-end platform initiatives—from design to rollout to operational ownership—balancing performance, cost, reliability, and developer experience.
* Partner closely with Data Scientists/Analysts and product engineering teams to improve telemetry quality and unlock new use cases on operational data.
* Design and scale ingestion and transformation systems that keep pace with rapid product growth and an increasingly distributed operational footprint.
* Build the platform with operability in mind: observability, on\-call readiness, incident response, and well\-documented runbooks.
* Participate in the data platform on\-call rotation after an onboarding period.
* Strategic goals for the team over the next 12 months:
+ Evolve our analytics architecture to effectively support multi\-petabyte scale by shifting high\-volume workloads to more scalable, cost\-effective compute and storage patterns, while maintaining (or improving) query performance and reliability.
+ Unify and standardize ingestion across a growing number of operational databases and deployment environments, enabling consistent governance, and observability as we scale from centralized infrastructure toward customer\-dedicated environments.
+ Lay foundations for internal applications (including ML/AI use cases) built on top of trustworthy, governed operational data.
 This role is ideal for engineers excited by platform evolution: scaling analytics beyond warehouse\-only load patterns, moving toward near\-real\-time ingestion, and standardizing data systems across an increasingly distributed operational footprint.
****Who You Are:****
* Deep knowledge (practical and theoretical) of data engineering and the accompanying workflows.
* History of writing easy\-to\-follow code and effective documentation for your projects.
* Expert knowledge of data orchestration / data pipeline tools (dbt, dagster, airflow, etc).
* Experience working with large \&amp; high demand data warehouses / platforms. Multi\-PB scale, with extreme business demand of the systems.
* Experience evolving architectures as scale changes (e.g., warehouse\-only → hybrid / lakehouse\-style patterns; storage/compute separation; open table formats).
* Expert knowledge and understanding of web apps and best practices for logging and event instrumentation.
* Ability to clearly communicate your ideas to folks across a range of backgrounds and levels of technical knowledge.
****Preferred:****
* Autonomous: If you work well in a self\-directed environment, and proactively find ways to improve processes and collaborate with team members or engaged users, your initiative will really shine in this role.
* Outgoing and friendly: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Theoretical or practical knowledge of machine learning workflows and terminology.
**Why Us?**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pay and target total cash for this position range from $188,000 to $275,000,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12">
      <c r="A112" t="inlineStr">
        <is>
          <t>li-4371476982</t>
        </is>
      </c>
      <c r="B112" t="inlineStr">
        <is>
          <t>Reporting Developer Senior - Cloud Analytics Data Engineer Senior</t>
        </is>
      </c>
      <c r="C112" t="inlineStr">
        <is>
          <t>Gulfstream Aerospace</t>
        </is>
      </c>
      <c r="D112" t="inlineStr">
        <is>
          <t>linkedin</t>
        </is>
      </c>
      <c r="E112">
        <f>HYPERLINK("https://www.linkedin.com/jobs/view/4371476982", "https://www.linkedin.com/jobs/view/4371476982")</f>
        <v/>
      </c>
      <c r="F112" t="inlineStr"/>
      <c r="G112" t="inlineStr">
        <is>
          <t>Savannah, GA</t>
        </is>
      </c>
      <c r="H112" t="inlineStr"/>
      <c r="I112" t="inlineStr">
        <is>
          <t>**Reporting Developer Senior \- Cloud Analytics Data Engineer Senior in GAC Savannah**
**Unique Skills**
 Azure Databricks or Microsoft Fabric Data Engineer Skillset Requirements:
**General**
* Minimum 5 years experience with Azure Databricks or Python ETL Pipelines
* Experience with medallion framework architecture and ingesting data from on\-premise systems to either Azure Databricks or Microsoft Fabric
* Expertise in writing production\-grade Python code for data ingestion, transformation, and export, including use of unit testing, building reusable frameworks, error handling, disaster recover, and logging frameworks.
**Preferred Certifications**
* Databricks Certified Data Engineer Professional
* And / Or Microsoft Certified: Azure Data Engineer Associate
**Databricks**
 Either one of the following (Databricks or Microsoft Fabric):
* Deep understanding of Unity Catalog, data lineage, access control, and audit logging, with the ability to enforce enterprise\-wide data governance policies.
* Proven ability to design and implement scalable, cost optimized, fault\-tolerant data pipelines using Databricks Workflows, Declarative Pipelines, Delta Lake, and Auto Loader, with a focus on modularity and reusability.
* Experience securely ingesting data from on\-premise databases (e.g., SQL Server, Oracle) using CDC and batch based methodologies by extending existing pipelines or creating new pipelines.
* Ability to implement and manage CI/CD pipelines for Databricks notebooks and workflows using Azure DevOps, Terraform, and Databricks Asset Bundles including automated testing and deployment.
* Familiarity with serverless cost models, usage monitoring, and optimization strategies to ensure efficient resource utilization and budget adherence.
**Microsoft Fabric**
* Deep understanding of Lakehouse and Warehouse architecture and security
* Proven ability to configure pipelines, pipeline coordination, and pipeline monitoring
* Experience with performance optimization and monitoring
* Semantic modeling and Power BI experience
**Education And Experience Requirements**
 Bachelor's Degree in Information Technology, Computer Science, Engineering or relevant curriculum required or equivalent combination of education and experience sufficient to successfully perform the essential functions of the job. 9 years relevant business/technical experience to include five (5\) years specific reporting, data analytics, or related technical development/deployment experience. Master's Degree may be used to offset one (1\) year of experience; PhD may offset two (2\) years of experience.
 **Position Purpose** 
 :This is a data and analytics development role within the Gulfstream Business Technology organization for the Enterprise Reporting team. This role directly supports the suite of Gulfstream Enterprise Reporting applications. Responsible for developing requirements, solution development, testing, deployment, and support of enterprise reporting solutions.
**Job Description**
 Principle Duties and Responsibilities:Essential Functions:
* Engages stakeholders and technology users in identifying, analyzing, and documenting business requirements.
* Creates plans according to schedules and assignments, and acts independently to carry them out.
* Assures that solution designs meet requirements for scalability, performance and quality in accordance with negotiated service level agreements. Drives decisions related to architecture and design.
* Delegates tasks and/or responsibilities to team members for action according to their level of experience and assigned accountability.
* Ensures applications processes are followed consistently and are in compliance with applicable policies, procedures, standards, etc.
* Performs work related to configuring, deploying, maintaining, and upgrading reporting and data analytics applications and processes. Responsible for tasks related to the development and deployment of systems, methodologies, standards and processes that result in the ability to create and manage the technical solutions.
* Supports management in recruiting, hiring, and career development.
* Assists with the development of work breakdown structures, project plans, and skills required. to develop and implement applications.
* Documents, develops, tests, deploys, and supports reporting and data analytics development using a variety of technical tools in support of business requirements.
 Additional Functions:
* Conducts briefings and participates in technical meetings concerning specific projects or other activities. .
* Serves as technical expert in one or more applications within a portfolio. .
 Perform other duties as assigned.Other Requirements:
* Experience with Agile development methodology and working on an agile team preferred. Multiple agile based project deliveries and certified scrum master preferred.
* Demonstrated understanding of software development lifecycle methodologies (SDLC).
* Experience in conducting testing including design and execution of test cases.
* Demonstrated capability to understand high volume / high complexity data structures to deliver analytics solutions that drive business insight and value.
* Excellent presentation design and delivery skills.
* Ability to lead/facilitate cross\-functional teams and meetings.
 A credit history check from a national credit bureau will be conducted for all candidates for this position including new hires and current employees seeking promotion or transfer. This job requires one to be able to read, write, speak, and understand the English language.
**Additional Information**
 Requisition Number: 230957
 Category: Information Systems
 Percentage of Travel: Up to 25%
 Shift: First
 Employment Type: Full\-time
 Posting End Date: 02/25/2026
 Equal Opportunity Employer / Individuals with Disabilities / Protected Veterans
 Gulfstream does not provide work visa sponsorship for this position, unless the applicant is a currently sponsored Gulfstream employee.
 Copyright © 2025 Gulfstream Aerospace Corporation. All Rights Reserved.
 Gulfstream Aerospace Corporation, a wholly\-owned subsidiary of General Dynamics (NYSE: GD), designs, develops, manufactures, markets, services and supports the world's most technologically\-advanced business jet aircraft</t>
        </is>
      </c>
    </row>
    <row r="113">
      <c r="A113" t="inlineStr">
        <is>
          <t>li-4371468490</t>
        </is>
      </c>
      <c r="B113" t="inlineStr">
        <is>
          <t>Sr. Distinguished Data Engineer</t>
        </is>
      </c>
      <c r="C113" t="inlineStr">
        <is>
          <t>Capital One</t>
        </is>
      </c>
      <c r="D113" t="inlineStr">
        <is>
          <t>linkedin</t>
        </is>
      </c>
      <c r="E113">
        <f>HYPERLINK("https://www.linkedin.com/jobs/view/4371468490", "https://www.linkedin.com/jobs/view/4371468490")</f>
        <v/>
      </c>
      <c r="F113">
        <f>HYPERLINK("https://dsp.prng.co/bEizK-b&amp;urlHash=M6Ca", "https://dsp.prng.co/bEizK-b&amp;urlHash=M6Ca")</f>
        <v/>
      </c>
      <c r="G113" t="inlineStr">
        <is>
          <t>Cambridge, MA</t>
        </is>
      </c>
      <c r="H113" t="inlineStr"/>
      <c r="I113"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 Zero\-Registration Observability: Implement an automated discovery framework for 100% systemic data flow visibility without manual registration.
* Deterministic Inference Engine: Engineer an SCA/AST\-based inference engine to map data logic in imperative code for compliance\-grade lineage.
* Data Passport Protocol: Define a cross\-boundary protocol to embed immutable metadata for end\-to\-end traceability across external systems.
* Advanced Static Analysis: Develop language\-agnostic parsers to interpret data flow intent from codebases without requiring execution.
* Autonomous Triage: Interface the DCG with AI agents via MCP to enable autonomous Root Cause Analysis and real\-time failure remediation.
* Map Data Movement: Prototype infrastructure\-level data interception using kernel\-level tools to create a geographic map of enterprise data movement.
* Simplification \&amp; Governance: Consolidate fragmented metadata silos into a single queryable graph and automate capture to eliminate documentation overhead.
**Basic Qualifications:**
* Bachelor’s Degree
* At least 9 years of experience in data engineering
* At least 5 years of experience in data architecture
* At least 3 years of experience building applications in AWS
**Preferred Qualifications:**
* Masters’ Degree
* 10\+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$314,800 \- $359,300 for Sr Distinguished Data Engineer
 McLean, VA: $314,800 \- $359,300 for Sr Distinguished Data Engineer
 Richmond, VA: $286,200 \- $326,700 for Sr Distinguished Data Engineer
 San Francisco, CA: $343,400 \- $392,000 for Sr Distinguished Data Engineer
 San Jose, CA: $343,400 \- $392,000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4">
      <c r="A114" t="inlineStr">
        <is>
          <t>li-4332071806</t>
        </is>
      </c>
      <c r="B114" t="inlineStr">
        <is>
          <t>Postgres Database Administrator (DBA) / Data Engineer</t>
        </is>
      </c>
      <c r="C114" t="inlineStr">
        <is>
          <t>Nodal Exchange</t>
        </is>
      </c>
      <c r="D114" t="inlineStr">
        <is>
          <t>linkedin</t>
        </is>
      </c>
      <c r="E114">
        <f>HYPERLINK("https://www.linkedin.com/jobs/view/4332071806", "https://www.linkedin.com/jobs/view/4332071806")</f>
        <v/>
      </c>
      <c r="F114">
        <f>HYPERLINK("https://nodalexchange.pinpointhq.com/postings/25827efd-6380-4ed4-9293-1907dfbea794/applications/new?utm_medium=job_board&amp;utm_source=linkedIn&amp;urlHash=FJQz", "https://nodalexchange.pinpointhq.com/postings/25827efd-6380-4ed4-9293-1907dfbea794/applications/new?utm_medium=job_board&amp;utm_source=linkedIn&amp;urlHash=FJQz")</f>
        <v/>
      </c>
      <c r="G114" t="inlineStr">
        <is>
          <t>Tysons Corner, VA</t>
        </is>
      </c>
      <c r="H114" t="inlineStr"/>
      <c r="I114" t="inlineStr">
        <is>
          <t>**Department:** 
 Technology
**Location:** 
 Tysons Corner
**Compensation:** 
 $110,000 \- $150,000 / year
**Description**
 Nodal Exchange, the largest power futures exchange in North America, is a derivatives exchange providing price, credit and liquidity risk management to participants. Nodal Exchange is a leader in innovation, having introduced the world's largest sets of environmental and electric power futures and options contracts. All transactions on Nodal Exchange (power, environmental and natural gas) are cleared through its wholly owned subsidiary, Nodal Clear, using its award\-winning portfolio margining methodology. As leaders in innovation, Nodal Exchange and Nodal Clear have built in\-house most of the trading and clearing platforms that fuel our business. Nodal Exchange is part of the EEX Group which is in turn part of the Deutsche Börse Group.
 We are now looking for talented, innovative individuals to join our team in Tyson’s Corner, VA (DC Metro area).
**Key Responsibilities**
***Primary responsibilities include:***
**Postgres Data Engineer**
 The TechOps team scope at Nodal Exchange covers all data services within the organization including production database management, data transformation processes, reporting infrastructure, test data management, data modeling, and more. Across these areas, Nodal seeks to use a project delivery model in which the TechOps team takes responsibility for identifying needs and opportunities and designing solutions, then implementing and deploying them, following up with ongoing monitoring and continuous improvement.
 Nodal seeks candidates who have significant experience with technology delivery and database administration but seek to advance their career by deepening their skills across infrastructure/networking and continuously improving Nodal’s data architecture.
 This candidate will be responsible for providing Data support to teams across the company. The candidate is also expected to provide responsive database operational support and modernize data warehouse and reporting solutions. You will be part of a team with cross\-divisional responsibility for Data Warehousing, Data Self Services, Big Data and Data Science within a regulated environment. The candidate is expected to be able to fully understand all components of data architecture (physical/logical replication, monitoring, provisioning, performance tuning at both SQL/system levels, etc.).
 The TechOps team scope at Nodal Exchange covers all data services within the organization including production database management, data transformation processes, reporting infrastructure, test data management, data modeling, and more. Across these areas, Nodal seeks to use a project delivery model in which the TechOps team takes responsibility for identifying needs and opportunities and designing solutions, then implementing and deploying them, following up with ongoing monitoring and continuous improvement.
 Nodal seeks candidates who have significant experience with technology delivery and database administration but seek to advance their career by deepening their skills across infrastructure/networking and continuously improving Nodal’s data architecture.
 This candidate will be responsible for providing Data support to teams across the company. The candidate is also expected to provide responsive database operational support and modernize data warehouse and reporting solutions. You will be part of a team with cross\-divisional responsibility for Data Warehousing, Data Self Services, Big Data and Data Science within a regulated environment. The candidate is expected to be able to fully understand all components of data architecture (physical/logical replication, monitoring, provisioning, performance tuning at both SQL/system levels, etc.).
**Requirements**
**Skills, Knowledge \&amp; Expertise**
* Minimum 4\+ years’ experience with database administration including operation, administration (patching, backup/restore, replication), and SQL performance tuning
* Expert understanding of how database internals function (Write\-Ahead Logging, Point\-in\-time recovery, database optimizers, query planning and optimization, etc.)
* Strong Linux experience
* Excellent communication skills
* Experience using JIRA, Confluence
* Bachelor’s degree or higher in CS, MIS, Mathematics, or related field
* Familiarity with cloud technologies like AWS’ data offerings
* Up to date with latest developments in database technology (PostgreSQL or whichever RDBMS they work with most frequently)
* Experience building ETL Pipelines
* Capable of being part of a team with on\-call responsibilities for after\-hours emergencies
***Preferred:***
* Experience with data obfuscation (masking)
* Experience migrating data solutions from on\-premises servers to Cloud
* Experience using Python and/or R
* Familiarity with Ansible and Terraform
**Salary Range: $110,000 \- $150,000 per year base salary, when annualized
 Pay Transparency Notice** 
 : The salary range is based on the D.C. metro area, the successful candidate’s starting salary will vary depending on permissible, non\-discriminatory factors including but not limited to qualifications, skills, and experience. Nodal also offers a wide range of benefits and perks for full\-time employees, which may include target bonuses.
**Job Benefits**
 Nodal Exchange, LLC does not discriminate on the basis of race, color, religion, sex, gender, sexual orientation, gender identity or expression, pregnancy, parental status, marital status, citizenship, national origin, age, disability, genetic information, military status, veteran status, physical or mental health, hairstyle, or any other characteristic protected by federal, state or local law with respect to recruitment, hiring, training, promotion, or in any other terms and conditions of employment. Nodal Exchange is an E\-verify participant.</t>
        </is>
      </c>
    </row>
    <row r="115">
      <c r="A115" t="inlineStr">
        <is>
          <t>li-4371192267</t>
        </is>
      </c>
      <c r="B115" t="inlineStr">
        <is>
          <t>Senior Data Engineer (Azure)</t>
        </is>
      </c>
      <c r="C115" t="inlineStr">
        <is>
          <t>Jobs via Dice</t>
        </is>
      </c>
      <c r="D115" t="inlineStr">
        <is>
          <t>linkedin</t>
        </is>
      </c>
      <c r="E115">
        <f>HYPERLINK("https://www.linkedin.com/jobs/view/4371192267", "https://www.linkedin.com/jobs/view/4371192267")</f>
        <v/>
      </c>
      <c r="F115" t="inlineStr"/>
      <c r="G115" t="inlineStr">
        <is>
          <t>Chicago, IL</t>
        </is>
      </c>
      <c r="H115" t="inlineStr"/>
      <c r="I115" t="inlineStr">
        <is>
          <t>We are looking for a Senior Data Engineer to support our modernization efforts. This role focuses on building and maintaining data pipelines, data models, and analytics environments as we move from legacy systems to a modern, cloud\-native platform on Microsoft Azure.
 This role does require the ability to obtain a public trust clearance!
**Responsibilities:**
* Build and maintain scalable data pipelines on Azure.
* Develop data ingestion, transformation, and processing solutions.
* Work with engineers, analysts, and business teams to understand data needs.
* Support reporting and analytics by ensuring data is accurate and accessible.
* Automate repetitive data tasks and create reusable code.
* Optimize pipelines for performance, cost, and security.
* Manage data storage solutions such as data lakes and data warehouses.
* Document data processes and follow data governance standards.
* Monitor pipelines, troubleshoot issues, and ensure stability.
* Mentor junior team members and participate in code reviews.
**Required Qualifications:**
* Strong experience with Python, Airflow, Data Modeling, Azure DevOps.
* Ability to obtain a public trust clearance.
* Database experience with SQL and NoSQL.
* Experiencex with Azure Synapse, Azure Data Factory, Databricks, ADLS, Azure SQL, and Power BI.
* Knowledge of ETL processes, data warehousing, and cloud architecture.
**Job Type \&amp; Location**
 This is a Contract position based out of Chicago, IL.
**Pay And Benefits**
 The pay range for this position is $65\.00 \- $80\.00/hr.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remote position.
**Application Deadline**
 This position is anticipated to close on Feb 24,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16">
      <c r="A116" t="inlineStr">
        <is>
          <t>li-4350797708</t>
        </is>
      </c>
      <c r="B116" t="inlineStr">
        <is>
          <t>MDM Data Engineer</t>
        </is>
      </c>
      <c r="C116" t="inlineStr">
        <is>
          <t>Jobs via eFinancialCareers</t>
        </is>
      </c>
      <c r="D116" t="inlineStr">
        <is>
          <t>linkedin</t>
        </is>
      </c>
      <c r="E116">
        <f>HYPERLINK("https://www.linkedin.com/jobs/view/4350797708", "https://www.linkedin.com/jobs/view/4350797708")</f>
        <v/>
      </c>
      <c r="F116" t="inlineStr"/>
      <c r="G116" t="inlineStr">
        <is>
          <t>Springfield, MA</t>
        </is>
      </c>
      <c r="H116" t="inlineStr"/>
      <c r="I116" t="inlineStr">
        <is>
          <t>**Objectives of the role**
 As an MDM Data Engineer, you will work in a fast\-paced, innovative, and collaborative environment on exciting data management directives. You will design, build, and measure complex Informatica Power Center and MDM processes to master data for different Master Data domains in MassMutual. This role involves working on a range of projects including batch pipelines, data modeling, and Master Data solutions to implement robust data collection and processing pipelines to meet specific business needs.
**The Team**
 The Data Platform Data Engineering team comprises a diverse group of data engineers, analysts, and data architects who are passionate about data integrity and innovation. The team is motivated by the opportunity to drive business decisions through accurate and reliable data. We foster a collaborative culture where knowledge\-sharing and continuous learning are encouraged. Our MDM team is dedicated to mastering data management processes that are essential for MassMutual's data\-driven strategies.
**The Impact:**
* Design, construct, and evaluate intricate ELT/ETL tasks: Assimilate data from diverse sources into a high\-quality, reliable data repository, directly impacting the accuracy of MassMutual's data\-driven decisions.
* Develop Master Data Management (MDM) solutions: Implement solutions across various master data domains within MassMutual, ensuring data consistency and reliability.
* Provide comprehensive support for MDM solutions: Manage data ingestion, master record creation, outbound data extracts, and API integration to maintain seamless data operations.
* Implement data modeling policies and procedures: Establish standards for data modeling, contributing to the efficiency and consistency of data processes.
* Collaborate across departments: Engage with various teams to understand emerging data patterns, translating high\-level business needs into precise technical specifications.
* Actively engage in the development and rollout of MDM Solutions and other Information Management initiatives at MassMutual.
* Establish data quality benchmarks and develop tools/processes to ensure data accuracy.
**The Minimum Qualifications**
* Bachelor’s degree in computer science or engineering.
* 5\+ years of experience with Informatica Power Center.
* 5\+ years of experience in data analytics, data modeling, and database design.
* 3\+ years of coding and scripting (Python, Java, Scala) and design experience.
* 3\+ years of experience with the Informatica MDM platform in the customer/party subject area.
* 3\+ years of experience in ELT methodologies, SQL tuning, and troubleshooting.
* 3\+ years of experience with Oracle database and AWS.
* 2\+ years of experience with basic UNIX commands and shell scripts.
**The Ideal Qualifications**
* Master’s degree in computer science or engineering.
* Familiarity with agile project delivery processes.
* Proficiency in SQL and data access/analysis.
* Ability to manage diverse projects impacting multiple roles and processes.
* Experience with Python, Kafka, and database technologies like Vertica or Redshift.
* Experience designing and implementing automated ETL processes.
* Experience with RESTful APIs and near real\-time mastering via SIF.
* Willingness to provide Level 2 support for batch processing cycles outside business hours.
**What to Expect as Part of MassMutual and the Team**
* Regular collaboration with the Data Management Team.
* Focused one\-on\-one time with your manager.
* Access to mentorship opportunities.
* Networking opportunities, including access to Asian, Hispanic/Latinx, African American, women, LGBTQ, veteran, and disability\-focused Business Resource Groups.
* Access to learning content on Degreed and other informational platforms.
* Your ethics and integrity will be valued by a company with a strong and stable ethical business, with industry\-leading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t>
        </is>
      </c>
    </row>
    <row r="117">
      <c r="A117" t="inlineStr">
        <is>
          <t>li-4371199080</t>
        </is>
      </c>
      <c r="B117" t="inlineStr">
        <is>
          <t>Lead Data Engineer - (Salesforce Development and DataStage ETL)</t>
        </is>
      </c>
      <c r="C117" t="inlineStr">
        <is>
          <t>Jobs via Dice</t>
        </is>
      </c>
      <c r="D117" t="inlineStr">
        <is>
          <t>linkedin</t>
        </is>
      </c>
      <c r="E117">
        <f>HYPERLINK("https://www.linkedin.com/jobs/view/4371199080", "https://www.linkedin.com/jobs/view/4371199080")</f>
        <v/>
      </c>
      <c r="F117" t="inlineStr"/>
      <c r="G117" t="inlineStr">
        <is>
          <t>Michigan, United States</t>
        </is>
      </c>
      <c r="H117" t="inlineStr"/>
      <c r="I117" t="inlineStr">
        <is>
          <t>Dice is the leading career destination for tech experts at every stage of their careers. Our client, TekShapers, is seeking the following. Apply via Dice today!
**Lead Data Engineer \- (Salesforce Development and DataStage ETL)**
**Location : Cincinnati, OH (Remote )**
**Duration : Long term**
**Technical Skills**
* Must Have 2\+ years salesforce application salesforce development
* 3\+ years of proven experience with IBM DataStage.
* Business Intelligence \- Systems/ETL
* Deep experience performing mapping, cleansing, deduplication, validation, and reconciliation for large datasets migration experience SQL
* Nice To Have Experience in banking, regulatory, or compliance\-driven data migrations.
* nCino Proven experience leading data migration workstreams or teams
**Summary:**
* Lead Data Engineer to oversee and guide complex, enterprises cale Salesforce data migration initiatives.
* This role provides technical leadership, solution direction, quality oversight, and execution leadership across all phases of data migration \- from mapping and extraction through transformation, validation, mock runs, cutover, and reconciliation.
* You will work closely with Salesforce architects, business SMEs, DataStage developers, enterprise data teams, and project leadership to ensure the migration is accurate, compliant, repeatable, scalable, and fully documented.
* This is a hands\-on leadership role, not an architecture\-only position \- you will design, review, troubleshoot, and build at key points, while guiding other engineers in execution.
 "Tekshapers is an equal opportunity employer and will consider all applications without regards to race, sex, age, color, religion, national origin, veteran status, disability, sexual orientation, gender identity, genetic information or any characteristic protected by law."</t>
        </is>
      </c>
    </row>
    <row r="118">
      <c r="A118" t="inlineStr">
        <is>
          <t>li-4371195173</t>
        </is>
      </c>
      <c r="B118" t="inlineStr">
        <is>
          <t>Senior Data Engineer Azure</t>
        </is>
      </c>
      <c r="C118" t="inlineStr">
        <is>
          <t>Jobs via Dice</t>
        </is>
      </c>
      <c r="D118" t="inlineStr">
        <is>
          <t>linkedin</t>
        </is>
      </c>
      <c r="E118">
        <f>HYPERLINK("https://www.linkedin.com/jobs/view/4371195173", "https://www.linkedin.com/jobs/view/4371195173")</f>
        <v/>
      </c>
      <c r="F118" t="inlineStr"/>
      <c r="G118" t="inlineStr">
        <is>
          <t>Dallas, TX</t>
        </is>
      </c>
      <c r="H118" t="inlineStr"/>
      <c r="I118" t="inlineStr">
        <is>
          <t>Dice is the leading career destination for tech experts at every stage of their careers. Our client, Purple Drive Technologies LLC, is seeking the following. Apply via Dice today!
**Role\- Senior Data Engineer \-Azure**
**Location\- Remote**
**Experience:** 
 8\-12 Years
**Role Summary**
 Seeking a Senior Data Engineer with strong API and Azure experience to design scalable data platforms, develop pipelines, and support cloud migration initiatives. The role requires solving complex business problems, optimizing data systems, and collaborating across teams to deliver high\-quality solutions.
**Key Responsibilities**
* Develop and support APIs and Azure Functions (Python).
* Build scalable data pipelines and migrate legacy platforms to Azure.
* Write and optimize complex SQL queries.
* Perform full lifecycle development and testing.
* Troubleshoot multi\-threaded and distributed systems.
* Collaborate with technical and business teams to deliver data\-driven solutions.
**Required Skills**
* 3\+ years Python and/or Azure SQL experience.
* 3\+ years data engineering with large datasets.
* Strong SQL optimization skills.
* Experience with Azure tools such as Databricks, Data Factory, Event Hub, Synapse, Delta Lake, Cosmos DB.
* Knowledge of Git, Jenkins, or similar CI/CD tools.
* Strong analytical, communication, and problem\-solving skills.
**Preferred**
* Big Data and NoSQL experience.
* Public cloud exposure (Azure/AWS).
* Agile methodology experience.
* Experience leading large projects.</t>
        </is>
      </c>
    </row>
    <row r="119">
      <c r="A119" t="inlineStr">
        <is>
          <t>li-4371488474</t>
        </is>
      </c>
      <c r="B119" t="inlineStr">
        <is>
          <t>Senior Data Engineer</t>
        </is>
      </c>
      <c r="C119" t="inlineStr">
        <is>
          <t>PMAT, Inc.</t>
        </is>
      </c>
      <c r="D119" t="inlineStr">
        <is>
          <t>linkedin</t>
        </is>
      </c>
      <c r="E119">
        <f>HYPERLINK("https://www.linkedin.com/jobs/view/4371488474", "https://www.linkedin.com/jobs/view/4371488474")</f>
        <v/>
      </c>
      <c r="F119" t="inlineStr"/>
      <c r="G119" t="inlineStr">
        <is>
          <t>San Diego, CA</t>
        </is>
      </c>
      <c r="H119" t="inlineStr"/>
      <c r="I119" t="inlineStr">
        <is>
          <t>**About Us:** 
 PMAT is an innovative small business founded with a passion for developing forward\-leaning solutions from exceptional people that increase the mission's capability. We focus on designing and building impactful digital solutions that utilize modern cloud, data, and software concepts. Our passion is working on complex and progressive challenges such as edge platform computing, containerizing legacy platforms, distributed data platforms, or heterogeneous data analysis. We recruit, retain, and foster a team motivated to pursue passions, investigate new ways of doing things, and embody an innovative and entrepreneurial spirit.
 We believe in being curious about every element of a problem and experiment relentlessly. We foster continuous learning in an environment that encourages positive collaboration and expands our capabilities. We tap into collective intelligence, acknowledging that the most brilliant people may not be in the room. Above all else, we believe that delivering and demonstrating is more potent than a sheet of paper. We are passionate about mission\-centric design and delivering effective capabilities to and for the warfighter.
 Whether you’re an experienced engineer or just beginning your career, you’ll work alongside experts who are committed to solving mission\-critical problems. If you’re passionate about using your skills to make a real difference, apply today and become part of a team that’s shaping the future of defense technology!
**About the Role:** 
 PMAT is seeking a Senior Data Engineer to design, build, and operationalize advanced data pipelines and analytics supporting Naval and DoD mission challenges. This role requires deep experience across data engineering, distributed systems, event streaming, cloud data frameworks, and mission\-focused analytics. The Senior Data Engineer will support complex data integration efforts, collaborate with cross\-functional engineering teams, and lead data architecture improvements aligned with operational Navy needs.
**Responsibilities:** 
* Collaborate with cross\-functional teams to understand and address Navy operational challenges using data pipelines and analytics.
* Design, develop, and implement data pipelines and analytics for naval applications.
* Perform exploratory data analysis, algorithm development, and testing.
* Normalize and structure data to common standards for interoperability.
* Work with multiple data formats, including CSV, JSON, XML, Parquet, and ORC.
* Develop and deploy data pipelines and analytics in real\-world operational environments.
* Deploy, monitor, and optimize data pipelines to ensure high performance and reliability.
* Implement event streaming pipelines using Apache Kafka, AWS Kinesis, RabbitMQ, or ZeroMQ.
* Utilize distributed computing platforms such as AWS Lambda, Dask, or Spark.
* Leverage cloud\-native tools including AWS S3, RDS, EFS, SNS, and SQS.
* Utilize data pipeline frameworks such as AirByte, Apache Airflow, dbt, Apache Iceberg, and Snowflake.
* Work with GIS data using ArcGIS, PostGIS, and related tooling.
* Implement containerized environments using Docker or Kubernetes.
* Apply cybersecurity principles in the context of secure DoD data applications.
* Communicate findings and engineering solutions effectively with technical and mission stakeholders.
**Required Skills and Experience:** 
* At least 10 years of experience as a business analyst, data analyst, data scientist, data engineer, database administrator, geospatial analyst/engineer, machine learning engineer, or software engineer.
* Strong programming skills in Python.
* Programming experience in Go or Rust.
* Proven experience designing, developing, and deploying complex data pipelines.
* Familiarity with data formats including CSV, JSON, XML, Parquet, ORC.
* Familiarity with event streaming technologies: Kafka, AWS Kinesis, RabbitMQ, ZeroMQ.
* Experience deploying, monitoring, and optimizing operational data pipelines.
* Expertise in Elasticsearch, Redis, S3, PostgreSQL, or related datastores.
* Experience with AWS data services (EFS, RDS, S3, SNS, SQS).
* Experience with distributed computing: AWS Lambda, DASK, Spark.
* Familiarity with AirByte, Airflow, dbt, Iceberg, Snowflake.
* Experience integrating and retrieving GIS data (ArcGIS, PostGIS).
* Strong analytical and problem\-solving skills.
* Excellent communication skills in a collaborative team environment.
* Previous experience supporting government agencies or military organizations.
* Ability to safely carry tools, equipment, and materials aboard ship, including ascending and descending shipboard ladders(stairwells) and navigating confined spaces while maintaining required points of contact. Tools and equipment will weigh no more than 50 lbs.
* Ability to perform required work aboard Navy vessels and in shipboard environments, including navigating narrow passageways, ascending, and descending ladders (stairwells), working on elevated platforms, and operating in variable sea conditions.
* Ability to perform activities on a reoccurring basis during shipboard operations or testing evolutions.
* Ability to comply with Navy safety requirements and wear required personal protective equipment (PPE).
* Ability to operate in a DDIL office environment
 Reasonable accommodations may be provided to enable qualified individuals to meet these requirements and perform the essential functions of the position.
**Preferred Skills and Experience:** 
* Experience leading data engineering efforts in secure DoD environments.
* Experience working with NAVWAR, NIWC Pacific, or naval C2/ISR programs.
* Experience architecting data solutions across multi\-domain or cross\-domain systems.
* Familiarity with MLOps pipelines or AI\-enabled analytics workflows.
* Experience with cloud\-native data architecture and API design.
**Education and Certification Requirements:** 
* Master of Science in Computer Science, Data Science, Geography, Math, Machine Learning, or Statistics.
* Additional certifications in data engineering, cloud, geospatial, or cybersecurity are a plus if required by contract.
**Citizenship and Clearance Requirements:** 
* US Citizenship
* No dual citizenship
* Active DoD TS/SCI clearance required
**Location:** 
* On Site
* NAVWAR
* San Diego
**Travel:** 
* Up to 15% CONUS, and limited OCONUS if mission requires.
**Work Environment:** 
 PMAT offices as needed. In some cases, work in a government facility may be required. Travel may be required for customer engagement, team coordination, and mission execution.
 PMAT is an equal\-opportunity employer. We believe in hiring a diverse workforce and sustaining an inclusive, people\-first culture. We are committed to non\-discrimination on any protected basis, such as disability and veteran status, or any other basis covered under applicable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2026-02-11T21:20:14Z</dcterms:created>
  <dcterms:modified xsi:type="dcterms:W3CDTF">2026-02-11T21:20:14Z</dcterms:modified>
</cp:coreProperties>
</file>