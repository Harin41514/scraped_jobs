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in-fa9c13b57920c8c5</t>
        </is>
      </c>
      <c r="B2" t="inlineStr">
        <is>
          <t>Applied Machine Learning Engineer Expert</t>
        </is>
      </c>
      <c r="C2" t="inlineStr">
        <is>
          <t>Allstate Insurance</t>
        </is>
      </c>
      <c r="D2" t="inlineStr">
        <is>
          <t>indeed</t>
        </is>
      </c>
      <c r="E2" t="inlineStr"/>
      <c r="F2" t="inlineStr"/>
      <c r="G2" t="inlineStr">
        <is>
          <t>Remote, US</t>
        </is>
      </c>
      <c r="H2" s="2" t="n">
        <v>46063</v>
      </c>
      <c r="I2"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expert role will be responsible for multiple major technical aspects and forward engineering in the field of machine learning, information retrieval, artificial intelligence, natural language processing, and ontology engineering technologies. Plays a key role in the vision and realization of cutting\-edge technical capabilities into business applications and solutions.
We are looking for a **Generative AI Software Engineer** to join our team and help build next\-generation AI\-driven solutions. This role blends **traditional Software engineering** with **cutting\-edge AI integration**, enabling innovative digital products and services. You will work closely with cross\-functional teams to design, develop, and deploy secure, scalable applications and integrate advanced AI models into production environments.
**Key Responsibilities**
**Sofware Engineering**
* Build secure, scalable, and high\-performance microservices and applications using **Java Spring Boot / Python**.
* Design and maintain **RESTful APIs** and microservices architecture with asynchronous processing.
* Deploy and manage applications on cloud platforms, preferably **Microsoft Azure**.
**AI Integration \&amp; Development**
* Integrate and deploy **Generative AI models** (e.g., OpenAI, Hugging Face, LangChain) into production environments.
* Optimize **LLMs** for specific use cases and implement **RAG (Retrieval\-Augmented Generation)** pipelines.
* Work with **embedding models**, **vector databases**, and **prompt engineering** techniques.
* Explore **multi\-modal AI systems** and **agentic AI frameworks** for advanced capabilities.
**Modern Development Practices**
* Leverage tools like **GitHub Copilot** and agentic AI for code reviews, unit testing, and pull requests.
* Leverage APM tools like DataDog to enhance Observability posture for your application.
* Collaborate with platform consultants, product engineers, and digital product managers to integrate AI solutions.
**MLOps \&amp; Model Deployment**
* Implement best practices for **model deployment, scaling, versioning, and monitoring**.
* Develop and maintain scalable **data pipelines** for ingestion, processing, and feature engineering.
* Ensure compliance with **ethical AI standards** and data governance as per Allstate standards.
**Required Qualifications**
* **3\+ years** of backend development experience using **Java Spring Boot / Python**.
* Strong understanding of **RESTful APIs**, **microservices architecture**, and **asynchronous processing**.
* Hands\-on experience with **Docker**, **Kubernetes**, and **CI/CD pipelines**.
* Experience working with **Generative AI APIs** and/or open\-source models.
* Knowledge of **LangChain**, **LLM orchestration**, and **prompt engineering**.
**Preferred Skills**
* Exposure to **multi\-modal AI systems** and **agentic AI frameworks**.
* Experience with **MLOps workflows** and cloud deployment (**Azure/AI Foundry preferred**).
* Strong problem\-solving and debugging skills.
**Nice to Have**
* Knowledge of **ethical AI practices** and compliance frameworks.
Familiarity with **data preprocessing**, **token management**, and **embedding generation**
\#LI\-PG1
**Skills**
AI Frameworks, Artificial Intelligence (AI), Large Language Model (LLM) Fine\-Tuning, Large Language Models (LLMs), Machine Learning (ML)**Compensation**
Compensation offered for this role is 169,600\.00 \- 237,400\.00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3">
      <c r="A3" t="inlineStr">
        <is>
          <t>in-da477b1706b39d7c</t>
        </is>
      </c>
      <c r="B3" t="inlineStr">
        <is>
          <t>AI Engineer</t>
        </is>
      </c>
      <c r="C3" t="inlineStr">
        <is>
          <t>Open Access Technology International</t>
        </is>
      </c>
      <c r="D3" t="inlineStr">
        <is>
          <t>indeed</t>
        </is>
      </c>
      <c r="E3" t="inlineStr"/>
      <c r="F3" t="inlineStr"/>
      <c r="G3" t="inlineStr">
        <is>
          <t>US</t>
        </is>
      </c>
      <c r="H3" s="2" t="n">
        <v>46064</v>
      </c>
      <c r="I3" t="inlineStr">
        <is>
          <t>The Open Access Technology International (OATI) is seeking highly motivated individuals to join our team of AI Engineers focused on power systems. This is a fantastic opportunity to gain practical experience working on real\-world AI applications alongside leading experts in the energy sector. The starting salary for this role ranges from $100k – $150k per year, commensurate with experience.
Our team is tackling critical challenges in electric power system operations using Artificial Intelligence.
Responsibilities
* Conduct research and development on specific AI problems critical to power system operations, leveraging OATI’s vast datasets spanning decades (e.g., forecasting load, wholesale electricity market prices, renewable energy generation; optimizing grid reliability, resiliency, and stability; signature analysis and anomaly detection).
* Design, build, and deploy agentic AI systems using frameworks such as LangChain, LangGraph and related agentic libraries.
* Implement and optimize retrieval\-augmented generation (RAG)pipelines ensuring agents can access and incorporate external knowledge sources for grounded, accurate responses.
* Fine\-tune and prompt\-engineer LLMsfor task\-specific reasoning, planning and dynamic adaptation.
* Lead the development of enterprise\-grade AI platform that integrates advanced generative AI and LLM technologies.
* Design, build and fine\-tune large foundation AI models (e.g., LLMs, multimodal models) for the energy domain.
* Develop and deploy agentic AI systems capable of autonomous decision\-making and multi\-agent collaboration.
* Build and optimize neural network models tailored to use cases in the energy/power systems industry ensuring high performance and scalability.
* Implement and standardize Model Context Protocol based communication to ensure consistent context management across AI models and agents.
* Establish and enforce best practices for MLOps, model monitoring and observability to ensure robust, scalable and maintainable AI solutions.
* Develop and implement machine learning models using popular frameworks (e.g., TensorFlow, PyTorch) to analyze and extract meaningful insights from power system data.
* Participate in the full research cycle, including literature review, data exploration, experimentation, analysis and presentation of findings.
* Collaborate effectively with other researchers, engineers and data scientists.
* Contribute to the development and documentation of technical code.
Education
Bachelor’s or Master’s degree in Computer Science, Artificial Intelligence, Machine Learning, or a related field; PhD preferred.
Technical Skills
* 3\+ years building and deploying AI\-powered systems using LLMs, RAG and agentic architectures.
* Solid Python programming skills and experience with modern AI/ML libraries.
* Advanced knowledge of LLMs, including fine\-tuning, prompt engineering, and evaluation.
* Proven experience implementing RAG systems and integrating vector databases or external knowledge stores.
* Proven experience in building and fine\-tuning foundation models (e.g., LLMs, vision transformers, multimodal models) for different domains (such as energy, healthcare, finance, etc.).
* Past experience in implementing association rule mining algorithms to uncover patterns and relationships within large and diverse datasets.
* Past experience in building similarity search pipelines using vector representations to enable accurate ranking and retrieval based on multidimensional feature similarity.
* Deep knowledge of agentic AI frameworks and multi\-agent system design.
* Proven ability to design and implement multi\-agent systems and agent\-to\-agent communication.
* Strong background in neural network architectures, including transformers and other models.
* Strong background in advanced mathematics and statistics for model optimization and validation.
* Familiarity of Model Context Protocol and best practices for managing AI model context and state.
* Proficiency in Python and relevant AI/ML frameworks such as TensorFlow or PyTorch.
* Excellent problem\-solving skills and ability to communicate complex AI concepts to technical and non\-technical stakeholders.
* Strong foundation in machine learning concepts, including algorithms (e.g., deep learning, reinforcement learning) and statistical methods.
* Experience with AI system security, compliance, and ethical AI considerations.
* Knowledge of natural language processing (NLP) pipelines and data engineering.
* Familiarity with conversational AI and chat bot frameworks.
* Familiarity with version control systems like Git.
* Familiarity with SQL and No\-SQL database engines is a plus.
Experience
* Experience conducting independent research or working on AI\-related projects.
* (For Ph.D. students) A strong publication record demonstrating research experience.
* (For Master’s students) Experience conducting independent research or working on AI\-related projects.
Other skills
* Excellent analytical and problem\-solving skills with the ability to tackle complex problems.
* Strong communication skills to present research findings and collaborate effectively within a team.
* Ability to work independently and manage time effectively.
* A passion for research and development in the field of AI and a strong interest in the power sector.
Benefits
* Gain valuable experience working on real\-world AI projects with a significant impact on the future of power systems.
* Work alongside leading experts in AI and the energy sector.
* Potential for co\-authorship on research publications (depending on contribution).
* Opportunity to develop your research skills and expertise in a rapidly evolving field.
* Be part of a dynamic and collaborative research team working on a critical global challenge.
Job Type: Full\-time
Pay: $100,000\.00 \- $175,000\.00 per year
Benefits:
* 401(k)
* 401(k) matching
* Dental insurance
* Health insurance
* Life insurance
* Paid time off
* Vision insurance
Work Location: Remote</t>
        </is>
      </c>
    </row>
    <row r="4">
      <c r="A4" t="inlineStr">
        <is>
          <t>in-49a1dc90a2e16599</t>
        </is>
      </c>
      <c r="B4" t="inlineStr">
        <is>
          <t>Senior AI Engineer</t>
        </is>
      </c>
      <c r="C4" t="inlineStr">
        <is>
          <t>ZoomInfo</t>
        </is>
      </c>
      <c r="D4" t="inlineStr">
        <is>
          <t>indeed</t>
        </is>
      </c>
      <c r="E4" t="inlineStr"/>
      <c r="F4" t="inlineStr"/>
      <c r="G4" t="inlineStr">
        <is>
          <t>OR, US</t>
        </is>
      </c>
      <c r="H4" s="2" t="n">
        <v>46063</v>
      </c>
      <c r="I4"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As a **Senior AI Engineer** on our **Advertising, Company Intelligence, and Intent** team, you'll help design and implement the core systems that power our real\-time marketing platform. From high\-throughput ad infrastructure to large\-scale identity resolution and intelligent systems enhanced by LLMs, push the boundaries of scale, intelligence, and speed—and deliver real\-world business impact.
You'll be joining a team with a broad range of ambitious, technically deep projects—from APIs that process tens of billions of events per day, to new buyer intent algorithms powered by LLMs, to a unified B2B identity graph. Depending on your strengths and interests, you'll be matched to the initiatives where you can have the greatest impact.
This is a high\-growth, high\-ownership environment operating at the edge of what's possible in modern software engineering, data infrastructure, and applied AI.
**What You'll do:**
* Design and build distributed systems that process, enrich, and respond to billions of behavioral events per day in real time
* Develop high\-performance APIs and services that support advertising, identity, and intent features across the Marketing Platform
* Leverage machine learning and large language models (LLMs) to analyze behavioral data, classify content, extract signals, and enable intelligent decision\-making
* Build intelligent agents using frameworks like LangGraph or MCP to reason over data and power user\-facing insights
* Design and operate data pipelines using tools like Kafka, Kinesis, and ClickHouse to support both streaming and batch workloads
* Drive quality, performance, scalability, and observability across all systems you own
* Collaborate cross\-functionally with product managers, data scientists, and engineers to deliver customer\-facing features and internal tooling
* Contribute to technical leadership and mentorship of teammates.
**What you bring:**
* 7\+ years of backend, data, or infrastructure engineering experience, or equivalent impact and leadership.
* **Distributed systems engineering** (e.g., building low latency high and throughput APIs, scalable microservices, event processing pipelines)
* **Big data infrastructure** (e.g., streaming, warehousing, low\-latency storage at scale)
* **Applied AI/ML**, including use of LLMs for extraction, classification, or reasoning tasks.
* Proficiency in one or more core languages: **Java, Go, Python**
* Solid grasp of **SQL** and large\-scale data modeling
* Familiarity with databases and tools such as: ClickHouse, DynamoDB, Bigtable, Memcached, Kafka, Kinesis, Firehose, Airflow, Snowflake
* Comfortable using LLMs as part of your development workflow—whether via tools like Copilot, Cursor, ChatGPT, Claude, or others—to boost productivity, explore architecture ideas, and rapidly prototype.
* Skilled at designing and implementing LLM\-powered systems such as RAG pipelines, agent frameworks (e.g., LangGraph), or intelligent workflows that reason across large datasets in real time.
**Bonus Points:**
* Experience in ad tech, real\-time bidding (RTB), or programmatic systems
* Background in identity resolution, attribution, or behavioral analytics at scale
* Contributions to open source in ML, infrastructure, or data tooling
* Strong product instincts and a passion for building tools that drive meaningful outcomes
\#LI\-SK1
\#LI\-Remote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5">
      <c r="A5" t="inlineStr">
        <is>
          <t>in-21b6b3a1eefa92b8</t>
        </is>
      </c>
      <c r="B5" t="inlineStr">
        <is>
          <t>Applied Scientist- Pricing, Dynamic Pricing &amp; Offer Selection</t>
        </is>
      </c>
      <c r="C5" t="inlineStr">
        <is>
          <t>Lyft</t>
        </is>
      </c>
      <c r="D5" t="inlineStr">
        <is>
          <t>indeed</t>
        </is>
      </c>
      <c r="E5" t="inlineStr"/>
      <c r="F5" t="inlineStr"/>
      <c r="G5" t="inlineStr">
        <is>
          <t>New York, NY, US</t>
        </is>
      </c>
      <c r="H5" s="2" t="n">
        <v>46063</v>
      </c>
      <c r="I5"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
      <c r="A6" t="inlineStr">
        <is>
          <t>in-a5d6d19112d90bbe</t>
        </is>
      </c>
      <c r="B6" t="inlineStr">
        <is>
          <t>Applied Scientist- Pricing, Dynamic Pricing &amp; Offer Selection</t>
        </is>
      </c>
      <c r="C6" t="inlineStr">
        <is>
          <t>Lyft</t>
        </is>
      </c>
      <c r="D6" t="inlineStr">
        <is>
          <t>indeed</t>
        </is>
      </c>
      <c r="E6" t="inlineStr"/>
      <c r="F6" t="inlineStr"/>
      <c r="G6" t="inlineStr">
        <is>
          <t>San Francisco, CA, US</t>
        </is>
      </c>
      <c r="H6" s="2" t="n">
        <v>46063</v>
      </c>
      <c r="I6"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7">
      <c r="A7" t="inlineStr">
        <is>
          <t>in-afa7a64e6f3453e5</t>
        </is>
      </c>
      <c r="B7" t="inlineStr">
        <is>
          <t>Machine Learning Engineer II</t>
        </is>
      </c>
      <c r="C7" t="inlineStr">
        <is>
          <t>Penske Truck Leasing</t>
        </is>
      </c>
      <c r="D7" t="inlineStr">
        <is>
          <t>indeed</t>
        </is>
      </c>
      <c r="E7" t="inlineStr"/>
      <c r="F7" t="inlineStr"/>
      <c r="G7" t="inlineStr">
        <is>
          <t>Beachwood, OH, US</t>
        </is>
      </c>
      <c r="H7" s="2" t="n">
        <v>46063</v>
      </c>
      <c r="I7" t="inlineStr">
        <is>
          <t>**Position Summary:**
The Machine Learning Engineer works in Penske Logistics' Data Science team, supporting data scientists with AI/ML model development and deployment with an emphasis on auditability, versioning, and data security. This role will design and implement processes to maintain and monitor data science ML models and support data for performance and drift. The Engineer will build and implement applications which make use of AI/ML models. This position works with data scientists as a subject matter expert to ensure ML models are developed appropriately to perform within the expected ranges of accuracy.
**Major Responsibilities:**
**AI/ML model deployment:**
* Take offline models data scientists build and turn them into a real machine learning production system
* Build, implement, and/or support applications which make use of AI/ML models
* Emphasis on auditability, versioning, and data security
**Maintenance and Monitoring**
* Design and implement model and data monitoring solutions
* Apply software engineering rigor and best practices to machine learning, including AI/MLOPs, CI/CD, automation, etc.
* Provide production metrics for data science deliverables
* Work with data scientists as a subject matter expert to ensure ML models are developed appropriately to perform within the expected ranges of accuracy
* Lead Self Service AI (SSAI) initiatives by supporting the citizen data scientists across Penske
* Other projects and tasks as assigned
**Qualifications:**
* Bachelor's degree required with a concentration in Engineering, Operations Research, Statistics, Applied Math, Computer Science, or related quantitative field
* Master's degree preferred.
* Minimum 2 years of experience with Bachelor's degree in related field
* 2 years of experience designing and building machine learning applications using either structured or unstructured datasets is required. Must have practical experience programming using Python, R or other high level scripting languages
* Demonstrated experience with two or more machine learning techniques including logistic regression, decision trees, random forests and clustering is required
* Knowledge and experience with SQL is preferred
* Intermediate skill level in machine learning, supervised learning, and scripting language (e.g., Python)
* Elementary skill level in statistical modeling and statistical computing packages (e.g., R)
* ML Platform (e.g., Databricks) experience
* Must have strong communication skills, both written and verbal
* Strong collaboration and organizational skills, including the ability to navigate cross\-business functions
* Excellent time management skills including the ability to prioritize multiple projects / work streams
* Regular, predictable, full attendance is an essential function of the job.
* Successful candidate must complete Penske employment application, submit to a background investigation (past employment, education, and criminal history), and complete a drug screening.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 The associate will be required to: read; communicate verbally and/or in written form; remember and analyze certain information; and remember and understand certain instructions or guidelines.
* While performing the duties of this job, the associate may be required to stand, walk, and sit. The associate is frequently required to use hands to touch, handle, and feel, and to reach with hands and arms. The associate must be able to occasionally lift and/or move up to 25lbs/12kg.
* Specific vision abilities required by this job include close vision, distance vision, peripheral vision, depth perception and the ability to adjust focus.
Penske is an Equal Opportunity Employer
**About Penske Logistics**
Penske Logistics engineers state\-of\-the\-art transportation, warehousing and freight management solutions that deliver powerful business results for market\-leading companies. With operations in North America, South America, Europe and Asia, Penske and its associates help businesses move forward by increasing visibility and driving down supply\-chain costs. Visit Penske Logistics to learn more.
Job Category: Information Technology
Job Family: Information Technology
Address: 3000 Auburn Dr
Primary Location: US\-OH\-Beachwood
Employer: Penske Logistics LLC
Req ID: 2601498</t>
        </is>
      </c>
    </row>
    <row r="8">
      <c r="A8" t="inlineStr">
        <is>
          <t>in-6230cfa116752974</t>
        </is>
      </c>
      <c r="B8" t="inlineStr">
        <is>
          <t>Data Science/Machine Learning Engineer (Remote, Continental United States)</t>
        </is>
      </c>
      <c r="C8" t="inlineStr">
        <is>
          <t>ICAAI</t>
        </is>
      </c>
      <c r="D8" t="inlineStr">
        <is>
          <t>indeed</t>
        </is>
      </c>
      <c r="E8" t="inlineStr"/>
      <c r="F8" t="inlineStr"/>
      <c r="G8" t="inlineStr">
        <is>
          <t>Arlington, VA, US</t>
        </is>
      </c>
      <c r="H8" s="2" t="n">
        <v>46053</v>
      </c>
      <c r="I8" t="inlineStr">
        <is>
          <t>**About ICA, Inc.**
International Consulting Associates, Inc. is a rapidly growing company, located in the D.C./Metro area. We were founded in 2009 to assist government clients with evaluating and achieving their objectives. We have become a trusted advisor helping our clients by offering cutting\-edge innovation and solutions to complex projects. Our small company has grown significantly, and we're overjoyed at the opportunity to expand yet again!
We are results\-focused and have a proven track record supporting federal agencies and large government services primes in three main areas: Research and Data Analysis, Advanced\-Data Science, and Strategic Services. We currently support multiple analytics and research programs across HHS.
At ICA, we believe our success starts with our people. We foster a collaborative "one team" environment where work\-life balance isn't just talked about – it's prioritized. We're building dynamic, highly skilled teams in a welcoming and supportive atmosphere. If you're passionate about using your technical expertise to make a difference, we want to talk to you.
We are looking for **Data Science/****Machine Learning** **Engineers** to join our growing team!
**ABOUT THE ROLE:**
As a **Data Science/****Machine Learning Engineer** at ICA, you will be at the forefront of applying machine learning techniques to solve complex problems and enhance our products and services. Your role will involve developing and implementing machine learning models, collaborating with cross\-functional teams, and contributing to the advancement of our AI capabilities.  
**ABOUT YOU:**
You are a curious and driven Machine Learning Engineer with a strong foundation in Python and hands\-on experience building and deploying ML models in cloud environments like AWS. You thrive on solving complex problems with multilayered data and enjoy optimizing algorithms for performance and scalability. Your collaborative mindset allows you to work seamlessly with data scientists, engineers, and product teams to bring intelligent solutions to life. You stay current with the latest ML techniques and tools, and you're passionate about turning prototypes into production\-ready systems that deliver real\-world impact.
**RESPONSIBILITIES:**
* Identify Opportunities: Collaborate with internal and external stakeholders to uncover and define data\-driven opportunities that align with strategic business goals.
* Data Analysis \&amp; Modeling: Mine and analyze complex datasets from company and client databases to drive product and business optimization strategies, using both traditional statistical techniques and state\-of\-the\-art machine learning approaches.
* Assess the effectiveness and accuracy of new data sources and data gathering techniques, including evaluating and implementing methods for acquiring and processing large volumes of text data.
* Perform data processing using State of the Art LLM Models and technologies
* Innovation \&amp; Strategy: Assess the effectiveness of new data sources and data gathering techniques, identifying ways to enhance the organization's data strategy with novel ML and AI methods.
* Client\-Facing Presentations: Develop compelling presentations and demos to showcase analytical solutions and insights to both technical and non\-technical audiences, including clients and senior management.
* Predictive Modeling \&amp; Optimization: Use advanced statistical and machine learning approaches to drive improvements in customer engagement, product performance, and business processes.
* Model Monitoring: Establish processes and tools to track model performance, data accuracy, and reliability over time. Continuously iterate on models to meet evolving business needs and industry best practices.
**REQUIRED QUALIFICATIONS:**
* 5\+ years of overall professional experience in data science, analytics, or a related field.
* At least 2–3 years of hands\-on experience specifically focused on Large Language Models (LLMs) and related techniques (e.g., fine\-tuning, instruction tuning, prompt engineering).
* **Education:**
* Bachelor's or Master's degree in Statistics, Mathematics, Computer Science, Data Science, or a related quantitative field.
* **Technical Proficiency:**
* Coding knowledge and experience with Python
* Proven ability to use statistical computer languages (Python, R, SQL, etc.) for data manipulation, analysis, and model development.
* Experience with Hugging Face Transformers, LangChain, Llama Index, and/or large\-scale training frameworks
* Familiarity with LLM evaluation, interpretability, and best practices.
* Knowledge of ML and data mining techniques (Regression, Deep Learning, NLP, Time Series Analysis, , etc.).
* Familiarity with AWS services (Athena, S3, Glue, SageMaker, Bedrock) for scalable model development.
* NLP Techniques (NER, Information Extraction, Text Categorization, Document Parsing)
* **Preferred:** exposure to MLOps tools, big data technologies (Hadoop, Spark), or other cloud services.
* **Preferred:** experience with Document Processing
* **Ability to obtain a Public Trust Clearance**
**USE OF AI ASSITIVE TECHNOLOGY**
All application materials must be your own original work, and interviews must be completed independently. Use of AI\-generated content in applications or AI assistance during interviews will result in disqualification.
**BENEFITS:**
We invest in our team members so you can live your best life professionally and personally, offering a competitive salary and benefits.
* Health Insurance \-**100% employer\-paid premiums** – ICA covers the full cost of one of three offered medical plans
* Dental Insurance
* Vision insurance
* Health Spending Account
* Flexible Spending Account
* Life and Disability insurance
* 401(k) plan with company match
* Paid Time Off (Vacation, Sick Leave and Holidays)
* Education and Professional Development Assistance
* Remote work from anywhere within the continental United States
**LOCATION \&amp; TELEWORK**  
This is a remote position. Candidates residing in the DMV area preferred.
**ADDITIONAL INFORMATION:**
ICA is an equal opportunity employer. All qualified applicants will receive consideration for employment without regard to race, color, religion, sex, sexual orientation, gender, gender identity or expression, national origin, genetics, disability status, protected veteran status, age, or any other characteristic protected by state, federal or local laws.
This policy applies to all terms and conditions of employment, including recruiting, hiring, placement, promotion, termination, layoff, recall, transfer, leaves of absence, compensation, and training.</t>
        </is>
      </c>
    </row>
    <row r="9">
      <c r="A9" t="inlineStr">
        <is>
          <t>in-ead7f1ac1b23fb63</t>
        </is>
      </c>
      <c r="B9" t="inlineStr">
        <is>
          <t>Applied Scientist, Safety ML</t>
        </is>
      </c>
      <c r="C9" t="inlineStr">
        <is>
          <t>Amazon.com</t>
        </is>
      </c>
      <c r="D9" t="inlineStr">
        <is>
          <t>indeed</t>
        </is>
      </c>
      <c r="E9" t="inlineStr"/>
      <c r="F9" t="inlineStr"/>
      <c r="G9" t="inlineStr">
        <is>
          <t>San Francisco, CA, US</t>
        </is>
      </c>
      <c r="H9" s="2" t="n">
        <v>46037</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0">
      <c r="A10" t="inlineStr">
        <is>
          <t>in-81de1b6149d8b5f1</t>
        </is>
      </c>
      <c r="B10" t="inlineStr">
        <is>
          <t>Applied Scientist, Safety ML</t>
        </is>
      </c>
      <c r="C10" t="inlineStr">
        <is>
          <t>Amazon.com</t>
        </is>
      </c>
      <c r="D10" t="inlineStr">
        <is>
          <t>indeed</t>
        </is>
      </c>
      <c r="E10" t="inlineStr"/>
      <c r="F10" t="inlineStr"/>
      <c r="G10" t="inlineStr">
        <is>
          <t>Seattle, WA, US</t>
        </is>
      </c>
      <c r="H10" s="2" t="n">
        <v>46037</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1">
      <c r="A11" t="inlineStr">
        <is>
          <t>in-eb0af884d258d69b</t>
        </is>
      </c>
      <c r="B11" t="inlineStr">
        <is>
          <t>Applied Scientist, LLM Code Agents, Kiro Science</t>
        </is>
      </c>
      <c r="C11" t="inlineStr">
        <is>
          <t>Amazon.com</t>
        </is>
      </c>
      <c r="D11" t="inlineStr">
        <is>
          <t>indeed</t>
        </is>
      </c>
      <c r="E11" t="inlineStr"/>
      <c r="F11" t="inlineStr"/>
      <c r="G11" t="inlineStr">
        <is>
          <t>Santa Clara, CA, US</t>
        </is>
      </c>
      <c r="H11" s="2" t="n">
        <v>46035</v>
      </c>
      <c r="I1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2">
      <c r="A12" t="inlineStr">
        <is>
          <t>in-960542aee528c408</t>
        </is>
      </c>
      <c r="B12" t="inlineStr">
        <is>
          <t>Applied Scientist, LLM Code Agents, Kiro Science</t>
        </is>
      </c>
      <c r="C12" t="inlineStr">
        <is>
          <t>Amazon.com</t>
        </is>
      </c>
      <c r="D12" t="inlineStr">
        <is>
          <t>indeed</t>
        </is>
      </c>
      <c r="E12" t="inlineStr"/>
      <c r="F12" t="inlineStr"/>
      <c r="G12" t="inlineStr">
        <is>
          <t>Seattle, WA, US</t>
        </is>
      </c>
      <c r="H12" s="2" t="n">
        <v>46035</v>
      </c>
      <c r="I1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
      <c r="A13" t="inlineStr">
        <is>
          <t>in-c18d9f468ad0c761</t>
        </is>
      </c>
      <c r="B13" t="inlineStr">
        <is>
          <t>Applied Scientist II, Prime Video Personalization and Discovery Science</t>
        </is>
      </c>
      <c r="C13" t="inlineStr">
        <is>
          <t>Amazon.com</t>
        </is>
      </c>
      <c r="D13" t="inlineStr">
        <is>
          <t>indeed</t>
        </is>
      </c>
      <c r="E13" t="inlineStr"/>
      <c r="F13" t="inlineStr"/>
      <c r="G13" t="inlineStr">
        <is>
          <t>Seattle, WA, US</t>
        </is>
      </c>
      <c r="H13" s="2" t="n">
        <v>46034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
      <c r="A14" t="inlineStr">
        <is>
          <t>in-63aad22142fdd2a5</t>
        </is>
      </c>
      <c r="B14" t="inlineStr">
        <is>
          <t>Applied Scientist II, Prime Video Personalization and Discovery Science</t>
        </is>
      </c>
      <c r="C14" t="inlineStr">
        <is>
          <t>Amazon.com</t>
        </is>
      </c>
      <c r="D14" t="inlineStr">
        <is>
          <t>indeed</t>
        </is>
      </c>
      <c r="E14" t="inlineStr"/>
      <c r="F14" t="inlineStr"/>
      <c r="G14" t="inlineStr">
        <is>
          <t>Sunnyvale, CA, US</t>
        </is>
      </c>
      <c r="H14" s="2" t="n">
        <v>46034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
      <c r="A15" t="inlineStr">
        <is>
          <t>in-004b53abb48dc32a</t>
        </is>
      </c>
      <c r="B15" t="inlineStr">
        <is>
          <t>Sr Applied Scientist, AWS Proactive Security</t>
        </is>
      </c>
      <c r="C15" t="inlineStr">
        <is>
          <t>Amazon.com</t>
        </is>
      </c>
      <c r="D15" t="inlineStr">
        <is>
          <t>indeed</t>
        </is>
      </c>
      <c r="E15" t="inlineStr"/>
      <c r="F15" t="inlineStr"/>
      <c r="G15" t="inlineStr">
        <is>
          <t>Sunnyvale, CA, US</t>
        </is>
      </c>
      <c r="H15" s="2" t="n">
        <v>46030</v>
      </c>
      <c r="I1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6">
      <c r="A16" t="inlineStr">
        <is>
          <t>in-684c50b94791e510</t>
        </is>
      </c>
      <c r="B16" t="inlineStr">
        <is>
          <t>Sr Applied Scientist, AWS Proactive Security</t>
        </is>
      </c>
      <c r="C16" t="inlineStr">
        <is>
          <t>Amazon.com</t>
        </is>
      </c>
      <c r="D16" t="inlineStr">
        <is>
          <t>indeed</t>
        </is>
      </c>
      <c r="E16" t="inlineStr"/>
      <c r="F16" t="inlineStr"/>
      <c r="G16" t="inlineStr">
        <is>
          <t>Arlington, VA, US</t>
        </is>
      </c>
      <c r="H16" s="2" t="n">
        <v>46030</v>
      </c>
      <c r="I1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7">
      <c r="A17" t="inlineStr">
        <is>
          <t>in-3798996349012b95</t>
        </is>
      </c>
      <c r="B17" t="inlineStr">
        <is>
          <t>Sr Applied Scientist, AWS Proactive Security</t>
        </is>
      </c>
      <c r="C17" t="inlineStr">
        <is>
          <t>Amazon.com</t>
        </is>
      </c>
      <c r="D17" t="inlineStr">
        <is>
          <t>indeed</t>
        </is>
      </c>
      <c r="E17" t="inlineStr"/>
      <c r="F17" t="inlineStr"/>
      <c r="G17" t="inlineStr">
        <is>
          <t>Herndon, VA, US</t>
        </is>
      </c>
      <c r="H17" s="2" t="n">
        <v>46030</v>
      </c>
      <c r="I1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8">
      <c r="A18" t="inlineStr">
        <is>
          <t>in-79ad65705e619f23</t>
        </is>
      </c>
      <c r="B18" t="inlineStr">
        <is>
          <t>Applied Scientist, Last Mile Delivery Automation</t>
        </is>
      </c>
      <c r="C18" t="inlineStr">
        <is>
          <t>Amazon.com</t>
        </is>
      </c>
      <c r="D18" t="inlineStr">
        <is>
          <t>indeed</t>
        </is>
      </c>
      <c r="E18" t="inlineStr"/>
      <c r="F18" t="inlineStr"/>
      <c r="G18" t="inlineStr">
        <is>
          <t>Bellevue, WA, US</t>
        </is>
      </c>
      <c r="H18" s="2" t="n">
        <v>46026</v>
      </c>
      <c r="I1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in-143ee94ebf436bec</t>
        </is>
      </c>
      <c r="B19" t="inlineStr">
        <is>
          <t>Applied Scientist, Last Mile Delivery Automation</t>
        </is>
      </c>
      <c r="C19" t="inlineStr">
        <is>
          <t>Amazon.com</t>
        </is>
      </c>
      <c r="D19" t="inlineStr">
        <is>
          <t>indeed</t>
        </is>
      </c>
      <c r="E19" t="inlineStr"/>
      <c r="F19" t="inlineStr"/>
      <c r="G19" t="inlineStr">
        <is>
          <t>Santa Clara, CA, US</t>
        </is>
      </c>
      <c r="H19" s="2" t="n">
        <v>46026</v>
      </c>
      <c r="I1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in-cadc827b7d2aa830</t>
        </is>
      </c>
      <c r="B20" t="inlineStr">
        <is>
          <t>Senior Applied Scientist, Distributed SQL</t>
        </is>
      </c>
      <c r="C20" t="inlineStr">
        <is>
          <t>Amazon Web Services</t>
        </is>
      </c>
      <c r="D20" t="inlineStr">
        <is>
          <t>indeed</t>
        </is>
      </c>
      <c r="E20" t="inlineStr"/>
      <c r="F20" t="inlineStr"/>
      <c r="G20" t="inlineStr">
        <is>
          <t>East Palo Alto, CA, US</t>
        </is>
      </c>
      <c r="H20" s="2" t="n">
        <v>46012</v>
      </c>
      <c r="I2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1">
      <c r="A21" t="inlineStr">
        <is>
          <t>in-e02282b87417e489</t>
        </is>
      </c>
      <c r="B21" t="inlineStr">
        <is>
          <t>Senior Applied Scientist, Distributed SQL</t>
        </is>
      </c>
      <c r="C21" t="inlineStr">
        <is>
          <t>Amazon Web Services</t>
        </is>
      </c>
      <c r="D21" t="inlineStr">
        <is>
          <t>indeed</t>
        </is>
      </c>
      <c r="E21" t="inlineStr"/>
      <c r="F21" t="inlineStr"/>
      <c r="G21" t="inlineStr">
        <is>
          <t>Seattle, WA, US</t>
        </is>
      </c>
      <c r="H21" s="2" t="n">
        <v>46012</v>
      </c>
      <c r="I2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2">
      <c r="A22" t="inlineStr">
        <is>
          <t>in-92cf1a069aab0ee9</t>
        </is>
      </c>
      <c r="B22" t="inlineStr">
        <is>
          <t>Applied Scientist II, Prime Video - Personalization and Discovery Science</t>
        </is>
      </c>
      <c r="C22" t="inlineStr">
        <is>
          <t>Amazon.com</t>
        </is>
      </c>
      <c r="D22" t="inlineStr">
        <is>
          <t>indeed</t>
        </is>
      </c>
      <c r="E22" t="inlineStr"/>
      <c r="F22" t="inlineStr"/>
      <c r="G22" t="inlineStr">
        <is>
          <t>Sunnyvale, CA, US</t>
        </is>
      </c>
      <c r="H22" s="2" t="n">
        <v>46012</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
      <c r="A23" t="inlineStr">
        <is>
          <t>in-5222fe08fcda225d</t>
        </is>
      </c>
      <c r="B23" t="inlineStr">
        <is>
          <t>Applied Scientist II, Prime Video - Personalization and Discovery Science</t>
        </is>
      </c>
      <c r="C23" t="inlineStr">
        <is>
          <t>Amazon.com</t>
        </is>
      </c>
      <c r="D23" t="inlineStr">
        <is>
          <t>indeed</t>
        </is>
      </c>
      <c r="E23" t="inlineStr"/>
      <c r="F23" t="inlineStr"/>
      <c r="G23" t="inlineStr">
        <is>
          <t>Seattle, WA, US</t>
        </is>
      </c>
      <c r="H23" s="2" t="n">
        <v>46012</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4">
      <c r="A24" t="inlineStr">
        <is>
          <t>in-fbcb21607eba8146</t>
        </is>
      </c>
      <c r="B24" t="inlineStr">
        <is>
          <t>Principal Applied Scientist, Kiro Science</t>
        </is>
      </c>
      <c r="C24" t="inlineStr">
        <is>
          <t>Amazon Web Services</t>
        </is>
      </c>
      <c r="D24" t="inlineStr">
        <is>
          <t>indeed</t>
        </is>
      </c>
      <c r="E24" t="inlineStr"/>
      <c r="F24" t="inlineStr"/>
      <c r="G24" t="inlineStr">
        <is>
          <t>New York, NY, US</t>
        </is>
      </c>
      <c r="H24" s="2" t="n">
        <v>45999</v>
      </c>
      <c r="I2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5">
      <c r="A25" t="inlineStr">
        <is>
          <t>in-e9bfb9cb693d951d</t>
        </is>
      </c>
      <c r="B25" t="inlineStr">
        <is>
          <t>Principal Applied Scientist, Kiro Science</t>
        </is>
      </c>
      <c r="C25" t="inlineStr">
        <is>
          <t>Amazon Web Services</t>
        </is>
      </c>
      <c r="D25" t="inlineStr">
        <is>
          <t>indeed</t>
        </is>
      </c>
      <c r="E25" t="inlineStr"/>
      <c r="F25" t="inlineStr"/>
      <c r="G25" t="inlineStr">
        <is>
          <t>Santa Clara, CA, US</t>
        </is>
      </c>
      <c r="H25" s="2" t="n">
        <v>45999</v>
      </c>
      <c r="I2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6">
      <c r="A26" t="inlineStr">
        <is>
          <t>in-db25e04370982dbf</t>
        </is>
      </c>
      <c r="B26" t="inlineStr">
        <is>
          <t>Sr. Applied Scientist, Amazon Ads</t>
        </is>
      </c>
      <c r="C26" t="inlineStr">
        <is>
          <t>Amazon.com</t>
        </is>
      </c>
      <c r="D26" t="inlineStr">
        <is>
          <t>indeed</t>
        </is>
      </c>
      <c r="E26" t="inlineStr"/>
      <c r="F26" t="inlineStr"/>
      <c r="G26" t="inlineStr">
        <is>
          <t>Santa Monica, CA, US</t>
        </is>
      </c>
      <c r="H26" s="2" t="n">
        <v>45998</v>
      </c>
      <c r="I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
      <c r="A27" t="inlineStr">
        <is>
          <t>in-8e42806a7ee32c18</t>
        </is>
      </c>
      <c r="B27" t="inlineStr">
        <is>
          <t>Sr. Applied Scientist, Amazon Ads</t>
        </is>
      </c>
      <c r="C27" t="inlineStr">
        <is>
          <t>Amazon.com</t>
        </is>
      </c>
      <c r="D27" t="inlineStr">
        <is>
          <t>indeed</t>
        </is>
      </c>
      <c r="E27" t="inlineStr"/>
      <c r="F27" t="inlineStr"/>
      <c r="G27" t="inlineStr">
        <is>
          <t>Brooklyn, NY, US</t>
        </is>
      </c>
      <c r="H27" s="2" t="n">
        <v>45998</v>
      </c>
      <c r="I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
      <c r="A28" t="inlineStr">
        <is>
          <t>in-a3403bfe8dec3b24</t>
        </is>
      </c>
      <c r="B28" t="inlineStr">
        <is>
          <t>Sr. Applied Scientist, Amazon Ads</t>
        </is>
      </c>
      <c r="C28" t="inlineStr">
        <is>
          <t>Amazon.com</t>
        </is>
      </c>
      <c r="D28" t="inlineStr">
        <is>
          <t>indeed</t>
        </is>
      </c>
      <c r="E28" t="inlineStr"/>
      <c r="F28" t="inlineStr"/>
      <c r="G28" t="inlineStr">
        <is>
          <t>Corvallis, OR, US</t>
        </is>
      </c>
      <c r="H28" s="2" t="n">
        <v>45998</v>
      </c>
      <c r="I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
      <c r="A29" t="inlineStr">
        <is>
          <t>in-e5797242bd9c8f4a</t>
        </is>
      </c>
      <c r="B29" t="inlineStr">
        <is>
          <t>Sr. Applied Scientist, Amazon Ads</t>
        </is>
      </c>
      <c r="C29" t="inlineStr">
        <is>
          <t>Amazon.com</t>
        </is>
      </c>
      <c r="D29" t="inlineStr">
        <is>
          <t>indeed</t>
        </is>
      </c>
      <c r="E29" t="inlineStr"/>
      <c r="F29" t="inlineStr"/>
      <c r="G29" t="inlineStr">
        <is>
          <t>Seattle, WA,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in-425e9fac3e00517d</t>
        </is>
      </c>
      <c r="B30" t="inlineStr">
        <is>
          <t>Sr. Applied Scientist, Amazon Ads</t>
        </is>
      </c>
      <c r="C30" t="inlineStr">
        <is>
          <t>Amazon.com</t>
        </is>
      </c>
      <c r="D30" t="inlineStr">
        <is>
          <t>indeed</t>
        </is>
      </c>
      <c r="E30" t="inlineStr"/>
      <c r="F30" t="inlineStr"/>
      <c r="G30" t="inlineStr">
        <is>
          <t>New York, NY,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in-bb5a1cd9e0a6864b</t>
        </is>
      </c>
      <c r="B31" t="inlineStr">
        <is>
          <t>Sr. Applied Scientist, Amazon Ads</t>
        </is>
      </c>
      <c r="C31" t="inlineStr">
        <is>
          <t>Amazon.com</t>
        </is>
      </c>
      <c r="D31" t="inlineStr">
        <is>
          <t>indeed</t>
        </is>
      </c>
      <c r="E31" t="inlineStr"/>
      <c r="F31" t="inlineStr"/>
      <c r="G31" t="inlineStr">
        <is>
          <t>Palo Alto, CA,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in-fde140aaf6e40828</t>
        </is>
      </c>
      <c r="B32" t="inlineStr">
        <is>
          <t>Sr. Applied Scientist, Amazon Ads</t>
        </is>
      </c>
      <c r="C32" t="inlineStr">
        <is>
          <t>Amazon.com</t>
        </is>
      </c>
      <c r="D32" t="inlineStr">
        <is>
          <t>indeed</t>
        </is>
      </c>
      <c r="E32" t="inlineStr"/>
      <c r="F32" t="inlineStr"/>
      <c r="G32" t="inlineStr">
        <is>
          <t>Boulder, CO,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in-163abfa0c66cb91a</t>
        </is>
      </c>
      <c r="B33" t="inlineStr">
        <is>
          <t>Sr. Applied Scientist, Amazon Ads</t>
        </is>
      </c>
      <c r="C33" t="inlineStr">
        <is>
          <t>Amazon.com</t>
        </is>
      </c>
      <c r="D33" t="inlineStr">
        <is>
          <t>indeed</t>
        </is>
      </c>
      <c r="E33" t="inlineStr"/>
      <c r="F33" t="inlineStr"/>
      <c r="G33" t="inlineStr">
        <is>
          <t>Boston, MA,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in-4d009d4880595eed</t>
        </is>
      </c>
      <c r="B34" t="inlineStr">
        <is>
          <t>Sr. Applied Scientist, Amazon Ads</t>
        </is>
      </c>
      <c r="C34" t="inlineStr">
        <is>
          <t>Amazon.com</t>
        </is>
      </c>
      <c r="D34" t="inlineStr">
        <is>
          <t>indeed</t>
        </is>
      </c>
      <c r="E34" t="inlineStr"/>
      <c r="F34" t="inlineStr"/>
      <c r="G34" t="inlineStr">
        <is>
          <t>Sunnyvale, CA,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in-9eaeac9b65149660</t>
        </is>
      </c>
      <c r="B35" t="inlineStr">
        <is>
          <t>Sr. Applied Scientist, Amazon Ads</t>
        </is>
      </c>
      <c r="C35" t="inlineStr">
        <is>
          <t>Amazon.com</t>
        </is>
      </c>
      <c r="D35" t="inlineStr">
        <is>
          <t>indeed</t>
        </is>
      </c>
      <c r="E35" t="inlineStr"/>
      <c r="F35" t="inlineStr"/>
      <c r="G35" t="inlineStr">
        <is>
          <t>Tukwila, WA,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in-f8353d8e99d9c8c7</t>
        </is>
      </c>
      <c r="B36" t="inlineStr">
        <is>
          <t>Principal Applied Scientist, Sponsored Products and Brands</t>
        </is>
      </c>
      <c r="C36" t="inlineStr">
        <is>
          <t>Amazon.com</t>
        </is>
      </c>
      <c r="D36" t="inlineStr">
        <is>
          <t>indeed</t>
        </is>
      </c>
      <c r="E36" t="inlineStr"/>
      <c r="F36" t="inlineStr"/>
      <c r="G36" t="inlineStr">
        <is>
          <t>New York, NY, US</t>
        </is>
      </c>
      <c r="H36" s="2" t="n">
        <v>45979</v>
      </c>
      <c r="I3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in-038c345bcf8ca295</t>
        </is>
      </c>
      <c r="B37" t="inlineStr">
        <is>
          <t>Principal Applied Scientist, Sponsored Products and Brands</t>
        </is>
      </c>
      <c r="C37" t="inlineStr">
        <is>
          <t>Amazon.com</t>
        </is>
      </c>
      <c r="D37" t="inlineStr">
        <is>
          <t>indeed</t>
        </is>
      </c>
      <c r="E37" t="inlineStr"/>
      <c r="F37" t="inlineStr"/>
      <c r="G37" t="inlineStr">
        <is>
          <t>Seattle, WA, US</t>
        </is>
      </c>
      <c r="H37" s="2" t="n">
        <v>45979</v>
      </c>
      <c r="I3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in-035cd4a7f79e32d4</t>
        </is>
      </c>
      <c r="B38" t="inlineStr">
        <is>
          <t>Applied Scientist, Personalization, DTx Science</t>
        </is>
      </c>
      <c r="C38" t="inlineStr">
        <is>
          <t>Amazon.com</t>
        </is>
      </c>
      <c r="D38" t="inlineStr">
        <is>
          <t>indeed</t>
        </is>
      </c>
      <c r="E38" t="inlineStr"/>
      <c r="F38" t="inlineStr"/>
      <c r="G38" t="inlineStr">
        <is>
          <t>New York, NY, US</t>
        </is>
      </c>
      <c r="H38" s="2" t="n">
        <v>45979</v>
      </c>
      <c r="I3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9">
      <c r="A39" t="inlineStr">
        <is>
          <t>in-dfeb7fe80e6eb2c8</t>
        </is>
      </c>
      <c r="B39" t="inlineStr">
        <is>
          <t>Applied Scientist, Personalization, DTx Science</t>
        </is>
      </c>
      <c r="C39" t="inlineStr">
        <is>
          <t>Amazon.com</t>
        </is>
      </c>
      <c r="D39" t="inlineStr">
        <is>
          <t>indeed</t>
        </is>
      </c>
      <c r="E39" t="inlineStr"/>
      <c r="F39" t="inlineStr"/>
      <c r="G39" t="inlineStr">
        <is>
          <t>Seattle, WA, US</t>
        </is>
      </c>
      <c r="H39" s="2" t="n">
        <v>45979</v>
      </c>
      <c r="I3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0">
      <c r="A40" t="inlineStr">
        <is>
          <t>in-b2f808b8566d10a2</t>
        </is>
      </c>
      <c r="B40" t="inlineStr">
        <is>
          <t>Senior Applied Scientist, Sponsored Products and Brands</t>
        </is>
      </c>
      <c r="C40" t="inlineStr">
        <is>
          <t>Amazon.com</t>
        </is>
      </c>
      <c r="D40" t="inlineStr">
        <is>
          <t>indeed</t>
        </is>
      </c>
      <c r="E40" t="inlineStr"/>
      <c r="F40" t="inlineStr"/>
      <c r="G40" t="inlineStr">
        <is>
          <t>New York, NY, US</t>
        </is>
      </c>
      <c r="H40" s="2" t="n">
        <v>45979</v>
      </c>
      <c r="I4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1">
      <c r="A41" t="inlineStr">
        <is>
          <t>in-91580da3cf7e0ca3</t>
        </is>
      </c>
      <c r="B41" t="inlineStr">
        <is>
          <t>Senior Applied Scientist, Sponsored Products and Brands</t>
        </is>
      </c>
      <c r="C41" t="inlineStr">
        <is>
          <t>Amazon.com</t>
        </is>
      </c>
      <c r="D41" t="inlineStr">
        <is>
          <t>indeed</t>
        </is>
      </c>
      <c r="E41" t="inlineStr"/>
      <c r="F41" t="inlineStr"/>
      <c r="G41" t="inlineStr">
        <is>
          <t>Seattle, WA, US</t>
        </is>
      </c>
      <c r="H41" s="2" t="n">
        <v>45979</v>
      </c>
      <c r="I4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2">
      <c r="A42" t="inlineStr">
        <is>
          <t>in-0158cd3aea4c69c7</t>
        </is>
      </c>
      <c r="B42" t="inlineStr">
        <is>
          <t>Applied Scientist II, Prime Video Personalization and Discovery Science</t>
        </is>
      </c>
      <c r="C42" t="inlineStr">
        <is>
          <t>Amazon.com</t>
        </is>
      </c>
      <c r="D42" t="inlineStr">
        <is>
          <t>indeed</t>
        </is>
      </c>
      <c r="E42" t="inlineStr"/>
      <c r="F42" t="inlineStr"/>
      <c r="G42" t="inlineStr">
        <is>
          <t>Sunnyvale, CA, US</t>
        </is>
      </c>
      <c r="H42" s="2" t="n">
        <v>45978</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in-7b19634eb7558a9f</t>
        </is>
      </c>
      <c r="B43" t="inlineStr">
        <is>
          <t>Applied Scientist II, Prime Video Personalization and Discovery Science</t>
        </is>
      </c>
      <c r="C43" t="inlineStr">
        <is>
          <t>Amazon.com</t>
        </is>
      </c>
      <c r="D43" t="inlineStr">
        <is>
          <t>indeed</t>
        </is>
      </c>
      <c r="E43" t="inlineStr"/>
      <c r="F43" t="inlineStr"/>
      <c r="G43" t="inlineStr">
        <is>
          <t>New York, NY, US</t>
        </is>
      </c>
      <c r="H43" s="2" t="n">
        <v>45978</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4">
      <c r="A44" t="inlineStr">
        <is>
          <t>in-3635856a132ed3fa</t>
        </is>
      </c>
      <c r="B44" t="inlineStr">
        <is>
          <t>Principal Applied Scientist, Amazon AGI</t>
        </is>
      </c>
      <c r="C44" t="inlineStr">
        <is>
          <t>Amazon.com</t>
        </is>
      </c>
      <c r="D44" t="inlineStr">
        <is>
          <t>indeed</t>
        </is>
      </c>
      <c r="E44" t="inlineStr"/>
      <c r="F44" t="inlineStr"/>
      <c r="G44" t="inlineStr">
        <is>
          <t>Boston, MA, US</t>
        </is>
      </c>
      <c r="H44" s="2" t="n">
        <v>45964</v>
      </c>
      <c r="I4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in-1ee58eeb740afafc</t>
        </is>
      </c>
      <c r="B45" t="inlineStr">
        <is>
          <t>Principal Applied Scientist, Amazon AGI</t>
        </is>
      </c>
      <c r="C45" t="inlineStr">
        <is>
          <t>Amazon.com</t>
        </is>
      </c>
      <c r="D45" t="inlineStr">
        <is>
          <t>indeed</t>
        </is>
      </c>
      <c r="E45" t="inlineStr"/>
      <c r="F45" t="inlineStr"/>
      <c r="G45" t="inlineStr">
        <is>
          <t>San Francisco, CA, US</t>
        </is>
      </c>
      <c r="H45" s="2" t="n">
        <v>45964</v>
      </c>
      <c r="I4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in-a8bc86c94ddae1df</t>
        </is>
      </c>
      <c r="B46" t="inlineStr">
        <is>
          <t>Applied Scientist, AWS Agentic AI</t>
        </is>
      </c>
      <c r="C46" t="inlineStr">
        <is>
          <t>Amazon Web Services</t>
        </is>
      </c>
      <c r="D46" t="inlineStr">
        <is>
          <t>indeed</t>
        </is>
      </c>
      <c r="E46" t="inlineStr"/>
      <c r="F46" t="inlineStr"/>
      <c r="G46" t="inlineStr">
        <is>
          <t>Seattle, WA, US</t>
        </is>
      </c>
      <c r="H46" s="2" t="n">
        <v>45962</v>
      </c>
      <c r="I4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in-9176e377988ee7f3</t>
        </is>
      </c>
      <c r="B47" t="inlineStr">
        <is>
          <t>Applied Scientist, AWS Agentic AI</t>
        </is>
      </c>
      <c r="C47" t="inlineStr">
        <is>
          <t>Amazon Web Services</t>
        </is>
      </c>
      <c r="D47" t="inlineStr">
        <is>
          <t>indeed</t>
        </is>
      </c>
      <c r="E47" t="inlineStr"/>
      <c r="F47" t="inlineStr"/>
      <c r="G47" t="inlineStr">
        <is>
          <t>New York, NY, US</t>
        </is>
      </c>
      <c r="H47" s="2" t="n">
        <v>45962</v>
      </c>
      <c r="I4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in-da1e2bdf699ea2e6</t>
        </is>
      </c>
      <c r="B48" t="inlineStr">
        <is>
          <t>Applied Scientist, AWS Agentic AI</t>
        </is>
      </c>
      <c r="C48" t="inlineStr">
        <is>
          <t>Amazon Web Services</t>
        </is>
      </c>
      <c r="D48" t="inlineStr">
        <is>
          <t>indeed</t>
        </is>
      </c>
      <c r="E48" t="inlineStr"/>
      <c r="F48" t="inlineStr"/>
      <c r="G48" t="inlineStr">
        <is>
          <t>Santa Clara, CA, US</t>
        </is>
      </c>
      <c r="H48" s="2" t="n">
        <v>45962</v>
      </c>
      <c r="I4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in-65ffc03843518ccc</t>
        </is>
      </c>
      <c r="B49" t="inlineStr">
        <is>
          <t>Sr. Applied Scientist, Prime Video - Personalization and Discovery Science</t>
        </is>
      </c>
      <c r="C49" t="inlineStr">
        <is>
          <t>Amazon.com</t>
        </is>
      </c>
      <c r="D49" t="inlineStr">
        <is>
          <t>indeed</t>
        </is>
      </c>
      <c r="E49" t="inlineStr"/>
      <c r="F49" t="inlineStr"/>
      <c r="G49" t="inlineStr">
        <is>
          <t>Sunnyvale, CA, US</t>
        </is>
      </c>
      <c r="H49" s="2" t="n">
        <v>45959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50">
      <c r="A50" t="inlineStr">
        <is>
          <t>in-89622ddef59b526c</t>
        </is>
      </c>
      <c r="B50" t="inlineStr">
        <is>
          <t>Sr. Applied Scientist, Prime Video - Personalization and Discovery Science</t>
        </is>
      </c>
      <c r="C50" t="inlineStr">
        <is>
          <t>Amazon.com</t>
        </is>
      </c>
      <c r="D50" t="inlineStr">
        <is>
          <t>indeed</t>
        </is>
      </c>
      <c r="E50" t="inlineStr"/>
      <c r="F50" t="inlineStr"/>
      <c r="G50" t="inlineStr">
        <is>
          <t>Seattle, WA, US</t>
        </is>
      </c>
      <c r="H50" s="2" t="n">
        <v>45959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51">
      <c r="A51" t="inlineStr">
        <is>
          <t>in-6595d87a3df2f392</t>
        </is>
      </c>
      <c r="B51" t="inlineStr">
        <is>
          <t>Sr. Applied Scientist, Prime Video - Personalization and Discovery Science</t>
        </is>
      </c>
      <c r="C51" t="inlineStr">
        <is>
          <t>Amazon.com</t>
        </is>
      </c>
      <c r="D51" t="inlineStr">
        <is>
          <t>indeed</t>
        </is>
      </c>
      <c r="E51" t="inlineStr"/>
      <c r="F51" t="inlineStr"/>
      <c r="G51" t="inlineStr">
        <is>
          <t>New York, NY, US</t>
        </is>
      </c>
      <c r="H51" s="2" t="n">
        <v>45959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52">
      <c r="A52" t="inlineStr">
        <is>
          <t>in-ab65b0422f360907</t>
        </is>
      </c>
      <c r="B52" t="inlineStr">
        <is>
          <t>Principal Applied Scientist, Advertiser Growth, Amazon Sponsored Products &amp; Brands</t>
        </is>
      </c>
      <c r="C52" t="inlineStr">
        <is>
          <t>Amazon.com</t>
        </is>
      </c>
      <c r="D52" t="inlineStr">
        <is>
          <t>indeed</t>
        </is>
      </c>
      <c r="E52" t="inlineStr"/>
      <c r="F52" t="inlineStr"/>
      <c r="G52" t="inlineStr">
        <is>
          <t>Palo Alto, CA, US</t>
        </is>
      </c>
      <c r="H52" s="2" t="n">
        <v>45942</v>
      </c>
      <c r="I5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in-a85260433d5e5bb3</t>
        </is>
      </c>
      <c r="B53" t="inlineStr">
        <is>
          <t>Principal Applied Scientist, Advertiser Growth, Amazon Sponsored Products &amp; Brands</t>
        </is>
      </c>
      <c r="C53" t="inlineStr">
        <is>
          <t>Amazon.com</t>
        </is>
      </c>
      <c r="D53" t="inlineStr">
        <is>
          <t>indeed</t>
        </is>
      </c>
      <c r="E53" t="inlineStr"/>
      <c r="F53" t="inlineStr"/>
      <c r="G53" t="inlineStr">
        <is>
          <t>Seattle, WA, US</t>
        </is>
      </c>
      <c r="H53" s="2" t="n">
        <v>45942</v>
      </c>
      <c r="I5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in-1f8ae9e513436ee0</t>
        </is>
      </c>
      <c r="B54" t="inlineStr">
        <is>
          <t>Principal Applied Scientist, Advertiser Growth, Amazon Sponsored Products &amp; Brands</t>
        </is>
      </c>
      <c r="C54" t="inlineStr">
        <is>
          <t>Amazon.com</t>
        </is>
      </c>
      <c r="D54" t="inlineStr">
        <is>
          <t>indeed</t>
        </is>
      </c>
      <c r="E54" t="inlineStr"/>
      <c r="F54" t="inlineStr"/>
      <c r="G54" t="inlineStr">
        <is>
          <t>New York, NY, US</t>
        </is>
      </c>
      <c r="H54" s="2" t="n">
        <v>45942</v>
      </c>
      <c r="I5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in-e31ac2605a3a5dcc</t>
        </is>
      </c>
      <c r="B55" t="inlineStr">
        <is>
          <t>Applied Scientist</t>
        </is>
      </c>
      <c r="C55" t="inlineStr">
        <is>
          <t>Amazon.com</t>
        </is>
      </c>
      <c r="D55" t="inlineStr">
        <is>
          <t>indeed</t>
        </is>
      </c>
      <c r="E55" t="inlineStr"/>
      <c r="F55" t="inlineStr"/>
      <c r="G55" t="inlineStr">
        <is>
          <t>Palo Alto, CA, US</t>
        </is>
      </c>
      <c r="H55" s="2" t="n">
        <v>45939</v>
      </c>
      <c r="I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in-fceadfd6bae5ad76</t>
        </is>
      </c>
      <c r="B56" t="inlineStr">
        <is>
          <t>Applied Scientist</t>
        </is>
      </c>
      <c r="C56" t="inlineStr">
        <is>
          <t>Amazon.com</t>
        </is>
      </c>
      <c r="D56" t="inlineStr">
        <is>
          <t>indeed</t>
        </is>
      </c>
      <c r="E56" t="inlineStr"/>
      <c r="F56" t="inlineStr"/>
      <c r="G56" t="inlineStr">
        <is>
          <t>New York, NY, US</t>
        </is>
      </c>
      <c r="H56" s="2" t="n">
        <v>45939</v>
      </c>
      <c r="I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in-a280041a11ea8bc4</t>
        </is>
      </c>
      <c r="B57" t="inlineStr">
        <is>
          <t>Applied Scientist</t>
        </is>
      </c>
      <c r="C57" t="inlineStr">
        <is>
          <t>Amazon.com</t>
        </is>
      </c>
      <c r="D57" t="inlineStr">
        <is>
          <t>indeed</t>
        </is>
      </c>
      <c r="E57" t="inlineStr"/>
      <c r="F57" t="inlineStr"/>
      <c r="G57" t="inlineStr">
        <is>
          <t>Seattle, WA, US</t>
        </is>
      </c>
      <c r="H57" s="2" t="n">
        <v>45939</v>
      </c>
      <c r="I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in-4cbaa108f10cf08c</t>
        </is>
      </c>
      <c r="B58" t="inlineStr">
        <is>
          <t>Sr. Applied Scientist, SPB Advertiser Guidance</t>
        </is>
      </c>
      <c r="C58" t="inlineStr">
        <is>
          <t>Amazon.com</t>
        </is>
      </c>
      <c r="D58" t="inlineStr">
        <is>
          <t>indeed</t>
        </is>
      </c>
      <c r="E58" t="inlineStr"/>
      <c r="F58" t="inlineStr"/>
      <c r="G58" t="inlineStr">
        <is>
          <t>Palo Alto, CA, US</t>
        </is>
      </c>
      <c r="H58" s="2" t="n">
        <v>45939</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in-5f2a85d22a69448b</t>
        </is>
      </c>
      <c r="B59" t="inlineStr">
        <is>
          <t>Sr. Applied Scientist, SPB Advertiser Guidance</t>
        </is>
      </c>
      <c r="C59" t="inlineStr">
        <is>
          <t>Amazon.com</t>
        </is>
      </c>
      <c r="D59" t="inlineStr">
        <is>
          <t>indeed</t>
        </is>
      </c>
      <c r="E59" t="inlineStr"/>
      <c r="F59" t="inlineStr"/>
      <c r="G59" t="inlineStr">
        <is>
          <t>New York, NY, US</t>
        </is>
      </c>
      <c r="H59" s="2" t="n">
        <v>45939</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in-e7ab2ac3f1a17b08</t>
        </is>
      </c>
      <c r="B60" t="inlineStr">
        <is>
          <t>Sr. Applied Scientist, SPB Advertiser Guidance</t>
        </is>
      </c>
      <c r="C60" t="inlineStr">
        <is>
          <t>Amazon.com</t>
        </is>
      </c>
      <c r="D60" t="inlineStr">
        <is>
          <t>indeed</t>
        </is>
      </c>
      <c r="E60" t="inlineStr"/>
      <c r="F60" t="inlineStr"/>
      <c r="G60" t="inlineStr">
        <is>
          <t>Seattle, WA,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in-f4e23f8d19d54c9a</t>
        </is>
      </c>
      <c r="B61" t="inlineStr">
        <is>
          <t>Applied Scientist II, Prime Video - Personalization and Discovery Science, Personalization and Discovery Science</t>
        </is>
      </c>
      <c r="C61" t="inlineStr">
        <is>
          <t>Amazon.com</t>
        </is>
      </c>
      <c r="D61" t="inlineStr">
        <is>
          <t>indeed</t>
        </is>
      </c>
      <c r="E61" t="inlineStr"/>
      <c r="F61" t="inlineStr"/>
      <c r="G61" t="inlineStr">
        <is>
          <t>Seattle, WA, US</t>
        </is>
      </c>
      <c r="H61" s="2" t="n">
        <v>45930</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in-36c03b96cc259bfc</t>
        </is>
      </c>
      <c r="B62" t="inlineStr">
        <is>
          <t>Applied Scientist II, Prime Video - Personalization and Discovery Science, Personalization and Discovery Science</t>
        </is>
      </c>
      <c r="C62" t="inlineStr">
        <is>
          <t>Amazon.com</t>
        </is>
      </c>
      <c r="D62" t="inlineStr">
        <is>
          <t>indeed</t>
        </is>
      </c>
      <c r="E62" t="inlineStr"/>
      <c r="F62" t="inlineStr"/>
      <c r="G62" t="inlineStr">
        <is>
          <t>New York, NY, US</t>
        </is>
      </c>
      <c r="H62" s="2" t="n">
        <v>45930</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in-eed73b8933704b2d</t>
        </is>
      </c>
      <c r="B63" t="inlineStr">
        <is>
          <t>Applied Scientist II, Prime Video - Personalization and Discovery Science, Personalization and Discovery Science</t>
        </is>
      </c>
      <c r="C63" t="inlineStr">
        <is>
          <t>Amazon.com</t>
        </is>
      </c>
      <c r="D63" t="inlineStr">
        <is>
          <t>indeed</t>
        </is>
      </c>
      <c r="E63" t="inlineStr"/>
      <c r="F63" t="inlineStr"/>
      <c r="G63" t="inlineStr">
        <is>
          <t>Sunnyvale, CA, US</t>
        </is>
      </c>
      <c r="H63" s="2" t="n">
        <v>45930</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in-2f5fc89c4dbbb756</t>
        </is>
      </c>
      <c r="B64" t="inlineStr">
        <is>
          <t>Applied Scientist, Workplace Health &amp; Safety</t>
        </is>
      </c>
      <c r="C64" t="inlineStr">
        <is>
          <t>Amazon.com</t>
        </is>
      </c>
      <c r="D64" t="inlineStr">
        <is>
          <t>indeed</t>
        </is>
      </c>
      <c r="E64" t="inlineStr"/>
      <c r="F64" t="inlineStr"/>
      <c r="G64" t="inlineStr">
        <is>
          <t>Nashville, TN, US</t>
        </is>
      </c>
      <c r="H64" s="2" t="n">
        <v>45917</v>
      </c>
      <c r="I6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in-6593aae1540d8da6</t>
        </is>
      </c>
      <c r="B65" t="inlineStr">
        <is>
          <t>Applied Scientist, Workplace Health &amp; Safety</t>
        </is>
      </c>
      <c r="C65" t="inlineStr">
        <is>
          <t>Amazon.com</t>
        </is>
      </c>
      <c r="D65" t="inlineStr">
        <is>
          <t>indeed</t>
        </is>
      </c>
      <c r="E65" t="inlineStr"/>
      <c r="F65" t="inlineStr"/>
      <c r="G65" t="inlineStr">
        <is>
          <t>Bellevue, WA, US</t>
        </is>
      </c>
      <c r="H65" s="2" t="n">
        <v>45917</v>
      </c>
      <c r="I6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in-d2347e255d96a563</t>
        </is>
      </c>
      <c r="B66" t="inlineStr">
        <is>
          <t>Sr. Applied Scientist, Prime Video - Personalization and Discovery Science</t>
        </is>
      </c>
      <c r="C66" t="inlineStr">
        <is>
          <t>Amazon.com</t>
        </is>
      </c>
      <c r="D66" t="inlineStr">
        <is>
          <t>indeed</t>
        </is>
      </c>
      <c r="E66" t="inlineStr"/>
      <c r="F66" t="inlineStr"/>
      <c r="G66" t="inlineStr">
        <is>
          <t>Seattle, WA, US</t>
        </is>
      </c>
      <c r="H66" s="2" t="n">
        <v>45896</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7">
      <c r="A67" t="inlineStr">
        <is>
          <t>in-c252a778e1af71be</t>
        </is>
      </c>
      <c r="B67" t="inlineStr">
        <is>
          <t>Sr. Applied Scientist, Prime Video - Personalization and Discovery Science</t>
        </is>
      </c>
      <c r="C67" t="inlineStr">
        <is>
          <t>Amazon.com</t>
        </is>
      </c>
      <c r="D67" t="inlineStr">
        <is>
          <t>indeed</t>
        </is>
      </c>
      <c r="E67" t="inlineStr"/>
      <c r="F67" t="inlineStr"/>
      <c r="G67" t="inlineStr">
        <is>
          <t>New York, NY, US</t>
        </is>
      </c>
      <c r="H67" s="2" t="n">
        <v>45896</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8">
      <c r="A68" t="inlineStr">
        <is>
          <t>in-278e21ad8935ab1c</t>
        </is>
      </c>
      <c r="B68" t="inlineStr">
        <is>
          <t>Applied Scientist II, Prime Video , Personalization and Discovery Science</t>
        </is>
      </c>
      <c r="C68" t="inlineStr">
        <is>
          <t>Amazon.com</t>
        </is>
      </c>
      <c r="D68" t="inlineStr">
        <is>
          <t>indeed</t>
        </is>
      </c>
      <c r="E68" t="inlineStr"/>
      <c r="F68" t="inlineStr"/>
      <c r="G68" t="inlineStr">
        <is>
          <t>Seattle, WA, US</t>
        </is>
      </c>
      <c r="H68" s="2" t="n">
        <v>45886</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69">
      <c r="A69" t="inlineStr">
        <is>
          <t>in-148b828f5dda0807</t>
        </is>
      </c>
      <c r="B69" t="inlineStr">
        <is>
          <t>Applied Scientist II, Prime Video , Personalization and Discovery Science</t>
        </is>
      </c>
      <c r="C69" t="inlineStr">
        <is>
          <t>Amazon.com</t>
        </is>
      </c>
      <c r="D69" t="inlineStr">
        <is>
          <t>indeed</t>
        </is>
      </c>
      <c r="E69" t="inlineStr"/>
      <c r="F69" t="inlineStr"/>
      <c r="G69" t="inlineStr">
        <is>
          <t>Sunnyvale, CA, US</t>
        </is>
      </c>
      <c r="H69" s="2" t="n">
        <v>45886</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0">
      <c r="A70" t="inlineStr">
        <is>
          <t>in-e86416e40cbe6c4f</t>
        </is>
      </c>
      <c r="B70" t="inlineStr">
        <is>
          <t>Applied Scientist II, Prime Video , Personalization and Discovery Science</t>
        </is>
      </c>
      <c r="C70" t="inlineStr">
        <is>
          <t>Amazon.com</t>
        </is>
      </c>
      <c r="D70" t="inlineStr">
        <is>
          <t>indeed</t>
        </is>
      </c>
      <c r="E70" t="inlineStr"/>
      <c r="F70" t="inlineStr"/>
      <c r="G70" t="inlineStr">
        <is>
          <t>New York, NY, US</t>
        </is>
      </c>
      <c r="H70" s="2" t="n">
        <v>45886</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1">
      <c r="A71" t="inlineStr">
        <is>
          <t>in-85666df0eeb97e7a</t>
        </is>
      </c>
      <c r="B71" t="inlineStr">
        <is>
          <t>Applied Scientist II, Prime Video - Personalization and Discovery Science</t>
        </is>
      </c>
      <c r="C71" t="inlineStr">
        <is>
          <t>Amazon.com</t>
        </is>
      </c>
      <c r="D71" t="inlineStr">
        <is>
          <t>indeed</t>
        </is>
      </c>
      <c r="E71" t="inlineStr"/>
      <c r="F71" t="inlineStr"/>
      <c r="G71" t="inlineStr">
        <is>
          <t>New York, NY, US</t>
        </is>
      </c>
      <c r="H71" s="2" t="n">
        <v>45881</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in-14c40773bf3cbcf4</t>
        </is>
      </c>
      <c r="B72" t="inlineStr">
        <is>
          <t>Sr. Applied Scientist, Prime Video - Personalization and Discovery Science</t>
        </is>
      </c>
      <c r="C72" t="inlineStr">
        <is>
          <t>Amazon.com</t>
        </is>
      </c>
      <c r="D72" t="inlineStr">
        <is>
          <t>indeed</t>
        </is>
      </c>
      <c r="E72" t="inlineStr"/>
      <c r="F72" t="inlineStr"/>
      <c r="G72" t="inlineStr">
        <is>
          <t>Seattle, WA, US</t>
        </is>
      </c>
      <c r="H72" s="2" t="n">
        <v>45881</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in-203c7b03be9cc1ce</t>
        </is>
      </c>
      <c r="B73" t="inlineStr">
        <is>
          <t>Sr. Applied Scientist, Prime Video - Personalization and Discovery Science</t>
        </is>
      </c>
      <c r="C73" t="inlineStr">
        <is>
          <t>Amazon.com</t>
        </is>
      </c>
      <c r="D73" t="inlineStr">
        <is>
          <t>indeed</t>
        </is>
      </c>
      <c r="E73" t="inlineStr"/>
      <c r="F73" t="inlineStr"/>
      <c r="G73" t="inlineStr">
        <is>
          <t>Sunnyvale, CA, US</t>
        </is>
      </c>
      <c r="H73" s="2" t="n">
        <v>45881</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in-a2b49922214ab0c4</t>
        </is>
      </c>
      <c r="B74" t="inlineStr">
        <is>
          <t>Applied Scientist II, Prime Video - Personalization and Discovery Science</t>
        </is>
      </c>
      <c r="C74" t="inlineStr">
        <is>
          <t>Amazon.com</t>
        </is>
      </c>
      <c r="D74" t="inlineStr">
        <is>
          <t>indeed</t>
        </is>
      </c>
      <c r="E74" t="inlineStr"/>
      <c r="F74" t="inlineStr"/>
      <c r="G74" t="inlineStr">
        <is>
          <t>Sunnyvale, CA, US</t>
        </is>
      </c>
      <c r="H74" s="2" t="n">
        <v>45881</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in-d736e4f7f41d55bf</t>
        </is>
      </c>
      <c r="B75" t="inlineStr">
        <is>
          <t>Sr. Applied Scientist, Prime Video - Personalization and Discovery Science</t>
        </is>
      </c>
      <c r="C75" t="inlineStr">
        <is>
          <t>Amazon.com</t>
        </is>
      </c>
      <c r="D75" t="inlineStr">
        <is>
          <t>indeed</t>
        </is>
      </c>
      <c r="E75" t="inlineStr"/>
      <c r="F75" t="inlineStr"/>
      <c r="G75" t="inlineStr">
        <is>
          <t>New York, NY, US</t>
        </is>
      </c>
      <c r="H75" s="2" t="n">
        <v>45881</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in-11651d7e68d8cb05</t>
        </is>
      </c>
      <c r="B76" t="inlineStr">
        <is>
          <t>Applied Scientist II, Prime Video - Personalization and Discovery Science</t>
        </is>
      </c>
      <c r="C76" t="inlineStr">
        <is>
          <t>Amazon.com</t>
        </is>
      </c>
      <c r="D76" t="inlineStr">
        <is>
          <t>indeed</t>
        </is>
      </c>
      <c r="E76" t="inlineStr"/>
      <c r="F76" t="inlineStr"/>
      <c r="G76" t="inlineStr">
        <is>
          <t>Seattle, WA, US</t>
        </is>
      </c>
      <c r="H76" s="2" t="n">
        <v>45881</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in-4c7e9461f26f279b</t>
        </is>
      </c>
      <c r="B77" t="inlineStr">
        <is>
          <t>Applied Scientist III, StoreGen</t>
        </is>
      </c>
      <c r="C77" t="inlineStr">
        <is>
          <t>Amazon.com</t>
        </is>
      </c>
      <c r="D77" t="inlineStr">
        <is>
          <t>indeed</t>
        </is>
      </c>
      <c r="E77" t="inlineStr"/>
      <c r="F77" t="inlineStr"/>
      <c r="G77" t="inlineStr">
        <is>
          <t>Sunnyvale, CA, US</t>
        </is>
      </c>
      <c r="H77" s="2" t="n">
        <v>45868</v>
      </c>
      <c r="I7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in-c0d607bc9add1de7</t>
        </is>
      </c>
      <c r="B78" t="inlineStr">
        <is>
          <t>Applied Scientist III, StoreGen</t>
        </is>
      </c>
      <c r="C78" t="inlineStr">
        <is>
          <t>Amazon.com</t>
        </is>
      </c>
      <c r="D78" t="inlineStr">
        <is>
          <t>indeed</t>
        </is>
      </c>
      <c r="E78" t="inlineStr"/>
      <c r="F78" t="inlineStr"/>
      <c r="G78" t="inlineStr">
        <is>
          <t>Seattle, WA, US</t>
        </is>
      </c>
      <c r="H78" s="2" t="n">
        <v>45868</v>
      </c>
      <c r="I7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in-3686a9b4bee705b2</t>
        </is>
      </c>
      <c r="B79" t="inlineStr">
        <is>
          <t>Sr. Applied Scientist, Amazon Advertising</t>
        </is>
      </c>
      <c r="C79" t="inlineStr">
        <is>
          <t>Amazon.com</t>
        </is>
      </c>
      <c r="D79" t="inlineStr">
        <is>
          <t>indeed</t>
        </is>
      </c>
      <c r="E79" t="inlineStr"/>
      <c r="F79" t="inlineStr"/>
      <c r="G79" t="inlineStr">
        <is>
          <t>West Hollywood, CA,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in-4aaa758e51a728f4</t>
        </is>
      </c>
      <c r="B80" t="inlineStr">
        <is>
          <t>Sr. Applied Scientist, Amazon Advertising</t>
        </is>
      </c>
      <c r="C80" t="inlineStr">
        <is>
          <t>Amazon.com</t>
        </is>
      </c>
      <c r="D80" t="inlineStr">
        <is>
          <t>indeed</t>
        </is>
      </c>
      <c r="E80" t="inlineStr"/>
      <c r="F80" t="inlineStr"/>
      <c r="G80" t="inlineStr">
        <is>
          <t>Arlington, VA,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in-bae5f26053bde77e</t>
        </is>
      </c>
      <c r="B81" t="inlineStr">
        <is>
          <t>Sr. Applied Scientist, Amazon Advertising</t>
        </is>
      </c>
      <c r="C81" t="inlineStr">
        <is>
          <t>Amazon.com</t>
        </is>
      </c>
      <c r="D81" t="inlineStr">
        <is>
          <t>indeed</t>
        </is>
      </c>
      <c r="E81" t="inlineStr"/>
      <c r="F81" t="inlineStr"/>
      <c r="G81" t="inlineStr">
        <is>
          <t>Los Angeles, CA,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in-b4f3e18d3e3d56db</t>
        </is>
      </c>
      <c r="B82" t="inlineStr">
        <is>
          <t>Sr. Applied Scientist, Amazon Advertising</t>
        </is>
      </c>
      <c r="C82" t="inlineStr">
        <is>
          <t>Amazon.com</t>
        </is>
      </c>
      <c r="D82" t="inlineStr">
        <is>
          <t>indeed</t>
        </is>
      </c>
      <c r="E82" t="inlineStr"/>
      <c r="F82" t="inlineStr"/>
      <c r="G82" t="inlineStr">
        <is>
          <t>Seattle, WA,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in-9bfa91c90aa28659</t>
        </is>
      </c>
      <c r="B83" t="inlineStr">
        <is>
          <t>Sr. Applied Scientist, Amazon Advertising</t>
        </is>
      </c>
      <c r="C83" t="inlineStr">
        <is>
          <t>Amazon.com</t>
        </is>
      </c>
      <c r="D83" t="inlineStr">
        <is>
          <t>indeed</t>
        </is>
      </c>
      <c r="E83" t="inlineStr"/>
      <c r="F83" t="inlineStr"/>
      <c r="G83" t="inlineStr">
        <is>
          <t>New York, NY,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in-5bc1880e015a2afa</t>
        </is>
      </c>
      <c r="B84" t="inlineStr">
        <is>
          <t>Sr. Applied Scientist, Amazon Advertising</t>
        </is>
      </c>
      <c r="C84" t="inlineStr">
        <is>
          <t>Amazon.com</t>
        </is>
      </c>
      <c r="D84" t="inlineStr">
        <is>
          <t>indeed</t>
        </is>
      </c>
      <c r="E84" t="inlineStr"/>
      <c r="F84" t="inlineStr"/>
      <c r="G84" t="inlineStr">
        <is>
          <t>Simi Valley, CA,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in-b6dc8f787273476f</t>
        </is>
      </c>
      <c r="B85" t="inlineStr">
        <is>
          <t>Sr. Applied Scientist, Amazon Advertising</t>
        </is>
      </c>
      <c r="C85" t="inlineStr">
        <is>
          <t>Amazon.com</t>
        </is>
      </c>
      <c r="D85" t="inlineStr">
        <is>
          <t>indeed</t>
        </is>
      </c>
      <c r="E85" t="inlineStr"/>
      <c r="F85" t="inlineStr"/>
      <c r="G85" t="inlineStr">
        <is>
          <t>Austin, TX,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in-33490fa247ee5274</t>
        </is>
      </c>
      <c r="B86" t="inlineStr">
        <is>
          <t>Sr. Applied Scientist, Amazon Advertising</t>
        </is>
      </c>
      <c r="C86" t="inlineStr">
        <is>
          <t>Amazon.com</t>
        </is>
      </c>
      <c r="D86" t="inlineStr">
        <is>
          <t>indeed</t>
        </is>
      </c>
      <c r="E86" t="inlineStr"/>
      <c r="F86" t="inlineStr"/>
      <c r="G86" t="inlineStr">
        <is>
          <t>Palo Alto, CA,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in-3bf4f5101f867158</t>
        </is>
      </c>
      <c r="B87" t="inlineStr">
        <is>
          <t>Sr. Applied Scientist, Sales AI</t>
        </is>
      </c>
      <c r="C87" t="inlineStr">
        <is>
          <t>Amazon.com</t>
        </is>
      </c>
      <c r="D87" t="inlineStr">
        <is>
          <t>indeed</t>
        </is>
      </c>
      <c r="E87" t="inlineStr"/>
      <c r="F87" t="inlineStr"/>
      <c r="G87" t="inlineStr">
        <is>
          <t>New York, NY, US</t>
        </is>
      </c>
      <c r="H87" s="2" t="n">
        <v>45830</v>
      </c>
      <c r="I8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in-beb7c107da95641f</t>
        </is>
      </c>
      <c r="B88" t="inlineStr">
        <is>
          <t>Sr. Applied Scientist, Sales AI</t>
        </is>
      </c>
      <c r="C88" t="inlineStr">
        <is>
          <t>Amazon.com</t>
        </is>
      </c>
      <c r="D88" t="inlineStr">
        <is>
          <t>indeed</t>
        </is>
      </c>
      <c r="E88" t="inlineStr"/>
      <c r="F88" t="inlineStr"/>
      <c r="G88" t="inlineStr">
        <is>
          <t>Sunnyvale, CA, US</t>
        </is>
      </c>
      <c r="H88" s="2" t="n">
        <v>45830</v>
      </c>
      <c r="I8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in-8a8c22b51442aa43</t>
        </is>
      </c>
      <c r="B89" t="inlineStr">
        <is>
          <t>Sr. Applied Scientist, Sales AI</t>
        </is>
      </c>
      <c r="C89" t="inlineStr">
        <is>
          <t>Amazon.com</t>
        </is>
      </c>
      <c r="D89" t="inlineStr">
        <is>
          <t>indeed</t>
        </is>
      </c>
      <c r="E89" t="inlineStr"/>
      <c r="F89" t="inlineStr"/>
      <c r="G89" t="inlineStr">
        <is>
          <t>Seattle, WA, US</t>
        </is>
      </c>
      <c r="H89" s="2" t="n">
        <v>45830</v>
      </c>
      <c r="I8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in-2efd6c0b9f3cbcc0</t>
        </is>
      </c>
      <c r="B90" t="inlineStr">
        <is>
          <t>Senior Applied Scientist, Delivery Foundation Model</t>
        </is>
      </c>
      <c r="C90" t="inlineStr">
        <is>
          <t>Amazon.com</t>
        </is>
      </c>
      <c r="D90" t="inlineStr">
        <is>
          <t>indeed</t>
        </is>
      </c>
      <c r="E90" t="inlineStr"/>
      <c r="F90" t="inlineStr"/>
      <c r="G90" t="inlineStr">
        <is>
          <t>New York, NY, US</t>
        </is>
      </c>
      <c r="H90" s="2" t="n">
        <v>45806</v>
      </c>
      <c r="I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in-123fcd71a733cbd9</t>
        </is>
      </c>
      <c r="B91" t="inlineStr">
        <is>
          <t>Senior Applied Scientist, Delivery Foundation Model</t>
        </is>
      </c>
      <c r="C91" t="inlineStr">
        <is>
          <t>Amazon.com</t>
        </is>
      </c>
      <c r="D91" t="inlineStr">
        <is>
          <t>indeed</t>
        </is>
      </c>
      <c r="E91" t="inlineStr"/>
      <c r="F91" t="inlineStr"/>
      <c r="G91" t="inlineStr">
        <is>
          <t>Santa Clara, CA, US</t>
        </is>
      </c>
      <c r="H91" s="2" t="n">
        <v>45806</v>
      </c>
      <c r="I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in-4b707a6f960d8121</t>
        </is>
      </c>
      <c r="B92" t="inlineStr">
        <is>
          <t>Senior Applied Scientist, Delivery Foundation Model</t>
        </is>
      </c>
      <c r="C92" t="inlineStr">
        <is>
          <t>Amazon.com</t>
        </is>
      </c>
      <c r="D92" t="inlineStr">
        <is>
          <t>indeed</t>
        </is>
      </c>
      <c r="E92" t="inlineStr"/>
      <c r="F92" t="inlineStr"/>
      <c r="G92" t="inlineStr">
        <is>
          <t>Bellevue, WA, US</t>
        </is>
      </c>
      <c r="H92" s="2" t="n">
        <v>45806</v>
      </c>
      <c r="I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in-dd3250a8b9b396f8</t>
        </is>
      </c>
      <c r="B93" t="inlineStr">
        <is>
          <t>Principal Applied Scientist, FAR (Frontier AI &amp; Robotics)</t>
        </is>
      </c>
      <c r="C93" t="inlineStr">
        <is>
          <t>Amazon.com</t>
        </is>
      </c>
      <c r="D93" t="inlineStr">
        <is>
          <t>indeed</t>
        </is>
      </c>
      <c r="E93" t="inlineStr"/>
      <c r="F93" t="inlineStr"/>
      <c r="G93" t="inlineStr">
        <is>
          <t>San Francisco, CA, US</t>
        </is>
      </c>
      <c r="H93" s="2" t="n">
        <v>45740</v>
      </c>
      <c r="I9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in-cb71096affdbc812</t>
        </is>
      </c>
      <c r="B94" t="inlineStr">
        <is>
          <t>Principal Applied Scientist, FAR (Frontier AI &amp; Robotics)</t>
        </is>
      </c>
      <c r="C94" t="inlineStr">
        <is>
          <t>Amazon.com</t>
        </is>
      </c>
      <c r="D94" t="inlineStr">
        <is>
          <t>indeed</t>
        </is>
      </c>
      <c r="E94" t="inlineStr"/>
      <c r="F94" t="inlineStr"/>
      <c r="G94" t="inlineStr">
        <is>
          <t>Seattle, WA, US</t>
        </is>
      </c>
      <c r="H94" s="2" t="n">
        <v>45740</v>
      </c>
      <c r="I9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in-6283b274a94eaf1a</t>
        </is>
      </c>
      <c r="B95" t="inlineStr">
        <is>
          <t>Sr AI Engineer (Generative AI &amp; AWS Bedrock)</t>
        </is>
      </c>
      <c r="C95" t="inlineStr"/>
      <c r="D95" t="inlineStr">
        <is>
          <t>indeed</t>
        </is>
      </c>
      <c r="E95" t="inlineStr"/>
      <c r="F95" t="inlineStr"/>
      <c r="G95" t="inlineStr">
        <is>
          <t>Naperville, IL, US</t>
        </is>
      </c>
      <c r="H95" s="2" t="n">
        <v>46064</v>
      </c>
      <c r="I95" t="inlineStr">
        <is>
          <t>We want someone who **implemented a multimodal RAG system** (at least worked with one type of RAG ). A real hands\-on engineer. Also, should be able **to code in python**. We are also evaluating in terms of clarity in thought process.
\*Good to have exposure on AWS and Azure but AWS at minimum.\*
**\*Must\-Have Qualifications (All Required)\***
* Strong Python engineering background with production experience in cloud\-native services.
* Extensive hands\-on experience with A**WS services: Amazon Bedrock (FMs \+ embeddings)** and **Bedrock Guardrails, AWS Lambda, CloudWatch, DynamoDB** (schema and access patterns), **S3** (bucket architecture, automation, event\-driven ingestion), **Amazon Kendra** (enterprise search / hybrid retrieval patterns), **AWS Agent Core / Bedrock Agents** (agent orchestration and tool use)
* Proven expertise in:
* **LLMs** (prompting patterns, context management, hallucination mitigation)
* **RAG** (chunking, metadata, hybrid retrieval, reranking, citations)
* **Data engineering on AWS** (pipelines, quality checks, lineage, versioning)
* **Database schema awareness and designing** data access patterns for scalable retrieval
Production delivery skills: CI/CD and IaC **(Terraform/CloudFormation/CDK)**
* **API Gateway, Step Functions, EventBridge, SQS/SNS**
* **OpenSearch / vector database patterns** (as applicable)
* **IAM least privilege, KMS, Secrets Manager/SSM, CloudTrail**
* **Reliability patterns (rate limiting, caching, retries, circuit breakers, DR awareness)**
* AI certification required **(AWS ML SClientialty or equivalent recognized AI/ML certification) and strong depth across AWS services.**
Pay: $75\.00 \- $80\.00 per hour
Work Location: In person</t>
        </is>
      </c>
    </row>
    <row r="96">
      <c r="A96" t="inlineStr">
        <is>
          <t>in-a02d101d54ab7871</t>
        </is>
      </c>
      <c r="B96" t="inlineStr">
        <is>
          <t>Applied AI Engineer</t>
        </is>
      </c>
      <c r="C96" t="inlineStr">
        <is>
          <t>SOCOTEC Group</t>
        </is>
      </c>
      <c r="D96" t="inlineStr">
        <is>
          <t>indeed</t>
        </is>
      </c>
      <c r="E96" t="inlineStr"/>
      <c r="F96" t="inlineStr"/>
      <c r="G96" t="inlineStr">
        <is>
          <t>Boston, MA, US</t>
        </is>
      </c>
      <c r="H96" s="2" t="n">
        <v>46064</v>
      </c>
      <c r="I96"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97">
      <c r="A97" t="inlineStr">
        <is>
          <t>in-2786577deff55a9b</t>
        </is>
      </c>
      <c r="B97" t="inlineStr">
        <is>
          <t>Applied AI Engineer</t>
        </is>
      </c>
      <c r="C97" t="inlineStr">
        <is>
          <t>SOCOTEC Group</t>
        </is>
      </c>
      <c r="D97" t="inlineStr">
        <is>
          <t>indeed</t>
        </is>
      </c>
      <c r="E97" t="inlineStr"/>
      <c r="F97" t="inlineStr"/>
      <c r="G97" t="inlineStr">
        <is>
          <t>New York, NY, US</t>
        </is>
      </c>
      <c r="H97" s="2" t="n">
        <v>46064</v>
      </c>
      <c r="I97"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98">
      <c r="A98" t="inlineStr">
        <is>
          <t>in-386f68d09bb59f01</t>
        </is>
      </c>
      <c r="B98" t="inlineStr">
        <is>
          <t>Principal Machine Learning Engineer</t>
        </is>
      </c>
      <c r="C98" t="inlineStr">
        <is>
          <t>DAT Solutions</t>
        </is>
      </c>
      <c r="D98" t="inlineStr">
        <is>
          <t>indeed</t>
        </is>
      </c>
      <c r="E98" t="inlineStr"/>
      <c r="F98" t="inlineStr"/>
      <c r="G98" t="inlineStr">
        <is>
          <t>Seattle, WA, US</t>
        </is>
      </c>
      <c r="H98" s="2" t="n">
        <v>46063</v>
      </c>
      <c r="I98"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03/31/2026
**The Opportunity**
-------------------
DAT's Convoy Platform Science team is seeking a **Principal ML Platform Engineer** to scale and evolve Convoy's most critical Data and ML Platform capabilities. As the platform enters a new phase of growth, we must dramatically increase our ability to experiment, learn, and adapt in real time across our marketplace, fraud detection, and pricing systems. This role is both deeply hands\-on and highly architectural, responsible for building the foundational infrastructure that enables our ML and AI systems to move faster, learn faster, and operate safely at scale.
You will lead the development of the core capabilities that let us:
* **Deliver lower\-latency data to models**, unlocking online learning, adaptive policies, and improved real\-time decision\-making for Convoy's auction mechanism, fraud detection apparatus, and carrier engagement campaigns.
* **Evolve our ML platform to support generative AI**, including orchestration, retrieval, standardized service patterns, and scalable model serving needed for foundational model applications in document digitization and voice\-based features.
* **Experiment faster and safer**, through robust causal inference tooling, richer randomized experimentation, and reliable evaluation infrastructure to help us learn more about the unique spatio\-temporal dynamics of a Trucking marketplace.
You will define and implement durable service architectures, build the real\-time systems that power ML in production, and partner closely with scientists to accelerate iteration and innovation. This is a pivotal moment in the integration of Convoy's technology into the broader DAT ecosystem, and your work will form the backbone of the next generation of ML and AI capabilities across the freight network.
**You are someone who will**
----------------------------
As a Principal ML Platform Engineer, you will set technical direction, mentor other engineers and scientists, and deliver solutions whose impact scales across teams and the broader Convoy Platform, not just within individual projects. Your work will influence three major areas:
#### **Experimentation, Evaluation \&amp; Adaptive Learning Infrastructure**
Drive the evolution of Convoy's experimentation and model\-evaluation foundations. Enable rigorous causal measurement, reliable online experimentation, scalable model iteration, and adaptive learning systems that continuously improve marketplace and policy decisions.
* **Evolve Convoy's experimentation stack (TestDrive):** Add richer randomized experiments, causal inference tooling, exposure/assignment logging, and metric pipelines; evaluate third\-party solutions where beneficial.
* **Enable adaptive learning approaches** (RL, contextual bandits, online learning) for dynamic marketplace and policy decisions (e.g., inferring the best timing, cohort, or communication channel to maximize carrier engagement).
* **Harden our evaluation infrastructure**, including offline/online pipelines, drift detection mechanisms, and structured feedback loops that ensure reliable model behavior over time.
* **Implement orchestration layers** that combine inference, retrieval, business logic, guardrails, and human\-in\-loop flows into reliable, auditable multi\-step AI agents.
#### **Feature Stores and Streaming Infrastructure**
Iterate on and expand Convoy Platform's low\-latency Feature Store and real\-time streaming platform (on RisingWave) to deliver signals such as app analytics, carrier behavior, and digital fingerprints to support marketplace optimization, fraud detection, and other decision systems.
* **Ensure unified online/offline semantics** to improve online decision\-making, support real\-time optimization, and enable future reinforcement\-learning and online\-learning workflows.
* **Build high\-throughput streaming pipelines** for carrier engagement, risk indicators, and fraud signals that power sub\-minute marketplace and policy decisions.
* **Develop platform\-level trucking knowledge systems**, including RAG indexes, domain adapters, structured benchmarks, and retrieval strategies that ground AI systems in operational realities.
#### **End\-to\-End Data \&amp; ML Platform \+ Core DevOps/MLOps Foundations**
This role entails end\-to\-end ownership and evolution of Convoy's Data and ML Platform, spanning data capture, transmission, structuring, storage, and consumption by ML models and analytics. You will architect and lead initiatives that reduce latency, increase reliability, and improve developer efficiency, directly enabling our builders to perform complex analysis and ship high\-quality ML products.
* **Design and scale the platform ecosystem**, leveraging Kafka, Snowflake, Kubernetes, and modern data formats (Avro, JSON, Iceberg), and use Python/Go to build the "connective tissue" that ensures platform reliability and scale.
* **Build low\-latency, production\-grade Python services** and contribute to TypeScript/Node where needed (e.g., emitting high\-quality data signals, wiring model calls into product flows, enabling experimentation and feature\-flag pathways).
* **Partner with scientists** to define durable service patterns (API design, serving workflows, monitoring) and uplift the platform that enables fast, safe iteration on ML\-backed services.
* **Mature platform infrastructure**, including Terraform/IaC, CI/CD, observability, logging/tracing, incident readiness, and cost/performance optimization.
* **Improve SQL/dbt workflows and batch/streaming pipelines** to increase reliability, correctness, and scalability.
* **Extend model\-serving infrastructure** to support more advanced ML workloads (managed inference self\-hosted GPU), with standardized versioning, canary/A/B rollouts, and granular monitoring.
**The Skills and Experience You'll Bring**
------------------------------------------
* **8–12\+ years of experience** in ML engineering, data infrastructure, platform engineering, or closely related production engineering roles.
* **Deep hands\-on experience with real\-time ML platforms**, including feature stores, stream processing, low\-latency data services, and online inference systems.
* **Strong proficiency in Python**, with the ability to work across non\-Python stacks including TypeScript/Node, gRPC services, and Kubernetes\-based microservice ecosystems.
* **Expertise in modern data and ML infrastructure**, including Kafka, Kubernetes, Postgres\-like OLTP systems, cloud platforms, and production observability tooling.
* **Experience building and operating robust data and ML pipelines** (both batch and streaming), ideally in high\-scale environments such as marketplaces, fraud detection systems, pricing, personalization, or real\-time decision platforms.
* **Strong DevOps and MLOps fundamentals**, including CI/CD, containerization, infrastructure\-as\-code (Terraform/Helm), automated monitoring, and cloud cost and performance optimization.
* **Collaborative platform mindset**, with a track record of partnering with scientists and product engineers to co\-design durable service patterns for model serving, deployment, monitoring, and API design, enabling fast and safe iteration on ML\-backed systems.
* **Ability to operate at Principal scope**, setting technical direction, identifying and retiring platform risk, mentoring engineers, and delivering solutions whose impact scales across teams and the broader organization.
**We'd be extra excited if**
----------------------------
* You have experience building ML systems in **two\-sided marketplaces, financial markets, or other economically complex environments**, with intuition for incentives, pricing, and market dynamics.
* You have **deep experience with data reliability and correctness at scale**, including schema evolution, data quality enforcement, backfills, late data handling, and incident response for production data systems.
* You have **applied advanced ML techniques** such as reinforcement learning, bandits, or optimization to unlock real\-world business impact, ideally within freight, logistics, or transportation technology.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*For Washington\-based candidates, in compliance with the Washington State Pay Transparency Law, the salary range for this role is $245,000 \- $320,000 \+ target bonus \+ benefits.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\#LI\-RF1
\#LI\-hybrid</t>
        </is>
      </c>
    </row>
    <row r="99">
      <c r="A99" t="inlineStr">
        <is>
          <t>in-9bda21843ac60bf7</t>
        </is>
      </c>
      <c r="B99" t="inlineStr">
        <is>
          <t>Senior AI/ML Engineer (SWE-3)</t>
        </is>
      </c>
      <c r="C99" t="inlineStr">
        <is>
          <t>Leidos</t>
        </is>
      </c>
      <c r="D99" t="inlineStr">
        <is>
          <t>indeed</t>
        </is>
      </c>
      <c r="E99" t="inlineStr"/>
      <c r="F99" t="inlineStr"/>
      <c r="G99" t="inlineStr">
        <is>
          <t>Fort Meade, MD, US</t>
        </is>
      </c>
      <c r="H99" s="2" t="n">
        <v>46063</v>
      </c>
      <c r="I99" t="inlineStr">
        <is>
          <t>**Description**
**Leidos** has a new and exciting opportunity for a **Senior AI/ML Engineer** in our **National Security Sector's (NSS) Cyber \&amp; Analytics Business Area (CABA)**. Our talented team is at the forefront in Security Engineering, Computer Network Operations (CNO), Mission Software, Analytical Methods and Modeling, Signals Intelligence (SIGINT), and Cryptographic Key Management. At **Leidos**, we offer **competitive benefits**,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Seeking a motivated AI/ML prototype engineer to support the exciting Corporate Discovery Services mission. Developers will work closely with mission stakeholders to capture requirements and create innovative prototypes and deploy solutions to evaluate and tune machine learning models’ ability to integrate, reference, make inferences and consolidate data into a holistic view.
**Job Responsibilities/Qualifications:**
* **Mission Focus**: Collaborate closely with customers to enable acceleration to evaluate and tune machine learning models’ ability to integrate, reference, make inferences and consolidate data into a holistic view.
* **Technical Proficiency**: Creatively write and evolve prototype techniques leveraging diverse architecture and methods. Provide database administration, dataflow engineering, data wrangling, and model development.
* **Qualifications**: Bachelor’s degree in computer science or related technical field plus a minimum of eight (8\) plus years of relevant experience or equivalent. Proficiency with, but not limited to, Python (i.e. SciKit\-learn, TensorFlow, PyTorch), R, GIT and experience with Jupyter Notebooks. Ability to provide database administration for relational databases and TensorFlow.
* **Security Clearance Requirement**: Candidates must possess an active TS/SCI with Polygraph to be considered for this role.
* **Desirable Skills**: Proficiency in augmenting, providing context, and/or fine\-tuning large language models for generative tasks using approaches such as but not limited to, retrieval augmented generation (RAG) and model context protocol (MCP).
**At Leidos, the opportunities are boundless. We challenge our staff with interesting assignments that allow them to thrive professionally and personally. For us, helping you grow your career is good business. We look forward to learning more about you – apply today!**
**Careers.leidos.com**
**conmd**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11,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0">
      <c r="A100" t="inlineStr">
        <is>
          <t>in-51366939a010b0e5</t>
        </is>
      </c>
      <c r="B100" t="inlineStr">
        <is>
          <t>Principal AI Engineer ($211,200 - $263,800)</t>
        </is>
      </c>
      <c r="C100" t="inlineStr">
        <is>
          <t>The Irvine Company</t>
        </is>
      </c>
      <c r="D100" t="inlineStr">
        <is>
          <t>indeed</t>
        </is>
      </c>
      <c r="E100" t="inlineStr"/>
      <c r="F100" t="inlineStr"/>
      <c r="G100" t="inlineStr">
        <is>
          <t>Irvine, CA, US</t>
        </is>
      </c>
      <c r="H100" s="2" t="n">
        <v>46063</v>
      </c>
      <c r="I100" t="inlineStr">
        <is>
          <t>**Position Summary:**
---------------------
Lead the design and implementation of advanced AI solutions, primarily utilizing LLMs for natural\-language interaction with enterprise data. This Principal Engineer role involves designing and building production AI applications (including conversational agents and RAG systems) to turn business questions into actionable insights. Expertise in modern LLM framework, embeddings, chunkings, and enterprise integration patterns is required to deliver intelligent, scalable solutions. This client\-facing position necessitates communicating complex AI system behaviors to both technical and business leadership.
**Key Responsibilities:**
-------------------------
* Lead the end\-to\-end development of advanced AI solutions, including agentic systems, RAG pipelines, and multi\-agent workflows
* Design and implement embedding and chunking strategies essential for effective Retrieval\-Augmented Generation (RAG) across enterprise data
* Create integrations to connect AI agents with enterprise data systems, APIs, and services
* Develop robust, production\-grade asynchronous Python applications with proper error handling and session management
* Implement vector database and graph database solutions for semantic search and knowledge representation
* Establish agentic architecture, including data flows, interfaces, and mechanisms across all enterprise systems
* Deploy and manage AI agents on cloud platforms using CI/CD pipelines, infrastructure as code, and managed AI services
* Implement monitoring, logging, and observability for agent interactions to guarantee system reliability and support debugging
* Develop context engineering strategies that assemble dynamic context for consistent and accurate Large Language Model (LLM) behavior
* Engage with clients to translate business requirements into AI solution architectures, and balance feature development with technical debt management
**Additional Skills:**
----------------------
* Experience with AI/ML agent orchestration frameworks such as Google ADK, LangChain, or similar tools
* Experience with multi\-agent architectures and workflow orchestration patterns
* Experience with LLM evaluation methodologies, including metrics design, hallucination detection, and A/B testing for prompt optimization
* Understanding of context engineering principles, including dynamic context assembly, tool result formatting, and conversation state management
* Experience with Snowflake or BigQuery, including query optimization and connection management
* Experience managing data systems, including persistence selection, schema design, and read/write tradeoffs
* Familiarity with MLOps patterns and model deployment pipelines
**Preferred Education:**
------------------------
* Bachelor's degree in Computer Science, Computer Engineering, Software Engineering, Electrical Engineering, or a related computational field
**Preferred Years of Relevant Work Experience:**
------------------------------------------------
* 7 \- 10 years in software development, including experience working in and leading technical teams
**Additional Requirements:**
----------------------------
* 3\+ years of hands\-on experience with LLMs, AI agents, or applied AI systems
* Expertise in Python development, async programming patterns, and modern web frameworks
* Proven experience developing RAG applications, including embedding strategies, chunking approaches, and retrieval optimization
* Hands\-on experience with vector databases and graph databases for semantic search and knowledge representation
* Experience with multiple LLM providers (Gemini, Claude, LLaMA) and understanding of cost vs. capability tradeoffs
* Experience with enterprise application integration, including defining integration architecture, data flows, and interface design
* Strong understanding of SOA, microservices, or similar architectural patterns
* Experience with CI/CD pipelines and infrastructure as code for deploying AI applications
* Demonstrated ability to communicate with client leadership and translate business requirements into technical solutions
* Experience with fine\-tuning or adapting foundation models for domain\-specific applications
* Experience balancing feature development with technical debt management to deliver business value while maintaining quality
**Compensation:**
Base Pay Range: $211,200\.00 \- $263,800\.00
Actual placement within this range may vary based upon, but not limited to, relevant experience, time in role, base salary of internal peers, prior performance, business sector, and geographic location.
The Company also offers competitive benefits for full time employees including paid time off, matching 401(k), and health benefits.
 **About Us:**  
Irvine Company is a privately held real estate investment company and master\-planner committed to creating and sustaining communities that thrive for generations.  
Irvine Company is respected for its master planning and environmental stewardship of the Irvine Ranch in Orange County, including diversified operations throughout coastal California. Irvine Company brings to life neighborhoods and sustainable communities with a full range of housing, jobs, retail centers, schools, parks and open space.  
We take as much pride in our employee community as we do the communities we create. It’s an environment populated with talented and experienced people, a collaborative spirit and abundant opportunities.  
Apply today to join our employee community, and learn more about Irvine Company, our legacy and our guiding principles.  
Irvine Company is committed to providing equal opportunity in all of our employment practices, including selection, hiring, promotion, transfer, compensation, termination, and training, without regard to race, religion, color, sex, sexual orientation, gender, gender identity, national origin, ancestry, citizenship status, marital status, pregnancy, age, medical condition, genetic information, military and veteran status, disability, or any other basis protected by federal, state, and local law. Reasonable accommodation is available for qualified individuals with disabilities, upon request.
\#LI\-Onsite</t>
        </is>
      </c>
    </row>
    <row r="101">
      <c r="A101" t="inlineStr">
        <is>
          <t>in-ace9553b28a1ba50</t>
        </is>
      </c>
      <c r="B101" t="inlineStr">
        <is>
          <t>Machine Learning Engineer</t>
        </is>
      </c>
      <c r="C101" t="inlineStr">
        <is>
          <t>The DarkStar Group</t>
        </is>
      </c>
      <c r="D101" t="inlineStr">
        <is>
          <t>indeed</t>
        </is>
      </c>
      <c r="E101" t="inlineStr"/>
      <c r="F101" t="inlineStr"/>
      <c r="G101" t="inlineStr">
        <is>
          <t>McLean, VA, US</t>
        </is>
      </c>
      <c r="H101" s="2" t="n">
        <v>46063</v>
      </c>
      <c r="I101" t="inlineStr">
        <is>
          <t>**What Impact You’ll Have**
This position supports a proposal effort, with funding anticipated in the near term.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 GRVTY is seeking a Machine Learning Engineer with a TS/SCI \+ Poly clearance (applicable to this customer) to join one of our top projects in McLean, VA.
* The Contractor shall expand the Sponsor’s Artificial Intelligence and Machine Learning (AI/ML) architecture and develop an analytics user interface (UI).
* The Contractor shall bridge research output to operational teams by packing models as reliable service.
* The Contractor shall create operator\-focused dashboards.
* The Contractor shall deliver a stable, low\-cost productions platform that enables rapid, tailored outreach.
* The Contractor shall provide weekly highlights summarizing work progress as required by the Sponsor.
* The Contractor shall provide briefings, to include presentation slides and user guide documentation, as required by the Sponsor
**What You Must Have**
* Active TS/SCI with Polygraph Clearance
* Demonstrated experience in cloud compute environments.
* Demonstrated experience in containerization concepts.
* Demonstrated experience in Machine Learning Operations (MLOps).
* Demonstrated expertise in software engineering, cloud architecture and UI design.
* Demonstrated experience supporting big data environments.
* Demonstrated ability to effectively communicate (verbal and written) with technical and non\-technical personnel as well as all levels of management and staff.
**What Would Be Nice to Have**
* Demonstrated experience with proficiency in Python and SQL
* Demonstrated experience with Docker
* Demonstrated experience with Flask, Gradio, or Streamlit</t>
        </is>
      </c>
    </row>
    <row r="102">
      <c r="A102" t="inlineStr">
        <is>
          <t>in-4b4f56bf6c0a3895</t>
        </is>
      </c>
      <c r="B102" t="inlineStr">
        <is>
          <t>Senior Machine Learning Engineer</t>
        </is>
      </c>
      <c r="C102" t="inlineStr">
        <is>
          <t>General Motors (GM)</t>
        </is>
      </c>
      <c r="D102" t="inlineStr">
        <is>
          <t>indeed</t>
        </is>
      </c>
      <c r="E102" t="inlineStr"/>
      <c r="F102" t="inlineStr"/>
      <c r="G102" t="inlineStr">
        <is>
          <t>Sunnyvale, CA, US</t>
        </is>
      </c>
      <c r="H102" s="2" t="n">
        <v>46063</v>
      </c>
      <c r="I102" t="inlineStr">
        <is>
          <t>**Job Description**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Senior ML Engineer, you will collaborate closely with machine learning engineers, research scientists, and other partners to develop state\-of\-the\-art AI solutions that enable the future of intelligent driving technologies across General Motors vehicles.
**What You'll Do:**
* Design and development of scalable, reliable, high\-performance ML framework to support model training at scale.
* Model training performance analysis and optimization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degree or higher in Computer Science or equivalent major OR equivalent relevant experience
* 3\+ years professional software engineering experience
* 2\+ years specialized experience in AI/ML infrastructure, e.g., enabling distributed training for scaling large ML models
* Strong programming skills in Python, with proficiency in frameworks such as,PyTorch (preferred),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5\+ years of professional software engineering experience.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 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**Relocation:** This job may be eligible for relocation benefits.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**Remote:** This role is based remotely but if you live within a 50\-mile radius of \[Mountain View, Sunnyvale, Detroit, Warren, Milford], you are expected to report to that location three times a week, at minimum (up to HM's discretion).
\&amp;\#xa;\&amp;\#xa;\&amp;\#xa;\&amp;\#xa;This role is based remotely, but if the selected candidate lives within a specific mile radius of a GM hub, they will be expected to report to the location three times a week {or other frequency dictated by your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03">
      <c r="A103" t="inlineStr">
        <is>
          <t>in-7f75dbf9ecfa7791</t>
        </is>
      </c>
      <c r="B103" t="inlineStr">
        <is>
          <t>Audio Machine Learning Engineer Co-op</t>
        </is>
      </c>
      <c r="C103" t="inlineStr">
        <is>
          <t>Bose</t>
        </is>
      </c>
      <c r="D103" t="inlineStr">
        <is>
          <t>indeed</t>
        </is>
      </c>
      <c r="E103" t="inlineStr"/>
      <c r="F103" t="inlineStr"/>
      <c r="G103" t="inlineStr">
        <is>
          <t>Framingham, MA, US</t>
        </is>
      </c>
      <c r="H103" s="2" t="n">
        <v>46063</v>
      </c>
      <c r="I103"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**THE ROLE**
At Bose, we use machine learning across a diverse set of problems ranging from speech enhancement (e.g., Bose PinPoint) to audio perception. As an ML Engineer Co\-op at Bose, you will help build our next generation of wearable and speaker products empowered by deep learning.  
**Responsibilities**
* Build desktop and embedded software prototypes to demonstrate new ML\-powered audio features on our wearables
* Design, train, and evaluate deep learning algorithms with a focus on low\-latency, on\-device audio tasks
* Research, implement, and benchmark state\-of\-the\-art approaches in audio ML, speech enhancement, keyword spotting, and audio signal processing
* Collaborate across hardware, firmware, and UX teams to define requirements and inform product roadmaps
Minimum Qualifications
* Currently pursuing a M.S. or Ph.D. in Computer Science, Electrical Engineering, Machine Learning, or a related field
* 3\+ years of Python and C/C\+\+ experience
* Strong experience implementing deep neural networks with PyTorch, TensorFlow, or similar frameworks
* Proven cross\-group and cross\-culture collaboration skills
Creative problem\-solver with demonstrated ability to work independently  
* 
Preferred Qualifications
* Prior internship or work experience as a Software/ML engineer
* Publication record in ML or audio signal processing venues
* Solid background in digital signal processing and embedded systems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$40\.00\-$51\.25 per hour.The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104">
      <c r="A104" t="inlineStr">
        <is>
          <t>in-31db9f0d9cea1515</t>
        </is>
      </c>
      <c r="B104" t="inlineStr">
        <is>
          <t>Senior Machine Learning Engineer, Perception, Data &amp; Systems</t>
        </is>
      </c>
      <c r="C104" t="inlineStr">
        <is>
          <t>Waymo</t>
        </is>
      </c>
      <c r="D104" t="inlineStr">
        <is>
          <t>indeed</t>
        </is>
      </c>
      <c r="E104" t="inlineStr"/>
      <c r="F104" t="inlineStr"/>
      <c r="G104" t="inlineStr">
        <is>
          <t>Mountain View, CA, US</t>
        </is>
      </c>
      <c r="H104" s="2" t="n">
        <v>46063</v>
      </c>
      <c r="I104" t="inlineStr">
        <is>
          <t>MOUNTAIN VIEW, CALIFORNIA, UNITED STATES
FULL\-TIME
SOFTWARE ENGINEERING
4575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6\+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5">
      <c r="A105" t="inlineStr">
        <is>
          <t>in-c8a7ab945c979c09</t>
        </is>
      </c>
      <c r="B105" t="inlineStr">
        <is>
          <t>AI Engineer- Video Analytics</t>
        </is>
      </c>
      <c r="C105" t="inlineStr">
        <is>
          <t>Velocitor Solutions</t>
        </is>
      </c>
      <c r="D105" t="inlineStr">
        <is>
          <t>indeed</t>
        </is>
      </c>
      <c r="E105" t="inlineStr"/>
      <c r="F105" t="inlineStr"/>
      <c r="G105" t="inlineStr">
        <is>
          <t>Charlotte, NC, US</t>
        </is>
      </c>
      <c r="H105" s="2" t="n">
        <v>46063</v>
      </c>
      <c r="I105" t="inlineStr">
        <is>
          <t>**AI Engineer: Video Analytics**
Location: Charlotte, NC  
Employment Type: Full time
The VTrack Vision team builds GPU accelerated video analytics for real time safety monitoring across large fleets and industrial environments. Our system processes high volume video streams, runs YOLO based detection models, performs temporal tracking and smoothing to reduce false positives, and identifies actionable safety violations. Inference results are published to downstream APIs and integrated with Azure Event Hub, Blob Storage, and cloud monitoring systems.
If you enjoy pushing GPU performance limits, crafting resilient ML pipelines, and building real world safety applications that make an impact, you’ll fit right in.
Responsibilities
* Develop and optimize GPU accelerated video inference pipelines, including batching, stride control, and throughput tuning.
* Implement, evaluate, and improve object detection models (YOLO or similar) and build temporal smoothing/tracking logic for safety event detection.
* Optimize model performance using TensorRT, ONNX, CUDA, and GPU profiling tools to maximize throughput and minimize latency/VRAM usage.
* Build and maintain integrations with event\-driven APIs, Azure Event Hub, Blob Storage, and internal services.
* Add robust metrics, logging, telemetry, and fail safe mechanisms for resilient inference jobs.
* Collaborate on dataset curation, labeling, model training, validation, and experiment tracking.
* Support containerized deployments (Docker) and assist with monitoring and scaling production workloads.
Requirements
* 3\+ years of experience shipping computer vision or machine learning systems to production.
* Strong proficiency in Python and experience with OpenCV, PyTorch, async I/O frameworks, and API integrations.
* Hands on experience with YOLO/Ultralytics or similar object detection frameworks.
* Solid understanding of video processing fundamentals: frame sampling, temporal filtering, confidence thresholds, and multi\-camera aggregation.
* Experience optimizing GPU inference performance: batching, stride, TensorRT, CUDA, model quantization, and throughput tuning.
Nice to Have
* Experience with Azure Event Hub, Blob Storage, Application Insights, or similar cloud messaging/storage platforms.
* Familiarity with Docker, cloud deployments, and production monitoring systems.
* Experience in temporal/sequence analysis for event detection.
* Background in video analytics for safety, compliance, or industrial/transportation environments.
Tech Stack
Python, OpenCV, PyTorch, Ultralytics YOLO, ONNX, TensorRT, CUDA, asyncio, aiohttp, gRPC, REST APIs, Azure Event Hub, Azure Blob Storage, Docker, Application Insights (or equivalent telemetry tools).</t>
        </is>
      </c>
    </row>
    <row r="106">
      <c r="A106" t="inlineStr">
        <is>
          <t>in-629b02f150da5427</t>
        </is>
      </c>
      <c r="B106" t="inlineStr">
        <is>
          <t>Machine Learning Engineer, Perception, Data &amp; Systems</t>
        </is>
      </c>
      <c r="C106" t="inlineStr">
        <is>
          <t>Waymo</t>
        </is>
      </c>
      <c r="D106" t="inlineStr">
        <is>
          <t>indeed</t>
        </is>
      </c>
      <c r="E106" t="inlineStr"/>
      <c r="F106" t="inlineStr"/>
      <c r="G106" t="inlineStr">
        <is>
          <t>Mountain View, CA, US</t>
        </is>
      </c>
      <c r="H106" s="2" t="n">
        <v>46063</v>
      </c>
      <c r="I106" t="inlineStr">
        <is>
          <t>MOUNTAIN VIEW, CALIFORNIA, UNITED STATES
FULL\-TIME
SOFTWARE ENGINEERING
4575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3\+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07">
      <c r="A107" t="inlineStr">
        <is>
          <t>in-8dc23d15e3075239</t>
        </is>
      </c>
      <c r="B107" t="inlineStr">
        <is>
          <t>AI Engineer</t>
        </is>
      </c>
      <c r="C107" t="inlineStr">
        <is>
          <t>UST</t>
        </is>
      </c>
      <c r="D107" t="inlineStr">
        <is>
          <t>indeed</t>
        </is>
      </c>
      <c r="E107" t="inlineStr"/>
      <c r="F107" t="inlineStr"/>
      <c r="G107" t="inlineStr">
        <is>
          <t>CA, US</t>
        </is>
      </c>
      <c r="H107" s="2" t="n">
        <v>46063</v>
      </c>
      <c r="I107" t="inlineStr">
        <is>
          <t>1 Opening
California  
### **Role description**
**AI Engineer**
**Associate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currently looking for remote\-based AI Engineers to support our innovative client engagement.
**The opportunity:**
* Provide solution options and recommend the most effective technical approaches.
* Independently handle complex Gen AI use cases end\-to\-end.
* Ensure productivity from Day 1 with minimal ramp\-up.
* Establish and enforce quality gates including code reviews, test cases, and adherence to defined standards/patterns.
* Deliver customer\-facing outputs that are clean, accurate, and error\-free.
* Act as a single\-threaded owner with executive management and the Client team.
* Drive proactive improvements, not just reactive fixes.
* Take full ownership of delivery and business conversations.
* Deliver POCs with measurable value\-adds (e.g., time and cost savings).
* Build reusable accelerators and templates for wider adoption across the client.
* Support the client’s Agentic AI initiatives, helping position UST as a trusted innovation partner.
This position description identifies the responsibilities and tasks typically associated with the performance of the position. Other relevant essential functions may be required.
**What you** **need:**
* Proven expertise in Gen AI, Data Science, and LLM\-based solutions.
* Strong hands\-on background with Microsoft OpenAI (GPT\-5\) or similar large\-scale models.
* Ability to manage both technical delivery and customer\-facing leadership roles.
* Experience setting up technical governance frameworks.
* Track record of delivering POCs to production with quantifiable business impact.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Location:****Remote**
**Compensation Range**: $56,000\-$84,000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\#LI\-VK5
\#LI\-Remote
### **Skills**
ai agent,cloud computing,natural language processing,data preprocessing,ai agent orchestration,python
### **Benefits**
### **Compensation range: $ 56,000\.00 to 84,000\.00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08">
      <c r="A108" t="inlineStr">
        <is>
          <t>in-f5a922271e5a250b</t>
        </is>
      </c>
      <c r="B108" t="inlineStr">
        <is>
          <t>Full Stack Gen AI Engineer</t>
        </is>
      </c>
      <c r="C108" t="inlineStr">
        <is>
          <t>Tiger Analytics</t>
        </is>
      </c>
      <c r="D108" t="inlineStr">
        <is>
          <t>indeed</t>
        </is>
      </c>
      <c r="E108" t="inlineStr"/>
      <c r="F108" t="inlineStr"/>
      <c r="G108" t="inlineStr">
        <is>
          <t>Dallas, TX, US</t>
        </is>
      </c>
      <c r="H108" s="2" t="n">
        <v>46063</v>
      </c>
      <c r="I108" t="inlineStr">
        <is>
          <t>### **About Tiger Analytics**
Tiger Analytics is a global leader in AI and analytics, helping Fortune 1000 companies solve their toughest challenges. We offer full\-stack AI and analytics services \&amp; solutions to empower businesses to achieve real outcomes and value at scale. We are on a mission to push the boundaries of what AI and analytics can do to help enterprises navigate uncertainty and move forward decisively. Our purpose is to provide certainty to shape a better tomorrow.
Our team of 4000\+ technologists and consultants are based in the US, Canada, the UK, India, Singapore, and Australia, working closely with clients across CPG, Retail, Insurance, BFS, Manufacturing, Life Sciences, and Healthcare. We are a Great Place to Work\-Certified™ company, recognized by analyst firms such as Forrester, Gartner, HFS, Everest, ISG, and others.
### **Job Description**
We are looking for a highly skilled **Full Stack Gen AI Engineer** with **7\+ years of experience** in software engineering, with a heavy focus on Python, AWS infrastructure, and Generative AI. The ideal candidate will be responsible for building high\-performance API services and implementing complex RAG and Agentic AI architectures.
**Key Requirements:**
* **Experience:** Minimum of **7\+ years** of professional experience in software development and AI engineering.
* **API \&amp; Backend:** Expert in building high\-performance API / microservices using Python (FastAPI) deployed on AWS Fargate (ECS) **(Most Critical)**.
* **Generative AI Integration:** Hands\-on experience integrating Generative AI/LLM APIs, AWS Bedrock, and other model providers.
* **Infrastructure \&amp; DevOps:** Experience with DevOps, CI/CD pipelines, and ML pipelines within the AWS ecosystem.
* **Agentic AI:** Exposure to building Gen AI/Agentic AI applications, managing efficiency, latency, and backend infrastructure.
* **Technical Standards:** Strong Python programming skills with a deep understanding of OpenAI API standards, JSON RESTful design, and LLM orchestration.
* **Preferred Skills:** Experience working with Bedrock Agent/Core services is a significant plus.
### **Core Focus Areas \&amp; Expectations**
Candidates will be expected to demonstrate deep technical proficiency in the following areas:
**1\. Retrieval\-Augmented Generation (RAG)**
* Ability to design and implement end\-to\-end RAG pipelines, including retrievers, vector stores (e.g., Pinecone, Weaviate, or pgvector), and generators.
* Expertise in latency optimization and relevance tuning to ensure production\-grade performance.
* Strategic approach to document chunking and embedding, balancing granularity with semantic coherence.
**2\. Agent Development**
* Practical experience developing autonomous or semi\-autonomous agents using frameworks such as LangChain, CrewAI, or Semantic Kernel.
* Ability to manage orchestration, tool integration, and robust error handling for non\-deterministic AI outputs.
* Proficiency in managing memory and context (episodic vs. long\-term) in multi\-turn interactions and external API interfacing.
**3\. Evaluation and Optimization**
* Familiarity with evaluation frameworks (e.g., RAGAS, TruLens) to assess performance, grounding accuracy, and hallucination detection.
* Ability to iterate systems based on performance metrics and continuous improvement practices.
### **Why Join Us?**
This position offers an excellent opportunity for significant career development in a fast\-growing and challenging entrepreneurial environment with a high degree of individual responsibility. Every individual comes with a different set of skills and qualities, so even if you don’t tick all the boxes for the role today, we urge you to apply as there might be a suitable/unique role for you tomorrow.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09">
      <c r="A109" t="inlineStr">
        <is>
          <t>in-7296158300d968c6</t>
        </is>
      </c>
      <c r="B109" t="inlineStr">
        <is>
          <t>Machine Learning Engineer ll</t>
        </is>
      </c>
      <c r="C109" t="inlineStr">
        <is>
          <t>Cohere Health</t>
        </is>
      </c>
      <c r="D109" t="inlineStr">
        <is>
          <t>indeed</t>
        </is>
      </c>
      <c r="E109" t="inlineStr"/>
      <c r="F109" t="inlineStr"/>
      <c r="G109" t="inlineStr">
        <is>
          <t>Remote, US</t>
        </is>
      </c>
      <c r="H109" s="2" t="n">
        <v>46063</v>
      </c>
      <c r="I109" t="inlineStr">
        <is>
          <t>**Opportunity Overview:**
We are looking for a Machine Learning Engineer ll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 Perform in\-depth analysis of healthcare data to independently design, develop, and deliver clinical ML models.
* Build reliable and scalable production machine learning systems
* Work on feature engineering, statistical analysis, developing novel ML techniques, understanding performance, and improving model run time.
* Work cross\-functionally across diverse stakeholders, including product managers, statisticians, clinicians, and clinical analysts.
**What you'll need:**
* You have 2\-4 years full time professional experience in Machine Learning
* You have an MS in computer science, machine learning, computational linguistics, statistics, mathematics or similar field
* You have hands on experience building with modern language models, including context\-engineering LLMs or fine\-tuning SLMs
* You understand scientific best practice in experimental design and can independently perform data collection, measurement, and interpretation of results
* You have experience configuring, training, evaluating, deploying, and maintaining models in a production setting
* Advanced proficiency in Python and familiarity with ML frameworks such as PyTorch.
**Pay \&amp; Perks:**
 Fully remote opportunity with about 5% travel
 Medical, dental, vision, life, disability insurance, and Employee Assistance Program
 401K retirement plan with company match; flexible spending and health savings account
️ Up to 184 hours (23 days) of PTO per year \+ company holidays
 Up to 14 weeks of paid parental leave
 Pet insurance
The salary range for this position is $120,000 \- $140,000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Live Coding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row>
    <row r="110">
      <c r="A110" t="inlineStr">
        <is>
          <t>in-a6b37cb12af8729e</t>
        </is>
      </c>
      <c r="B110" t="inlineStr">
        <is>
          <t>Machine Learning Engineer, Perception, Data &amp; Systems</t>
        </is>
      </c>
      <c r="C110" t="inlineStr">
        <is>
          <t>Waymo</t>
        </is>
      </c>
      <c r="D110" t="inlineStr">
        <is>
          <t>indeed</t>
        </is>
      </c>
      <c r="E110" t="inlineStr"/>
      <c r="F110" t="inlineStr"/>
      <c r="G110" t="inlineStr">
        <is>
          <t>Mountain View, CA, US</t>
        </is>
      </c>
      <c r="H110" s="2" t="n">
        <v>46063</v>
      </c>
      <c r="I11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3\+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11">
      <c r="A111" t="inlineStr">
        <is>
          <t>in-7f6d3b5f2109d78b</t>
        </is>
      </c>
      <c r="B111" t="inlineStr">
        <is>
          <t>Senior Machine Learning Engineer, Perception, Data &amp; Systems</t>
        </is>
      </c>
      <c r="C111" t="inlineStr">
        <is>
          <t>Waymo</t>
        </is>
      </c>
      <c r="D111" t="inlineStr">
        <is>
          <t>indeed</t>
        </is>
      </c>
      <c r="E111" t="inlineStr"/>
      <c r="F111" t="inlineStr"/>
      <c r="G111" t="inlineStr">
        <is>
          <t>Mountain View, CA, US</t>
        </is>
      </c>
      <c r="H111" s="2" t="n">
        <v>46063</v>
      </c>
      <c r="I11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6\+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12">
      <c r="A112" t="inlineStr">
        <is>
          <t>in-cd5883f004f099f1</t>
        </is>
      </c>
      <c r="B112" t="inlineStr">
        <is>
          <t>AI/ML Engineer</t>
        </is>
      </c>
      <c r="C112" t="inlineStr">
        <is>
          <t>Wipro</t>
        </is>
      </c>
      <c r="D112" t="inlineStr">
        <is>
          <t>indeed</t>
        </is>
      </c>
      <c r="E112" t="inlineStr"/>
      <c r="F112" t="inlineStr"/>
      <c r="G112" t="inlineStr">
        <is>
          <t>Charlotte, NC, US</t>
        </is>
      </c>
      <c r="H112" s="2" t="n">
        <v>46063</v>
      </c>
      <c r="I112" t="inlineStr">
        <is>
          <t>Job Description* 
Job Title: AI/ML Engineer
City: Charlotte
State/Province: North Carolina
Posting Start Date: 2/11/26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AI/ML Engineer
Location: Charlotte, NC (Hybrid \- 3 Days onsite/week)  
Job Description:
6\+ years in AI/ML engineering, data science, or advanced analytics.
Hands\-on experience developing AI POCs and prototypes.
Strong knowledge of ML frameworks (TensorFlow, PyTorch, Hugging Face, LangChain, etc.).
Familiarity with generative AI, Agentic AI, NLP, AI/ML frameworks and automation strategies.
Experience with cloud AI services and APIs.
Skills:
Strong AI/ML model development capabilities, Python/SQL skills and rapid prototyping ability.
Ability to move quickly from ideation to functional demonstration.
Strong analytical, problem\-solving, and storytelling skills.
Comfort with ambiguity and iterative experimentation.
Education: Bachelor’s or Master’s in Computer Science, Data Science, Engineering, or related field.  
Mandatory Skills: Machine Learning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13">
      <c r="A113" t="inlineStr">
        <is>
          <t>in-066ae851ec12a3fe</t>
        </is>
      </c>
      <c r="B113" t="inlineStr">
        <is>
          <t>Staff AI/ML Engineer</t>
        </is>
      </c>
      <c r="C113" t="inlineStr">
        <is>
          <t>Crocs</t>
        </is>
      </c>
      <c r="D113" t="inlineStr">
        <is>
          <t>indeed</t>
        </is>
      </c>
      <c r="E113" t="inlineStr"/>
      <c r="F113" t="inlineStr"/>
      <c r="G113" t="inlineStr">
        <is>
          <t>Broomfield, CO, US</t>
        </is>
      </c>
      <c r="H113" s="2" t="n">
        <v>46063</v>
      </c>
      <c r="I113" t="inlineStr">
        <is>
          <t>**Staff AI/ML Engineer**
========================
Requisition ID: 13026
Job Location(s):
Broomfield, CO, US, 80021
Time in Office: Hybrid
At Crocs, Inc., every career offers a chance to make a real impact. No two journeys look the same. And that's exactly how we like it. Whether you’re welcoming customers into our stores, collaborating with global teams at our headquarters, or keeping operations moving at our distribution centers, your impact is real and valued. At Crocs, Inc. you’re not expected to fit a mold. You’re encouraged to break it and create something better.**Overview**
------------
The **Staff AI/ML Engineer** role at Crocs Inc. is a technical leadership position within the Global Information Technology team. This role is crucial to ensuring the design, rapid prototyping, building and deployment of AI \&amp; ML applications across Crocs Inc. The ideal candidate will have a strong background in building and deploying large scale AI \&amp; ML applications within commercial/enterprise settings. The candidate will also have versatile experience working with classical AI/ML, deep learning frameworks, as well as GenAI (foundation \&amp; domain models). They will focus on critical imperatives driving our business growth. This role is essential in ensuring the successful delivery of high value AI/ML use cases with material business/enterprise impact.
**What You'll Do**
------------------
* Thought Leadership: Operate as a trusted technical expert within Crocs Inc. on AI/ML technology and applications, including AI/ML embedded in SaaS or other 3rd party software.
* Architectural Leadership: Lead the architecture and design of AI/ML applications and AI/ML components integrated into other enterprise applications.
* Application Development: Hands\-on development of rapid prototypes, as well as scaled AI/ML applications, ensuring the technology systems are scalable, reliable and built for growth.
* Collaboration: Work closely with multi\-functional teams including IT and various business teams to identify, refine and prioritize high impact AI/ML use cases across the enterprise.
* Communicate to Multiple Levels: Develop architecture and process diagrams and communicate in ways that can be consumed by different levels of the organization with varying degrees of detail to ensure alignment up and down with the same understanding.
* Documentation: Develop and maintain solution architectural documentation that describes current and future technology state, including data flow diagrams, system architecture diagrams, and technical specifications.
* International Outlook: Design and implement scalable solutions that support both US and international operations. Collaborate with multi\-functional teams to understand and address regional needs and challenges.
* Global Compliance and Standards: Ensure all systems and processes adhere to global industry standards and regulatory requirements, particularly concerning data security and privacy.
* Mentorship: Provide guidance and mentorship to junior team members, including external vendor resources, fostering a culture of continuous learning and improvement.
* Risk Mitigation: Identify and mitigate risks across the end\-to\-end solution where subject matter expertise required
* Relationship Management: Develop strong relationships with regional leaders, external partners, and vendors.
**What You'll Bring to the Table**
----------------------------------
* Bachelor’s or graduate (master’s or PhD) degree in a quantitative discipline (e.g., Computer Science, Engineering, Physics, Operations Research, etc.)
* 7\+ years of experience with a bachelor’s OR 5\+ years of experience with a master’s OR 2\+ years of experience with a PhD. Professional experience in AI or machine learning roles, which may include AI/ML software engineering roles
* Proven experience in designing, implementing and deploying scaled AI/ML enterprise applications, with functional applications in some of the following: AI assistants \&amp; custom GPTs, demand forecasting, supply chain optimization, white space \&amp; assortment optimization, macro\-space optimization, pricing, promotions \&amp; markdown optimization, NLP \&amp; NLU, product recommendation, targeted marketing \&amp; personalization, simulations, labor forecasting \&amp; staffing optimization, routing \&amp; network optimization, intelligent automation \&amp; decisioning, etc.
* Expertise in AI/ML algorithms including deep learning frameworks (TensorFlow, PyTorch, etc.)
* Deep expertise in Python. Additional programming languages (such as Spark, Rust, etc.) a plus
* Strong knowledge of large language models, GenAI, and RAG frameworks
* Familiarity with retail or apparel business is a plus
* Excellent problem\-solving skills with a strategic attitude
* Ability to work in a fast\-paced, dynamic environment with multiple priorities.
* Exposure to AI ethics and compliant use of data
* Effective communication skills to provide complex technical information to both technical and non\-technical personnel
* Ability to partner with suppliers, business customers, and IT staff on multi\-functional projects and service improvements
* Skills and proven ability to analyze complex problems and break them down into logical, actionable parts
* Excellent analytical skills
The Company is an Equal Opportunity Employer committed to a diverse and inclusive work environment. We accept applications on an ongoing basis.
All qualified applicants will receive consideration for employment without regard to race, color, religion, sex, sexual orientation, gender identity, national origin, or disability, or any other classification protected by law.
Title: Staff AI/ML Engineer
Salary or Pay Range: $180,000 \- $190,000
Pay offered will vary based on job\-related factors such as location, experience, training, skills, and abilities.
At Crocs, Inc. we believe in the power of a blend of in\-person and virtual collaboration to drive creativity and strengthen relationships. Your participation in this flexible schedule plays a key role in building a connected and successful team. In\-office requirements vary by our work personas: Resident (5 days), Collaborator (4 days), Connector (2\-3 days), Explorer (fully remote). This role has been aligned to the Collaborator persona.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*The application window is 45 days, but applicants are encouraged to apply as soon as possible after the posting date in order to ensure optimal consideration. The posting will be removed if the job is filled before the application window deadline.*
Job Category: Corporate
**Nearest Major Market:** Denver</t>
        </is>
      </c>
    </row>
    <row r="114">
      <c r="A114" t="inlineStr">
        <is>
          <t>in-a13c343c77f18968</t>
        </is>
      </c>
      <c r="B114" t="inlineStr">
        <is>
          <t>AI Engineer</t>
        </is>
      </c>
      <c r="C114" t="inlineStr">
        <is>
          <t>Nirmata</t>
        </is>
      </c>
      <c r="D114" t="inlineStr">
        <is>
          <t>indeed</t>
        </is>
      </c>
      <c r="E114" t="inlineStr"/>
      <c r="F114" t="inlineStr"/>
      <c r="G114" t="inlineStr">
        <is>
          <t>Santa Clara, CA, US</t>
        </is>
      </c>
      <c r="H114" s="2" t="n">
        <v>46063</v>
      </c>
      <c r="I114" t="inlineStr">
        <is>
          <t>At Nirmata, our mission is to accelerate adoption of cloud native technologies for enterprises. We believe that software can radically transform the world and are building a solution to help enterprises deliver and operate mission critical software at scale. Nirmata is an AI powered Kubernetes governance platform.
**About the Role**
**Are you ready to build the future of AI\-powered policy automation?** Nirmata is looking for a passionate and curious Software Engineer to join our team and help us define the next generation of our cloud solutions. This isn't just another dev role—you'll be working at the intersection of AI, Kubernetes, and cloud security, shaping the core of our platform from the ground up.
As an **AI Agent Engineer**, you won't just be writing code; you'll be experimenting with cutting\-edge AI models, architecting scalable systems, and building the infrastructure that powers intelligent policy management for the world's leading companies. This is your chance to make a massive impact in a fast\-moving, high\-growth startup environment.
This is a remote role for applicants based in the US. Unfortunately we are unable to sponsor work visas for this role at this time.
**Responsibilities:**
* **Design \&amp; Implement:** Contribute directly to the design and implementation of Nirmata’s AI/ML infrastructure.
* **Innovate with AI:** Define the optimal approach for new AI features, including LLMs, RAG, and prompt engineering.
* **Be a Scientist:** Conduct experiments to select the best AI models based on accuracy and cost, because every decision matters.
* **Scale for Tomorrow:** Influence architecture and design decisions to ensure our platform can handle explosive growth.
* **Build the Engine:** Develop and optimize the data path subsystem for policy management and reporting.
**Qualifications:**
* **1\-3 Years of Experience:** You’re an emerging talent with a **Bachelor's, Master's, or PhD in Computer Science** or a related field.
* **A Passion for AI:** You have a strong curiosity and foundational understanding of AI technologies and concepts like LLMs, Agents, and RAG. No professional experience in AI/ML is required; we're looking for potential and passion.
* **Code in Your DNA:** Strong programming fundamentals in at least one of these languages: **Go, Java, or Python**. A desire to learn or expertise in Go is a big plus.
* **Know Your Systems:**
 * Kubernetes expertise and familiarity with distributed system architectures.
* Familiarity with messaging and database concepts and tools like Kafka, MongoDB, or Postgres.
* **Open\-Source Enthusiasm:** Contributions to open\-source projects are a huge plus—show us what you've been building!
Benefits: Comprehensive health coverage including medical, dental, and vision; Equity awards; Flexible time off.
Join Nirmata and be part of a **high\-impact, fast\-paced** team shaping the future of **AI\-powered governance**. If you're driven by **technical challenges** and thrive in a **startup environment**, we look forward to your application
Nirmata does not provide employment sponsorship at this time so candidates must be authorized to work in the United States without sponsorship now and in the future.
ABOUT NIRMATA
Nirmata empowers organizations to innovate rapidly without compromising security or compliance. With Gartner forecasting that 99% of cloud security failures will result from misconfigurations by 2027, Nirmata's policy\-as\-code platform offers a proactive solution. Nirmata's highly customizable policies seamlessly integrate with your cloud\-native environments, ensuring robust governance and security at scale. Trusted by top financial institutions and global enterprises—and with over 3\.2 billion downloads of Kyverno, Nirmata's open source policy engine —Kyverno simplifies compliance, mitigates risk, and accelerates the enterprise journey to secure innovation.
Nirmata’s success is built on the diverse contributions of its employees. We're committed to an inclusive workplace where everyone's perspective is valued, and we do not discriminate based on race, religion, national origin, gender identity or expression, sexual orientation, age, marital, veteran, or disability status. All application information will be kept confidential in accordance with EEO guidelines.
Nirmata uses E\-Verify for US\-based roles, confirming work authorization after a job offer is accepted and the I\-9 is completed. If E\-Verify can't confirm authorization, we'll provide instructions on contacting DHS or SSA before any action is taken. See the Notice of Right to Work for details.
By submitting your application, you acknowledge that Nirmata will process your personal data in accordance with our Privacy Policy.</t>
        </is>
      </c>
    </row>
    <row r="115">
      <c r="A115" t="inlineStr">
        <is>
          <t>in-04ec539a7d641d3d</t>
        </is>
      </c>
      <c r="B115" t="inlineStr">
        <is>
          <t>Ray ML Engineer</t>
        </is>
      </c>
      <c r="C115" t="inlineStr">
        <is>
          <t>Openkyber</t>
        </is>
      </c>
      <c r="D115" t="inlineStr">
        <is>
          <t>indeed</t>
        </is>
      </c>
      <c r="E115" t="inlineStr"/>
      <c r="F115" t="inlineStr"/>
      <c r="G115" t="inlineStr">
        <is>
          <t>GA, US</t>
        </is>
      </c>
      <c r="H115" s="2" t="n">
        <v>46063</v>
      </c>
      <c r="I115" t="inlineStr">
        <is>
          <t>**For applications and inquiries, contact:** hirings@openkyber.com</t>
        </is>
      </c>
    </row>
    <row r="116">
      <c r="A116" t="inlineStr">
        <is>
          <t>in-f40b7e607401f0b9</t>
        </is>
      </c>
      <c r="B116" t="inlineStr">
        <is>
          <t>Machine Learning Engineer II, Special Projects</t>
        </is>
      </c>
      <c r="C116" t="inlineStr">
        <is>
          <t>Amazon.com</t>
        </is>
      </c>
      <c r="D116" t="inlineStr">
        <is>
          <t>indeed</t>
        </is>
      </c>
      <c r="E116" t="inlineStr"/>
      <c r="F116" t="inlineStr"/>
      <c r="G116" t="inlineStr">
        <is>
          <t>Seattle, WA, US</t>
        </is>
      </c>
      <c r="H116" s="2" t="n">
        <v>46061</v>
      </c>
      <c r="I116"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Ability to quickly learn state of the art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Experience in distributed model training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row r="117">
      <c r="A117" t="inlineStr">
        <is>
          <t>in-3859bb45eb19dbf7</t>
        </is>
      </c>
      <c r="B117" t="inlineStr">
        <is>
          <t>Data and Machine Learning Engineer - Vision Language Models, Data &amp; Machine Learning (DML)</t>
        </is>
      </c>
      <c r="C117" t="inlineStr">
        <is>
          <t>Amazon Web Services</t>
        </is>
      </c>
      <c r="D117" t="inlineStr">
        <is>
          <t>indeed</t>
        </is>
      </c>
      <c r="E117" t="inlineStr"/>
      <c r="F117" t="inlineStr"/>
      <c r="G117" t="inlineStr">
        <is>
          <t>Arlington, VA, US</t>
        </is>
      </c>
      <c r="H117" s="2" t="n">
        <v>46051</v>
      </c>
      <c r="I117"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8">
      <c r="A118" t="inlineStr">
        <is>
          <t>in-295e05f6ea7245e4</t>
        </is>
      </c>
      <c r="B118" t="inlineStr">
        <is>
          <t>Data and Machine Learning Engineer - Vision Language Models, Data &amp; Machine Learning (DML)</t>
        </is>
      </c>
      <c r="C118" t="inlineStr">
        <is>
          <t>Amazon Web Services</t>
        </is>
      </c>
      <c r="D118" t="inlineStr">
        <is>
          <t>indeed</t>
        </is>
      </c>
      <c r="E118" t="inlineStr"/>
      <c r="F118" t="inlineStr"/>
      <c r="G118" t="inlineStr">
        <is>
          <t>Herndon, VA, US</t>
        </is>
      </c>
      <c r="H118" s="2" t="n">
        <v>46051</v>
      </c>
      <c r="I11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9">
      <c r="A119" t="inlineStr">
        <is>
          <t>in-96a5ef319a96b001</t>
        </is>
      </c>
      <c r="B119" t="inlineStr">
        <is>
          <t>Machine Learning Engineer, WWPS ProServe Data and Machine Learning</t>
        </is>
      </c>
      <c r="C119" t="inlineStr">
        <is>
          <t>Amazon Web Services</t>
        </is>
      </c>
      <c r="D119" t="inlineStr">
        <is>
          <t>indeed</t>
        </is>
      </c>
      <c r="E119" t="inlineStr"/>
      <c r="F119" t="inlineStr"/>
      <c r="G119" t="inlineStr">
        <is>
          <t>Arlington, VA, US</t>
        </is>
      </c>
      <c r="H119" s="2" t="n">
        <v>46044</v>
      </c>
      <c r="I11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0">
      <c r="A120" t="inlineStr">
        <is>
          <t>in-d71972f1d1cfcc39</t>
        </is>
      </c>
      <c r="B120" t="inlineStr">
        <is>
          <t>Machine Learning Engineer, WWPS ProServe Data and Machine Learning</t>
        </is>
      </c>
      <c r="C120" t="inlineStr">
        <is>
          <t>Amazon Web Services</t>
        </is>
      </c>
      <c r="D120" t="inlineStr">
        <is>
          <t>indeed</t>
        </is>
      </c>
      <c r="E120" t="inlineStr"/>
      <c r="F120" t="inlineStr"/>
      <c r="G120" t="inlineStr">
        <is>
          <t>Herndon, VA, US</t>
        </is>
      </c>
      <c r="H120" s="2" t="n">
        <v>46044</v>
      </c>
      <c r="I12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1">
      <c r="A121" t="inlineStr">
        <is>
          <t>in-643af899858488e8</t>
        </is>
      </c>
      <c r="B121" t="inlineStr">
        <is>
          <t>Machine Learning Engineer, WWPS ProServe Data and Machine Learning</t>
        </is>
      </c>
      <c r="C121" t="inlineStr">
        <is>
          <t>Amazon Web Services</t>
        </is>
      </c>
      <c r="D121" t="inlineStr">
        <is>
          <t>indeed</t>
        </is>
      </c>
      <c r="E121" t="inlineStr"/>
      <c r="F121" t="inlineStr"/>
      <c r="G121" t="inlineStr">
        <is>
          <t>Herndon, VA, US</t>
        </is>
      </c>
      <c r="H121" s="2" t="n">
        <v>46043</v>
      </c>
      <c r="I12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2">
      <c r="A122" t="inlineStr">
        <is>
          <t>in-0fd5d3c3f31301b0</t>
        </is>
      </c>
      <c r="B122" t="inlineStr">
        <is>
          <t>Machine Learning Engineer, WWPS ProServe Data and Machine Learning</t>
        </is>
      </c>
      <c r="C122" t="inlineStr">
        <is>
          <t>Amazon Web Services</t>
        </is>
      </c>
      <c r="D122" t="inlineStr">
        <is>
          <t>indeed</t>
        </is>
      </c>
      <c r="E122" t="inlineStr"/>
      <c r="F122" t="inlineStr"/>
      <c r="G122" t="inlineStr">
        <is>
          <t>Arlington, VA, US</t>
        </is>
      </c>
      <c r="H122" s="2" t="n">
        <v>46043</v>
      </c>
      <c r="I122"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3">
      <c r="A123" t="inlineStr">
        <is>
          <t>in-3d72a98c5477215b</t>
        </is>
      </c>
      <c r="B123" t="inlineStr">
        <is>
          <t>Applied Scientist, Alexa Smart Home</t>
        </is>
      </c>
      <c r="C123" t="inlineStr">
        <is>
          <t>Amazon.com</t>
        </is>
      </c>
      <c r="D123" t="inlineStr">
        <is>
          <t>indeed</t>
        </is>
      </c>
      <c r="E123" t="inlineStr"/>
      <c r="F123" t="inlineStr"/>
      <c r="G123" t="inlineStr">
        <is>
          <t>Sunnyvale, CA, US</t>
        </is>
      </c>
      <c r="H123" s="2" t="n">
        <v>46033</v>
      </c>
      <c r="I12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4">
      <c r="A124" t="inlineStr">
        <is>
          <t>in-c5408623b2a52aab</t>
        </is>
      </c>
      <c r="B124" t="inlineStr">
        <is>
          <t>Applied Scientist, Alexa Smart Home</t>
        </is>
      </c>
      <c r="C124" t="inlineStr">
        <is>
          <t>Amazon.com</t>
        </is>
      </c>
      <c r="D124" t="inlineStr">
        <is>
          <t>indeed</t>
        </is>
      </c>
      <c r="E124" t="inlineStr"/>
      <c r="F124" t="inlineStr"/>
      <c r="G124" t="inlineStr">
        <is>
          <t>Seattle, WA, US</t>
        </is>
      </c>
      <c r="H124" s="2" t="n">
        <v>46033</v>
      </c>
      <c r="I12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5">
      <c r="A125" t="inlineStr">
        <is>
          <t>in-a020b765f7ec60ee</t>
        </is>
      </c>
      <c r="B125" t="inlineStr">
        <is>
          <t>ML Engineer, GO-AI Technology &amp; Development Team</t>
        </is>
      </c>
      <c r="C125" t="inlineStr">
        <is>
          <t>Amazon.com</t>
        </is>
      </c>
      <c r="D125" t="inlineStr">
        <is>
          <t>indeed</t>
        </is>
      </c>
      <c r="E125" t="inlineStr"/>
      <c r="F125" t="inlineStr"/>
      <c r="G125" t="inlineStr">
        <is>
          <t>Boston, MA, US</t>
        </is>
      </c>
      <c r="H125" s="2" t="n">
        <v>45998</v>
      </c>
      <c r="I12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6">
      <c r="A126" t="inlineStr">
        <is>
          <t>in-3df3f27a20cdb91f</t>
        </is>
      </c>
      <c r="B126" t="inlineStr">
        <is>
          <t>ML Engineer, GO-AI Technology &amp; Development Team</t>
        </is>
      </c>
      <c r="C126" t="inlineStr">
        <is>
          <t>Amazon.com</t>
        </is>
      </c>
      <c r="D126" t="inlineStr">
        <is>
          <t>indeed</t>
        </is>
      </c>
      <c r="E126" t="inlineStr"/>
      <c r="F126" t="inlineStr"/>
      <c r="G126" t="inlineStr">
        <is>
          <t>Westborough, MA, US</t>
        </is>
      </c>
      <c r="H126" s="2" t="n">
        <v>45998</v>
      </c>
      <c r="I12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7">
      <c r="A127" t="inlineStr">
        <is>
          <t>in-49fcd98fe03d8855</t>
        </is>
      </c>
      <c r="B127" t="inlineStr">
        <is>
          <t>ML Engineer, GO-AI Technology &amp; Development Team</t>
        </is>
      </c>
      <c r="C127" t="inlineStr">
        <is>
          <t>Amazon.com</t>
        </is>
      </c>
      <c r="D127" t="inlineStr">
        <is>
          <t>indeed</t>
        </is>
      </c>
      <c r="E127" t="inlineStr"/>
      <c r="F127" t="inlineStr"/>
      <c r="G127" t="inlineStr">
        <is>
          <t>Reading, MA, US</t>
        </is>
      </c>
      <c r="H127" s="2" t="n">
        <v>45998</v>
      </c>
      <c r="I12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8">
      <c r="A128" t="inlineStr">
        <is>
          <t>in-c64fb7c0901ed50d</t>
        </is>
      </c>
      <c r="B128" t="inlineStr">
        <is>
          <t>ML Engineer, GO-AI Technology &amp; Development Team</t>
        </is>
      </c>
      <c r="C128" t="inlineStr">
        <is>
          <t>Amazon.com</t>
        </is>
      </c>
      <c r="D128" t="inlineStr">
        <is>
          <t>indeed</t>
        </is>
      </c>
      <c r="E128" t="inlineStr"/>
      <c r="F128" t="inlineStr"/>
      <c r="G128" t="inlineStr">
        <is>
          <t>Seattle, WA, US</t>
        </is>
      </c>
      <c r="H128" s="2" t="n">
        <v>45998</v>
      </c>
      <c r="I12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9">
      <c r="A129" t="inlineStr">
        <is>
          <t>in-fa9c13b57920c8c5</t>
        </is>
      </c>
      <c r="B129" t="inlineStr">
        <is>
          <t>Applied Machine Learning Engineer Expert</t>
        </is>
      </c>
      <c r="C129" t="inlineStr">
        <is>
          <t>Allstate Insurance</t>
        </is>
      </c>
      <c r="D129" t="inlineStr">
        <is>
          <t>indeed</t>
        </is>
      </c>
      <c r="E129">
        <f>HYPERLINK("https://www.indeed.com/viewjob?jk=fa9c13b57920c8c5", "https://www.indeed.com/viewjob?jk=fa9c13b57920c8c5")</f>
        <v/>
      </c>
      <c r="F129">
        <f>HYPERLINK("https://allstateinsurance.contacthr.com/151000966", "https://allstateinsurance.contacthr.com/151000966")</f>
        <v/>
      </c>
      <c r="G129" t="inlineStr">
        <is>
          <t>Remote, US</t>
        </is>
      </c>
      <c r="H129" s="3" t="n">
        <v>46063</v>
      </c>
      <c r="I129"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expert role will be responsible for multiple major technical aspects and forward engineering in the field of machine learning, information retrieval, artificial intelligence, natural language processing, and ontology engineering technologies. Plays a key role in the vision and realization of cutting\-edge technical capabilities into business applications and solutions.
We are looking for a **Generative AI Software Engineer** to join our team and help build next\-generation AI\-driven solutions. This role blends **traditional Software engineering** with **cutting\-edge AI integration**, enabling innovative digital products and services. You will work closely with cross\-functional teams to design, develop, and deploy secure, scalable applications and integrate advanced AI models into production environments.
**Key Responsibilities**
**Sofware Engineering**
* Build secure, scalable, and high\-performance microservices and applications using **Java Spring Boot / Python**.
* Design and maintain **RESTful APIs** and microservices architecture with asynchronous processing.
* Deploy and manage applications on cloud platforms, preferably **Microsoft Azure**.
**AI Integration \&amp; Development**
* Integrate and deploy **Generative AI models** (e.g., OpenAI, Hugging Face, LangChain) into production environments.
* Optimize **LLMs** for specific use cases and implement **RAG (Retrieval\-Augmented Generation)** pipelines.
* Work with **embedding models**, **vector databases**, and **prompt engineering** techniques.
* Explore **multi\-modal AI systems** and **agentic AI frameworks** for advanced capabilities.
**Modern Development Practices**
* Leverage tools like **GitHub Copilot** and agentic AI for code reviews, unit testing, and pull requests.
* Leverage APM tools like DataDog to enhance Observability posture for your application.
* Collaborate with platform consultants, product engineers, and digital product managers to integrate AI solutions.
**MLOps \&amp; Model Deployment**
* Implement best practices for **model deployment, scaling, versioning, and monitoring**.
* Develop and maintain scalable **data pipelines** for ingestion, processing, and feature engineering.
* Ensure compliance with **ethical AI standards** and data governance as per Allstate standards.
**Required Qualifications**
* **3\+ years** of backend development experience using **Java Spring Boot / Python**.
* Strong understanding of **RESTful APIs**, **microservices architecture**, and **asynchronous processing**.
* Hands\-on experience with **Docker**, **Kubernetes**, and **CI/CD pipelines**.
* Experience working with **Generative AI APIs** and/or open\-source models.
* Knowledge of **LangChain**, **LLM orchestration**, and **prompt engineering**.
**Preferred Skills**
* Exposure to **multi\-modal AI systems** and **agentic AI frameworks**.
* Experience with **MLOps workflows** and cloud deployment (**Azure/AI Foundry preferred**).
* Strong problem\-solving and debugging skills.
**Nice to Have**
* Knowledge of **ethical AI practices** and compliance frameworks.
Familiarity with **data preprocessing**, **token management**, and **embedding generation**
\#LI\-PG1
**Skills**
AI Frameworks, Artificial Intelligence (AI), Large Language Model (LLM) Fine\-Tuning, Large Language Models (LLMs), Machine Learning (ML)**Compensation**
Compensation offered for this role is 169,600\.00 \- 237,400\.00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130">
      <c r="A130" t="inlineStr">
        <is>
          <t>in-da477b1706b39d7c</t>
        </is>
      </c>
      <c r="B130" t="inlineStr">
        <is>
          <t>AI Engineer</t>
        </is>
      </c>
      <c r="C130" t="inlineStr">
        <is>
          <t>Open Access Technology International</t>
        </is>
      </c>
      <c r="D130" t="inlineStr">
        <is>
          <t>indeed</t>
        </is>
      </c>
      <c r="E130">
        <f>HYPERLINK("https://www.indeed.com/viewjob?jk=da477b1706b39d7c", "https://www.indeed.com/viewjob?jk=da477b1706b39d7c")</f>
        <v/>
      </c>
      <c r="F130">
        <f>HYPERLINK("http://www.indeed.com/job/ai-engineer-da477b1706b39d7c", "http://www.indeed.com/job/ai-engineer-da477b1706b39d7c")</f>
        <v/>
      </c>
      <c r="G130" t="inlineStr">
        <is>
          <t>US</t>
        </is>
      </c>
      <c r="H130" s="3" t="n">
        <v>46064</v>
      </c>
      <c r="I130" t="inlineStr">
        <is>
          <t>The Open Access Technology International (OATI) is seeking highly motivated individuals to join our team of AI Engineers focused on power systems. This is a fantastic opportunity to gain practical experience working on real\-world AI applications alongside leading experts in the energy sector. The starting salary for this role ranges from $100k – $150k per year, commensurate with experience.
Our team is tackling critical challenges in electric power system operations using Artificial Intelligence.
Responsibilities
* Conduct research and development on specific AI problems critical to power system operations, leveraging OATI’s vast datasets spanning decades (e.g., forecasting load, wholesale electricity market prices, renewable energy generation; optimizing grid reliability, resiliency, and stability; signature analysis and anomaly detection).
* Design, build, and deploy agentic AI systems using frameworks such as LangChain, LangGraph and related agentic libraries.
* Implement and optimize retrieval\-augmented generation (RAG)pipelines ensuring agents can access and incorporate external knowledge sources for grounded, accurate responses.
* Fine\-tune and prompt\-engineer LLMsfor task\-specific reasoning, planning and dynamic adaptation.
* Lead the development of enterprise\-grade AI platform that integrates advanced generative AI and LLM technologies.
* Design, build and fine\-tune large foundation AI models (e.g., LLMs, multimodal models) for the energy domain.
* Develop and deploy agentic AI systems capable of autonomous decision\-making and multi\-agent collaboration.
* Build and optimize neural network models tailored to use cases in the energy/power systems industry ensuring high performance and scalability.
* Implement and standardize Model Context Protocol based communication to ensure consistent context management across AI models and agents.
* Establish and enforce best practices for MLOps, model monitoring and observability to ensure robust, scalable and maintainable AI solutions.
* Develop and implement machine learning models using popular frameworks (e.g., TensorFlow, PyTorch) to analyze and extract meaningful insights from power system data.
* Participate in the full research cycle, including literature review, data exploration, experimentation, analysis and presentation of findings.
* Collaborate effectively with other researchers, engineers and data scientists.
* Contribute to the development and documentation of technical code.
Education
Bachelor’s or Master’s degree in Computer Science, Artificial Intelligence, Machine Learning, or a related field; PhD preferred.
Technical Skills
* 3\+ years building and deploying AI\-powered systems using LLMs, RAG and agentic architectures.
* Solid Python programming skills and experience with modern AI/ML libraries.
* Advanced knowledge of LLMs, including fine\-tuning, prompt engineering, and evaluation.
* Proven experience implementing RAG systems and integrating vector databases or external knowledge stores.
* Proven experience in building and fine\-tuning foundation models (e.g., LLMs, vision transformers, multimodal models) for different domains (such as energy, healthcare, finance, etc.).
* Past experience in implementing association rule mining algorithms to uncover patterns and relationships within large and diverse datasets.
* Past experience in building similarity search pipelines using vector representations to enable accurate ranking and retrieval based on multidimensional feature similarity.
* Deep knowledge of agentic AI frameworks and multi\-agent system design.
* Proven ability to design and implement multi\-agent systems and agent\-to\-agent communication.
* Strong background in neural network architectures, including transformers and other models.
* Strong background in advanced mathematics and statistics for model optimization and validation.
* Familiarity of Model Context Protocol and best practices for managing AI model context and state.
* Proficiency in Python and relevant AI/ML frameworks such as TensorFlow or PyTorch.
* Excellent problem\-solving skills and ability to communicate complex AI concepts to technical and non\-technical stakeholders.
* Strong foundation in machine learning concepts, including algorithms (e.g., deep learning, reinforcement learning) and statistical methods.
* Experience with AI system security, compliance, and ethical AI considerations.
* Knowledge of natural language processing (NLP) pipelines and data engineering.
* Familiarity with conversational AI and chat bot frameworks.
* Familiarity with version control systems like Git.
* Familiarity with SQL and No\-SQL database engines is a plus.
Experience
* Experience conducting independent research or working on AI\-related projects.
* (For Ph.D. students) A strong publication record demonstrating research experience.
* (For Master’s students) Experience conducting independent research or working on AI\-related projects.
Other skills
* Excellent analytical and problem\-solving skills with the ability to tackle complex problems.
* Strong communication skills to present research findings and collaborate effectively within a team.
* Ability to work independently and manage time effectively.
* A passion for research and development in the field of AI and a strong interest in the power sector.
Benefits
* Gain valuable experience working on real\-world AI projects with a significant impact on the future of power systems.
* Work alongside leading experts in AI and the energy sector.
* Potential for co\-authorship on research publications (depending on contribution).
* Opportunity to develop your research skills and expertise in a rapidly evolving field.
* Be part of a dynamic and collaborative research team working on a critical global challenge.
Job Type: Full\-time
Pay: $100,000\.00 \- $175,000\.00 per year
Benefits:
* 401(k)
* 401(k) matching
* Dental insurance
* Health insurance
* Life insurance
* Paid time off
* Vision insurance
Work Location: Remote</t>
        </is>
      </c>
    </row>
    <row r="131">
      <c r="A131" t="inlineStr">
        <is>
          <t>in-49a1dc90a2e16599</t>
        </is>
      </c>
      <c r="B131" t="inlineStr">
        <is>
          <t>Senior AI Engineer</t>
        </is>
      </c>
      <c r="C131" t="inlineStr">
        <is>
          <t>ZoomInfo</t>
        </is>
      </c>
      <c r="D131" t="inlineStr">
        <is>
          <t>indeed</t>
        </is>
      </c>
      <c r="E131">
        <f>HYPERLINK("https://www.indeed.com/viewjob?jk=49a1dc90a2e16599", "https://www.indeed.com/viewjob?jk=49a1dc90a2e16599")</f>
        <v/>
      </c>
      <c r="F131">
        <f>HYPERLINK("https://grnh.se/xgyuugg92us", "https://grnh.se/xgyuugg92us")</f>
        <v/>
      </c>
      <c r="G131" t="inlineStr">
        <is>
          <t>OR, US</t>
        </is>
      </c>
      <c r="H131" s="3" t="n">
        <v>46063</v>
      </c>
      <c r="I131"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As a **Senior AI Engineer** on our **Advertising, Company Intelligence, and Intent** team, you'll help design and implement the core systems that power our real\-time marketing platform. From high\-throughput ad infrastructure to large\-scale identity resolution and intelligent systems enhanced by LLMs, push the boundaries of scale, intelligence, and speed—and deliver real\-world business impact.
You'll be joining a team with a broad range of ambitious, technically deep projects—from APIs that process tens of billions of events per day, to new buyer intent algorithms powered by LLMs, to a unified B2B identity graph. Depending on your strengths and interests, you'll be matched to the initiatives where you can have the greatest impact.
This is a high\-growth, high\-ownership environment operating at the edge of what's possible in modern software engineering, data infrastructure, and applied AI.
**What You'll do:**
* Design and build distributed systems that process, enrich, and respond to billions of behavioral events per day in real time
* Develop high\-performance APIs and services that support advertising, identity, and intent features across the Marketing Platform
* Leverage machine learning and large language models (LLMs) to analyze behavioral data, classify content, extract signals, and enable intelligent decision\-making
* Build intelligent agents using frameworks like LangGraph or MCP to reason over data and power user\-facing insights
* Design and operate data pipelines using tools like Kafka, Kinesis, and ClickHouse to support both streaming and batch workloads
* Drive quality, performance, scalability, and observability across all systems you own
* Collaborate cross\-functionally with product managers, data scientists, and engineers to deliver customer\-facing features and internal tooling
* Contribute to technical leadership and mentorship of teammates.
**What you bring:**
* 7\+ years of backend, data, or infrastructure engineering experience, or equivalent impact and leadership.
* **Distributed systems engineering** (e.g., building low latency high and throughput APIs, scalable microservices, event processing pipelines)
* **Big data infrastructure** (e.g., streaming, warehousing, low\-latency storage at scale)
* **Applied AI/ML**, including use of LLMs for extraction, classification, or reasoning tasks.
* Proficiency in one or more core languages: **Java, Go, Python**
* Solid grasp of **SQL** and large\-scale data modeling
* Familiarity with databases and tools such as: ClickHouse, DynamoDB, Bigtable, Memcached, Kafka, Kinesis, Firehose, Airflow, Snowflake
* Comfortable using LLMs as part of your development workflow—whether via tools like Copilot, Cursor, ChatGPT, Claude, or others—to boost productivity, explore architecture ideas, and rapidly prototype.
* Skilled at designing and implementing LLM\-powered systems such as RAG pipelines, agent frameworks (e.g., LangGraph), or intelligent workflows that reason across large datasets in real time.
**Bonus Points:**
* Experience in ad tech, real\-time bidding (RTB), or programmatic systems
* Background in identity resolution, attribution, or behavioral analytics at scale
* Contributions to open source in ML, infrastructure, or data tooling
* Strong product instincts and a passion for building tools that drive meaningful outcomes
\#LI\-SK1
\#LI\-Remote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132">
      <c r="A132" t="inlineStr">
        <is>
          <t>in-21b6b3a1eefa92b8</t>
        </is>
      </c>
      <c r="B132" t="inlineStr">
        <is>
          <t>Applied Scientist- Pricing, Dynamic Pricing &amp; Offer Selection</t>
        </is>
      </c>
      <c r="C132" t="inlineStr">
        <is>
          <t>Lyft</t>
        </is>
      </c>
      <c r="D132" t="inlineStr">
        <is>
          <t>indeed</t>
        </is>
      </c>
      <c r="E132">
        <f>HYPERLINK("https://www.indeed.com/viewjob?jk=21b6b3a1eefa92b8", "https://www.indeed.com/viewjob?jk=21b6b3a1eefa92b8")</f>
        <v/>
      </c>
      <c r="F132">
        <f>HYPERLINK("https://grnh.se/7lwan4is2us", "https://grnh.se/7lwan4is2us")</f>
        <v/>
      </c>
      <c r="G132" t="inlineStr">
        <is>
          <t>New York, NY, US</t>
        </is>
      </c>
      <c r="H132" s="3" t="n">
        <v>46063</v>
      </c>
      <c r="I132"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33">
      <c r="A133" t="inlineStr">
        <is>
          <t>in-a5d6d19112d90bbe</t>
        </is>
      </c>
      <c r="B133" t="inlineStr">
        <is>
          <t>Applied Scientist- Pricing, Dynamic Pricing &amp; Offer Selection</t>
        </is>
      </c>
      <c r="C133" t="inlineStr">
        <is>
          <t>Lyft</t>
        </is>
      </c>
      <c r="D133" t="inlineStr">
        <is>
          <t>indeed</t>
        </is>
      </c>
      <c r="E133">
        <f>HYPERLINK("https://www.indeed.com/viewjob?jk=a5d6d19112d90bbe", "https://www.indeed.com/viewjob?jk=a5d6d19112d90bbe")</f>
        <v/>
      </c>
      <c r="F133">
        <f>HYPERLINK("https://grnh.se/ay6m52zo2us", "https://grnh.se/ay6m52zo2us")</f>
        <v/>
      </c>
      <c r="G133" t="inlineStr">
        <is>
          <t>San Francisco, CA, US</t>
        </is>
      </c>
      <c r="H133" s="3" t="n">
        <v>46063</v>
      </c>
      <c r="I133"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Dynamic Pricing \&amp; Offer Selection sits at the heart of Pricing, focused on determining optimal prices and ETAs in real\-time and balancing supply and demand for our two\-sided marketplace to drive both short\-term and long\-term conversion and retention.
As an Applied Scientist specializing in Machine Learning and Operations Research on this team, you will develop mathematical models and launch algorithms that power these key pricing and ETA decisions. You will leverage your skills to build ML and optimization models and productionalize pipelines that can scale to millions of calls per day while solving critical business problems that have a big impact on the marketplace and rider experience. You will get exposure to a diverse set of real\-world problems across optimization, prediction, machine learning, and inference and collaborate closely with teammates and stakeholders across Pricing, from Product Managers to Engineers and Analysts.
We are looking for someone who is excited about working in a fast\-paced, innovative, and impactful environment, and is adept at balancing complexity and efficiency to translate real world business problems into reliable solutions, systems and decision frameworks.
**Responsibilities**
--------------------
* Partner with Data Scientists, Engineers, Product Managers, and Business Partners to frame problems mathematically and within the business context
* Write production quality code. Design, build and deploy production\-grade ML and Optimization models. Able to build custom methods and tooling beyond off\-the\-shelf libraries.
* Perform data analysis and build proof\-of\-concepts to explore and propose ML and Optimization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algorithms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with a good track record of collaborating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34">
      <c r="A134" t="inlineStr">
        <is>
          <t>in-afa7a64e6f3453e5</t>
        </is>
      </c>
      <c r="B134" t="inlineStr">
        <is>
          <t>Machine Learning Engineer II</t>
        </is>
      </c>
      <c r="C134" t="inlineStr">
        <is>
          <t>Penske Truck Leasing</t>
        </is>
      </c>
      <c r="D134" t="inlineStr">
        <is>
          <t>indeed</t>
        </is>
      </c>
      <c r="E134">
        <f>HYPERLINK("https://www.indeed.com/viewjob?jk=afa7a64e6f3453e5", "https://www.indeed.com/viewjob?jk=afa7a64e6f3453e5")</f>
        <v/>
      </c>
      <c r="F134">
        <f>HYPERLINK("https://rr.jobsyn.org/1282CA4435F0425BA7D9CE2AFF43F7B01554", "https://rr.jobsyn.org/1282CA4435F0425BA7D9CE2AFF43F7B01554")</f>
        <v/>
      </c>
      <c r="G134" t="inlineStr">
        <is>
          <t>Beachwood, OH, US</t>
        </is>
      </c>
      <c r="H134" s="3" t="n">
        <v>46063</v>
      </c>
      <c r="I134" t="inlineStr">
        <is>
          <t>**Position Summary:**
The Machine Learning Engineer works in Penske Logistics' Data Science team, supporting data scientists with AI/ML model development and deployment with an emphasis on auditability, versioning, and data security. This role will design and implement processes to maintain and monitor data science ML models and support data for performance and drift. The Engineer will build and implement applications which make use of AI/ML models. This position works with data scientists as a subject matter expert to ensure ML models are developed appropriately to perform within the expected ranges of accuracy.
**Major Responsibilities:**
**AI/ML model deployment:**
* Take offline models data scientists build and turn them into a real machine learning production system
* Build, implement, and/or support applications which make use of AI/ML models
* Emphasis on auditability, versioning, and data security
**Maintenance and Monitoring**
* Design and implement model and data monitoring solutions
* Apply software engineering rigor and best practices to machine learning, including AI/MLOPs, CI/CD, automation, etc.
* Provide production metrics for data science deliverables
* Work with data scientists as a subject matter expert to ensure ML models are developed appropriately to perform within the expected ranges of accuracy
* Lead Self Service AI (SSAI) initiatives by supporting the citizen data scientists across Penske
* Other projects and tasks as assigned
**Qualifications:**
* Bachelor's degree required with a concentration in Engineering, Operations Research, Statistics, Applied Math, Computer Science, or related quantitative field
* Master's degree preferred.
* Minimum 2 years of experience with Bachelor's degree in related field
* 2 years of experience designing and building machine learning applications using either structured or unstructured datasets is required. Must have practical experience programming using Python, R or other high level scripting languages
* Demonstrated experience with two or more machine learning techniques including logistic regression, decision trees, random forests and clustering is required
* Knowledge and experience with SQL is preferred
* Intermediate skill level in machine learning, supervised learning, and scripting language (e.g., Python)
* Elementary skill level in statistical modeling and statistical computing packages (e.g., R)
* ML Platform (e.g., Databricks) experience
* Must have strong communication skills, both written and verbal
* Strong collaboration and organizational skills, including the ability to navigate cross\-business functions
* Excellent time management skills including the ability to prioritize multiple projects / work streams
* Regular, predictable, full attendance is an essential function of the job.
* Successful candidate must complete Penske employment application, submit to a background investigation (past employment, education, and criminal history), and complete a drug screening.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 The associate will be required to: read; communicate verbally and/or in written form; remember and analyze certain information; and remember and understand certain instructions or guidelines.
* While performing the duties of this job, the associate may be required to stand, walk, and sit. The associate is frequently required to use hands to touch, handle, and feel, and to reach with hands and arms. The associate must be able to occasionally lift and/or move up to 25lbs/12kg.
* Specific vision abilities required by this job include close vision, distance vision, peripheral vision, depth perception and the ability to adjust focus.
Penske is an Equal Opportunity Employer
**About Penske Logistics**
Penske Logistics engineers state\-of\-the\-art transportation, warehousing and freight management solutions that deliver powerful business results for market\-leading companies. With operations in North America, South America, Europe and Asia, Penske and its associates help businesses move forward by increasing visibility and driving down supply\-chain costs. Visit Penske Logistics to learn more.
Job Category: Information Technology
Job Family: Information Technology
Address: 3000 Auburn Dr
Primary Location: US\-OH\-Beachwood
Employer: Penske Logistics LLC
Req ID: 2601498</t>
        </is>
      </c>
    </row>
    <row r="135">
      <c r="A135" t="inlineStr">
        <is>
          <t>in-6230cfa116752974</t>
        </is>
      </c>
      <c r="B135" t="inlineStr">
        <is>
          <t>Data Science/Machine Learning Engineer (Remote, Continental United States)</t>
        </is>
      </c>
      <c r="C135" t="inlineStr">
        <is>
          <t>ICAAI</t>
        </is>
      </c>
      <c r="D135" t="inlineStr">
        <is>
          <t>indeed</t>
        </is>
      </c>
      <c r="E135">
        <f>HYPERLINK("https://www.indeed.com/viewjob?jk=6230cfa116752974", "https://www.indeed.com/viewjob?jk=6230cfa116752974")</f>
        <v/>
      </c>
      <c r="F135">
        <f>HYPERLINK("https://international-consulting-associates-inc.breezy.hr/p/3bcd9a1d7356-data-science-machine-learning-engineer-remote-continental-united-states?source=indeed", "https://international-consulting-associates-inc.breezy.hr/p/3bcd9a1d7356-data-science-machine-learning-engineer-remote-continental-united-states?source=indeed")</f>
        <v/>
      </c>
      <c r="G135" t="inlineStr">
        <is>
          <t>Arlington, VA, US</t>
        </is>
      </c>
      <c r="H135" s="3" t="n">
        <v>46053</v>
      </c>
      <c r="I135" t="inlineStr">
        <is>
          <t>**About ICA, Inc.**
International Consulting Associates, Inc. is a rapidly growing company, located in the D.C./Metro area. We were founded in 2009 to assist government clients with evaluating and achieving their objectives. We have become a trusted advisor helping our clients by offering cutting\-edge innovation and solutions to complex projects. Our small company has grown significantly, and we're overjoyed at the opportunity to expand yet again!
We are results\-focused and have a proven track record supporting federal agencies and large government services primes in three main areas: Research and Data Analysis, Advanced\-Data Science, and Strategic Services. We currently support multiple analytics and research programs across HHS.
At ICA, we believe our success starts with our people. We foster a collaborative "one team" environment where work\-life balance isn't just talked about – it's prioritized. We're building dynamic, highly skilled teams in a welcoming and supportive atmosphere. If you're passionate about using your technical expertise to make a difference, we want to talk to you.
We are looking for **Data Science/****Machine Learning** **Engineers** to join our growing team!
**ABOUT THE ROLE:**
As a **Data Science/****Machine Learning Engineer** at ICA, you will be at the forefront of applying machine learning techniques to solve complex problems and enhance our products and services. Your role will involve developing and implementing machine learning models, collaborating with cross\-functional teams, and contributing to the advancement of our AI capabilities.  
**ABOUT YOU:**
You are a curious and driven Machine Learning Engineer with a strong foundation in Python and hands\-on experience building and deploying ML models in cloud environments like AWS. You thrive on solving complex problems with multilayered data and enjoy optimizing algorithms for performance and scalability. Your collaborative mindset allows you to work seamlessly with data scientists, engineers, and product teams to bring intelligent solutions to life. You stay current with the latest ML techniques and tools, and you're passionate about turning prototypes into production\-ready systems that deliver real\-world impact.
**RESPONSIBILITIES:**
* Identify Opportunities: Collaborate with internal and external stakeholders to uncover and define data\-driven opportunities that align with strategic business goals.
* Data Analysis \&amp; Modeling: Mine and analyze complex datasets from company and client databases to drive product and business optimization strategies, using both traditional statistical techniques and state\-of\-the\-art machine learning approaches.
* Assess the effectiveness and accuracy of new data sources and data gathering techniques, including evaluating and implementing methods for acquiring and processing large volumes of text data.
* Perform data processing using State of the Art LLM Models and technologies
* Innovation \&amp; Strategy: Assess the effectiveness of new data sources and data gathering techniques, identifying ways to enhance the organization's data strategy with novel ML and AI methods.
* Client\-Facing Presentations: Develop compelling presentations and demos to showcase analytical solutions and insights to both technical and non\-technical audiences, including clients and senior management.
* Predictive Modeling \&amp; Optimization: Use advanced statistical and machine learning approaches to drive improvements in customer engagement, product performance, and business processes.
* Model Monitoring: Establish processes and tools to track model performance, data accuracy, and reliability over time. Continuously iterate on models to meet evolving business needs and industry best practices.
**REQUIRED QUALIFICATIONS:**
* 5\+ years of overall professional experience in data science, analytics, or a related field.
* At least 2–3 years of hands\-on experience specifically focused on Large Language Models (LLMs) and related techniques (e.g., fine\-tuning, instruction tuning, prompt engineering).
* **Education:**
* Bachelor's or Master's degree in Statistics, Mathematics, Computer Science, Data Science, or a related quantitative field.
* **Technical Proficiency:**
* Coding knowledge and experience with Python
* Proven ability to use statistical computer languages (Python, R, SQL, etc.) for data manipulation, analysis, and model development.
* Experience with Hugging Face Transformers, LangChain, Llama Index, and/or large\-scale training frameworks
* Familiarity with LLM evaluation, interpretability, and best practices.
* Knowledge of ML and data mining techniques (Regression, Deep Learning, NLP, Time Series Analysis, , etc.).
* Familiarity with AWS services (Athena, S3, Glue, SageMaker, Bedrock) for scalable model development.
* NLP Techniques (NER, Information Extraction, Text Categorization, Document Parsing)
* **Preferred:** exposure to MLOps tools, big data technologies (Hadoop, Spark), or other cloud services.
* **Preferred:** experience with Document Processing
* **Ability to obtain a Public Trust Clearance**
**USE OF AI ASSITIVE TECHNOLOGY**
All application materials must be your own original work, and interviews must be completed independently. Use of AI\-generated content in applications or AI assistance during interviews will result in disqualification.
**BENEFITS:**
We invest in our team members so you can live your best life professionally and personally, offering a competitive salary and benefits.
* Health Insurance \-**100% employer\-paid premiums** – ICA covers the full cost of one of three offered medical plans
* Dental Insurance
* Vision insurance
* Health Spending Account
* Flexible Spending Account
* Life and Disability insurance
* 401(k) plan with company match
* Paid Time Off (Vacation, Sick Leave and Holidays)
* Education and Professional Development Assistance
* Remote work from anywhere within the continental United States
**LOCATION \&amp; TELEWORK**  
This is a remote position. Candidates residing in the DMV area preferred.
**ADDITIONAL INFORMATION:**
ICA is an equal opportunity employer. All qualified applicants will receive consideration for employment without regard to race, color, religion, sex, sexual orientation, gender, gender identity or expression, national origin, genetics, disability status, protected veteran status, age, or any other characteristic protected by state, federal or local laws.
This policy applies to all terms and conditions of employment, including recruiting, hiring, placement, promotion, termination, layoff, recall, transfer, leaves of absence, compensation, and training.</t>
        </is>
      </c>
    </row>
    <row r="136">
      <c r="A136" t="inlineStr">
        <is>
          <t>in-ead7f1ac1b23fb63</t>
        </is>
      </c>
      <c r="B136" t="inlineStr">
        <is>
          <t>Applied Scientist, Safety ML</t>
        </is>
      </c>
      <c r="C136" t="inlineStr">
        <is>
          <t>Amazon.com</t>
        </is>
      </c>
      <c r="D136" t="inlineStr">
        <is>
          <t>indeed</t>
        </is>
      </c>
      <c r="E136">
        <f>HYPERLINK("https://www.indeed.com/viewjob?jk=ead7f1ac1b23fb63", "https://www.indeed.com/viewjob?jk=ead7f1ac1b23fb63")</f>
        <v/>
      </c>
      <c r="F136">
        <f>HYPERLINK("https://www.amazon.jobs/jobs/3161224/applied-scientist-safety-ml?cmpid=DA_INAD200785B", "https://www.amazon.jobs/jobs/3161224/applied-scientist-safety-ml?cmpid=DA_INAD200785B")</f>
        <v/>
      </c>
      <c r="G136" t="inlineStr">
        <is>
          <t>San Francisco, CA, US</t>
        </is>
      </c>
      <c r="H136" s="3" t="n">
        <v>46037</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7">
      <c r="A137" t="inlineStr">
        <is>
          <t>in-81de1b6149d8b5f1</t>
        </is>
      </c>
      <c r="B137" t="inlineStr">
        <is>
          <t>Applied Scientist, Safety ML</t>
        </is>
      </c>
      <c r="C137" t="inlineStr">
        <is>
          <t>Amazon.com</t>
        </is>
      </c>
      <c r="D137" t="inlineStr">
        <is>
          <t>indeed</t>
        </is>
      </c>
      <c r="E137">
        <f>HYPERLINK("https://www.indeed.com/viewjob?jk=81de1b6149d8b5f1", "https://www.indeed.com/viewjob?jk=81de1b6149d8b5f1")</f>
        <v/>
      </c>
      <c r="F137">
        <f>HYPERLINK("https://www.amazon.jobs/jobs/3161224/applied-scientist-safety-ml?cmpid=DA_INAD200785B", "https://www.amazon.jobs/jobs/3161224/applied-scientist-safety-ml?cmpid=DA_INAD200785B")</f>
        <v/>
      </c>
      <c r="G137" t="inlineStr">
        <is>
          <t>Seattle, WA, US</t>
        </is>
      </c>
      <c r="H137" s="3" t="n">
        <v>46037</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8">
      <c r="A138" t="inlineStr">
        <is>
          <t>in-eb0af884d258d69b</t>
        </is>
      </c>
      <c r="B138" t="inlineStr">
        <is>
          <t>Applied Scientist, LLM Code Agents, Kiro Science</t>
        </is>
      </c>
      <c r="C138" t="inlineStr">
        <is>
          <t>Amazon.com</t>
        </is>
      </c>
      <c r="D138" t="inlineStr">
        <is>
          <t>indeed</t>
        </is>
      </c>
      <c r="E138">
        <f>HYPERLINK("https://www.indeed.com/viewjob?jk=eb0af884d258d69b", "https://www.indeed.com/viewjob?jk=eb0af884d258d69b")</f>
        <v/>
      </c>
      <c r="F138">
        <f>HYPERLINK("https://www.amazon.jobs/jobs/3161363/applied-scientist-llm-code-agents-kiro-science?cmpid=DA_INAD200785B", "https://www.amazon.jobs/jobs/3161363/applied-scientist-llm-code-agents-kiro-science?cmpid=DA_INAD200785B")</f>
        <v/>
      </c>
      <c r="G138" t="inlineStr">
        <is>
          <t>Santa Clara, CA, US</t>
        </is>
      </c>
      <c r="H138" s="3" t="n">
        <v>46035</v>
      </c>
      <c r="I13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9">
      <c r="A139" t="inlineStr">
        <is>
          <t>in-960542aee528c408</t>
        </is>
      </c>
      <c r="B139" t="inlineStr">
        <is>
          <t>Applied Scientist, LLM Code Agents, Kiro Science</t>
        </is>
      </c>
      <c r="C139" t="inlineStr">
        <is>
          <t>Amazon.com</t>
        </is>
      </c>
      <c r="D139" t="inlineStr">
        <is>
          <t>indeed</t>
        </is>
      </c>
      <c r="E139">
        <f>HYPERLINK("https://www.indeed.com/viewjob?jk=960542aee528c408", "https://www.indeed.com/viewjob?jk=960542aee528c408")</f>
        <v/>
      </c>
      <c r="F139">
        <f>HYPERLINK("https://www.amazon.jobs/jobs/3161363/applied-scientist-llm-code-agents-kiro-science?cmpid=DA_INAD200785B", "https://www.amazon.jobs/jobs/3161363/applied-scientist-llm-code-agents-kiro-science?cmpid=DA_INAD200785B")</f>
        <v/>
      </c>
      <c r="G139" t="inlineStr">
        <is>
          <t>Seattle, WA, US</t>
        </is>
      </c>
      <c r="H139" s="3" t="n">
        <v>46035</v>
      </c>
      <c r="I13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0">
      <c r="A140" t="inlineStr">
        <is>
          <t>in-c18d9f468ad0c761</t>
        </is>
      </c>
      <c r="B140" t="inlineStr">
        <is>
          <t>Applied Scientist II, Prime Video Personalization and Discovery Science</t>
        </is>
      </c>
      <c r="C140" t="inlineStr">
        <is>
          <t>Amazon.com</t>
        </is>
      </c>
      <c r="D140" t="inlineStr">
        <is>
          <t>indeed</t>
        </is>
      </c>
      <c r="E140">
        <f>HYPERLINK("https://www.indeed.com/viewjob?jk=c18d9f468ad0c761", "https://www.indeed.com/viewjob?jk=c18d9f468ad0c761")</f>
        <v/>
      </c>
      <c r="F140">
        <f>HYPERLINK("https://www.amazon.jobs/jobs/3165157/applied-scientist-ii-prime-video-personalization-and-discovery-science?cmpid=DA_INAD200785B", "https://www.amazon.jobs/jobs/3165157/applied-scientist-ii-prime-video-personalization-and-discovery-science?cmpid=DA_INAD200785B")</f>
        <v/>
      </c>
      <c r="G140" t="inlineStr">
        <is>
          <t>Seattle, WA, US</t>
        </is>
      </c>
      <c r="H140" s="3" t="n">
        <v>46034</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1">
      <c r="A141" t="inlineStr">
        <is>
          <t>in-63aad22142fdd2a5</t>
        </is>
      </c>
      <c r="B141" t="inlineStr">
        <is>
          <t>Applied Scientist II, Prime Video Personalization and Discovery Science</t>
        </is>
      </c>
      <c r="C141" t="inlineStr">
        <is>
          <t>Amazon.com</t>
        </is>
      </c>
      <c r="D141" t="inlineStr">
        <is>
          <t>indeed</t>
        </is>
      </c>
      <c r="E141">
        <f>HYPERLINK("https://www.indeed.com/viewjob?jk=63aad22142fdd2a5", "https://www.indeed.com/viewjob?jk=63aad22142fdd2a5")</f>
        <v/>
      </c>
      <c r="F141">
        <f>HYPERLINK("https://www.amazon.jobs/jobs/3165157/applied-scientist-ii-prime-video-personalization-and-discovery-science?cmpid=DA_INAD200785B", "https://www.amazon.jobs/jobs/3165157/applied-scientist-ii-prime-video-personalization-and-discovery-science?cmpid=DA_INAD200785B")</f>
        <v/>
      </c>
      <c r="G141" t="inlineStr">
        <is>
          <t>Sunnyvale, CA, US</t>
        </is>
      </c>
      <c r="H141" s="3" t="n">
        <v>46034</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2">
      <c r="A142" t="inlineStr">
        <is>
          <t>in-004b53abb48dc32a</t>
        </is>
      </c>
      <c r="B142" t="inlineStr">
        <is>
          <t>Sr Applied Scientist, AWS Proactive Security</t>
        </is>
      </c>
      <c r="C142" t="inlineStr">
        <is>
          <t>Amazon.com</t>
        </is>
      </c>
      <c r="D142" t="inlineStr">
        <is>
          <t>indeed</t>
        </is>
      </c>
      <c r="E142">
        <f>HYPERLINK("https://www.indeed.com/viewjob?jk=004b53abb48dc32a", "https://www.indeed.com/viewjob?jk=004b53abb48dc32a")</f>
        <v/>
      </c>
      <c r="F142">
        <f>HYPERLINK("https://www.amazon.jobs/jobs/3164664/sr-applied-scientist-aws-proactive-security?cmpid=DA_INAD200785B", "https://www.amazon.jobs/jobs/3164664/sr-applied-scientist-aws-proactive-security?cmpid=DA_INAD200785B")</f>
        <v/>
      </c>
      <c r="G142" t="inlineStr">
        <is>
          <t>Sunnyvale, CA, US</t>
        </is>
      </c>
      <c r="H142" s="3" t="n">
        <v>46030</v>
      </c>
      <c r="I14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3">
      <c r="A143" t="inlineStr">
        <is>
          <t>in-684c50b94791e510</t>
        </is>
      </c>
      <c r="B143" t="inlineStr">
        <is>
          <t>Sr Applied Scientist, AWS Proactive Security</t>
        </is>
      </c>
      <c r="C143" t="inlineStr">
        <is>
          <t>Amazon.com</t>
        </is>
      </c>
      <c r="D143" t="inlineStr">
        <is>
          <t>indeed</t>
        </is>
      </c>
      <c r="E143">
        <f>HYPERLINK("https://www.indeed.com/viewjob?jk=684c50b94791e510", "https://www.indeed.com/viewjob?jk=684c50b94791e510")</f>
        <v/>
      </c>
      <c r="F143">
        <f>HYPERLINK("https://www.amazon.jobs/jobs/3164664/sr-applied-scientist-aws-proactive-security?cmpid=DA_INAD200785B", "https://www.amazon.jobs/jobs/3164664/sr-applied-scientist-aws-proactive-security?cmpid=DA_INAD200785B")</f>
        <v/>
      </c>
      <c r="G143" t="inlineStr">
        <is>
          <t>Arlington, VA, US</t>
        </is>
      </c>
      <c r="H143" s="3" t="n">
        <v>46030</v>
      </c>
      <c r="I14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4">
      <c r="A144" t="inlineStr">
        <is>
          <t>in-3798996349012b95</t>
        </is>
      </c>
      <c r="B144" t="inlineStr">
        <is>
          <t>Sr Applied Scientist, AWS Proactive Security</t>
        </is>
      </c>
      <c r="C144" t="inlineStr">
        <is>
          <t>Amazon.com</t>
        </is>
      </c>
      <c r="D144" t="inlineStr">
        <is>
          <t>indeed</t>
        </is>
      </c>
      <c r="E144">
        <f>HYPERLINK("https://www.indeed.com/viewjob?jk=3798996349012b95", "https://www.indeed.com/viewjob?jk=3798996349012b95")</f>
        <v/>
      </c>
      <c r="F144">
        <f>HYPERLINK("https://www.amazon.jobs/jobs/3164664/sr-applied-scientist-aws-proactive-security?cmpid=DA_INAD200785B", "https://www.amazon.jobs/jobs/3164664/sr-applied-scientist-aws-proactive-security?cmpid=DA_INAD200785B")</f>
        <v/>
      </c>
      <c r="G144" t="inlineStr">
        <is>
          <t>Herndon, VA, US</t>
        </is>
      </c>
      <c r="H144" s="3" t="n">
        <v>46030</v>
      </c>
      <c r="I14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5">
      <c r="A145" t="inlineStr">
        <is>
          <t>in-79ad65705e619f23</t>
        </is>
      </c>
      <c r="B145" t="inlineStr">
        <is>
          <t>Applied Scientist, Last Mile Delivery Automation</t>
        </is>
      </c>
      <c r="C145" t="inlineStr">
        <is>
          <t>Amazon.com</t>
        </is>
      </c>
      <c r="D145" t="inlineStr">
        <is>
          <t>indeed</t>
        </is>
      </c>
      <c r="E145">
        <f>HYPERLINK("https://www.indeed.com/viewjob?jk=79ad65705e619f23", "https://www.indeed.com/viewjob?jk=79ad65705e619f23")</f>
        <v/>
      </c>
      <c r="F145">
        <f>HYPERLINK("https://www.amazon.jobs/jobs/3155354/applied-scientist-last-mile-delivery-automation?cmpid=DA_INAD200785B", "https://www.amazon.jobs/jobs/3155354/applied-scientist-last-mile-delivery-automation?cmpid=DA_INAD200785B")</f>
        <v/>
      </c>
      <c r="G145" t="inlineStr">
        <is>
          <t>Bellevue, WA, US</t>
        </is>
      </c>
      <c r="H145" s="3" t="n">
        <v>46026</v>
      </c>
      <c r="I14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in-143ee94ebf436bec</t>
        </is>
      </c>
      <c r="B146" t="inlineStr">
        <is>
          <t>Applied Scientist, Last Mile Delivery Automation</t>
        </is>
      </c>
      <c r="C146" t="inlineStr">
        <is>
          <t>Amazon.com</t>
        </is>
      </c>
      <c r="D146" t="inlineStr">
        <is>
          <t>indeed</t>
        </is>
      </c>
      <c r="E146">
        <f>HYPERLINK("https://www.indeed.com/viewjob?jk=143ee94ebf436bec", "https://www.indeed.com/viewjob?jk=143ee94ebf436bec")</f>
        <v/>
      </c>
      <c r="F146">
        <f>HYPERLINK("https://www.amazon.jobs/jobs/3155354/applied-scientist-last-mile-delivery-automation?cmpid=DA_INAD200785B", "https://www.amazon.jobs/jobs/3155354/applied-scientist-last-mile-delivery-automation?cmpid=DA_INAD200785B")</f>
        <v/>
      </c>
      <c r="G146" t="inlineStr">
        <is>
          <t>Santa Clara, CA, US</t>
        </is>
      </c>
      <c r="H146" s="3" t="n">
        <v>46026</v>
      </c>
      <c r="I14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in-cadc827b7d2aa830</t>
        </is>
      </c>
      <c r="B147" t="inlineStr">
        <is>
          <t>Senior Applied Scientist, Distributed SQL</t>
        </is>
      </c>
      <c r="C147" t="inlineStr">
        <is>
          <t>Amazon Web Services</t>
        </is>
      </c>
      <c r="D147" t="inlineStr">
        <is>
          <t>indeed</t>
        </is>
      </c>
      <c r="E147">
        <f>HYPERLINK("https://www.indeed.com/viewjob?jk=cadc827b7d2aa830", "https://www.indeed.com/viewjob?jk=cadc827b7d2aa830")</f>
        <v/>
      </c>
      <c r="F147">
        <f>HYPERLINK("https://www.amazon.jobs/jobs/3148444/senior-applied-scientist-distributed-sql?cmpid=DA_INAD200785B", "https://www.amazon.jobs/jobs/3148444/senior-applied-scientist-distributed-sql?cmpid=DA_INAD200785B")</f>
        <v/>
      </c>
      <c r="G147" t="inlineStr">
        <is>
          <t>East Palo Alto, CA, US</t>
        </is>
      </c>
      <c r="H147" s="3" t="n">
        <v>46012</v>
      </c>
      <c r="I14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48">
      <c r="A148" t="inlineStr">
        <is>
          <t>in-e02282b87417e489</t>
        </is>
      </c>
      <c r="B148" t="inlineStr">
        <is>
          <t>Senior Applied Scientist, Distributed SQL</t>
        </is>
      </c>
      <c r="C148" t="inlineStr">
        <is>
          <t>Amazon Web Services</t>
        </is>
      </c>
      <c r="D148" t="inlineStr">
        <is>
          <t>indeed</t>
        </is>
      </c>
      <c r="E148">
        <f>HYPERLINK("https://www.indeed.com/viewjob?jk=e02282b87417e489", "https://www.indeed.com/viewjob?jk=e02282b87417e489")</f>
        <v/>
      </c>
      <c r="F148">
        <f>HYPERLINK("https://www.amazon.jobs/jobs/3148444/senior-applied-scientist-distributed-sql?cmpid=DA_INAD200785B", "https://www.amazon.jobs/jobs/3148444/senior-applied-scientist-distributed-sql?cmpid=DA_INAD200785B")</f>
        <v/>
      </c>
      <c r="G148" t="inlineStr">
        <is>
          <t>Seattle, WA, US</t>
        </is>
      </c>
      <c r="H148" s="3" t="n">
        <v>46012</v>
      </c>
      <c r="I14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49">
      <c r="A149" t="inlineStr">
        <is>
          <t>in-92cf1a069aab0ee9</t>
        </is>
      </c>
      <c r="B149" t="inlineStr">
        <is>
          <t>Applied Scientist II, Prime Video - Personalization and Discovery Science</t>
        </is>
      </c>
      <c r="C149" t="inlineStr">
        <is>
          <t>Amazon.com</t>
        </is>
      </c>
      <c r="D149" t="inlineStr">
        <is>
          <t>indeed</t>
        </is>
      </c>
      <c r="E149">
        <f>HYPERLINK("https://www.indeed.com/viewjob?jk=92cf1a069aab0ee9", "https://www.indeed.com/viewjob?jk=92cf1a069aab0ee9")</f>
        <v/>
      </c>
      <c r="F149">
        <f>HYPERLINK("https://www.amazon.jobs/jobs/3154128/applied-scientist-ii-prime-video--personalization-and-discovery-science?cmpid=DA_INAD200785B", "https://www.amazon.jobs/jobs/3154128/applied-scientist-ii-prime-video--personalization-and-discovery-science?cmpid=DA_INAD200785B")</f>
        <v/>
      </c>
      <c r="G149" t="inlineStr">
        <is>
          <t>Sunnyvale, CA, US</t>
        </is>
      </c>
      <c r="H149" s="3" t="n">
        <v>46012</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0">
      <c r="A150" t="inlineStr">
        <is>
          <t>in-5222fe08fcda225d</t>
        </is>
      </c>
      <c r="B150" t="inlineStr">
        <is>
          <t>Applied Scientist II, Prime Video - Personalization and Discovery Science</t>
        </is>
      </c>
      <c r="C150" t="inlineStr">
        <is>
          <t>Amazon.com</t>
        </is>
      </c>
      <c r="D150" t="inlineStr">
        <is>
          <t>indeed</t>
        </is>
      </c>
      <c r="E150">
        <f>HYPERLINK("https://www.indeed.com/viewjob?jk=5222fe08fcda225d", "https://www.indeed.com/viewjob?jk=5222fe08fcda225d")</f>
        <v/>
      </c>
      <c r="F150">
        <f>HYPERLINK("https://www.amazon.jobs/jobs/3154128/applied-scientist-ii-prime-video--personalization-and-discovery-science?cmpid=DA_INAD200785B", "https://www.amazon.jobs/jobs/3154128/applied-scientist-ii-prime-video--personalization-and-discovery-science?cmpid=DA_INAD200785B")</f>
        <v/>
      </c>
      <c r="G150" t="inlineStr">
        <is>
          <t>Seattle, WA, US</t>
        </is>
      </c>
      <c r="H150" s="3" t="n">
        <v>46012</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1">
      <c r="A151" t="inlineStr">
        <is>
          <t>in-fbcb21607eba8146</t>
        </is>
      </c>
      <c r="B151" t="inlineStr">
        <is>
          <t>Principal Applied Scientist, Kiro Science</t>
        </is>
      </c>
      <c r="C151" t="inlineStr">
        <is>
          <t>Amazon Web Services</t>
        </is>
      </c>
      <c r="D151" t="inlineStr">
        <is>
          <t>indeed</t>
        </is>
      </c>
      <c r="E151">
        <f>HYPERLINK("https://www.indeed.com/viewjob?jk=fbcb21607eba8146", "https://www.indeed.com/viewjob?jk=fbcb21607eba8146")</f>
        <v/>
      </c>
      <c r="F151">
        <f>HYPERLINK("https://www.amazon.jobs/jobs/3161064/principal-applied-scientist-kiro-science?cmpid=DA_INAD200785B", "https://www.amazon.jobs/jobs/3161064/principal-applied-scientist-kiro-science?cmpid=DA_INAD200785B")</f>
        <v/>
      </c>
      <c r="G151" t="inlineStr">
        <is>
          <t>New York, NY, US</t>
        </is>
      </c>
      <c r="H151" s="3" t="n">
        <v>45999</v>
      </c>
      <c r="I15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2">
      <c r="A152" t="inlineStr">
        <is>
          <t>in-e9bfb9cb693d951d</t>
        </is>
      </c>
      <c r="B152" t="inlineStr">
        <is>
          <t>Principal Applied Scientist, Kiro Science</t>
        </is>
      </c>
      <c r="C152" t="inlineStr">
        <is>
          <t>Amazon Web Services</t>
        </is>
      </c>
      <c r="D152" t="inlineStr">
        <is>
          <t>indeed</t>
        </is>
      </c>
      <c r="E152">
        <f>HYPERLINK("https://www.indeed.com/viewjob?jk=e9bfb9cb693d951d", "https://www.indeed.com/viewjob?jk=e9bfb9cb693d951d")</f>
        <v/>
      </c>
      <c r="F152">
        <f>HYPERLINK("https://www.amazon.jobs/jobs/3161064/principal-applied-scientist-kiro-science?cmpid=DA_INAD200785B", "https://www.amazon.jobs/jobs/3161064/principal-applied-scientist-kiro-science?cmpid=DA_INAD200785B")</f>
        <v/>
      </c>
      <c r="G152" t="inlineStr">
        <is>
          <t>Santa Clara, CA, US</t>
        </is>
      </c>
      <c r="H152" s="3" t="n">
        <v>45999</v>
      </c>
      <c r="I15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3">
      <c r="A153" t="inlineStr">
        <is>
          <t>in-db25e04370982dbf</t>
        </is>
      </c>
      <c r="B153" t="inlineStr">
        <is>
          <t>Sr. Applied Scientist, Amazon Ads</t>
        </is>
      </c>
      <c r="C153" t="inlineStr">
        <is>
          <t>Amazon.com</t>
        </is>
      </c>
      <c r="D153" t="inlineStr">
        <is>
          <t>indeed</t>
        </is>
      </c>
      <c r="E153">
        <f>HYPERLINK("https://www.indeed.com/viewjob?jk=db25e04370982dbf", "https://www.indeed.com/viewjob?jk=db25e04370982dbf")</f>
        <v/>
      </c>
      <c r="F153">
        <f>HYPERLINK("https://www.amazon.jobs/jobs/3139328/sr-applied-scientist-amazon-ads?cmpid=DA_INAD200785B", "https://www.amazon.jobs/jobs/3139328/sr-applied-scientist-amazon-ads?cmpid=DA_INAD200785B")</f>
        <v/>
      </c>
      <c r="G153" t="inlineStr">
        <is>
          <t>Santa Monica, CA, US</t>
        </is>
      </c>
      <c r="H153" s="3"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in-8e42806a7ee32c18</t>
        </is>
      </c>
      <c r="B154" t="inlineStr">
        <is>
          <t>Sr. Applied Scientist, Amazon Ads</t>
        </is>
      </c>
      <c r="C154" t="inlineStr">
        <is>
          <t>Amazon.com</t>
        </is>
      </c>
      <c r="D154" t="inlineStr">
        <is>
          <t>indeed</t>
        </is>
      </c>
      <c r="E154">
        <f>HYPERLINK("https://www.indeed.com/viewjob?jk=8e42806a7ee32c18", "https://www.indeed.com/viewjob?jk=8e42806a7ee32c18")</f>
        <v/>
      </c>
      <c r="F154">
        <f>HYPERLINK("https://www.amazon.jobs/jobs/3139328/sr-applied-scientist-amazon-ads?cmpid=DA_INAD200785B", "https://www.amazon.jobs/jobs/3139328/sr-applied-scientist-amazon-ads?cmpid=DA_INAD200785B")</f>
        <v/>
      </c>
      <c r="G154" t="inlineStr">
        <is>
          <t>Brooklyn, NY, US</t>
        </is>
      </c>
      <c r="H154" s="3"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in-a3403bfe8dec3b24</t>
        </is>
      </c>
      <c r="B155" t="inlineStr">
        <is>
          <t>Sr. Applied Scientist, Amazon Ads</t>
        </is>
      </c>
      <c r="C155" t="inlineStr">
        <is>
          <t>Amazon.com</t>
        </is>
      </c>
      <c r="D155" t="inlineStr">
        <is>
          <t>indeed</t>
        </is>
      </c>
      <c r="E155">
        <f>HYPERLINK("https://www.indeed.com/viewjob?jk=a3403bfe8dec3b24", "https://www.indeed.com/viewjob?jk=a3403bfe8dec3b24")</f>
        <v/>
      </c>
      <c r="F155">
        <f>HYPERLINK("https://www.amazon.jobs/jobs/3139328/sr-applied-scientist-amazon-ads?cmpid=DA_INAD200785B", "https://www.amazon.jobs/jobs/3139328/sr-applied-scientist-amazon-ads?cmpid=DA_INAD200785B")</f>
        <v/>
      </c>
      <c r="G155" t="inlineStr">
        <is>
          <t>Corvallis, OR, US</t>
        </is>
      </c>
      <c r="H155" s="3"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in-e5797242bd9c8f4a</t>
        </is>
      </c>
      <c r="B156" t="inlineStr">
        <is>
          <t>Sr. Applied Scientist, Amazon Ads</t>
        </is>
      </c>
      <c r="C156" t="inlineStr">
        <is>
          <t>Amazon.com</t>
        </is>
      </c>
      <c r="D156" t="inlineStr">
        <is>
          <t>indeed</t>
        </is>
      </c>
      <c r="E156">
        <f>HYPERLINK("https://www.indeed.com/viewjob?jk=e5797242bd9c8f4a", "https://www.indeed.com/viewjob?jk=e5797242bd9c8f4a")</f>
        <v/>
      </c>
      <c r="F156">
        <f>HYPERLINK("https://www.amazon.jobs/jobs/3139328/sr-applied-scientist-amazon-ads?cmpid=DA_INAD200785B", "https://www.amazon.jobs/jobs/3139328/sr-applied-scientist-amazon-ads?cmpid=DA_INAD200785B")</f>
        <v/>
      </c>
      <c r="G156" t="inlineStr">
        <is>
          <t>Seattle, WA, US</t>
        </is>
      </c>
      <c r="H156" s="3"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in-425e9fac3e00517d</t>
        </is>
      </c>
      <c r="B157" t="inlineStr">
        <is>
          <t>Sr. Applied Scientist, Amazon Ads</t>
        </is>
      </c>
      <c r="C157" t="inlineStr">
        <is>
          <t>Amazon.com</t>
        </is>
      </c>
      <c r="D157" t="inlineStr">
        <is>
          <t>indeed</t>
        </is>
      </c>
      <c r="E157">
        <f>HYPERLINK("https://www.indeed.com/viewjob?jk=425e9fac3e00517d", "https://www.indeed.com/viewjob?jk=425e9fac3e00517d")</f>
        <v/>
      </c>
      <c r="F157">
        <f>HYPERLINK("https://www.amazon.jobs/jobs/3139328/sr-applied-scientist-amazon-ads?cmpid=DA_INAD200785B", "https://www.amazon.jobs/jobs/3139328/sr-applied-scientist-amazon-ads?cmpid=DA_INAD200785B")</f>
        <v/>
      </c>
      <c r="G157" t="inlineStr">
        <is>
          <t>New York, NY, US</t>
        </is>
      </c>
      <c r="H157" s="3"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in-bb5a1cd9e0a6864b</t>
        </is>
      </c>
      <c r="B158" t="inlineStr">
        <is>
          <t>Sr. Applied Scientist, Amazon Ads</t>
        </is>
      </c>
      <c r="C158" t="inlineStr">
        <is>
          <t>Amazon.com</t>
        </is>
      </c>
      <c r="D158" t="inlineStr">
        <is>
          <t>indeed</t>
        </is>
      </c>
      <c r="E158">
        <f>HYPERLINK("https://www.indeed.com/viewjob?jk=bb5a1cd9e0a6864b", "https://www.indeed.com/viewjob?jk=bb5a1cd9e0a6864b")</f>
        <v/>
      </c>
      <c r="F158">
        <f>HYPERLINK("https://www.amazon.jobs/jobs/3139328/sr-applied-scientist-amazon-ads?cmpid=DA_INAD200785B", "https://www.amazon.jobs/jobs/3139328/sr-applied-scientist-amazon-ads?cmpid=DA_INAD200785B")</f>
        <v/>
      </c>
      <c r="G158" t="inlineStr">
        <is>
          <t>Palo Alto, CA, US</t>
        </is>
      </c>
      <c r="H158" s="3"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in-fde140aaf6e40828</t>
        </is>
      </c>
      <c r="B159" t="inlineStr">
        <is>
          <t>Sr. Applied Scientist, Amazon Ads</t>
        </is>
      </c>
      <c r="C159" t="inlineStr">
        <is>
          <t>Amazon.com</t>
        </is>
      </c>
      <c r="D159" t="inlineStr">
        <is>
          <t>indeed</t>
        </is>
      </c>
      <c r="E159">
        <f>HYPERLINK("https://www.indeed.com/viewjob?jk=fde140aaf6e40828", "https://www.indeed.com/viewjob?jk=fde140aaf6e40828")</f>
        <v/>
      </c>
      <c r="F159">
        <f>HYPERLINK("https://www.amazon.jobs/jobs/3139328/sr-applied-scientist-amazon-ads?cmpid=DA_INAD200785B", "https://www.amazon.jobs/jobs/3139328/sr-applied-scientist-amazon-ads?cmpid=DA_INAD200785B")</f>
        <v/>
      </c>
      <c r="G159" t="inlineStr">
        <is>
          <t>Boulder, CO, US</t>
        </is>
      </c>
      <c r="H159" s="3"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in-163abfa0c66cb91a</t>
        </is>
      </c>
      <c r="B160" t="inlineStr">
        <is>
          <t>Sr. Applied Scientist, Amazon Ads</t>
        </is>
      </c>
      <c r="C160" t="inlineStr">
        <is>
          <t>Amazon.com</t>
        </is>
      </c>
      <c r="D160" t="inlineStr">
        <is>
          <t>indeed</t>
        </is>
      </c>
      <c r="E160">
        <f>HYPERLINK("https://www.indeed.com/viewjob?jk=163abfa0c66cb91a", "https://www.indeed.com/viewjob?jk=163abfa0c66cb91a")</f>
        <v/>
      </c>
      <c r="F160">
        <f>HYPERLINK("https://www.amazon.jobs/jobs/3139328/sr-applied-scientist-amazon-ads?cmpid=DA_INAD200785B", "https://www.amazon.jobs/jobs/3139328/sr-applied-scientist-amazon-ads?cmpid=DA_INAD200785B")</f>
        <v/>
      </c>
      <c r="G160" t="inlineStr">
        <is>
          <t>Boston, MA,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in-4d009d4880595eed</t>
        </is>
      </c>
      <c r="B161" t="inlineStr">
        <is>
          <t>Sr. Applied Scientist, Amazon Ads</t>
        </is>
      </c>
      <c r="C161" t="inlineStr">
        <is>
          <t>Amazon.com</t>
        </is>
      </c>
      <c r="D161" t="inlineStr">
        <is>
          <t>indeed</t>
        </is>
      </c>
      <c r="E161">
        <f>HYPERLINK("https://www.indeed.com/viewjob?jk=4d009d4880595eed", "https://www.indeed.com/viewjob?jk=4d009d4880595eed")</f>
        <v/>
      </c>
      <c r="F161">
        <f>HYPERLINK("https://www.amazon.jobs/jobs/3139328/sr-applied-scientist-amazon-ads?cmpid=DA_INAD200785B", "https://www.amazon.jobs/jobs/3139328/sr-applied-scientist-amazon-ads?cmpid=DA_INAD200785B")</f>
        <v/>
      </c>
      <c r="G161" t="inlineStr">
        <is>
          <t>Sunnyvale, CA,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in-9eaeac9b65149660</t>
        </is>
      </c>
      <c r="B162" t="inlineStr">
        <is>
          <t>Sr. Applied Scientist, Amazon Ads</t>
        </is>
      </c>
      <c r="C162" t="inlineStr">
        <is>
          <t>Amazon.com</t>
        </is>
      </c>
      <c r="D162" t="inlineStr">
        <is>
          <t>indeed</t>
        </is>
      </c>
      <c r="E162">
        <f>HYPERLINK("https://www.indeed.com/viewjob?jk=9eaeac9b65149660", "https://www.indeed.com/viewjob?jk=9eaeac9b65149660")</f>
        <v/>
      </c>
      <c r="F162">
        <f>HYPERLINK("https://www.amazon.jobs/jobs/3139328/sr-applied-scientist-amazon-ads?cmpid=DA_INAD200785B", "https://www.amazon.jobs/jobs/3139328/sr-applied-scientist-amazon-ads?cmpid=DA_INAD200785B")</f>
        <v/>
      </c>
      <c r="G162" t="inlineStr">
        <is>
          <t>Tukwila, WA,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in-f8353d8e99d9c8c7</t>
        </is>
      </c>
      <c r="B163" t="inlineStr">
        <is>
          <t>Principal Applied Scientist, Sponsored Products and Brands</t>
        </is>
      </c>
      <c r="C163" t="inlineStr">
        <is>
          <t>Amazon.com</t>
        </is>
      </c>
      <c r="D163" t="inlineStr">
        <is>
          <t>indeed</t>
        </is>
      </c>
      <c r="E163">
        <f>HYPERLINK("https://www.indeed.com/viewjob?jk=f8353d8e99d9c8c7", "https://www.indeed.com/viewjob?jk=f8353d8e99d9c8c7")</f>
        <v/>
      </c>
      <c r="F163">
        <f>HYPERLINK("https://www.amazon.jobs/jobs/3130855/principal-applied-scientist-sponsored-products-and-brands?cmpid=DA_INAD200785B", "https://www.amazon.jobs/jobs/3130855/principal-applied-scientist-sponsored-products-and-brands?cmpid=DA_INAD200785B")</f>
        <v/>
      </c>
      <c r="G163" t="inlineStr">
        <is>
          <t>New York, NY, US</t>
        </is>
      </c>
      <c r="H163" s="3" t="n">
        <v>45979</v>
      </c>
      <c r="I1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in-038c345bcf8ca295</t>
        </is>
      </c>
      <c r="B164" t="inlineStr">
        <is>
          <t>Principal Applied Scientist, Sponsored Products and Brands</t>
        </is>
      </c>
      <c r="C164" t="inlineStr">
        <is>
          <t>Amazon.com</t>
        </is>
      </c>
      <c r="D164" t="inlineStr">
        <is>
          <t>indeed</t>
        </is>
      </c>
      <c r="E164">
        <f>HYPERLINK("https://www.indeed.com/viewjob?jk=038c345bcf8ca295", "https://www.indeed.com/viewjob?jk=038c345bcf8ca295")</f>
        <v/>
      </c>
      <c r="F164">
        <f>HYPERLINK("https://www.amazon.jobs/jobs/3130855/principal-applied-scientist-sponsored-products-and-brands?cmpid=DA_INAD200785B", "https://www.amazon.jobs/jobs/3130855/principal-applied-scientist-sponsored-products-and-brands?cmpid=DA_INAD200785B")</f>
        <v/>
      </c>
      <c r="G164" t="inlineStr">
        <is>
          <t>Seattle, WA, US</t>
        </is>
      </c>
      <c r="H164" s="3" t="n">
        <v>45979</v>
      </c>
      <c r="I1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in-035cd4a7f79e32d4</t>
        </is>
      </c>
      <c r="B165" t="inlineStr">
        <is>
          <t>Applied Scientist, Personalization, DTx Science</t>
        </is>
      </c>
      <c r="C165" t="inlineStr">
        <is>
          <t>Amazon.com</t>
        </is>
      </c>
      <c r="D165" t="inlineStr">
        <is>
          <t>indeed</t>
        </is>
      </c>
      <c r="E165">
        <f>HYPERLINK("https://www.indeed.com/viewjob?jk=035cd4a7f79e32d4", "https://www.indeed.com/viewjob?jk=035cd4a7f79e32d4")</f>
        <v/>
      </c>
      <c r="F165">
        <f>HYPERLINK("https://www.amazon.jobs/jobs/3136853/applied-scientist-personalization-dtx-science?cmpid=DA_INAD200785B", "https://www.amazon.jobs/jobs/3136853/applied-scientist-personalization-dtx-science?cmpid=DA_INAD200785B")</f>
        <v/>
      </c>
      <c r="G165" t="inlineStr">
        <is>
          <t>New York, NY, US</t>
        </is>
      </c>
      <c r="H165" s="3" t="n">
        <v>45979</v>
      </c>
      <c r="I16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6">
      <c r="A166" t="inlineStr">
        <is>
          <t>in-dfeb7fe80e6eb2c8</t>
        </is>
      </c>
      <c r="B166" t="inlineStr">
        <is>
          <t>Applied Scientist, Personalization, DTx Science</t>
        </is>
      </c>
      <c r="C166" t="inlineStr">
        <is>
          <t>Amazon.com</t>
        </is>
      </c>
      <c r="D166" t="inlineStr">
        <is>
          <t>indeed</t>
        </is>
      </c>
      <c r="E166">
        <f>HYPERLINK("https://www.indeed.com/viewjob?jk=dfeb7fe80e6eb2c8", "https://www.indeed.com/viewjob?jk=dfeb7fe80e6eb2c8")</f>
        <v/>
      </c>
      <c r="F166">
        <f>HYPERLINK("https://www.amazon.jobs/jobs/3136853/applied-scientist-personalization-dtx-science?cmpid=DA_INAD200785B", "https://www.amazon.jobs/jobs/3136853/applied-scientist-personalization-dtx-science?cmpid=DA_INAD200785B")</f>
        <v/>
      </c>
      <c r="G166" t="inlineStr">
        <is>
          <t>Seattle, WA, US</t>
        </is>
      </c>
      <c r="H166" s="3" t="n">
        <v>45979</v>
      </c>
      <c r="I16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7">
      <c r="A167" t="inlineStr">
        <is>
          <t>in-b2f808b8566d10a2</t>
        </is>
      </c>
      <c r="B167" t="inlineStr">
        <is>
          <t>Senior Applied Scientist, Sponsored Products and Brands</t>
        </is>
      </c>
      <c r="C167" t="inlineStr">
        <is>
          <t>Amazon.com</t>
        </is>
      </c>
      <c r="D167" t="inlineStr">
        <is>
          <t>indeed</t>
        </is>
      </c>
      <c r="E167">
        <f>HYPERLINK("https://www.indeed.com/viewjob?jk=b2f808b8566d10a2", "https://www.indeed.com/viewjob?jk=b2f808b8566d10a2")</f>
        <v/>
      </c>
      <c r="F167">
        <f>HYPERLINK("https://www.amazon.jobs/jobs/3130062/senior-applied-scientist-sponsored-products-and-brands?cmpid=DA_INAD200785B", "https://www.amazon.jobs/jobs/3130062/senior-applied-scientist-sponsored-products-and-brands?cmpid=DA_INAD200785B")</f>
        <v/>
      </c>
      <c r="G167" t="inlineStr">
        <is>
          <t>New York, NY, US</t>
        </is>
      </c>
      <c r="H167" s="3" t="n">
        <v>45979</v>
      </c>
      <c r="I16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8">
      <c r="A168" t="inlineStr">
        <is>
          <t>in-91580da3cf7e0ca3</t>
        </is>
      </c>
      <c r="B168" t="inlineStr">
        <is>
          <t>Senior Applied Scientist, Sponsored Products and Brands</t>
        </is>
      </c>
      <c r="C168" t="inlineStr">
        <is>
          <t>Amazon.com</t>
        </is>
      </c>
      <c r="D168" t="inlineStr">
        <is>
          <t>indeed</t>
        </is>
      </c>
      <c r="E168">
        <f>HYPERLINK("https://www.indeed.com/viewjob?jk=91580da3cf7e0ca3", "https://www.indeed.com/viewjob?jk=91580da3cf7e0ca3")</f>
        <v/>
      </c>
      <c r="F168">
        <f>HYPERLINK("https://www.amazon.jobs/jobs/3130062/senior-applied-scientist-sponsored-products-and-brands?cmpid=DA_INAD200785B", "https://www.amazon.jobs/jobs/3130062/senior-applied-scientist-sponsored-products-and-brands?cmpid=DA_INAD200785B")</f>
        <v/>
      </c>
      <c r="G168" t="inlineStr">
        <is>
          <t>Seattle, WA, US</t>
        </is>
      </c>
      <c r="H168" s="3" t="n">
        <v>45979</v>
      </c>
      <c r="I1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9">
      <c r="A169" t="inlineStr">
        <is>
          <t>in-0158cd3aea4c69c7</t>
        </is>
      </c>
      <c r="B169" t="inlineStr">
        <is>
          <t>Applied Scientist II, Prime Video Personalization and Discovery Science</t>
        </is>
      </c>
      <c r="C169" t="inlineStr">
        <is>
          <t>Amazon.com</t>
        </is>
      </c>
      <c r="D169" t="inlineStr">
        <is>
          <t>indeed</t>
        </is>
      </c>
      <c r="E169">
        <f>HYPERLINK("https://www.indeed.com/viewjob?jk=0158cd3aea4c69c7", "https://www.indeed.com/viewjob?jk=0158cd3aea4c69c7")</f>
        <v/>
      </c>
      <c r="F169">
        <f>HYPERLINK("https://www.amazon.jobs/jobs/3129475/applied-scientist-ii-prime-video-personalization-and-discovery-science?cmpid=DA_INAD200785B", "https://www.amazon.jobs/jobs/3129475/applied-scientist-ii-prime-video-personalization-and-discovery-science?cmpid=DA_INAD200785B")</f>
        <v/>
      </c>
      <c r="G169" t="inlineStr">
        <is>
          <t>Sunnyvale, CA, US</t>
        </is>
      </c>
      <c r="H169" s="3" t="n">
        <v>45978</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0">
      <c r="A170" t="inlineStr">
        <is>
          <t>in-7b19634eb7558a9f</t>
        </is>
      </c>
      <c r="B170" t="inlineStr">
        <is>
          <t>Applied Scientist II, Prime Video Personalization and Discovery Science</t>
        </is>
      </c>
      <c r="C170" t="inlineStr">
        <is>
          <t>Amazon.com</t>
        </is>
      </c>
      <c r="D170" t="inlineStr">
        <is>
          <t>indeed</t>
        </is>
      </c>
      <c r="E170">
        <f>HYPERLINK("https://www.indeed.com/viewjob?jk=7b19634eb7558a9f", "https://www.indeed.com/viewjob?jk=7b19634eb7558a9f")</f>
        <v/>
      </c>
      <c r="F170">
        <f>HYPERLINK("https://www.amazon.jobs/jobs/3129475/applied-scientist-ii-prime-video-personalization-and-discovery-science?cmpid=DA_INAD200785B", "https://www.amazon.jobs/jobs/3129475/applied-scientist-ii-prime-video-personalization-and-discovery-science?cmpid=DA_INAD200785B")</f>
        <v/>
      </c>
      <c r="G170" t="inlineStr">
        <is>
          <t>New York, NY, US</t>
        </is>
      </c>
      <c r="H170" s="3" t="n">
        <v>45978</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1">
      <c r="A171" t="inlineStr">
        <is>
          <t>in-3635856a132ed3fa</t>
        </is>
      </c>
      <c r="B171" t="inlineStr">
        <is>
          <t>Principal Applied Scientist, Amazon AGI</t>
        </is>
      </c>
      <c r="C171" t="inlineStr">
        <is>
          <t>Amazon.com</t>
        </is>
      </c>
      <c r="D171" t="inlineStr">
        <is>
          <t>indeed</t>
        </is>
      </c>
      <c r="E171">
        <f>HYPERLINK("https://www.indeed.com/viewjob?jk=3635856a132ed3fa", "https://www.indeed.com/viewjob?jk=3635856a132ed3fa")</f>
        <v/>
      </c>
      <c r="F171">
        <f>HYPERLINK("https://www.amazon.jobs/jobs/3128808/principal-applied-scientist-amazon-agi?cmpid=DA_INAD200785B", "https://www.amazon.jobs/jobs/3128808/principal-applied-scientist-amazon-agi?cmpid=DA_INAD200785B")</f>
        <v/>
      </c>
      <c r="G171" t="inlineStr">
        <is>
          <t>Boston, MA, US</t>
        </is>
      </c>
      <c r="H171" s="3" t="n">
        <v>45964</v>
      </c>
      <c r="I17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in-1ee58eeb740afafc</t>
        </is>
      </c>
      <c r="B172" t="inlineStr">
        <is>
          <t>Principal Applied Scientist, Amazon AGI</t>
        </is>
      </c>
      <c r="C172" t="inlineStr">
        <is>
          <t>Amazon.com</t>
        </is>
      </c>
      <c r="D172" t="inlineStr">
        <is>
          <t>indeed</t>
        </is>
      </c>
      <c r="E172">
        <f>HYPERLINK("https://www.indeed.com/viewjob?jk=1ee58eeb740afafc", "https://www.indeed.com/viewjob?jk=1ee58eeb740afafc")</f>
        <v/>
      </c>
      <c r="F172">
        <f>HYPERLINK("https://www.amazon.jobs/jobs/3128808/principal-applied-scientist-amazon-agi?cmpid=DA_INAD200785B", "https://www.amazon.jobs/jobs/3128808/principal-applied-scientist-amazon-agi?cmpid=DA_INAD200785B")</f>
        <v/>
      </c>
      <c r="G172" t="inlineStr">
        <is>
          <t>San Francisco, CA, US</t>
        </is>
      </c>
      <c r="H172" s="3" t="n">
        <v>45964</v>
      </c>
      <c r="I17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in-a8bc86c94ddae1df</t>
        </is>
      </c>
      <c r="B173" t="inlineStr">
        <is>
          <t>Applied Scientist, AWS Agentic AI</t>
        </is>
      </c>
      <c r="C173" t="inlineStr">
        <is>
          <t>Amazon Web Services</t>
        </is>
      </c>
      <c r="D173" t="inlineStr">
        <is>
          <t>indeed</t>
        </is>
      </c>
      <c r="E173">
        <f>HYPERLINK("https://www.indeed.com/viewjob?jk=a8bc86c94ddae1df", "https://www.indeed.com/viewjob?jk=a8bc86c94ddae1df")</f>
        <v/>
      </c>
      <c r="F173">
        <f>HYPERLINK("https://www.amazon.jobs/jobs/3141517/applied-scientist-aws-agentic-ai-?cmpid=DA_INAD200785B", "https://www.amazon.jobs/jobs/3141517/applied-scientist-aws-agentic-ai-?cmpid=DA_INAD200785B")</f>
        <v/>
      </c>
      <c r="G173" t="inlineStr">
        <is>
          <t>Seattle, WA, US</t>
        </is>
      </c>
      <c r="H173" s="3" t="n">
        <v>45962</v>
      </c>
      <c r="I1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in-9176e377988ee7f3</t>
        </is>
      </c>
      <c r="B174" t="inlineStr">
        <is>
          <t>Applied Scientist, AWS Agentic AI</t>
        </is>
      </c>
      <c r="C174" t="inlineStr">
        <is>
          <t>Amazon Web Services</t>
        </is>
      </c>
      <c r="D174" t="inlineStr">
        <is>
          <t>indeed</t>
        </is>
      </c>
      <c r="E174">
        <f>HYPERLINK("https://www.indeed.com/viewjob?jk=9176e377988ee7f3", "https://www.indeed.com/viewjob?jk=9176e377988ee7f3")</f>
        <v/>
      </c>
      <c r="F174">
        <f>HYPERLINK("https://www.amazon.jobs/jobs/3141517/applied-scientist-aws-agentic-ai-?cmpid=DA_INAD200785B", "https://www.amazon.jobs/jobs/3141517/applied-scientist-aws-agentic-ai-?cmpid=DA_INAD200785B")</f>
        <v/>
      </c>
      <c r="G174" t="inlineStr">
        <is>
          <t>New York, NY, US</t>
        </is>
      </c>
      <c r="H174" s="3" t="n">
        <v>45962</v>
      </c>
      <c r="I1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in-da1e2bdf699ea2e6</t>
        </is>
      </c>
      <c r="B175" t="inlineStr">
        <is>
          <t>Applied Scientist, AWS Agentic AI</t>
        </is>
      </c>
      <c r="C175" t="inlineStr">
        <is>
          <t>Amazon Web Services</t>
        </is>
      </c>
      <c r="D175" t="inlineStr">
        <is>
          <t>indeed</t>
        </is>
      </c>
      <c r="E175">
        <f>HYPERLINK("https://www.indeed.com/viewjob?jk=da1e2bdf699ea2e6", "https://www.indeed.com/viewjob?jk=da1e2bdf699ea2e6")</f>
        <v/>
      </c>
      <c r="F175">
        <f>HYPERLINK("https://www.amazon.jobs/jobs/3141517/applied-scientist-aws-agentic-ai-?cmpid=DA_INAD200785B", "https://www.amazon.jobs/jobs/3141517/applied-scientist-aws-agentic-ai-?cmpid=DA_INAD200785B")</f>
        <v/>
      </c>
      <c r="G175" t="inlineStr">
        <is>
          <t>Santa Clara, CA, US</t>
        </is>
      </c>
      <c r="H175" s="3" t="n">
        <v>45962</v>
      </c>
      <c r="I1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in-65ffc03843518ccc</t>
        </is>
      </c>
      <c r="B176" t="inlineStr">
        <is>
          <t>Sr. Applied Scientist, Prime Video - Personalization and Discovery Science</t>
        </is>
      </c>
      <c r="C176" t="inlineStr">
        <is>
          <t>Amazon.com</t>
        </is>
      </c>
      <c r="D176" t="inlineStr">
        <is>
          <t>indeed</t>
        </is>
      </c>
      <c r="E176">
        <f>HYPERLINK("https://www.indeed.com/viewjob?jk=65ffc03843518ccc", "https://www.indeed.com/viewjob?jk=65ffc03843518ccc")</f>
        <v/>
      </c>
      <c r="F176">
        <f>HYPERLINK("https://www.amazon.jobs/jobs/3118785/sr-applied-scientist-prime-video--personalization-and-discovery-science?cmpid=DA_INAD200785B", "https://www.amazon.jobs/jobs/3118785/sr-applied-scientist-prime-video--personalization-and-discovery-science?cmpid=DA_INAD200785B")</f>
        <v/>
      </c>
      <c r="G176" t="inlineStr">
        <is>
          <t>Sunnyvale, CA, US</t>
        </is>
      </c>
      <c r="H176" s="3" t="n">
        <v>45959</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7">
      <c r="A177" t="inlineStr">
        <is>
          <t>in-89622ddef59b526c</t>
        </is>
      </c>
      <c r="B177" t="inlineStr">
        <is>
          <t>Sr. Applied Scientist, Prime Video - Personalization and Discovery Science</t>
        </is>
      </c>
      <c r="C177" t="inlineStr">
        <is>
          <t>Amazon.com</t>
        </is>
      </c>
      <c r="D177" t="inlineStr">
        <is>
          <t>indeed</t>
        </is>
      </c>
      <c r="E177">
        <f>HYPERLINK("https://www.indeed.com/viewjob?jk=89622ddef59b526c", "https://www.indeed.com/viewjob?jk=89622ddef59b526c")</f>
        <v/>
      </c>
      <c r="F177">
        <f>HYPERLINK("https://www.amazon.jobs/jobs/3118785/sr-applied-scientist-prime-video--personalization-and-discovery-science?cmpid=DA_INAD200785B", "https://www.amazon.jobs/jobs/3118785/sr-applied-scientist-prime-video--personalization-and-discovery-science?cmpid=DA_INAD200785B")</f>
        <v/>
      </c>
      <c r="G177" t="inlineStr">
        <is>
          <t>Seattle, WA, US</t>
        </is>
      </c>
      <c r="H177" s="3" t="n">
        <v>45959</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8">
      <c r="A178" t="inlineStr">
        <is>
          <t>in-6595d87a3df2f392</t>
        </is>
      </c>
      <c r="B178" t="inlineStr">
        <is>
          <t>Sr. Applied Scientist, Prime Video - Personalization and Discovery Science</t>
        </is>
      </c>
      <c r="C178" t="inlineStr">
        <is>
          <t>Amazon.com</t>
        </is>
      </c>
      <c r="D178" t="inlineStr">
        <is>
          <t>indeed</t>
        </is>
      </c>
      <c r="E178">
        <f>HYPERLINK("https://www.indeed.com/viewjob?jk=6595d87a3df2f392", "https://www.indeed.com/viewjob?jk=6595d87a3df2f392")</f>
        <v/>
      </c>
      <c r="F178">
        <f>HYPERLINK("https://www.amazon.jobs/jobs/3118785/sr-applied-scientist-prime-video--personalization-and-discovery-science?cmpid=DA_INAD200785B", "https://www.amazon.jobs/jobs/3118785/sr-applied-scientist-prime-video--personalization-and-discovery-science?cmpid=DA_INAD200785B")</f>
        <v/>
      </c>
      <c r="G178" t="inlineStr">
        <is>
          <t>New York, NY, US</t>
        </is>
      </c>
      <c r="H178" s="3" t="n">
        <v>45959</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9">
      <c r="A179" t="inlineStr">
        <is>
          <t>in-ab65b0422f360907</t>
        </is>
      </c>
      <c r="B179" t="inlineStr">
        <is>
          <t>Principal Applied Scientist, Advertiser Growth, Amazon Sponsored Products &amp; Brands</t>
        </is>
      </c>
      <c r="C179" t="inlineStr">
        <is>
          <t>Amazon.com</t>
        </is>
      </c>
      <c r="D179" t="inlineStr">
        <is>
          <t>indeed</t>
        </is>
      </c>
      <c r="E179">
        <f>HYPERLINK("https://www.indeed.com/viewjob?jk=ab65b0422f360907", "https://www.indeed.com/viewjob?jk=ab65b0422f360907")</f>
        <v/>
      </c>
      <c r="F179">
        <f>HYPERLINK("https://www.amazon.jobs/jobs/3115279/principal-applied-scientist-advertiser-growth-amazon-sponsored-products--brands?cmpid=DA_INAD200785B", "https://www.amazon.jobs/jobs/3115279/principal-applied-scientist-advertiser-growth-amazon-sponsored-products--brands?cmpid=DA_INAD200785B")</f>
        <v/>
      </c>
      <c r="G179" t="inlineStr">
        <is>
          <t>Palo Alto, CA, US</t>
        </is>
      </c>
      <c r="H179" s="3" t="n">
        <v>45942</v>
      </c>
      <c r="I1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in-a85260433d5e5bb3</t>
        </is>
      </c>
      <c r="B180" t="inlineStr">
        <is>
          <t>Principal Applied Scientist, Advertiser Growth, Amazon Sponsored Products &amp; Brands</t>
        </is>
      </c>
      <c r="C180" t="inlineStr">
        <is>
          <t>Amazon.com</t>
        </is>
      </c>
      <c r="D180" t="inlineStr">
        <is>
          <t>indeed</t>
        </is>
      </c>
      <c r="E180">
        <f>HYPERLINK("https://www.indeed.com/viewjob?jk=a85260433d5e5bb3", "https://www.indeed.com/viewjob?jk=a85260433d5e5bb3")</f>
        <v/>
      </c>
      <c r="F180">
        <f>HYPERLINK("https://www.amazon.jobs/jobs/3115279/principal-applied-scientist-advertiser-growth-amazon-sponsored-products--brands?cmpid=DA_INAD200785B", "https://www.amazon.jobs/jobs/3115279/principal-applied-scientist-advertiser-growth-amazon-sponsored-products--brands?cmpid=DA_INAD200785B")</f>
        <v/>
      </c>
      <c r="G180" t="inlineStr">
        <is>
          <t>Seattle, WA, US</t>
        </is>
      </c>
      <c r="H180" s="3" t="n">
        <v>45942</v>
      </c>
      <c r="I1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in-1f8ae9e513436ee0</t>
        </is>
      </c>
      <c r="B181" t="inlineStr">
        <is>
          <t>Principal Applied Scientist, Advertiser Growth, Amazon Sponsored Products &amp; Brands</t>
        </is>
      </c>
      <c r="C181" t="inlineStr">
        <is>
          <t>Amazon.com</t>
        </is>
      </c>
      <c r="D181" t="inlineStr">
        <is>
          <t>indeed</t>
        </is>
      </c>
      <c r="E181">
        <f>HYPERLINK("https://www.indeed.com/viewjob?jk=1f8ae9e513436ee0", "https://www.indeed.com/viewjob?jk=1f8ae9e513436ee0")</f>
        <v/>
      </c>
      <c r="F181">
        <f>HYPERLINK("https://www.amazon.jobs/jobs/3115279/principal-applied-scientist-advertiser-growth-amazon-sponsored-products--brands?cmpid=DA_INAD200785B", "https://www.amazon.jobs/jobs/3115279/principal-applied-scientist-advertiser-growth-amazon-sponsored-products--brands?cmpid=DA_INAD200785B")</f>
        <v/>
      </c>
      <c r="G181" t="inlineStr">
        <is>
          <t>New York, NY, US</t>
        </is>
      </c>
      <c r="H181" s="3" t="n">
        <v>45942</v>
      </c>
      <c r="I1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in-e31ac2605a3a5dcc</t>
        </is>
      </c>
      <c r="B182" t="inlineStr">
        <is>
          <t>Applied Scientist</t>
        </is>
      </c>
      <c r="C182" t="inlineStr">
        <is>
          <t>Amazon.com</t>
        </is>
      </c>
      <c r="D182" t="inlineStr">
        <is>
          <t>indeed</t>
        </is>
      </c>
      <c r="E182">
        <f>HYPERLINK("https://www.indeed.com/viewjob?jk=e31ac2605a3a5dcc", "https://www.indeed.com/viewjob?jk=e31ac2605a3a5dcc")</f>
        <v/>
      </c>
      <c r="F182">
        <f>HYPERLINK("https://www.amazon.jobs/jobs/3106501/applied-scientist?cmpid=DA_INAD200785B", "https://www.amazon.jobs/jobs/3106501/applied-scientist?cmpid=DA_INAD200785B")</f>
        <v/>
      </c>
      <c r="G182" t="inlineStr">
        <is>
          <t>Palo Alto, CA, US</t>
        </is>
      </c>
      <c r="H182" s="3" t="n">
        <v>45939</v>
      </c>
      <c r="I1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in-fceadfd6bae5ad76</t>
        </is>
      </c>
      <c r="B183" t="inlineStr">
        <is>
          <t>Applied Scientist</t>
        </is>
      </c>
      <c r="C183" t="inlineStr">
        <is>
          <t>Amazon.com</t>
        </is>
      </c>
      <c r="D183" t="inlineStr">
        <is>
          <t>indeed</t>
        </is>
      </c>
      <c r="E183">
        <f>HYPERLINK("https://www.indeed.com/viewjob?jk=fceadfd6bae5ad76", "https://www.indeed.com/viewjob?jk=fceadfd6bae5ad76")</f>
        <v/>
      </c>
      <c r="F183">
        <f>HYPERLINK("https://www.amazon.jobs/jobs/3106501/applied-scientist?cmpid=DA_INAD200785B", "https://www.amazon.jobs/jobs/3106501/applied-scientist?cmpid=DA_INAD200785B")</f>
        <v/>
      </c>
      <c r="G183" t="inlineStr">
        <is>
          <t>New York, NY, US</t>
        </is>
      </c>
      <c r="H183" s="3" t="n">
        <v>45939</v>
      </c>
      <c r="I1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in-a280041a11ea8bc4</t>
        </is>
      </c>
      <c r="B184" t="inlineStr">
        <is>
          <t>Applied Scientist</t>
        </is>
      </c>
      <c r="C184" t="inlineStr">
        <is>
          <t>Amazon.com</t>
        </is>
      </c>
      <c r="D184" t="inlineStr">
        <is>
          <t>indeed</t>
        </is>
      </c>
      <c r="E184">
        <f>HYPERLINK("https://www.indeed.com/viewjob?jk=a280041a11ea8bc4", "https://www.indeed.com/viewjob?jk=a280041a11ea8bc4")</f>
        <v/>
      </c>
      <c r="F184">
        <f>HYPERLINK("https://www.amazon.jobs/jobs/3106501/applied-scientist?cmpid=DA_INAD200785B", "https://www.amazon.jobs/jobs/3106501/applied-scientist?cmpid=DA_INAD200785B")</f>
        <v/>
      </c>
      <c r="G184" t="inlineStr">
        <is>
          <t>Seattle, WA, US</t>
        </is>
      </c>
      <c r="H184" s="3" t="n">
        <v>45939</v>
      </c>
      <c r="I1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in-4cbaa108f10cf08c</t>
        </is>
      </c>
      <c r="B185" t="inlineStr">
        <is>
          <t>Sr. Applied Scientist, SPB Advertiser Guidance</t>
        </is>
      </c>
      <c r="C185" t="inlineStr">
        <is>
          <t>Amazon.com</t>
        </is>
      </c>
      <c r="D185" t="inlineStr">
        <is>
          <t>indeed</t>
        </is>
      </c>
      <c r="E185">
        <f>HYPERLINK("https://www.indeed.com/viewjob?jk=4cbaa108f10cf08c", "https://www.indeed.com/viewjob?jk=4cbaa108f10cf08c")</f>
        <v/>
      </c>
      <c r="F185">
        <f>HYPERLINK("https://www.amazon.jobs/jobs/3106497/sr-applied-scientist-spb-advertiser-guidance?cmpid=DA_INAD200785B", "https://www.amazon.jobs/jobs/3106497/sr-applied-scientist-spb-advertiser-guidance?cmpid=DA_INAD200785B")</f>
        <v/>
      </c>
      <c r="G185" t="inlineStr">
        <is>
          <t>Palo Alto, CA, US</t>
        </is>
      </c>
      <c r="H185" s="3" t="n">
        <v>45939</v>
      </c>
      <c r="I1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in-5f2a85d22a69448b</t>
        </is>
      </c>
      <c r="B186" t="inlineStr">
        <is>
          <t>Sr. Applied Scientist, SPB Advertiser Guidance</t>
        </is>
      </c>
      <c r="C186" t="inlineStr">
        <is>
          <t>Amazon.com</t>
        </is>
      </c>
      <c r="D186" t="inlineStr">
        <is>
          <t>indeed</t>
        </is>
      </c>
      <c r="E186">
        <f>HYPERLINK("https://www.indeed.com/viewjob?jk=5f2a85d22a69448b", "https://www.indeed.com/viewjob?jk=5f2a85d22a69448b")</f>
        <v/>
      </c>
      <c r="F186">
        <f>HYPERLINK("https://www.amazon.jobs/jobs/3106497/sr-applied-scientist-spb-advertiser-guidance?cmpid=DA_INAD200785B", "https://www.amazon.jobs/jobs/3106497/sr-applied-scientist-spb-advertiser-guidance?cmpid=DA_INAD200785B")</f>
        <v/>
      </c>
      <c r="G186" t="inlineStr">
        <is>
          <t>New York, NY, US</t>
        </is>
      </c>
      <c r="H186" s="3" t="n">
        <v>45939</v>
      </c>
      <c r="I1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in-e7ab2ac3f1a17b08</t>
        </is>
      </c>
      <c r="B187" t="inlineStr">
        <is>
          <t>Sr. Applied Scientist, SPB Advertiser Guidance</t>
        </is>
      </c>
      <c r="C187" t="inlineStr">
        <is>
          <t>Amazon.com</t>
        </is>
      </c>
      <c r="D187" t="inlineStr">
        <is>
          <t>indeed</t>
        </is>
      </c>
      <c r="E187">
        <f>HYPERLINK("https://www.indeed.com/viewjob?jk=e7ab2ac3f1a17b08", "https://www.indeed.com/viewjob?jk=e7ab2ac3f1a17b08")</f>
        <v/>
      </c>
      <c r="F187">
        <f>HYPERLINK("https://www.amazon.jobs/jobs/3106497/sr-applied-scientist-spb-advertiser-guidance?cmpid=DA_INAD200785B", "https://www.amazon.jobs/jobs/3106497/sr-applied-scientist-spb-advertiser-guidance?cmpid=DA_INAD200785B")</f>
        <v/>
      </c>
      <c r="G187" t="inlineStr">
        <is>
          <t>Seattle, WA, US</t>
        </is>
      </c>
      <c r="H187" s="3" t="n">
        <v>45939</v>
      </c>
      <c r="I1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in-f4e23f8d19d54c9a</t>
        </is>
      </c>
      <c r="B188" t="inlineStr">
        <is>
          <t>Applied Scientist II, Prime Video - Personalization and Discovery Science, Personalization and Discovery Science</t>
        </is>
      </c>
      <c r="C188" t="inlineStr">
        <is>
          <t>Amazon.com</t>
        </is>
      </c>
      <c r="D188" t="inlineStr">
        <is>
          <t>indeed</t>
        </is>
      </c>
      <c r="E188">
        <f>HYPERLINK("https://www.indeed.com/viewjob?jk=f4e23f8d19d54c9a", "https://www.indeed.com/viewjob?jk=f4e23f8d19d54c9a")</f>
        <v/>
      </c>
      <c r="F18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8" t="inlineStr">
        <is>
          <t>Seattle, WA, US</t>
        </is>
      </c>
      <c r="H188" s="3" t="n">
        <v>45930</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in-36c03b96cc259bfc</t>
        </is>
      </c>
      <c r="B189" t="inlineStr">
        <is>
          <t>Applied Scientist II, Prime Video - Personalization and Discovery Science, Personalization and Discovery Science</t>
        </is>
      </c>
      <c r="C189" t="inlineStr">
        <is>
          <t>Amazon.com</t>
        </is>
      </c>
      <c r="D189" t="inlineStr">
        <is>
          <t>indeed</t>
        </is>
      </c>
      <c r="E189">
        <f>HYPERLINK("https://www.indeed.com/viewjob?jk=36c03b96cc259bfc", "https://www.indeed.com/viewjob?jk=36c03b96cc259bfc")</f>
        <v/>
      </c>
      <c r="F18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9" t="inlineStr">
        <is>
          <t>New York, NY, US</t>
        </is>
      </c>
      <c r="H189" s="3" t="n">
        <v>45930</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in-eed73b8933704b2d</t>
        </is>
      </c>
      <c r="B190" t="inlineStr">
        <is>
          <t>Applied Scientist II, Prime Video - Personalization and Discovery Science, Personalization and Discovery Science</t>
        </is>
      </c>
      <c r="C190" t="inlineStr">
        <is>
          <t>Amazon.com</t>
        </is>
      </c>
      <c r="D190" t="inlineStr">
        <is>
          <t>indeed</t>
        </is>
      </c>
      <c r="E190">
        <f>HYPERLINK("https://www.indeed.com/viewjob?jk=eed73b8933704b2d", "https://www.indeed.com/viewjob?jk=eed73b8933704b2d")</f>
        <v/>
      </c>
      <c r="F19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0" t="inlineStr">
        <is>
          <t>Sunnyvale, CA, US</t>
        </is>
      </c>
      <c r="H190" s="3" t="n">
        <v>45930</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in-2f5fc89c4dbbb756</t>
        </is>
      </c>
      <c r="B191" t="inlineStr">
        <is>
          <t>Applied Scientist, Workplace Health &amp; Safety</t>
        </is>
      </c>
      <c r="C191" t="inlineStr">
        <is>
          <t>Amazon.com</t>
        </is>
      </c>
      <c r="D191" t="inlineStr">
        <is>
          <t>indeed</t>
        </is>
      </c>
      <c r="E191">
        <f>HYPERLINK("https://www.indeed.com/viewjob?jk=2f5fc89c4dbbb756", "https://www.indeed.com/viewjob?jk=2f5fc89c4dbbb756")</f>
        <v/>
      </c>
      <c r="F191">
        <f>HYPERLINK("https://www.amazon.jobs/jobs/3144886/applied-scientist-workplace-health--safety-?cmpid=DA_INAD200785B", "https://www.amazon.jobs/jobs/3144886/applied-scientist-workplace-health--safety-?cmpid=DA_INAD200785B")</f>
        <v/>
      </c>
      <c r="G191" t="inlineStr">
        <is>
          <t>Nashville, TN, US</t>
        </is>
      </c>
      <c r="H191" s="3" t="n">
        <v>45917</v>
      </c>
      <c r="I19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in-6593aae1540d8da6</t>
        </is>
      </c>
      <c r="B192" t="inlineStr">
        <is>
          <t>Applied Scientist, Workplace Health &amp; Safety</t>
        </is>
      </c>
      <c r="C192" t="inlineStr">
        <is>
          <t>Amazon.com</t>
        </is>
      </c>
      <c r="D192" t="inlineStr">
        <is>
          <t>indeed</t>
        </is>
      </c>
      <c r="E192">
        <f>HYPERLINK("https://www.indeed.com/viewjob?jk=6593aae1540d8da6", "https://www.indeed.com/viewjob?jk=6593aae1540d8da6")</f>
        <v/>
      </c>
      <c r="F192">
        <f>HYPERLINK("https://www.amazon.jobs/jobs/3144886/applied-scientist-workplace-health--safety-?cmpid=DA_INAD200785B", "https://www.amazon.jobs/jobs/3144886/applied-scientist-workplace-health--safety-?cmpid=DA_INAD200785B")</f>
        <v/>
      </c>
      <c r="G192" t="inlineStr">
        <is>
          <t>Bellevue, WA, US</t>
        </is>
      </c>
      <c r="H192" s="3" t="n">
        <v>45917</v>
      </c>
      <c r="I19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in-d2347e255d96a563</t>
        </is>
      </c>
      <c r="B193" t="inlineStr">
        <is>
          <t>Sr. Applied Scientist, Prime Video - Personalization and Discovery Science</t>
        </is>
      </c>
      <c r="C193" t="inlineStr">
        <is>
          <t>Amazon.com</t>
        </is>
      </c>
      <c r="D193" t="inlineStr">
        <is>
          <t>indeed</t>
        </is>
      </c>
      <c r="E193">
        <f>HYPERLINK("https://www.indeed.com/viewjob?jk=d2347e255d96a563", "https://www.indeed.com/viewjob?jk=d2347e255d96a563")</f>
        <v/>
      </c>
      <c r="F193">
        <f>HYPERLINK("https://www.amazon.jobs/jobs/3084479/sr-applied-scientist-prime-video--personalization-and-discovery-science?cmpid=DA_INAD200785B", "https://www.amazon.jobs/jobs/3084479/sr-applied-scientist-prime-video--personalization-and-discovery-science?cmpid=DA_INAD200785B")</f>
        <v/>
      </c>
      <c r="G193" t="inlineStr">
        <is>
          <t>Seattle, WA, US</t>
        </is>
      </c>
      <c r="H193" s="3" t="n">
        <v>45896</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4">
      <c r="A194" t="inlineStr">
        <is>
          <t>in-c252a778e1af71be</t>
        </is>
      </c>
      <c r="B194" t="inlineStr">
        <is>
          <t>Sr. Applied Scientist, Prime Video - Personalization and Discovery Science</t>
        </is>
      </c>
      <c r="C194" t="inlineStr">
        <is>
          <t>Amazon.com</t>
        </is>
      </c>
      <c r="D194" t="inlineStr">
        <is>
          <t>indeed</t>
        </is>
      </c>
      <c r="E194">
        <f>HYPERLINK("https://www.indeed.com/viewjob?jk=c252a778e1af71be", "https://www.indeed.com/viewjob?jk=c252a778e1af71be")</f>
        <v/>
      </c>
      <c r="F194">
        <f>HYPERLINK("https://www.amazon.jobs/jobs/3084479/sr-applied-scientist-prime-video--personalization-and-discovery-science?cmpid=DA_INAD200785B", "https://www.amazon.jobs/jobs/3084479/sr-applied-scientist-prime-video--personalization-and-discovery-science?cmpid=DA_INAD200785B")</f>
        <v/>
      </c>
      <c r="G194" t="inlineStr">
        <is>
          <t>New York, NY, US</t>
        </is>
      </c>
      <c r="H194" s="3" t="n">
        <v>45896</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5">
      <c r="A195" t="inlineStr">
        <is>
          <t>in-278e21ad8935ab1c</t>
        </is>
      </c>
      <c r="B195" t="inlineStr">
        <is>
          <t>Applied Scientist II, Prime Video , Personalization and Discovery Science</t>
        </is>
      </c>
      <c r="C195" t="inlineStr">
        <is>
          <t>Amazon.com</t>
        </is>
      </c>
      <c r="D195" t="inlineStr">
        <is>
          <t>indeed</t>
        </is>
      </c>
      <c r="E195">
        <f>HYPERLINK("https://www.indeed.com/viewjob?jk=278e21ad8935ab1c", "https://www.indeed.com/viewjob?jk=278e21ad8935ab1c")</f>
        <v/>
      </c>
      <c r="F195">
        <f>HYPERLINK("https://www.amazon.jobs/jobs/3061303/applied-scientist-ii-prime-video--personalization-and-discovery-science?cmpid=DA_INAD200785B", "https://www.amazon.jobs/jobs/3061303/applied-scientist-ii-prime-video--personalization-and-discovery-science?cmpid=DA_INAD200785B")</f>
        <v/>
      </c>
      <c r="G195" t="inlineStr">
        <is>
          <t>Seattle, WA, US</t>
        </is>
      </c>
      <c r="H195" s="3" t="n">
        <v>45886</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6">
      <c r="A196" t="inlineStr">
        <is>
          <t>in-148b828f5dda0807</t>
        </is>
      </c>
      <c r="B196" t="inlineStr">
        <is>
          <t>Applied Scientist II, Prime Video , Personalization and Discovery Science</t>
        </is>
      </c>
      <c r="C196" t="inlineStr">
        <is>
          <t>Amazon.com</t>
        </is>
      </c>
      <c r="D196" t="inlineStr">
        <is>
          <t>indeed</t>
        </is>
      </c>
      <c r="E196">
        <f>HYPERLINK("https://www.indeed.com/viewjob?jk=148b828f5dda0807", "https://www.indeed.com/viewjob?jk=148b828f5dda0807")</f>
        <v/>
      </c>
      <c r="F196">
        <f>HYPERLINK("https://www.amazon.jobs/jobs/3061303/applied-scientist-ii-prime-video--personalization-and-discovery-science?cmpid=DA_INAD200785B", "https://www.amazon.jobs/jobs/3061303/applied-scientist-ii-prime-video--personalization-and-discovery-science?cmpid=DA_INAD200785B")</f>
        <v/>
      </c>
      <c r="G196" t="inlineStr">
        <is>
          <t>Sunnyvale, CA, US</t>
        </is>
      </c>
      <c r="H196" s="3" t="n">
        <v>45886</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7">
      <c r="A197" t="inlineStr">
        <is>
          <t>in-e86416e40cbe6c4f</t>
        </is>
      </c>
      <c r="B197" t="inlineStr">
        <is>
          <t>Applied Scientist II, Prime Video , Personalization and Discovery Science</t>
        </is>
      </c>
      <c r="C197" t="inlineStr">
        <is>
          <t>Amazon.com</t>
        </is>
      </c>
      <c r="D197" t="inlineStr">
        <is>
          <t>indeed</t>
        </is>
      </c>
      <c r="E197">
        <f>HYPERLINK("https://www.indeed.com/viewjob?jk=e86416e40cbe6c4f", "https://www.indeed.com/viewjob?jk=e86416e40cbe6c4f")</f>
        <v/>
      </c>
      <c r="F197">
        <f>HYPERLINK("https://www.amazon.jobs/jobs/3061303/applied-scientist-ii-prime-video--personalization-and-discovery-science?cmpid=DA_INAD200785B", "https://www.amazon.jobs/jobs/3061303/applied-scientist-ii-prime-video--personalization-and-discovery-science?cmpid=DA_INAD200785B")</f>
        <v/>
      </c>
      <c r="G197" t="inlineStr">
        <is>
          <t>New York, NY, US</t>
        </is>
      </c>
      <c r="H197" s="3" t="n">
        <v>45886</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8">
      <c r="A198" t="inlineStr">
        <is>
          <t>in-85666df0eeb97e7a</t>
        </is>
      </c>
      <c r="B198" t="inlineStr">
        <is>
          <t>Applied Scientist II, Prime Video - Personalization and Discovery Science</t>
        </is>
      </c>
      <c r="C198" t="inlineStr">
        <is>
          <t>Amazon.com</t>
        </is>
      </c>
      <c r="D198" t="inlineStr">
        <is>
          <t>indeed</t>
        </is>
      </c>
      <c r="E198">
        <f>HYPERLINK("https://www.indeed.com/viewjob?jk=85666df0eeb97e7a", "https://www.indeed.com/viewjob?jk=85666df0eeb97e7a")</f>
        <v/>
      </c>
      <c r="F198">
        <f>HYPERLINK("https://www.amazon.jobs/jobs/3059253/applied-scientist-ii-prime-video--personalization-and-discovery-science?cmpid=DA_INAD200785B", "https://www.amazon.jobs/jobs/3059253/applied-scientist-ii-prime-video--personalization-and-discovery-science?cmpid=DA_INAD200785B")</f>
        <v/>
      </c>
      <c r="G198" t="inlineStr">
        <is>
          <t>New York, NY, US</t>
        </is>
      </c>
      <c r="H198" s="3" t="n">
        <v>45881</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in-14c40773bf3cbcf4</t>
        </is>
      </c>
      <c r="B199" t="inlineStr">
        <is>
          <t>Sr. Applied Scientist, Prime Video - Personalization and Discovery Science</t>
        </is>
      </c>
      <c r="C199" t="inlineStr">
        <is>
          <t>Amazon.com</t>
        </is>
      </c>
      <c r="D199" t="inlineStr">
        <is>
          <t>indeed</t>
        </is>
      </c>
      <c r="E199">
        <f>HYPERLINK("https://www.indeed.com/viewjob?jk=14c40773bf3cbcf4", "https://www.indeed.com/viewjob?jk=14c40773bf3cbcf4")</f>
        <v/>
      </c>
      <c r="F199">
        <f>HYPERLINK("https://www.amazon.jobs/jobs/3059256/sr-applied-scientist-prime-video--personalization-and-discovery-science?cmpid=DA_INAD200785B", "https://www.amazon.jobs/jobs/3059256/sr-applied-scientist-prime-video--personalization-and-discovery-science?cmpid=DA_INAD200785B")</f>
        <v/>
      </c>
      <c r="G199" t="inlineStr">
        <is>
          <t>Seattle, WA, US</t>
        </is>
      </c>
      <c r="H199" s="3" t="n">
        <v>45881</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in-203c7b03be9cc1ce</t>
        </is>
      </c>
      <c r="B200" t="inlineStr">
        <is>
          <t>Sr. Applied Scientist, Prime Video - Personalization and Discovery Science</t>
        </is>
      </c>
      <c r="C200" t="inlineStr">
        <is>
          <t>Amazon.com</t>
        </is>
      </c>
      <c r="D200" t="inlineStr">
        <is>
          <t>indeed</t>
        </is>
      </c>
      <c r="E200">
        <f>HYPERLINK("https://www.indeed.com/viewjob?jk=203c7b03be9cc1ce", "https://www.indeed.com/viewjob?jk=203c7b03be9cc1ce")</f>
        <v/>
      </c>
      <c r="F200">
        <f>HYPERLINK("https://www.amazon.jobs/jobs/3059256/sr-applied-scientist-prime-video--personalization-and-discovery-science?cmpid=DA_INAD200785B", "https://www.amazon.jobs/jobs/3059256/sr-applied-scientist-prime-video--personalization-and-discovery-science?cmpid=DA_INAD200785B")</f>
        <v/>
      </c>
      <c r="G200" t="inlineStr">
        <is>
          <t>Sunnyvale, CA, US</t>
        </is>
      </c>
      <c r="H200" s="3" t="n">
        <v>45881</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in-a2b49922214ab0c4</t>
        </is>
      </c>
      <c r="B201" t="inlineStr">
        <is>
          <t>Applied Scientist II, Prime Video - Personalization and Discovery Science</t>
        </is>
      </c>
      <c r="C201" t="inlineStr">
        <is>
          <t>Amazon.com</t>
        </is>
      </c>
      <c r="D201" t="inlineStr">
        <is>
          <t>indeed</t>
        </is>
      </c>
      <c r="E201">
        <f>HYPERLINK("https://www.indeed.com/viewjob?jk=a2b49922214ab0c4", "https://www.indeed.com/viewjob?jk=a2b49922214ab0c4")</f>
        <v/>
      </c>
      <c r="F201">
        <f>HYPERLINK("https://www.amazon.jobs/jobs/3059253/applied-scientist-ii-prime-video--personalization-and-discovery-science?cmpid=DA_INAD200785B", "https://www.amazon.jobs/jobs/3059253/applied-scientist-ii-prime-video--personalization-and-discovery-science?cmpid=DA_INAD200785B")</f>
        <v/>
      </c>
      <c r="G201" t="inlineStr">
        <is>
          <t>Sunnyvale, CA, US</t>
        </is>
      </c>
      <c r="H201" s="3" t="n">
        <v>45881</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in-d736e4f7f41d55bf</t>
        </is>
      </c>
      <c r="B202" t="inlineStr">
        <is>
          <t>Sr. Applied Scientist, Prime Video - Personalization and Discovery Science</t>
        </is>
      </c>
      <c r="C202" t="inlineStr">
        <is>
          <t>Amazon.com</t>
        </is>
      </c>
      <c r="D202" t="inlineStr">
        <is>
          <t>indeed</t>
        </is>
      </c>
      <c r="E202">
        <f>HYPERLINK("https://www.indeed.com/viewjob?jk=d736e4f7f41d55bf", "https://www.indeed.com/viewjob?jk=d736e4f7f41d55bf")</f>
        <v/>
      </c>
      <c r="F202">
        <f>HYPERLINK("https://www.amazon.jobs/jobs/3059256/sr-applied-scientist-prime-video--personalization-and-discovery-science?cmpid=DA_INAD200785B", "https://www.amazon.jobs/jobs/3059256/sr-applied-scientist-prime-video--personalization-and-discovery-science?cmpid=DA_INAD200785B")</f>
        <v/>
      </c>
      <c r="G202" t="inlineStr">
        <is>
          <t>New York, NY, US</t>
        </is>
      </c>
      <c r="H202" s="3" t="n">
        <v>45881</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in-11651d7e68d8cb05</t>
        </is>
      </c>
      <c r="B203" t="inlineStr">
        <is>
          <t>Applied Scientist II, Prime Video - Personalization and Discovery Science</t>
        </is>
      </c>
      <c r="C203" t="inlineStr">
        <is>
          <t>Amazon.com</t>
        </is>
      </c>
      <c r="D203" t="inlineStr">
        <is>
          <t>indeed</t>
        </is>
      </c>
      <c r="E203">
        <f>HYPERLINK("https://www.indeed.com/viewjob?jk=11651d7e68d8cb05", "https://www.indeed.com/viewjob?jk=11651d7e68d8cb05")</f>
        <v/>
      </c>
      <c r="F203">
        <f>HYPERLINK("https://www.amazon.jobs/jobs/3059253/applied-scientist-ii-prime-video--personalization-and-discovery-science?cmpid=DA_INAD200785B", "https://www.amazon.jobs/jobs/3059253/applied-scientist-ii-prime-video--personalization-and-discovery-science?cmpid=DA_INAD200785B")</f>
        <v/>
      </c>
      <c r="G203" t="inlineStr">
        <is>
          <t>Seattle, WA, US</t>
        </is>
      </c>
      <c r="H203" s="3" t="n">
        <v>45881</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in-4c7e9461f26f279b</t>
        </is>
      </c>
      <c r="B204" t="inlineStr">
        <is>
          <t>Applied Scientist III, StoreGen</t>
        </is>
      </c>
      <c r="C204" t="inlineStr">
        <is>
          <t>Amazon.com</t>
        </is>
      </c>
      <c r="D204" t="inlineStr">
        <is>
          <t>indeed</t>
        </is>
      </c>
      <c r="E204">
        <f>HYPERLINK("https://www.indeed.com/viewjob?jk=4c7e9461f26f279b", "https://www.indeed.com/viewjob?jk=4c7e9461f26f279b")</f>
        <v/>
      </c>
      <c r="F204">
        <f>HYPERLINK("https://www.amazon.jobs/jobs/3065534/applied-scientist-iii-storegen?cmpid=DA_INAD200785B", "https://www.amazon.jobs/jobs/3065534/applied-scientist-iii-storegen?cmpid=DA_INAD200785B")</f>
        <v/>
      </c>
      <c r="G204" t="inlineStr">
        <is>
          <t>Sunnyvale, CA, US</t>
        </is>
      </c>
      <c r="H204" s="3" t="n">
        <v>45868</v>
      </c>
      <c r="I20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in-c0d607bc9add1de7</t>
        </is>
      </c>
      <c r="B205" t="inlineStr">
        <is>
          <t>Applied Scientist III, StoreGen</t>
        </is>
      </c>
      <c r="C205" t="inlineStr">
        <is>
          <t>Amazon.com</t>
        </is>
      </c>
      <c r="D205" t="inlineStr">
        <is>
          <t>indeed</t>
        </is>
      </c>
      <c r="E205">
        <f>HYPERLINK("https://www.indeed.com/viewjob?jk=c0d607bc9add1de7", "https://www.indeed.com/viewjob?jk=c0d607bc9add1de7")</f>
        <v/>
      </c>
      <c r="F205">
        <f>HYPERLINK("https://www.amazon.jobs/jobs/3065534/applied-scientist-iii-storegen?cmpid=DA_INAD200785B", "https://www.amazon.jobs/jobs/3065534/applied-scientist-iii-storegen?cmpid=DA_INAD200785B")</f>
        <v/>
      </c>
      <c r="G205" t="inlineStr">
        <is>
          <t>Seattle, WA, US</t>
        </is>
      </c>
      <c r="H205" s="3" t="n">
        <v>45868</v>
      </c>
      <c r="I20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in-3686a9b4bee705b2</t>
        </is>
      </c>
      <c r="B206" t="inlineStr">
        <is>
          <t>Sr. Applied Scientist, Amazon Advertising</t>
        </is>
      </c>
      <c r="C206" t="inlineStr">
        <is>
          <t>Amazon.com</t>
        </is>
      </c>
      <c r="D206" t="inlineStr">
        <is>
          <t>indeed</t>
        </is>
      </c>
      <c r="E206">
        <f>HYPERLINK("https://www.indeed.com/viewjob?jk=3686a9b4bee705b2", "https://www.indeed.com/viewjob?jk=3686a9b4bee705b2")</f>
        <v/>
      </c>
      <c r="F206">
        <f>HYPERLINK("https://www.amazon.jobs/jobs/3035686/sr-applied-scientist-amazon-advertising?cmpid=DA_INAD200785B", "https://www.amazon.jobs/jobs/3035686/sr-applied-scientist-amazon-advertising?cmpid=DA_INAD200785B")</f>
        <v/>
      </c>
      <c r="G206" t="inlineStr">
        <is>
          <t>West Hollywood, CA, US</t>
        </is>
      </c>
      <c r="H206" s="3" t="n">
        <v>45851</v>
      </c>
      <c r="I2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in-4aaa758e51a728f4</t>
        </is>
      </c>
      <c r="B207" t="inlineStr">
        <is>
          <t>Sr. Applied Scientist, Amazon Advertising</t>
        </is>
      </c>
      <c r="C207" t="inlineStr">
        <is>
          <t>Amazon.com</t>
        </is>
      </c>
      <c r="D207" t="inlineStr">
        <is>
          <t>indeed</t>
        </is>
      </c>
      <c r="E207">
        <f>HYPERLINK("https://www.indeed.com/viewjob?jk=4aaa758e51a728f4", "https://www.indeed.com/viewjob?jk=4aaa758e51a728f4")</f>
        <v/>
      </c>
      <c r="F207">
        <f>HYPERLINK("https://www.amazon.jobs/jobs/3035686/sr-applied-scientist-amazon-advertising?cmpid=DA_INAD200785B", "https://www.amazon.jobs/jobs/3035686/sr-applied-scientist-amazon-advertising?cmpid=DA_INAD200785B")</f>
        <v/>
      </c>
      <c r="G207" t="inlineStr">
        <is>
          <t>Arlington, VA, US</t>
        </is>
      </c>
      <c r="H207" s="3" t="n">
        <v>45851</v>
      </c>
      <c r="I2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in-bae5f26053bde77e</t>
        </is>
      </c>
      <c r="B208" t="inlineStr">
        <is>
          <t>Sr. Applied Scientist, Amazon Advertising</t>
        </is>
      </c>
      <c r="C208" t="inlineStr">
        <is>
          <t>Amazon.com</t>
        </is>
      </c>
      <c r="D208" t="inlineStr">
        <is>
          <t>indeed</t>
        </is>
      </c>
      <c r="E208">
        <f>HYPERLINK("https://www.indeed.com/viewjob?jk=bae5f26053bde77e", "https://www.indeed.com/viewjob?jk=bae5f26053bde77e")</f>
        <v/>
      </c>
      <c r="F208">
        <f>HYPERLINK("https://www.amazon.jobs/jobs/3035686/sr-applied-scientist-amazon-advertising?cmpid=DA_INAD200785B", "https://www.amazon.jobs/jobs/3035686/sr-applied-scientist-amazon-advertising?cmpid=DA_INAD200785B")</f>
        <v/>
      </c>
      <c r="G208" t="inlineStr">
        <is>
          <t>Los Angeles, CA, US</t>
        </is>
      </c>
      <c r="H208" s="3" t="n">
        <v>45851</v>
      </c>
      <c r="I2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in-b4f3e18d3e3d56db</t>
        </is>
      </c>
      <c r="B209" t="inlineStr">
        <is>
          <t>Sr. Applied Scientist, Amazon Advertising</t>
        </is>
      </c>
      <c r="C209" t="inlineStr">
        <is>
          <t>Amazon.com</t>
        </is>
      </c>
      <c r="D209" t="inlineStr">
        <is>
          <t>indeed</t>
        </is>
      </c>
      <c r="E209">
        <f>HYPERLINK("https://www.indeed.com/viewjob?jk=b4f3e18d3e3d56db", "https://www.indeed.com/viewjob?jk=b4f3e18d3e3d56db")</f>
        <v/>
      </c>
      <c r="F209">
        <f>HYPERLINK("https://www.amazon.jobs/jobs/3035686/sr-applied-scientist-amazon-advertising?cmpid=DA_INAD200785B", "https://www.amazon.jobs/jobs/3035686/sr-applied-scientist-amazon-advertising?cmpid=DA_INAD200785B")</f>
        <v/>
      </c>
      <c r="G209" t="inlineStr">
        <is>
          <t>Seattle, WA, US</t>
        </is>
      </c>
      <c r="H209" s="3" t="n">
        <v>45851</v>
      </c>
      <c r="I2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in-9bfa91c90aa28659</t>
        </is>
      </c>
      <c r="B210" t="inlineStr">
        <is>
          <t>Sr. Applied Scientist, Amazon Advertising</t>
        </is>
      </c>
      <c r="C210" t="inlineStr">
        <is>
          <t>Amazon.com</t>
        </is>
      </c>
      <c r="D210" t="inlineStr">
        <is>
          <t>indeed</t>
        </is>
      </c>
      <c r="E210">
        <f>HYPERLINK("https://www.indeed.com/viewjob?jk=9bfa91c90aa28659", "https://www.indeed.com/viewjob?jk=9bfa91c90aa28659")</f>
        <v/>
      </c>
      <c r="F210">
        <f>HYPERLINK("https://www.amazon.jobs/jobs/3035686/sr-applied-scientist-amazon-advertising?cmpid=DA_INAD200785B", "https://www.amazon.jobs/jobs/3035686/sr-applied-scientist-amazon-advertising?cmpid=DA_INAD200785B")</f>
        <v/>
      </c>
      <c r="G210" t="inlineStr">
        <is>
          <t>New York, NY, US</t>
        </is>
      </c>
      <c r="H210" s="3" t="n">
        <v>45851</v>
      </c>
      <c r="I2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in-5bc1880e015a2afa</t>
        </is>
      </c>
      <c r="B211" t="inlineStr">
        <is>
          <t>Sr. Applied Scientist, Amazon Advertising</t>
        </is>
      </c>
      <c r="C211" t="inlineStr">
        <is>
          <t>Amazon.com</t>
        </is>
      </c>
      <c r="D211" t="inlineStr">
        <is>
          <t>indeed</t>
        </is>
      </c>
      <c r="E211">
        <f>HYPERLINK("https://www.indeed.com/viewjob?jk=5bc1880e015a2afa", "https://www.indeed.com/viewjob?jk=5bc1880e015a2afa")</f>
        <v/>
      </c>
      <c r="F211">
        <f>HYPERLINK("https://www.amazon.jobs/jobs/3035686/sr-applied-scientist-amazon-advertising?cmpid=DA_INAD200785B", "https://www.amazon.jobs/jobs/3035686/sr-applied-scientist-amazon-advertising?cmpid=DA_INAD200785B")</f>
        <v/>
      </c>
      <c r="G211" t="inlineStr">
        <is>
          <t>Simi Valley, CA, US</t>
        </is>
      </c>
      <c r="H211" s="3" t="n">
        <v>45851</v>
      </c>
      <c r="I2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in-b6dc8f787273476f</t>
        </is>
      </c>
      <c r="B212" t="inlineStr">
        <is>
          <t>Sr. Applied Scientist, Amazon Advertising</t>
        </is>
      </c>
      <c r="C212" t="inlineStr">
        <is>
          <t>Amazon.com</t>
        </is>
      </c>
      <c r="D212" t="inlineStr">
        <is>
          <t>indeed</t>
        </is>
      </c>
      <c r="E212">
        <f>HYPERLINK("https://www.indeed.com/viewjob?jk=b6dc8f787273476f", "https://www.indeed.com/viewjob?jk=b6dc8f787273476f")</f>
        <v/>
      </c>
      <c r="F212">
        <f>HYPERLINK("https://www.amazon.jobs/jobs/3035686/sr-applied-scientist-amazon-advertising?cmpid=DA_INAD200785B", "https://www.amazon.jobs/jobs/3035686/sr-applied-scientist-amazon-advertising?cmpid=DA_INAD200785B")</f>
        <v/>
      </c>
      <c r="G212" t="inlineStr">
        <is>
          <t>Austin, TX, US</t>
        </is>
      </c>
      <c r="H212" s="3" t="n">
        <v>45851</v>
      </c>
      <c r="I2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in-33490fa247ee5274</t>
        </is>
      </c>
      <c r="B213" t="inlineStr">
        <is>
          <t>Sr. Applied Scientist, Amazon Advertising</t>
        </is>
      </c>
      <c r="C213" t="inlineStr">
        <is>
          <t>Amazon.com</t>
        </is>
      </c>
      <c r="D213" t="inlineStr">
        <is>
          <t>indeed</t>
        </is>
      </c>
      <c r="E213">
        <f>HYPERLINK("https://www.indeed.com/viewjob?jk=33490fa247ee5274", "https://www.indeed.com/viewjob?jk=33490fa247ee5274")</f>
        <v/>
      </c>
      <c r="F213">
        <f>HYPERLINK("https://www.amazon.jobs/jobs/3035686/sr-applied-scientist-amazon-advertising?cmpid=DA_INAD200785B", "https://www.amazon.jobs/jobs/3035686/sr-applied-scientist-amazon-advertising?cmpid=DA_INAD200785B")</f>
        <v/>
      </c>
      <c r="G213" t="inlineStr">
        <is>
          <t>Palo Alto, CA, US</t>
        </is>
      </c>
      <c r="H213" s="3" t="n">
        <v>45851</v>
      </c>
      <c r="I2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in-3bf4f5101f867158</t>
        </is>
      </c>
      <c r="B214" t="inlineStr">
        <is>
          <t>Sr. Applied Scientist, Sales AI</t>
        </is>
      </c>
      <c r="C214" t="inlineStr">
        <is>
          <t>Amazon.com</t>
        </is>
      </c>
      <c r="D214" t="inlineStr">
        <is>
          <t>indeed</t>
        </is>
      </c>
      <c r="E214">
        <f>HYPERLINK("https://www.indeed.com/viewjob?jk=3bf4f5101f867158", "https://www.indeed.com/viewjob?jk=3bf4f5101f867158")</f>
        <v/>
      </c>
      <c r="F214">
        <f>HYPERLINK("https://www.amazon.jobs/jobs/3020528/sr-applied-scientist-sales-ai?cmpid=DA_INAD200785B", "https://www.amazon.jobs/jobs/3020528/sr-applied-scientist-sales-ai?cmpid=DA_INAD200785B")</f>
        <v/>
      </c>
      <c r="G214" t="inlineStr">
        <is>
          <t>New York, NY, US</t>
        </is>
      </c>
      <c r="H214" s="3" t="n">
        <v>45830</v>
      </c>
      <c r="I21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in-beb7c107da95641f</t>
        </is>
      </c>
      <c r="B215" t="inlineStr">
        <is>
          <t>Sr. Applied Scientist, Sales AI</t>
        </is>
      </c>
      <c r="C215" t="inlineStr">
        <is>
          <t>Amazon.com</t>
        </is>
      </c>
      <c r="D215" t="inlineStr">
        <is>
          <t>indeed</t>
        </is>
      </c>
      <c r="E215">
        <f>HYPERLINK("https://www.indeed.com/viewjob?jk=beb7c107da95641f", "https://www.indeed.com/viewjob?jk=beb7c107da95641f")</f>
        <v/>
      </c>
      <c r="F215">
        <f>HYPERLINK("https://www.amazon.jobs/jobs/3020528/sr-applied-scientist-sales-ai?cmpid=DA_INAD200785B", "https://www.amazon.jobs/jobs/3020528/sr-applied-scientist-sales-ai?cmpid=DA_INAD200785B")</f>
        <v/>
      </c>
      <c r="G215" t="inlineStr">
        <is>
          <t>Sunnyvale, CA, US</t>
        </is>
      </c>
      <c r="H215" s="3" t="n">
        <v>45830</v>
      </c>
      <c r="I21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in-8a8c22b51442aa43</t>
        </is>
      </c>
      <c r="B216" t="inlineStr">
        <is>
          <t>Sr. Applied Scientist, Sales AI</t>
        </is>
      </c>
      <c r="C216" t="inlineStr">
        <is>
          <t>Amazon.com</t>
        </is>
      </c>
      <c r="D216" t="inlineStr">
        <is>
          <t>indeed</t>
        </is>
      </c>
      <c r="E216">
        <f>HYPERLINK("https://www.indeed.com/viewjob?jk=8a8c22b51442aa43", "https://www.indeed.com/viewjob?jk=8a8c22b51442aa43")</f>
        <v/>
      </c>
      <c r="F216">
        <f>HYPERLINK("https://www.amazon.jobs/jobs/3020528/sr-applied-scientist-sales-ai?cmpid=DA_INAD200785B", "https://www.amazon.jobs/jobs/3020528/sr-applied-scientist-sales-ai?cmpid=DA_INAD200785B")</f>
        <v/>
      </c>
      <c r="G216" t="inlineStr">
        <is>
          <t>Seattle, WA, US</t>
        </is>
      </c>
      <c r="H216" s="3" t="n">
        <v>45830</v>
      </c>
      <c r="I2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in-2efd6c0b9f3cbcc0</t>
        </is>
      </c>
      <c r="B217" t="inlineStr">
        <is>
          <t>Senior Applied Scientist, Delivery Foundation Model</t>
        </is>
      </c>
      <c r="C217" t="inlineStr">
        <is>
          <t>Amazon.com</t>
        </is>
      </c>
      <c r="D217" t="inlineStr">
        <is>
          <t>indeed</t>
        </is>
      </c>
      <c r="E217">
        <f>HYPERLINK("https://www.indeed.com/viewjob?jk=2efd6c0b9f3cbcc0", "https://www.indeed.com/viewjob?jk=2efd6c0b9f3cbcc0")</f>
        <v/>
      </c>
      <c r="F217">
        <f>HYPERLINK("https://www.amazon.jobs/jobs/2998435/senior-applied-scientist-delivery-foundation-model-?cmpid=DA_INAD200785B", "https://www.amazon.jobs/jobs/2998435/senior-applied-scientist-delivery-foundation-model-?cmpid=DA_INAD200785B")</f>
        <v/>
      </c>
      <c r="G217" t="inlineStr">
        <is>
          <t>New York, NY, US</t>
        </is>
      </c>
      <c r="H217" s="3" t="n">
        <v>45806</v>
      </c>
      <c r="I2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in-123fcd71a733cbd9</t>
        </is>
      </c>
      <c r="B218" t="inlineStr">
        <is>
          <t>Senior Applied Scientist, Delivery Foundation Model</t>
        </is>
      </c>
      <c r="C218" t="inlineStr">
        <is>
          <t>Amazon.com</t>
        </is>
      </c>
      <c r="D218" t="inlineStr">
        <is>
          <t>indeed</t>
        </is>
      </c>
      <c r="E218">
        <f>HYPERLINK("https://www.indeed.com/viewjob?jk=123fcd71a733cbd9", "https://www.indeed.com/viewjob?jk=123fcd71a733cbd9")</f>
        <v/>
      </c>
      <c r="F218">
        <f>HYPERLINK("https://www.amazon.jobs/jobs/2998435/senior-applied-scientist-delivery-foundation-model-?cmpid=DA_INAD200785B", "https://www.amazon.jobs/jobs/2998435/senior-applied-scientist-delivery-foundation-model-?cmpid=DA_INAD200785B")</f>
        <v/>
      </c>
      <c r="G218" t="inlineStr">
        <is>
          <t>Santa Clara, CA, US</t>
        </is>
      </c>
      <c r="H218" s="3" t="n">
        <v>45806</v>
      </c>
      <c r="I2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in-4b707a6f960d8121</t>
        </is>
      </c>
      <c r="B219" t="inlineStr">
        <is>
          <t>Senior Applied Scientist, Delivery Foundation Model</t>
        </is>
      </c>
      <c r="C219" t="inlineStr">
        <is>
          <t>Amazon.com</t>
        </is>
      </c>
      <c r="D219" t="inlineStr">
        <is>
          <t>indeed</t>
        </is>
      </c>
      <c r="E219">
        <f>HYPERLINK("https://www.indeed.com/viewjob?jk=4b707a6f960d8121", "https://www.indeed.com/viewjob?jk=4b707a6f960d8121")</f>
        <v/>
      </c>
      <c r="F219">
        <f>HYPERLINK("https://www.amazon.jobs/jobs/2998435/senior-applied-scientist-delivery-foundation-model-?cmpid=DA_INAD200785B", "https://www.amazon.jobs/jobs/2998435/senior-applied-scientist-delivery-foundation-model-?cmpid=DA_INAD200785B")</f>
        <v/>
      </c>
      <c r="G219" t="inlineStr">
        <is>
          <t>Bellevue, WA, US</t>
        </is>
      </c>
      <c r="H219" s="3" t="n">
        <v>45806</v>
      </c>
      <c r="I2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in-dd3250a8b9b396f8</t>
        </is>
      </c>
      <c r="B220" t="inlineStr">
        <is>
          <t>Principal Applied Scientist, FAR (Frontier AI &amp; Robotics)</t>
        </is>
      </c>
      <c r="C220" t="inlineStr">
        <is>
          <t>Amazon.com</t>
        </is>
      </c>
      <c r="D220" t="inlineStr">
        <is>
          <t>indeed</t>
        </is>
      </c>
      <c r="E220">
        <f>HYPERLINK("https://www.indeed.com/viewjob?jk=dd3250a8b9b396f8", "https://www.indeed.com/viewjob?jk=dd3250a8b9b396f8")</f>
        <v/>
      </c>
      <c r="F220">
        <f>HYPERLINK("https://www.amazon.jobs/jobs/2938625/principal-applied-scientist-far-frontier-ai--robotics?cmpid=DA_INAD200785B", "https://www.amazon.jobs/jobs/2938625/principal-applied-scientist-far-frontier-ai--robotics?cmpid=DA_INAD200785B")</f>
        <v/>
      </c>
      <c r="G220" t="inlineStr">
        <is>
          <t>San Francisco, CA, US</t>
        </is>
      </c>
      <c r="H220" s="3" t="n">
        <v>45740</v>
      </c>
      <c r="I22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in-cb71096affdbc812</t>
        </is>
      </c>
      <c r="B221" t="inlineStr">
        <is>
          <t>Principal Applied Scientist, FAR (Frontier AI &amp; Robotics)</t>
        </is>
      </c>
      <c r="C221" t="inlineStr">
        <is>
          <t>Amazon.com</t>
        </is>
      </c>
      <c r="D221" t="inlineStr">
        <is>
          <t>indeed</t>
        </is>
      </c>
      <c r="E221">
        <f>HYPERLINK("https://www.indeed.com/viewjob?jk=cb71096affdbc812", "https://www.indeed.com/viewjob?jk=cb71096affdbc812")</f>
        <v/>
      </c>
      <c r="F221">
        <f>HYPERLINK("https://www.amazon.jobs/jobs/2938625/principal-applied-scientist-far-frontier-ai--robotics?cmpid=DA_INAD200785B", "https://www.amazon.jobs/jobs/2938625/principal-applied-scientist-far-frontier-ai--robotics?cmpid=DA_INAD200785B")</f>
        <v/>
      </c>
      <c r="G221" t="inlineStr">
        <is>
          <t>Seattle, WA, US</t>
        </is>
      </c>
      <c r="H221" s="3" t="n">
        <v>45740</v>
      </c>
      <c r="I22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in-6283b274a94eaf1a</t>
        </is>
      </c>
      <c r="B222" t="inlineStr">
        <is>
          <t>Sr AI Engineer (Generative AI &amp; AWS Bedrock)</t>
        </is>
      </c>
      <c r="C222" t="inlineStr"/>
      <c r="D222" t="inlineStr">
        <is>
          <t>indeed</t>
        </is>
      </c>
      <c r="E222">
        <f>HYPERLINK("https://www.indeed.com/viewjob?jk=6283b274a94eaf1a", "https://www.indeed.com/viewjob?jk=6283b274a94eaf1a")</f>
        <v/>
      </c>
      <c r="F222">
        <f>HYPERLINK("http://www.indeed.com/job/sr-ai-engineer-generative-ai-aws-bedrock-6283b274a94eaf1a", "http://www.indeed.com/job/sr-ai-engineer-generative-ai-aws-bedrock-6283b274a94eaf1a")</f>
        <v/>
      </c>
      <c r="G222" t="inlineStr">
        <is>
          <t>Naperville, IL, US</t>
        </is>
      </c>
      <c r="H222" s="3" t="n">
        <v>46064</v>
      </c>
      <c r="I222" t="inlineStr">
        <is>
          <t>We want someone who **implemented a multimodal RAG system** (at least worked with one type of RAG ). A real hands\-on engineer. Also, should be able **to code in python**. We are also evaluating in terms of clarity in thought process.
\*Good to have exposure on AWS and Azure but AWS at minimum.\*
**\*Must\-Have Qualifications (All Required)\***
* Strong Python engineering background with production experience in cloud\-native services.
* Extensive hands\-on experience with A**WS services: Amazon Bedrock (FMs \+ embeddings)** and **Bedrock Guardrails, AWS Lambda, CloudWatch, DynamoDB** (schema and access patterns), **S3** (bucket architecture, automation, event\-driven ingestion), **Amazon Kendra** (enterprise search / hybrid retrieval patterns), **AWS Agent Core / Bedrock Agents** (agent orchestration and tool use)
* Proven expertise in:
* **LLMs** (prompting patterns, context management, hallucination mitigation)
* **RAG** (chunking, metadata, hybrid retrieval, reranking, citations)
* **Data engineering on AWS** (pipelines, quality checks, lineage, versioning)
* **Database schema awareness and designing** data access patterns for scalable retrieval
Production delivery skills: CI/CD and IaC **(Terraform/CloudFormation/CDK)**
* **API Gateway, Step Functions, EventBridge, SQS/SNS**
* **OpenSearch / vector database patterns** (as applicable)
* **IAM least privilege, KMS, Secrets Manager/SSM, CloudTrail**
* **Reliability patterns (rate limiting, caching, retries, circuit breakers, DR awareness)**
* AI certification required **(AWS ML SClientialty or equivalent recognized AI/ML certification) and strong depth across AWS services.**
Pay: $75\.00 \- $80\.00 per hour
Work Location: In person</t>
        </is>
      </c>
    </row>
    <row r="223">
      <c r="A223" t="inlineStr">
        <is>
          <t>in-a02d101d54ab7871</t>
        </is>
      </c>
      <c r="B223" t="inlineStr">
        <is>
          <t>Applied AI Engineer</t>
        </is>
      </c>
      <c r="C223" t="inlineStr">
        <is>
          <t>SOCOTEC Group</t>
        </is>
      </c>
      <c r="D223" t="inlineStr">
        <is>
          <t>indeed</t>
        </is>
      </c>
      <c r="E223">
        <f>HYPERLINK("https://www.indeed.com/viewjob?jk=a02d101d54ab7871", "https://www.indeed.com/viewjob?jk=a02d101d54ab7871")</f>
        <v/>
      </c>
      <c r="F223">
        <f>HYPERLINK("https://jobs.smartrecruiters.com/Socotec/744000108803440-applied-ai-engineer", "https://jobs.smartrecruiters.com/Socotec/744000108803440-applied-ai-engineer")</f>
        <v/>
      </c>
      <c r="G223" t="inlineStr">
        <is>
          <t>Boston, MA, US</t>
        </is>
      </c>
      <c r="H223" s="3" t="n">
        <v>46064</v>
      </c>
      <c r="I223"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224">
      <c r="A224" t="inlineStr">
        <is>
          <t>in-2786577deff55a9b</t>
        </is>
      </c>
      <c r="B224" t="inlineStr">
        <is>
          <t>Applied AI Engineer</t>
        </is>
      </c>
      <c r="C224" t="inlineStr">
        <is>
          <t>SOCOTEC Group</t>
        </is>
      </c>
      <c r="D224" t="inlineStr">
        <is>
          <t>indeed</t>
        </is>
      </c>
      <c r="E224">
        <f>HYPERLINK("https://www.indeed.com/viewjob?jk=2786577deff55a9b", "https://www.indeed.com/viewjob?jk=2786577deff55a9b")</f>
        <v/>
      </c>
      <c r="F224">
        <f>HYPERLINK("https://jobs.smartrecruiters.com/Socotec/744000108801765-applied-ai-engineer", "https://jobs.smartrecruiters.com/Socotec/744000108801765-applied-ai-engineer")</f>
        <v/>
      </c>
      <c r="G224" t="inlineStr">
        <is>
          <t>New York, NY, US</t>
        </is>
      </c>
      <c r="H224" s="3" t="n">
        <v>46064</v>
      </c>
      <c r="I224"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225">
      <c r="A225" t="inlineStr">
        <is>
          <t>in-386f68d09bb59f01</t>
        </is>
      </c>
      <c r="B225" t="inlineStr">
        <is>
          <t>Principal Machine Learning Engineer</t>
        </is>
      </c>
      <c r="C225" t="inlineStr">
        <is>
          <t>DAT Solutions</t>
        </is>
      </c>
      <c r="D225" t="inlineStr">
        <is>
          <t>indeed</t>
        </is>
      </c>
      <c r="E225">
        <f>HYPERLINK("https://www.indeed.com/viewjob?jk=386f68d09bb59f01", "https://www.indeed.com/viewjob?jk=386f68d09bb59f01")</f>
        <v/>
      </c>
      <c r="F225">
        <f>HYPERLINK("https://grnh.se/d2ukfldd4us", "https://grnh.se/d2ukfldd4us")</f>
        <v/>
      </c>
      <c r="G225" t="inlineStr">
        <is>
          <t>Seattle, WA, US</t>
        </is>
      </c>
      <c r="H225" s="3" t="n">
        <v>46063</v>
      </c>
      <c r="I225"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03/31/2026
**The Opportunity**
-------------------
DAT's Convoy Platform Science team is seeking a **Principal ML Platform Engineer** to scale and evolve Convoy's most critical Data and ML Platform capabilities. As the platform enters a new phase of growth, we must dramatically increase our ability to experiment, learn, and adapt in real time across our marketplace, fraud detection, and pricing systems. This role is both deeply hands\-on and highly architectural, responsible for building the foundational infrastructure that enables our ML and AI systems to move faster, learn faster, and operate safely at scale.
You will lead the development of the core capabilities that let us:
* **Deliver lower\-latency data to models**, unlocking online learning, adaptive policies, and improved real\-time decision\-making for Convoy's auction mechanism, fraud detection apparatus, and carrier engagement campaigns.
* **Evolve our ML platform to support generative AI**, including orchestration, retrieval, standardized service patterns, and scalable model serving needed for foundational model applications in document digitization and voice\-based features.
* **Experiment faster and safer**, through robust causal inference tooling, richer randomized experimentation, and reliable evaluation infrastructure to help us learn more about the unique spatio\-temporal dynamics of a Trucking marketplace.
You will define and implement durable service architectures, build the real\-time systems that power ML in production, and partner closely with scientists to accelerate iteration and innovation. This is a pivotal moment in the integration of Convoy's technology into the broader DAT ecosystem, and your work will form the backbone of the next generation of ML and AI capabilities across the freight network.
**You are someone who will**
----------------------------
As a Principal ML Platform Engineer, you will set technical direction, mentor other engineers and scientists, and deliver solutions whose impact scales across teams and the broader Convoy Platform, not just within individual projects. Your work will influence three major areas:
#### **Experimentation, Evaluation \&amp; Adaptive Learning Infrastructure**
Drive the evolution of Convoy's experimentation and model\-evaluation foundations. Enable rigorous causal measurement, reliable online experimentation, scalable model iteration, and adaptive learning systems that continuously improve marketplace and policy decisions.
* **Evolve Convoy's experimentation stack (TestDrive):** Add richer randomized experiments, causal inference tooling, exposure/assignment logging, and metric pipelines; evaluate third\-party solutions where beneficial.
* **Enable adaptive learning approaches** (RL, contextual bandits, online learning) for dynamic marketplace and policy decisions (e.g., inferring the best timing, cohort, or communication channel to maximize carrier engagement).
* **Harden our evaluation infrastructure**, including offline/online pipelines, drift detection mechanisms, and structured feedback loops that ensure reliable model behavior over time.
* **Implement orchestration layers** that combine inference, retrieval, business logic, guardrails, and human\-in\-loop flows into reliable, auditable multi\-step AI agents.
#### **Feature Stores and Streaming Infrastructure**
Iterate on and expand Convoy Platform's low\-latency Feature Store and real\-time streaming platform (on RisingWave) to deliver signals such as app analytics, carrier behavior, and digital fingerprints to support marketplace optimization, fraud detection, and other decision systems.
* **Ensure unified online/offline semantics** to improve online decision\-making, support real\-time optimization, and enable future reinforcement\-learning and online\-learning workflows.
* **Build high\-throughput streaming pipelines** for carrier engagement, risk indicators, and fraud signals that power sub\-minute marketplace and policy decisions.
* **Develop platform\-level trucking knowledge systems**, including RAG indexes, domain adapters, structured benchmarks, and retrieval strategies that ground AI systems in operational realities.
#### **End\-to\-End Data \&amp; ML Platform \+ Core DevOps/MLOps Foundations**
This role entails end\-to\-end ownership and evolution of Convoy's Data and ML Platform, spanning data capture, transmission, structuring, storage, and consumption by ML models and analytics. You will architect and lead initiatives that reduce latency, increase reliability, and improve developer efficiency, directly enabling our builders to perform complex analysis and ship high\-quality ML products.
* **Design and scale the platform ecosystem**, leveraging Kafka, Snowflake, Kubernetes, and modern data formats (Avro, JSON, Iceberg), and use Python/Go to build the "connective tissue" that ensures platform reliability and scale.
* **Build low\-latency, production\-grade Python services** and contribute to TypeScript/Node where needed (e.g., emitting high\-quality data signals, wiring model calls into product flows, enabling experimentation and feature\-flag pathways).
* **Partner with scientists** to define durable service patterns (API design, serving workflows, monitoring) and uplift the platform that enables fast, safe iteration on ML\-backed services.
* **Mature platform infrastructure**, including Terraform/IaC, CI/CD, observability, logging/tracing, incident readiness, and cost/performance optimization.
* **Improve SQL/dbt workflows and batch/streaming pipelines** to increase reliability, correctness, and scalability.
* **Extend model\-serving infrastructure** to support more advanced ML workloads (managed inference self\-hosted GPU), with standardized versioning, canary/A/B rollouts, and granular monitoring.
**The Skills and Experience You'll Bring**
------------------------------------------
* **8–12\+ years of experience** in ML engineering, data infrastructure, platform engineering, or closely related production engineering roles.
* **Deep hands\-on experience with real\-time ML platforms**, including feature stores, stream processing, low\-latency data services, and online inference systems.
* **Strong proficiency in Python**, with the ability to work across non\-Python stacks including TypeScript/Node, gRPC services, and Kubernetes\-based microservice ecosystems.
* **Expertise in modern data and ML infrastructure**, including Kafka, Kubernetes, Postgres\-like OLTP systems, cloud platforms, and production observability tooling.
* **Experience building and operating robust data and ML pipelines** (both batch and streaming), ideally in high\-scale environments such as marketplaces, fraud detection systems, pricing, personalization, or real\-time decision platforms.
* **Strong DevOps and MLOps fundamentals**, including CI/CD, containerization, infrastructure\-as\-code (Terraform/Helm), automated monitoring, and cloud cost and performance optimization.
* **Collaborative platform mindset**, with a track record of partnering with scientists and product engineers to co\-design durable service patterns for model serving, deployment, monitoring, and API design, enabling fast and safe iteration on ML\-backed systems.
* **Ability to operate at Principal scope**, setting technical direction, identifying and retiring platform risk, mentoring engineers, and delivering solutions whose impact scales across teams and the broader organization.
**We'd be extra excited if**
----------------------------
* You have experience building ML systems in **two\-sided marketplaces, financial markets, or other economically complex environments**, with intuition for incentives, pricing, and market dynamics.
* You have **deep experience with data reliability and correctness at scale**, including schema evolution, data quality enforcement, backfills, late data handling, and incident response for production data systems.
* You have **applied advanced ML techniques** such as reinforcement learning, bandits, or optimization to unlock real\-world business impact, ideally within freight, logistics, or transportation technology.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*For Washington\-based candidates, in compliance with the Washington State Pay Transparency Law, the salary range for this role is $245,000 \- $320,000 \+ target bonus \+ benefits.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\#LI\-RF1
\#LI\-hybrid</t>
        </is>
      </c>
    </row>
    <row r="226">
      <c r="A226" t="inlineStr">
        <is>
          <t>in-9bda21843ac60bf7</t>
        </is>
      </c>
      <c r="B226" t="inlineStr">
        <is>
          <t>Senior AI/ML Engineer (SWE-3)</t>
        </is>
      </c>
      <c r="C226" t="inlineStr">
        <is>
          <t>Leidos</t>
        </is>
      </c>
      <c r="D226" t="inlineStr">
        <is>
          <t>indeed</t>
        </is>
      </c>
      <c r="E226">
        <f>HYPERLINK("https://www.indeed.com/viewjob?jk=9bda21843ac60bf7", "https://www.indeed.com/viewjob?jk=9bda21843ac60bf7")</f>
        <v/>
      </c>
      <c r="F226">
        <f>HYPERLINK("https://careers.leidos.com/jobs/17333448-senior-ai-slash-ml-engineer-swe-3?tm_job=R-00175796&amp;tm_event=view&amp;tm_company=2502", "https://careers.leidos.com/jobs/17333448-senior-ai-slash-ml-engineer-swe-3?tm_job=R-00175796&amp;tm_event=view&amp;tm_company=2502")</f>
        <v/>
      </c>
      <c r="G226" t="inlineStr">
        <is>
          <t>Fort Meade, MD, US</t>
        </is>
      </c>
      <c r="H226" s="3" t="n">
        <v>46063</v>
      </c>
      <c r="I226" t="inlineStr">
        <is>
          <t>**Description**
**Leidos** has a new and exciting opportunity for a **Senior AI/ML Engineer** in our **National Security Sector's (NSS) Cyber \&amp; Analytics Business Area (CABA)**. Our talented team is at the forefront in Security Engineering, Computer Network Operations (CNO), Mission Software, Analytical Methods and Modeling, Signals Intelligence (SIGINT), and Cryptographic Key Management. At **Leidos**, we offer **competitive benefits**,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Seeking a motivated AI/ML prototype engineer to support the exciting Corporate Discovery Services mission. Developers will work closely with mission stakeholders to capture requirements and create innovative prototypes and deploy solutions to evaluate and tune machine learning models’ ability to integrate, reference, make inferences and consolidate data into a holistic view.
**Job Responsibilities/Qualifications:**
* **Mission Focus**: Collaborate closely with customers to enable acceleration to evaluate and tune machine learning models’ ability to integrate, reference, make inferences and consolidate data into a holistic view.
* **Technical Proficiency**: Creatively write and evolve prototype techniques leveraging diverse architecture and methods. Provide database administration, dataflow engineering, data wrangling, and model development.
* **Qualifications**: Bachelor’s degree in computer science or related technical field plus a minimum of eight (8\) plus years of relevant experience or equivalent. Proficiency with, but not limited to, Python (i.e. SciKit\-learn, TensorFlow, PyTorch), R, GIT and experience with Jupyter Notebooks. Ability to provide database administration for relational databases and TensorFlow.
* **Security Clearance Requirement**: Candidates must possess an active TS/SCI with Polygraph to be considered for this role.
* **Desirable Skills**: Proficiency in augmenting, providing context, and/or fine\-tuning large language models for generative tasks using approaches such as but not limited to, retrieval augmented generation (RAG) and model context protocol (MCP).
**At Leidos, the opportunities are boundless. We challenge our staff with interesting assignments that allow them to thrive professionally and personally. For us, helping you grow your career is good business. We look forward to learning more about you – apply today!**
**Careers.leidos.com**
**conmd**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11,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27">
      <c r="A227" t="inlineStr">
        <is>
          <t>in-51366939a010b0e5</t>
        </is>
      </c>
      <c r="B227" t="inlineStr">
        <is>
          <t>Principal AI Engineer ($211,200 - $263,800)</t>
        </is>
      </c>
      <c r="C227" t="inlineStr">
        <is>
          <t>The Irvine Company</t>
        </is>
      </c>
      <c r="D227" t="inlineStr">
        <is>
          <t>indeed</t>
        </is>
      </c>
      <c r="E227">
        <f>HYPERLINK("https://www.indeed.com/viewjob?jk=51366939a010b0e5", "https://www.indeed.com/viewjob?jk=51366939a010b0e5")</f>
        <v/>
      </c>
      <c r="F227">
        <f>HYPERLINK("https://careers.irvinecompany.com/job/Irvine-Principal-AI-Engineer-%28%24211%2C200-%24263%2C800%29-CA-92617/1363975700/?feedId=187000&amp;utm_source=Indeed&amp;utm_campaign=Irvine_Indeed", "https://careers.irvinecompany.com/job/Irvine-Principal-AI-Engineer-%28%24211%2C200-%24263%2C800%29-CA-92617/1363975700/?feedId=187000&amp;utm_source=Indeed&amp;utm_campaign=Irvine_Indeed")</f>
        <v/>
      </c>
      <c r="G227" t="inlineStr">
        <is>
          <t>Irvine, CA, US</t>
        </is>
      </c>
      <c r="H227" s="3" t="n">
        <v>46063</v>
      </c>
      <c r="I227" t="inlineStr">
        <is>
          <t>**Position Summary:**
---------------------
Lead the design and implementation of advanced AI solutions, primarily utilizing LLMs for natural\-language interaction with enterprise data. This Principal Engineer role involves designing and building production AI applications (including conversational agents and RAG systems) to turn business questions into actionable insights. Expertise in modern LLM framework, embeddings, chunkings, and enterprise integration patterns is required to deliver intelligent, scalable solutions. This client\-facing position necessitates communicating complex AI system behaviors to both technical and business leadership.
**Key Responsibilities:**
-------------------------
* Lead the end\-to\-end development of advanced AI solutions, including agentic systems, RAG pipelines, and multi\-agent workflows
* Design and implement embedding and chunking strategies essential for effective Retrieval\-Augmented Generation (RAG) across enterprise data
* Create integrations to connect AI agents with enterprise data systems, APIs, and services
* Develop robust, production\-grade asynchronous Python applications with proper error handling and session management
* Implement vector database and graph database solutions for semantic search and knowledge representation
* Establish agentic architecture, including data flows, interfaces, and mechanisms across all enterprise systems
* Deploy and manage AI agents on cloud platforms using CI/CD pipelines, infrastructure as code, and managed AI services
* Implement monitoring, logging, and observability for agent interactions to guarantee system reliability and support debugging
* Develop context engineering strategies that assemble dynamic context for consistent and accurate Large Language Model (LLM) behavior
* Engage with clients to translate business requirements into AI solution architectures, and balance feature development with technical debt management
**Additional Skills:**
----------------------
* Experience with AI/ML agent orchestration frameworks such as Google ADK, LangChain, or similar tools
* Experience with multi\-agent architectures and workflow orchestration patterns
* Experience with LLM evaluation methodologies, including metrics design, hallucination detection, and A/B testing for prompt optimization
* Understanding of context engineering principles, including dynamic context assembly, tool result formatting, and conversation state management
* Experience with Snowflake or BigQuery, including query optimization and connection management
* Experience managing data systems, including persistence selection, schema design, and read/write tradeoffs
* Familiarity with MLOps patterns and model deployment pipelines
**Preferred Education:**
------------------------
* Bachelor's degree in Computer Science, Computer Engineering, Software Engineering, Electrical Engineering, or a related computational field
**Preferred Years of Relevant Work Experience:**
------------------------------------------------
* 7 \- 10 years in software development, including experience working in and leading technical teams
**Additional Requirements:**
----------------------------
* 3\+ years of hands\-on experience with LLMs, AI agents, or applied AI systems
* Expertise in Python development, async programming patterns, and modern web frameworks
* Proven experience developing RAG applications, including embedding strategies, chunking approaches, and retrieval optimization
* Hands\-on experience with vector databases and graph databases for semantic search and knowledge representation
* Experience with multiple LLM providers (Gemini, Claude, LLaMA) and understanding of cost vs. capability tradeoffs
* Experience with enterprise application integration, including defining integration architecture, data flows, and interface design
* Strong understanding of SOA, microservices, or similar architectural patterns
* Experience with CI/CD pipelines and infrastructure as code for deploying AI applications
* Demonstrated ability to communicate with client leadership and translate business requirements into technical solutions
* Experience with fine\-tuning or adapting foundation models for domain\-specific applications
* Experience balancing feature development with technical debt management to deliver business value while maintaining quality
**Compensation:**
Base Pay Range: $211,200\.00 \- $263,800\.00
Actual placement within this range may vary based upon, but not limited to, relevant experience, time in role, base salary of internal peers, prior performance, business sector, and geographic location.
The Company also offers competitive benefits for full time employees including paid time off, matching 401(k), and health benefits.
 **About Us:**  
Irvine Company is a privately held real estate investment company and master\-planner committed to creating and sustaining communities that thrive for generations.  
Irvine Company is respected for its master planning and environmental stewardship of the Irvine Ranch in Orange County, including diversified operations throughout coastal California. Irvine Company brings to life neighborhoods and sustainable communities with a full range of housing, jobs, retail centers, schools, parks and open space.  
We take as much pride in our employee community as we do the communities we create. It’s an environment populated with talented and experienced people, a collaborative spirit and abundant opportunities.  
Apply today to join our employee community, and learn more about Irvine Company, our legacy and our guiding principles.  
Irvine Company is committed to providing equal opportunity in all of our employment practices, including selection, hiring, promotion, transfer, compensation, termination, and training, without regard to race, religion, color, sex, sexual orientation, gender, gender identity, national origin, ancestry, citizenship status, marital status, pregnancy, age, medical condition, genetic information, military and veteran status, disability, or any other basis protected by federal, state, and local law. Reasonable accommodation is available for qualified individuals with disabilities, upon request.
\#LI\-Onsite</t>
        </is>
      </c>
    </row>
    <row r="228">
      <c r="A228" t="inlineStr">
        <is>
          <t>in-ace9553b28a1ba50</t>
        </is>
      </c>
      <c r="B228" t="inlineStr">
        <is>
          <t>Machine Learning Engineer</t>
        </is>
      </c>
      <c r="C228" t="inlineStr">
        <is>
          <t>The DarkStar Group</t>
        </is>
      </c>
      <c r="D228" t="inlineStr">
        <is>
          <t>indeed</t>
        </is>
      </c>
      <c r="E228">
        <f>HYPERLINK("https://www.indeed.com/viewjob?jk=ace9553b28a1ba50", "https://www.indeed.com/viewjob?jk=ace9553b28a1ba50")</f>
        <v/>
      </c>
      <c r="F228">
        <f>HYPERLINK("https://www.grvty.com/careers/listings/machine-learning-engineer-pabpga5h", "https://www.grvty.com/careers/listings/machine-learning-engineer-pabpga5h")</f>
        <v/>
      </c>
      <c r="G228" t="inlineStr">
        <is>
          <t>McLean, VA, US</t>
        </is>
      </c>
      <c r="H228" s="3" t="n">
        <v>46063</v>
      </c>
      <c r="I228" t="inlineStr">
        <is>
          <t>**What Impact You’ll Have**
This position supports a proposal effort, with funding anticipated in the near term.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 GRVTY is seeking a Machine Learning Engineer with a TS/SCI \+ Poly clearance (applicable to this customer) to join one of our top projects in McLean, VA.
* The Contractor shall expand the Sponsor’s Artificial Intelligence and Machine Learning (AI/ML) architecture and develop an analytics user interface (UI).
* The Contractor shall bridge research output to operational teams by packing models as reliable service.
* The Contractor shall create operator\-focused dashboards.
* The Contractor shall deliver a stable, low\-cost productions platform that enables rapid, tailored outreach.
* The Contractor shall provide weekly highlights summarizing work progress as required by the Sponsor.
* The Contractor shall provide briefings, to include presentation slides and user guide documentation, as required by the Sponsor
**What You Must Have**
* Active TS/SCI with Polygraph Clearance
* Demonstrated experience in cloud compute environments.
* Demonstrated experience in containerization concepts.
* Demonstrated experience in Machine Learning Operations (MLOps).
* Demonstrated expertise in software engineering, cloud architecture and UI design.
* Demonstrated experience supporting big data environments.
* Demonstrated ability to effectively communicate (verbal and written) with technical and non\-technical personnel as well as all levels of management and staff.
**What Would Be Nice to Have**
* Demonstrated experience with proficiency in Python and SQL
* Demonstrated experience with Docker
* Demonstrated experience with Flask, Gradio, or Streamlit</t>
        </is>
      </c>
    </row>
    <row r="229">
      <c r="A229" t="inlineStr">
        <is>
          <t>in-4b4f56bf6c0a3895</t>
        </is>
      </c>
      <c r="B229" t="inlineStr">
        <is>
          <t>Senior Machine Learning Engineer</t>
        </is>
      </c>
      <c r="C229" t="inlineStr">
        <is>
          <t>General Motors (GM)</t>
        </is>
      </c>
      <c r="D229" t="inlineStr">
        <is>
          <t>indeed</t>
        </is>
      </c>
      <c r="E229">
        <f>HYPERLINK("https://www.indeed.com/viewjob?jk=4b4f56bf6c0a3895", "https://www.indeed.com/viewjob?jk=4b4f56bf6c0a3895")</f>
        <v/>
      </c>
      <c r="F229">
        <f>HYPERLINK("https://generalmotors.wd5.myworkdayjobs.com/en-US/Careers_GM/job/Sunnyvale-California-United-States-of-America/Senior-Machine-Learning-Engineer_JR-202524522", "https://generalmotors.wd5.myworkdayjobs.com/en-US/Careers_GM/job/Sunnyvale-California-United-States-of-America/Senior-Machine-Learning-Engineer_JR-202524522")</f>
        <v/>
      </c>
      <c r="G229" t="inlineStr">
        <is>
          <t>Sunnyvale, CA, US</t>
        </is>
      </c>
      <c r="H229" s="3" t="n">
        <v>46063</v>
      </c>
      <c r="I229" t="inlineStr">
        <is>
          <t>**Job Description**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Senior ML Engineer, you will collaborate closely with machine learning engineers, research scientists, and other partners to develop state\-of\-the\-art AI solutions that enable the future of intelligent driving technologies across General Motors vehicles.
**What You'll Do:**
* Design and development of scalable, reliable, high\-performance ML framework to support model training at scale.
* Model training performance analysis and optimization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degree or higher in Computer Science or equivalent major OR equivalent relevant experience
* 3\+ years professional software engineering experience
* 2\+ years specialized experience in AI/ML infrastructure, e.g., enabling distributed training for scaling large ML models
* Strong programming skills in Python, with proficiency in frameworks such as,PyTorch (preferred),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5\+ years of professional software engineering experience.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 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**Relocation:** This job may be eligible for relocation benefits.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**Remote:** This role is based remotely but if you live within a 50\-mile radius of \[Mountain View, Sunnyvale, Detroit, Warren, Milford], you are expected to report to that location three times a week, at minimum (up to HM's discretion).
\&amp;\#xa;\&amp;\#xa;\&amp;\#xa;\&amp;\#xa;This role is based remotely, but if the selected candidate lives within a specific mile radius of a GM hub, they will be expected to report to the location three times a week {or other frequency dictated by your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30">
      <c r="A230" t="inlineStr">
        <is>
          <t>in-7f75dbf9ecfa7791</t>
        </is>
      </c>
      <c r="B230" t="inlineStr">
        <is>
          <t>Audio Machine Learning Engineer Co-op</t>
        </is>
      </c>
      <c r="C230" t="inlineStr">
        <is>
          <t>Bose</t>
        </is>
      </c>
      <c r="D230" t="inlineStr">
        <is>
          <t>indeed</t>
        </is>
      </c>
      <c r="E230">
        <f>HYPERLINK("https://www.indeed.com/viewjob?jk=7f75dbf9ecfa7791", "https://www.indeed.com/viewjob?jk=7f75dbf9ecfa7791")</f>
        <v/>
      </c>
      <c r="F230">
        <f>HYPERLINK("https://boseallaboutme.wd503.myworkdayjobs.com/en-US/Bose_Careers/job/US-MA---Framingham/Audio-Machine-Learning-Engineer-Co-op_R28719", "https://boseallaboutme.wd503.myworkdayjobs.com/en-US/Bose_Careers/job/US-MA---Framingham/Audio-Machine-Learning-Engineer-Co-op_R28719")</f>
        <v/>
      </c>
      <c r="G230" t="inlineStr">
        <is>
          <t>Framingham, MA, US</t>
        </is>
      </c>
      <c r="H230" s="3" t="n">
        <v>46063</v>
      </c>
      <c r="I230"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**THE ROLE**
At Bose, we use machine learning across a diverse set of problems ranging from speech enhancement (e.g., Bose PinPoint) to audio perception. As an ML Engineer Co\-op at Bose, you will help build our next generation of wearable and speaker products empowered by deep learning.  
**Responsibilities**
* Build desktop and embedded software prototypes to demonstrate new ML\-powered audio features on our wearables
* Design, train, and evaluate deep learning algorithms with a focus on low\-latency, on\-device audio tasks
* Research, implement, and benchmark state\-of\-the\-art approaches in audio ML, speech enhancement, keyword spotting, and audio signal processing
* Collaborate across hardware, firmware, and UX teams to define requirements and inform product roadmaps
Minimum Qualifications
* Currently pursuing a M.S. or Ph.D. in Computer Science, Electrical Engineering, Machine Learning, or a related field
* 3\+ years of Python and C/C\+\+ experience
* Strong experience implementing deep neural networks with PyTorch, TensorFlow, or similar frameworks
* Proven cross\-group and cross\-culture collaboration skills
Creative problem\-solver with demonstrated ability to work independently  
* 
Preferred Qualifications
* Prior internship or work experience as a Software/ML engineer
* Publication record in ML or audio signal processing venues
* Solid background in digital signal processing and embedded systems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$40\.00\-$51\.25 per hour.The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231">
      <c r="A231" t="inlineStr">
        <is>
          <t>in-31db9f0d9cea1515</t>
        </is>
      </c>
      <c r="B231" t="inlineStr">
        <is>
          <t>Senior Machine Learning Engineer, Perception, Data &amp; Systems</t>
        </is>
      </c>
      <c r="C231" t="inlineStr">
        <is>
          <t>Waymo</t>
        </is>
      </c>
      <c r="D231" t="inlineStr">
        <is>
          <t>indeed</t>
        </is>
      </c>
      <c r="E231">
        <f>HYPERLINK("https://www.indeed.com/viewjob?jk=31db9f0d9cea1515", "https://www.indeed.com/viewjob?jk=31db9f0d9cea1515")</f>
        <v/>
      </c>
      <c r="F231">
        <f>HYPERLINK("https://careers.withwaymo.com/jobs/senior-machine-learning-engineer-perception-data-systems-mountain-view-california-united-states", "https://careers.withwaymo.com/jobs/senior-machine-learning-engineer-perception-data-systems-mountain-view-california-united-states")</f>
        <v/>
      </c>
      <c r="G231" t="inlineStr">
        <is>
          <t>Mountain View, CA, US</t>
        </is>
      </c>
      <c r="H231" s="3" t="n">
        <v>46063</v>
      </c>
      <c r="I231" t="inlineStr">
        <is>
          <t>MOUNTAIN VIEW, CALIFORNIA, UNITED STATES
FULL\-TIME
SOFTWARE ENGINEERING
4575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6\+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32">
      <c r="A232" t="inlineStr">
        <is>
          <t>in-c8a7ab945c979c09</t>
        </is>
      </c>
      <c r="B232" t="inlineStr">
        <is>
          <t>AI Engineer- Video Analytics</t>
        </is>
      </c>
      <c r="C232" t="inlineStr">
        <is>
          <t>Velocitor Solutions</t>
        </is>
      </c>
      <c r="D232" t="inlineStr">
        <is>
          <t>indeed</t>
        </is>
      </c>
      <c r="E232">
        <f>HYPERLINK("https://www.indeed.com/viewjob?jk=c8a7ab945c979c09", "https://www.indeed.com/viewjob?jk=c8a7ab945c979c09")</f>
        <v/>
      </c>
      <c r="F232">
        <f>HYPERLINK("https://www.paycomonline.net/v4/ats/web.php/jobs/ViewJobDetails?job=21511&amp;clientkey=9DC80B065A274C5C8ABA7C54ECA383E2&amp;source=Indeed", "https://www.paycomonline.net/v4/ats/web.php/jobs/ViewJobDetails?job=21511&amp;clientkey=9DC80B065A274C5C8ABA7C54ECA383E2&amp;source=Indeed")</f>
        <v/>
      </c>
      <c r="G232" t="inlineStr">
        <is>
          <t>Charlotte, NC, US</t>
        </is>
      </c>
      <c r="H232" s="3" t="n">
        <v>46063</v>
      </c>
      <c r="I232" t="inlineStr">
        <is>
          <t>**AI Engineer: Video Analytics**
Location: Charlotte, NC  
Employment Type: Full time
The VTrack Vision team builds GPU accelerated video analytics for real time safety monitoring across large fleets and industrial environments. Our system processes high volume video streams, runs YOLO based detection models, performs temporal tracking and smoothing to reduce false positives, and identifies actionable safety violations. Inference results are published to downstream APIs and integrated with Azure Event Hub, Blob Storage, and cloud monitoring systems.
If you enjoy pushing GPU performance limits, crafting resilient ML pipelines, and building real world safety applications that make an impact, you’ll fit right in.
Responsibilities
* Develop and optimize GPU accelerated video inference pipelines, including batching, stride control, and throughput tuning.
* Implement, evaluate, and improve object detection models (YOLO or similar) and build temporal smoothing/tracking logic for safety event detection.
* Optimize model performance using TensorRT, ONNX, CUDA, and GPU profiling tools to maximize throughput and minimize latency/VRAM usage.
* Build and maintain integrations with event\-driven APIs, Azure Event Hub, Blob Storage, and internal services.
* Add robust metrics, logging, telemetry, and fail safe mechanisms for resilient inference jobs.
* Collaborate on dataset curation, labeling, model training, validation, and experiment tracking.
* Support containerized deployments (Docker) and assist with monitoring and scaling production workloads.
Requirements
* 3\+ years of experience shipping computer vision or machine learning systems to production.
* Strong proficiency in Python and experience with OpenCV, PyTorch, async I/O frameworks, and API integrations.
* Hands on experience with YOLO/Ultralytics or similar object detection frameworks.
* Solid understanding of video processing fundamentals: frame sampling, temporal filtering, confidence thresholds, and multi\-camera aggregation.
* Experience optimizing GPU inference performance: batching, stride, TensorRT, CUDA, model quantization, and throughput tuning.
Nice to Have
* Experience with Azure Event Hub, Blob Storage, Application Insights, or similar cloud messaging/storage platforms.
* Familiarity with Docker, cloud deployments, and production monitoring systems.
* Experience in temporal/sequence analysis for event detection.
* Background in video analytics for safety, compliance, or industrial/transportation environments.
Tech Stack
Python, OpenCV, PyTorch, Ultralytics YOLO, ONNX, TensorRT, CUDA, asyncio, aiohttp, gRPC, REST APIs, Azure Event Hub, Azure Blob Storage, Docker, Application Insights (or equivalent telemetry tools).</t>
        </is>
      </c>
    </row>
    <row r="233">
      <c r="A233" t="inlineStr">
        <is>
          <t>in-629b02f150da5427</t>
        </is>
      </c>
      <c r="B233" t="inlineStr">
        <is>
          <t>Machine Learning Engineer, Perception, Data &amp; Systems</t>
        </is>
      </c>
      <c r="C233" t="inlineStr">
        <is>
          <t>Waymo</t>
        </is>
      </c>
      <c r="D233" t="inlineStr">
        <is>
          <t>indeed</t>
        </is>
      </c>
      <c r="E233">
        <f>HYPERLINK("https://www.indeed.com/viewjob?jk=629b02f150da5427", "https://www.indeed.com/viewjob?jk=629b02f150da5427")</f>
        <v/>
      </c>
      <c r="F233">
        <f>HYPERLINK("https://careers.withwaymo.com/jobs/machine-learning-engineer-perception-data-systems-mountain-view-california-united-states", "https://careers.withwaymo.com/jobs/machine-learning-engineer-perception-data-systems-mountain-view-california-united-states")</f>
        <v/>
      </c>
      <c r="G233" t="inlineStr">
        <is>
          <t>Mountain View, CA, US</t>
        </is>
      </c>
      <c r="H233" s="3" t="n">
        <v>46063</v>
      </c>
      <c r="I233" t="inlineStr">
        <is>
          <t>MOUNTAIN VIEW, CALIFORNIA, UNITED STATES
FULL\-TIME
SOFTWARE ENGINEERING
4575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3\+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34">
      <c r="A234" t="inlineStr">
        <is>
          <t>in-8dc23d15e3075239</t>
        </is>
      </c>
      <c r="B234" t="inlineStr">
        <is>
          <t>AI Engineer</t>
        </is>
      </c>
      <c r="C234" t="inlineStr">
        <is>
          <t>UST</t>
        </is>
      </c>
      <c r="D234" t="inlineStr">
        <is>
          <t>indeed</t>
        </is>
      </c>
      <c r="E234">
        <f>HYPERLINK("https://www.indeed.com/viewjob?jk=8dc23d15e3075239", "https://www.indeed.com/viewjob?jk=8dc23d15e3075239")</f>
        <v/>
      </c>
      <c r="F234">
        <f>HYPERLINK("https://usource.ripplehire.com/candidate/?token=xHQWoFn4C242POo7xMpH&amp;source=CAREERSITE#detail/job/52039", "https://usource.ripplehire.com/candidate/?token=xHQWoFn4C242POo7xMpH&amp;source=CAREERSITE#detail/job/52039")</f>
        <v/>
      </c>
      <c r="G234" t="inlineStr">
        <is>
          <t>CA, US</t>
        </is>
      </c>
      <c r="H234" s="3" t="n">
        <v>46063</v>
      </c>
      <c r="I234" t="inlineStr">
        <is>
          <t>1 Opening
California  
### **Role description**
**AI Engineer**
**Associate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currently looking for remote\-based AI Engineers to support our innovative client engagement.
**The opportunity:**
* Provide solution options and recommend the most effective technical approaches.
* Independently handle complex Gen AI use cases end\-to\-end.
* Ensure productivity from Day 1 with minimal ramp\-up.
* Establish and enforce quality gates including code reviews, test cases, and adherence to defined standards/patterns.
* Deliver customer\-facing outputs that are clean, accurate, and error\-free.
* Act as a single\-threaded owner with executive management and the Client team.
* Drive proactive improvements, not just reactive fixes.
* Take full ownership of delivery and business conversations.
* Deliver POCs with measurable value\-adds (e.g., time and cost savings).
* Build reusable accelerators and templates for wider adoption across the client.
* Support the client’s Agentic AI initiatives, helping position UST as a trusted innovation partner.
This position description identifies the responsibilities and tasks typically associated with the performance of the position. Other relevant essential functions may be required.
**What you** **need:**
* Proven expertise in Gen AI, Data Science, and LLM\-based solutions.
* Strong hands\-on background with Microsoft OpenAI (GPT\-5\) or similar large\-scale models.
* Ability to manage both technical delivery and customer\-facing leadership roles.
* Experience setting up technical governance frameworks.
* Track record of delivering POCs to production with quantifiable business impact.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Location:****Remote**
**Compensation Range**: $56,000\-$84,000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\#LI\-VK5
\#LI\-Remote
### **Skills**
ai agent,cloud computing,natural language processing,data preprocessing,ai agent orchestration,python
### **Benefits**
### **Compensation range: $ 56,000\.00 to 84,000\.00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235">
      <c r="A235" t="inlineStr">
        <is>
          <t>in-f5a922271e5a250b</t>
        </is>
      </c>
      <c r="B235" t="inlineStr">
        <is>
          <t>Full Stack Gen AI Engineer</t>
        </is>
      </c>
      <c r="C235" t="inlineStr">
        <is>
          <t>Tiger Analytics</t>
        </is>
      </c>
      <c r="D235" t="inlineStr">
        <is>
          <t>indeed</t>
        </is>
      </c>
      <c r="E235">
        <f>HYPERLINK("https://www.indeed.com/viewjob?jk=f5a922271e5a250b", "https://www.indeed.com/viewjob?jk=f5a922271e5a250b")</f>
        <v/>
      </c>
      <c r="F235">
        <f>HYPERLINK("https://apply.workable.com/j/5594BBA3A2", "https://apply.workable.com/j/5594BBA3A2")</f>
        <v/>
      </c>
      <c r="G235" t="inlineStr">
        <is>
          <t>Dallas, TX, US</t>
        </is>
      </c>
      <c r="H235" s="3" t="n">
        <v>46063</v>
      </c>
      <c r="I235" t="inlineStr">
        <is>
          <t>### **About Tiger Analytics**
Tiger Analytics is a global leader in AI and analytics, helping Fortune 1000 companies solve their toughest challenges. We offer full\-stack AI and analytics services \&amp; solutions to empower businesses to achieve real outcomes and value at scale. We are on a mission to push the boundaries of what AI and analytics can do to help enterprises navigate uncertainty and move forward decisively. Our purpose is to provide certainty to shape a better tomorrow.
Our team of 4000\+ technologists and consultants are based in the US, Canada, the UK, India, Singapore, and Australia, working closely with clients across CPG, Retail, Insurance, BFS, Manufacturing, Life Sciences, and Healthcare. We are a Great Place to Work\-Certified™ company, recognized by analyst firms such as Forrester, Gartner, HFS, Everest, ISG, and others.
### **Job Description**
We are looking for a highly skilled **Full Stack Gen AI Engineer** with **7\+ years of experience** in software engineering, with a heavy focus on Python, AWS infrastructure, and Generative AI. The ideal candidate will be responsible for building high\-performance API services and implementing complex RAG and Agentic AI architectures.
**Key Requirements:**
* **Experience:** Minimum of **7\+ years** of professional experience in software development and AI engineering.
* **API \&amp; Backend:** Expert in building high\-performance API / microservices using Python (FastAPI) deployed on AWS Fargate (ECS) **(Most Critical)**.
* **Generative AI Integration:** Hands\-on experience integrating Generative AI/LLM APIs, AWS Bedrock, and other model providers.
* **Infrastructure \&amp; DevOps:** Experience with DevOps, CI/CD pipelines, and ML pipelines within the AWS ecosystem.
* **Agentic AI:** Exposure to building Gen AI/Agentic AI applications, managing efficiency, latency, and backend infrastructure.
* **Technical Standards:** Strong Python programming skills with a deep understanding of OpenAI API standards, JSON RESTful design, and LLM orchestration.
* **Preferred Skills:** Experience working with Bedrock Agent/Core services is a significant plus.
### **Core Focus Areas \&amp; Expectations**
Candidates will be expected to demonstrate deep technical proficiency in the following areas:
**1\. Retrieval\-Augmented Generation (RAG)**
* Ability to design and implement end\-to\-end RAG pipelines, including retrievers, vector stores (e.g., Pinecone, Weaviate, or pgvector), and generators.
* Expertise in latency optimization and relevance tuning to ensure production\-grade performance.
* Strategic approach to document chunking and embedding, balancing granularity with semantic coherence.
**2\. Agent Development**
* Practical experience developing autonomous or semi\-autonomous agents using frameworks such as LangChain, CrewAI, or Semantic Kernel.
* Ability to manage orchestration, tool integration, and robust error handling for non\-deterministic AI outputs.
* Proficiency in managing memory and context (episodic vs. long\-term) in multi\-turn interactions and external API interfacing.
**3\. Evaluation and Optimization**
* Familiarity with evaluation frameworks (e.g., RAGAS, TruLens) to assess performance, grounding accuracy, and hallucination detection.
* Ability to iterate systems based on performance metrics and continuous improvement practices.
### **Why Join Us?**
This position offers an excellent opportunity for significant career development in a fast\-growing and challenging entrepreneurial environment with a high degree of individual responsibility. Every individual comes with a different set of skills and qualities, so even if you don’t tick all the boxes for the role today, we urge you to apply as there might be a suitable/unique role for you tomorrow.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236">
      <c r="A236" t="inlineStr">
        <is>
          <t>in-7296158300d968c6</t>
        </is>
      </c>
      <c r="B236" t="inlineStr">
        <is>
          <t>Machine Learning Engineer ll</t>
        </is>
      </c>
      <c r="C236" t="inlineStr">
        <is>
          <t>Cohere Health</t>
        </is>
      </c>
      <c r="D236" t="inlineStr">
        <is>
          <t>indeed</t>
        </is>
      </c>
      <c r="E236">
        <f>HYPERLINK("https://www.indeed.com/viewjob?jk=7296158300d968c6", "https://www.indeed.com/viewjob?jk=7296158300d968c6")</f>
        <v/>
      </c>
      <c r="F236">
        <f>HYPERLINK("https://grnh.se/fkg6rryb3us", "https://grnh.se/fkg6rryb3us")</f>
        <v/>
      </c>
      <c r="G236" t="inlineStr">
        <is>
          <t>Remote, US</t>
        </is>
      </c>
      <c r="H236" s="3" t="n">
        <v>46063</v>
      </c>
      <c r="I236" t="inlineStr">
        <is>
          <t>**Opportunity Overview:**
We are looking for a Machine Learning Engineer ll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 Perform in\-depth analysis of healthcare data to independently design, develop, and deliver clinical ML models.
* Build reliable and scalable production machine learning systems
* Work on feature engineering, statistical analysis, developing novel ML techniques, understanding performance, and improving model run time.
* Work cross\-functionally across diverse stakeholders, including product managers, statisticians, clinicians, and clinical analysts.
**What you'll need:**
* You have 2\-4 years full time professional experience in Machine Learning
* You have an MS in computer science, machine learning, computational linguistics, statistics, mathematics or similar field
* You have hands on experience building with modern language models, including context\-engineering LLMs or fine\-tuning SLMs
* You understand scientific best practice in experimental design and can independently perform data collection, measurement, and interpretation of results
* You have experience configuring, training, evaluating, deploying, and maintaining models in a production setting
* Advanced proficiency in Python and familiarity with ML frameworks such as PyTorch.
**Pay \&amp; Perks:**
 Fully remote opportunity with about 5% travel
 Medical, dental, vision, life, disability insurance, and Employee Assistance Program
 401K retirement plan with company match; flexible spending and health savings account
️ Up to 184 hours (23 days) of PTO per year \+ company holidays
 Up to 14 weeks of paid parental leave
 Pet insurance
The salary range for this position is $120,000 \- $140,000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Live Coding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row>
    <row r="237">
      <c r="A237" t="inlineStr">
        <is>
          <t>in-a6b37cb12af8729e</t>
        </is>
      </c>
      <c r="B237" t="inlineStr">
        <is>
          <t>Machine Learning Engineer, Perception, Data &amp; Systems</t>
        </is>
      </c>
      <c r="C237" t="inlineStr">
        <is>
          <t>Waymo</t>
        </is>
      </c>
      <c r="D237" t="inlineStr">
        <is>
          <t>indeed</t>
        </is>
      </c>
      <c r="E237">
        <f>HYPERLINK("https://www.indeed.com/viewjob?jk=a6b37cb12af8729e", "https://www.indeed.com/viewjob?jk=a6b37cb12af8729e")</f>
        <v/>
      </c>
      <c r="F237">
        <f>HYPERLINK("https://careers.withwaymo.com/jobs/machine-learning-engineer-perception-data-systems-mountain-view-california-united-states?source=Indeed", "https://careers.withwaymo.com/jobs/machine-learning-engineer-perception-data-systems-mountain-view-california-united-states?source=Indeed")</f>
        <v/>
      </c>
      <c r="G237" t="inlineStr">
        <is>
          <t>Mountain View, CA, US</t>
        </is>
      </c>
      <c r="H237" s="3" t="n">
        <v>46063</v>
      </c>
      <c r="I23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3\+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38">
      <c r="A238" t="inlineStr">
        <is>
          <t>in-7f6d3b5f2109d78b</t>
        </is>
      </c>
      <c r="B238" t="inlineStr">
        <is>
          <t>Senior Machine Learning Engineer, Perception, Data &amp; Systems</t>
        </is>
      </c>
      <c r="C238" t="inlineStr">
        <is>
          <t>Waymo</t>
        </is>
      </c>
      <c r="D238" t="inlineStr">
        <is>
          <t>indeed</t>
        </is>
      </c>
      <c r="E238">
        <f>HYPERLINK("https://www.indeed.com/viewjob?jk=7f6d3b5f2109d78b", "https://www.indeed.com/viewjob?jk=7f6d3b5f2109d78b")</f>
        <v/>
      </c>
      <c r="F238">
        <f>HYPERLINK("https://careers.withwaymo.com/jobs/senior-machine-learning-engineer-perception-data-systems-mountain-view-california-united-states?source=Indeed", "https://careers.withwaymo.com/jobs/senior-machine-learning-engineer-perception-data-systems-mountain-view-california-united-states?source=Indeed")</f>
        <v/>
      </c>
      <c r="G238" t="inlineStr">
        <is>
          <t>Mountain View, CA, US</t>
        </is>
      </c>
      <c r="H238" s="3" t="n">
        <v>46063</v>
      </c>
      <c r="I23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6\+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39">
      <c r="A239" t="inlineStr">
        <is>
          <t>in-cd5883f004f099f1</t>
        </is>
      </c>
      <c r="B239" t="inlineStr">
        <is>
          <t>AI/ML Engineer</t>
        </is>
      </c>
      <c r="C239" t="inlineStr">
        <is>
          <t>Wipro</t>
        </is>
      </c>
      <c r="D239" t="inlineStr">
        <is>
          <t>indeed</t>
        </is>
      </c>
      <c r="E239">
        <f>HYPERLINK("https://www.indeed.com/viewjob?jk=cd5883f004f099f1", "https://www.indeed.com/viewjob?jk=cd5883f004f099f1")</f>
        <v/>
      </c>
      <c r="F239">
        <f>HYPERLINK("https://careers.wipro.com/job/AIML-Engineer/135790-en_US", "https://careers.wipro.com/job/AIML-Engineer/135790-en_US")</f>
        <v/>
      </c>
      <c r="G239" t="inlineStr">
        <is>
          <t>Charlotte, NC, US</t>
        </is>
      </c>
      <c r="H239" s="3" t="n">
        <v>46063</v>
      </c>
      <c r="I239" t="inlineStr">
        <is>
          <t>Job Description* 
Job Title: AI/ML Engineer
City: Charlotte
State/Province: North Carolina
Posting Start Date: 2/11/26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AI/ML Engineer
Location: Charlotte, NC (Hybrid \- 3 Days onsite/week)  
Job Description:
6\+ years in AI/ML engineering, data science, or advanced analytics.
Hands\-on experience developing AI POCs and prototypes.
Strong knowledge of ML frameworks (TensorFlow, PyTorch, Hugging Face, LangChain, etc.).
Familiarity with generative AI, Agentic AI, NLP, AI/ML frameworks and automation strategies.
Experience with cloud AI services and APIs.
Skills:
Strong AI/ML model development capabilities, Python/SQL skills and rapid prototyping ability.
Ability to move quickly from ideation to functional demonstration.
Strong analytical, problem\-solving, and storytelling skills.
Comfort with ambiguity and iterative experimentation.
Education: Bachelor’s or Master’s in Computer Science, Data Science, Engineering, or related field.  
Mandatory Skills: Machine Learning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240">
      <c r="A240" t="inlineStr">
        <is>
          <t>in-066ae851ec12a3fe</t>
        </is>
      </c>
      <c r="B240" t="inlineStr">
        <is>
          <t>Staff AI/ML Engineer</t>
        </is>
      </c>
      <c r="C240" t="inlineStr">
        <is>
          <t>Crocs</t>
        </is>
      </c>
      <c r="D240" t="inlineStr">
        <is>
          <t>indeed</t>
        </is>
      </c>
      <c r="E240">
        <f>HYPERLINK("https://www.indeed.com/viewjob?jk=066ae851ec12a3fe", "https://www.indeed.com/viewjob?jk=066ae851ec12a3fe")</f>
        <v/>
      </c>
      <c r="F240">
        <f>HYPERLINK("https://careers.crocs.com/job/Broomfield-Staff-AIML-Engineer-CO-80021/1364059700/", "https://careers.crocs.com/job/Broomfield-Staff-AIML-Engineer-CO-80021/1364059700/")</f>
        <v/>
      </c>
      <c r="G240" t="inlineStr">
        <is>
          <t>Broomfield, CO, US</t>
        </is>
      </c>
      <c r="H240" s="3" t="n">
        <v>46063</v>
      </c>
      <c r="I240" t="inlineStr">
        <is>
          <t>**Staff AI/ML Engineer**
========================
Requisition ID: 13026
Job Location(s):
Broomfield, CO, US, 80021
Time in Office: Hybrid
At Crocs, Inc., every career offers a chance to make a real impact. No two journeys look the same. And that's exactly how we like it. Whether you’re welcoming customers into our stores, collaborating with global teams at our headquarters, or keeping operations moving at our distribution centers, your impact is real and valued. At Crocs, Inc. you’re not expected to fit a mold. You’re encouraged to break it and create something better.**Overview**
------------
The **Staff AI/ML Engineer** role at Crocs Inc. is a technical leadership position within the Global Information Technology team. This role is crucial to ensuring the design, rapid prototyping, building and deployment of AI \&amp; ML applications across Crocs Inc. The ideal candidate will have a strong background in building and deploying large scale AI \&amp; ML applications within commercial/enterprise settings. The candidate will also have versatile experience working with classical AI/ML, deep learning frameworks, as well as GenAI (foundation \&amp; domain models). They will focus on critical imperatives driving our business growth. This role is essential in ensuring the successful delivery of high value AI/ML use cases with material business/enterprise impact.
**What You'll Do**
------------------
* Thought Leadership: Operate as a trusted technical expert within Crocs Inc. on AI/ML technology and applications, including AI/ML embedded in SaaS or other 3rd party software.
* Architectural Leadership: Lead the architecture and design of AI/ML applications and AI/ML components integrated into other enterprise applications.
* Application Development: Hands\-on development of rapid prototypes, as well as scaled AI/ML applications, ensuring the technology systems are scalable, reliable and built for growth.
* Collaboration: Work closely with multi\-functional teams including IT and various business teams to identify, refine and prioritize high impact AI/ML use cases across the enterprise.
* Communicate to Multiple Levels: Develop architecture and process diagrams and communicate in ways that can be consumed by different levels of the organization with varying degrees of detail to ensure alignment up and down with the same understanding.
* Documentation: Develop and maintain solution architectural documentation that describes current and future technology state, including data flow diagrams, system architecture diagrams, and technical specifications.
* International Outlook: Design and implement scalable solutions that support both US and international operations. Collaborate with multi\-functional teams to understand and address regional needs and challenges.
* Global Compliance and Standards: Ensure all systems and processes adhere to global industry standards and regulatory requirements, particularly concerning data security and privacy.
* Mentorship: Provide guidance and mentorship to junior team members, including external vendor resources, fostering a culture of continuous learning and improvement.
* Risk Mitigation: Identify and mitigate risks across the end\-to\-end solution where subject matter expertise required
* Relationship Management: Develop strong relationships with regional leaders, external partners, and vendors.
**What You'll Bring to the Table**
----------------------------------
* Bachelor’s or graduate (master’s or PhD) degree in a quantitative discipline (e.g., Computer Science, Engineering, Physics, Operations Research, etc.)
* 7\+ years of experience with a bachelor’s OR 5\+ years of experience with a master’s OR 2\+ years of experience with a PhD. Professional experience in AI or machine learning roles, which may include AI/ML software engineering roles
* Proven experience in designing, implementing and deploying scaled AI/ML enterprise applications, with functional applications in some of the following: AI assistants \&amp; custom GPTs, demand forecasting, supply chain optimization, white space \&amp; assortment optimization, macro\-space optimization, pricing, promotions \&amp; markdown optimization, NLP \&amp; NLU, product recommendation, targeted marketing \&amp; personalization, simulations, labor forecasting \&amp; staffing optimization, routing \&amp; network optimization, intelligent automation \&amp; decisioning, etc.
* Expertise in AI/ML algorithms including deep learning frameworks (TensorFlow, PyTorch, etc.)
* Deep expertise in Python. Additional programming languages (such as Spark, Rust, etc.) a plus
* Strong knowledge of large language models, GenAI, and RAG frameworks
* Familiarity with retail or apparel business is a plus
* Excellent problem\-solving skills with a strategic attitude
* Ability to work in a fast\-paced, dynamic environment with multiple priorities.
* Exposure to AI ethics and compliant use of data
* Effective communication skills to provide complex technical information to both technical and non\-technical personnel
* Ability to partner with suppliers, business customers, and IT staff on multi\-functional projects and service improvements
* Skills and proven ability to analyze complex problems and break them down into logical, actionable parts
* Excellent analytical skills
The Company is an Equal Opportunity Employer committed to a diverse and inclusive work environment. We accept applications on an ongoing basis.
All qualified applicants will receive consideration for employment without regard to race, color, religion, sex, sexual orientation, gender identity, national origin, or disability, or any other classification protected by law.
Title: Staff AI/ML Engineer
Salary or Pay Range: $180,000 \- $190,000
Pay offered will vary based on job\-related factors such as location, experience, training, skills, and abilities.
At Crocs, Inc. we believe in the power of a blend of in\-person and virtual collaboration to drive creativity and strengthen relationships. Your participation in this flexible schedule plays a key role in building a connected and successful team. In\-office requirements vary by our work personas: Resident (5 days), Collaborator (4 days), Connector (2\-3 days), Explorer (fully remote). This role has been aligned to the Collaborator persona.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*The application window is 45 days, but applicants are encouraged to apply as soon as possible after the posting date in order to ensure optimal consideration. The posting will be removed if the job is filled before the application window deadline.*
Job Category: Corporate
**Nearest Major Market:** Denver</t>
        </is>
      </c>
    </row>
    <row r="241">
      <c r="A241" t="inlineStr">
        <is>
          <t>in-a13c343c77f18968</t>
        </is>
      </c>
      <c r="B241" t="inlineStr">
        <is>
          <t>AI Engineer</t>
        </is>
      </c>
      <c r="C241" t="inlineStr">
        <is>
          <t>Nirmata</t>
        </is>
      </c>
      <c r="D241" t="inlineStr">
        <is>
          <t>indeed</t>
        </is>
      </c>
      <c r="E241">
        <f>HYPERLINK("https://www.indeed.com/viewjob?jk=a13c343c77f18968", "https://www.indeed.com/viewjob?jk=a13c343c77f18968")</f>
        <v/>
      </c>
      <c r="F241">
        <f>HYPERLINK("https://job-boards.greenhouse.io/nirmata/jobs/4919011008", "https://job-boards.greenhouse.io/nirmata/jobs/4919011008")</f>
        <v/>
      </c>
      <c r="G241" t="inlineStr">
        <is>
          <t>Santa Clara, CA, US</t>
        </is>
      </c>
      <c r="H241" s="3" t="n">
        <v>46063</v>
      </c>
      <c r="I241" t="inlineStr">
        <is>
          <t>At Nirmata, our mission is to accelerate adoption of cloud native technologies for enterprises. We believe that software can radically transform the world and are building a solution to help enterprises deliver and operate mission critical software at scale. Nirmata is an AI powered Kubernetes governance platform.
**About the Role**
**Are you ready to build the future of AI\-powered policy automation?** Nirmata is looking for a passionate and curious Software Engineer to join our team and help us define the next generation of our cloud solutions. This isn't just another dev role—you'll be working at the intersection of AI, Kubernetes, and cloud security, shaping the core of our platform from the ground up.
As an **AI Agent Engineer**, you won't just be writing code; you'll be experimenting with cutting\-edge AI models, architecting scalable systems, and building the infrastructure that powers intelligent policy management for the world's leading companies. This is your chance to make a massive impact in a fast\-moving, high\-growth startup environment.
This is a remote role for applicants based in the US. Unfortunately we are unable to sponsor work visas for this role at this time.
**Responsibilities:**
* **Design \&amp; Implement:** Contribute directly to the design and implementation of Nirmata’s AI/ML infrastructure.
* **Innovate with AI:** Define the optimal approach for new AI features, including LLMs, RAG, and prompt engineering.
* **Be a Scientist:** Conduct experiments to select the best AI models based on accuracy and cost, because every decision matters.
* **Scale for Tomorrow:** Influence architecture and design decisions to ensure our platform can handle explosive growth.
* **Build the Engine:** Develop and optimize the data path subsystem for policy management and reporting.
**Qualifications:**
* **1\-3 Years of Experience:** You’re an emerging talent with a **Bachelor's, Master's, or PhD in Computer Science** or a related field.
* **A Passion for AI:** You have a strong curiosity and foundational understanding of AI technologies and concepts like LLMs, Agents, and RAG. No professional experience in AI/ML is required; we're looking for potential and passion.
* **Code in Your DNA:** Strong programming fundamentals in at least one of these languages: **Go, Java, or Python**. A desire to learn or expertise in Go is a big plus.
* **Know Your Systems:**
 * Kubernetes expertise and familiarity with distributed system architectures.
* Familiarity with messaging and database concepts and tools like Kafka, MongoDB, or Postgres.
* **Open\-Source Enthusiasm:** Contributions to open\-source projects are a huge plus—show us what you've been building!
Benefits: Comprehensive health coverage including medical, dental, and vision; Equity awards; Flexible time off.
Join Nirmata and be part of a **high\-impact, fast\-paced** team shaping the future of **AI\-powered governance**. If you're driven by **technical challenges** and thrive in a **startup environment**, we look forward to your application
Nirmata does not provide employment sponsorship at this time so candidates must be authorized to work in the United States without sponsorship now and in the future.
ABOUT NIRMATA
Nirmata empowers organizations to innovate rapidly without compromising security or compliance. With Gartner forecasting that 99% of cloud security failures will result from misconfigurations by 2027, Nirmata's policy\-as\-code platform offers a proactive solution. Nirmata's highly customizable policies seamlessly integrate with your cloud\-native environments, ensuring robust governance and security at scale. Trusted by top financial institutions and global enterprises—and with over 3\.2 billion downloads of Kyverno, Nirmata's open source policy engine —Kyverno simplifies compliance, mitigates risk, and accelerates the enterprise journey to secure innovation.
Nirmata’s success is built on the diverse contributions of its employees. We're committed to an inclusive workplace where everyone's perspective is valued, and we do not discriminate based on race, religion, national origin, gender identity or expression, sexual orientation, age, marital, veteran, or disability status. All application information will be kept confidential in accordance with EEO guidelines.
Nirmata uses E\-Verify for US\-based roles, confirming work authorization after a job offer is accepted and the I\-9 is completed. If E\-Verify can't confirm authorization, we'll provide instructions on contacting DHS or SSA before any action is taken. See the Notice of Right to Work for details.
By submitting your application, you acknowledge that Nirmata will process your personal data in accordance with our Privacy Policy.</t>
        </is>
      </c>
    </row>
    <row r="242">
      <c r="A242" t="inlineStr">
        <is>
          <t>in-04ec539a7d641d3d</t>
        </is>
      </c>
      <c r="B242" t="inlineStr">
        <is>
          <t>Ray ML Engineer</t>
        </is>
      </c>
      <c r="C242" t="inlineStr">
        <is>
          <t>Openkyber</t>
        </is>
      </c>
      <c r="D242" t="inlineStr">
        <is>
          <t>indeed</t>
        </is>
      </c>
      <c r="E242">
        <f>HYPERLINK("https://www.indeed.com/viewjob?jk=04ec539a7d641d3d", "https://www.indeed.com/viewjob?jk=04ec539a7d641d3d")</f>
        <v/>
      </c>
      <c r="F242">
        <f>HYPERLINK("https://candidateportalnew.ceipal.com/job-details/82I3LqVe9_MOonugV5bLm8UoaADLATURCG-Oban887Q#.job_boards.Indeed", "https://candidateportalnew.ceipal.com/job-details/82I3LqVe9_MOonugV5bLm8UoaADLATURCG-Oban887Q#.job_boards.Indeed")</f>
        <v/>
      </c>
      <c r="G242" t="inlineStr">
        <is>
          <t>GA, US</t>
        </is>
      </c>
      <c r="H242" s="3" t="n">
        <v>46063</v>
      </c>
      <c r="I242" t="inlineStr">
        <is>
          <t>**For applications and inquiries, contact:** hirings@openkyber.com</t>
        </is>
      </c>
    </row>
    <row r="243">
      <c r="A243" t="inlineStr">
        <is>
          <t>in-f40b7e607401f0b9</t>
        </is>
      </c>
      <c r="B243" t="inlineStr">
        <is>
          <t>Machine Learning Engineer II, Special Projects</t>
        </is>
      </c>
      <c r="C243" t="inlineStr">
        <is>
          <t>Amazon.com</t>
        </is>
      </c>
      <c r="D243" t="inlineStr">
        <is>
          <t>indeed</t>
        </is>
      </c>
      <c r="E243">
        <f>HYPERLINK("https://www.indeed.com/viewjob?jk=f40b7e607401f0b9", "https://www.indeed.com/viewjob?jk=f40b7e607401f0b9")</f>
        <v/>
      </c>
      <c r="F243">
        <f>HYPERLINK("https://www.amazon.jobs/jobs/3178943/machine-learning-engineer-ii-special-projects?cmpid=DA_INAD200785B", "https://www.amazon.jobs/jobs/3178943/machine-learning-engineer-ii-special-projects?cmpid=DA_INAD200785B")</f>
        <v/>
      </c>
      <c r="G243" t="inlineStr">
        <is>
          <t>Seattle, WA, US</t>
        </is>
      </c>
      <c r="H243" s="3" t="n">
        <v>46061</v>
      </c>
      <c r="I243"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Ability to quickly learn state of the art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Experience in distributed model training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row r="244">
      <c r="A244" t="inlineStr">
        <is>
          <t>in-3859bb45eb19dbf7</t>
        </is>
      </c>
      <c r="B244" t="inlineStr">
        <is>
          <t>Data and Machine Learning Engineer - Vision Language Models, Data &amp; Machine Learning (DML)</t>
        </is>
      </c>
      <c r="C244" t="inlineStr">
        <is>
          <t>Amazon Web Services</t>
        </is>
      </c>
      <c r="D244" t="inlineStr">
        <is>
          <t>indeed</t>
        </is>
      </c>
      <c r="E244">
        <f>HYPERLINK("https://www.indeed.com/viewjob?jk=3859bb45eb19dbf7", "https://www.indeed.com/viewjob?jk=3859bb45eb19dbf7")</f>
        <v/>
      </c>
      <c r="F244">
        <f>HYPERLINK("https://www.amazon.jobs/jobs/3173014/data-and-machine-learning-engineer--vision-language-models-data--machine-learning-dml?cmpid=DA_INAD200785B", "https://www.amazon.jobs/jobs/3173014/data-and-machine-learning-engineer--vision-language-models-data--machine-learning-dml?cmpid=DA_INAD200785B")</f>
        <v/>
      </c>
      <c r="G244" t="inlineStr">
        <is>
          <t>Arlington, VA, US</t>
        </is>
      </c>
      <c r="H244" s="3" t="n">
        <v>46051</v>
      </c>
      <c r="I24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5">
      <c r="A245" t="inlineStr">
        <is>
          <t>in-295e05f6ea7245e4</t>
        </is>
      </c>
      <c r="B245" t="inlineStr">
        <is>
          <t>Data and Machine Learning Engineer - Vision Language Models, Data &amp; Machine Learning (DML)</t>
        </is>
      </c>
      <c r="C245" t="inlineStr">
        <is>
          <t>Amazon Web Services</t>
        </is>
      </c>
      <c r="D245" t="inlineStr">
        <is>
          <t>indeed</t>
        </is>
      </c>
      <c r="E245">
        <f>HYPERLINK("https://www.indeed.com/viewjob?jk=295e05f6ea7245e4", "https://www.indeed.com/viewjob?jk=295e05f6ea7245e4")</f>
        <v/>
      </c>
      <c r="F245">
        <f>HYPERLINK("https://www.amazon.jobs/jobs/3173014/data-and-machine-learning-engineer--vision-language-models-data--machine-learning-dml?cmpid=DA_INAD200785B", "https://www.amazon.jobs/jobs/3173014/data-and-machine-learning-engineer--vision-language-models-data--machine-learning-dml?cmpid=DA_INAD200785B")</f>
        <v/>
      </c>
      <c r="G245" t="inlineStr">
        <is>
          <t>Herndon, VA, US</t>
        </is>
      </c>
      <c r="H245" s="3" t="n">
        <v>46051</v>
      </c>
      <c r="I24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6">
      <c r="A246" t="inlineStr">
        <is>
          <t>in-96a5ef319a96b001</t>
        </is>
      </c>
      <c r="B246" t="inlineStr">
        <is>
          <t>Machine Learning Engineer, WWPS ProServe Data and Machine Learning</t>
        </is>
      </c>
      <c r="C246" t="inlineStr">
        <is>
          <t>Amazon Web Services</t>
        </is>
      </c>
      <c r="D246" t="inlineStr">
        <is>
          <t>indeed</t>
        </is>
      </c>
      <c r="E246">
        <f>HYPERLINK("https://www.indeed.com/viewjob?jk=96a5ef319a96b001", "https://www.indeed.com/viewjob?jk=96a5ef319a96b001")</f>
        <v/>
      </c>
      <c r="F246">
        <f>HYPERLINK("https://www.amazon.jobs/jobs/3168182/machine-learning-engineer-wwps-proserve-data-and-machine-learning?cmpid=DA_INAD200785B", "https://www.amazon.jobs/jobs/3168182/machine-learning-engineer-wwps-proserve-data-and-machine-learning?cmpid=DA_INAD200785B")</f>
        <v/>
      </c>
      <c r="G246" t="inlineStr">
        <is>
          <t>Arlington, VA, US</t>
        </is>
      </c>
      <c r="H246" s="3" t="n">
        <v>46044</v>
      </c>
      <c r="I24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7">
      <c r="A247" t="inlineStr">
        <is>
          <t>in-d71972f1d1cfcc39</t>
        </is>
      </c>
      <c r="B247" t="inlineStr">
        <is>
          <t>Machine Learning Engineer, WWPS ProServe Data and Machine Learning</t>
        </is>
      </c>
      <c r="C247" t="inlineStr">
        <is>
          <t>Amazon Web Services</t>
        </is>
      </c>
      <c r="D247" t="inlineStr">
        <is>
          <t>indeed</t>
        </is>
      </c>
      <c r="E247">
        <f>HYPERLINK("https://www.indeed.com/viewjob?jk=d71972f1d1cfcc39", "https://www.indeed.com/viewjob?jk=d71972f1d1cfcc39")</f>
        <v/>
      </c>
      <c r="F247">
        <f>HYPERLINK("https://www.amazon.jobs/jobs/3168182/machine-learning-engineer-wwps-proserve-data-and-machine-learning?cmpid=DA_INAD200785B", "https://www.amazon.jobs/jobs/3168182/machine-learning-engineer-wwps-proserve-data-and-machine-learning?cmpid=DA_INAD200785B")</f>
        <v/>
      </c>
      <c r="G247" t="inlineStr">
        <is>
          <t>Herndon, VA, US</t>
        </is>
      </c>
      <c r="H247" s="3" t="n">
        <v>46044</v>
      </c>
      <c r="I24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8">
      <c r="A248" t="inlineStr">
        <is>
          <t>in-643af899858488e8</t>
        </is>
      </c>
      <c r="B248" t="inlineStr">
        <is>
          <t>Machine Learning Engineer, WWPS ProServe Data and Machine Learning</t>
        </is>
      </c>
      <c r="C248" t="inlineStr">
        <is>
          <t>Amazon Web Services</t>
        </is>
      </c>
      <c r="D248" t="inlineStr">
        <is>
          <t>indeed</t>
        </is>
      </c>
      <c r="E248">
        <f>HYPERLINK("https://www.indeed.com/viewjob?jk=643af899858488e8", "https://www.indeed.com/viewjob?jk=643af899858488e8")</f>
        <v/>
      </c>
      <c r="F248">
        <f>HYPERLINK("https://www.amazon.jobs/jobs/3168180/machine-learning-engineer-wwps-proserve-data-and-machine-learning?cmpid=DA_INAD200785B", "https://www.amazon.jobs/jobs/3168180/machine-learning-engineer-wwps-proserve-data-and-machine-learning?cmpid=DA_INAD200785B")</f>
        <v/>
      </c>
      <c r="G248" t="inlineStr">
        <is>
          <t>Herndon, VA, US</t>
        </is>
      </c>
      <c r="H248" s="3" t="n">
        <v>46043</v>
      </c>
      <c r="I24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9">
      <c r="A249" t="inlineStr">
        <is>
          <t>in-0fd5d3c3f31301b0</t>
        </is>
      </c>
      <c r="B249" t="inlineStr">
        <is>
          <t>Machine Learning Engineer, WWPS ProServe Data and Machine Learning</t>
        </is>
      </c>
      <c r="C249" t="inlineStr">
        <is>
          <t>Amazon Web Services</t>
        </is>
      </c>
      <c r="D249" t="inlineStr">
        <is>
          <t>indeed</t>
        </is>
      </c>
      <c r="E249">
        <f>HYPERLINK("https://www.indeed.com/viewjob?jk=0fd5d3c3f31301b0", "https://www.indeed.com/viewjob?jk=0fd5d3c3f31301b0")</f>
        <v/>
      </c>
      <c r="F249">
        <f>HYPERLINK("https://www.amazon.jobs/jobs/3168180/machine-learning-engineer-wwps-proserve-data-and-machine-learning?cmpid=DA_INAD200785B", "https://www.amazon.jobs/jobs/3168180/machine-learning-engineer-wwps-proserve-data-and-machine-learning?cmpid=DA_INAD200785B")</f>
        <v/>
      </c>
      <c r="G249" t="inlineStr">
        <is>
          <t>Arlington, VA, US</t>
        </is>
      </c>
      <c r="H249" s="3" t="n">
        <v>46043</v>
      </c>
      <c r="I24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0">
      <c r="A250" t="inlineStr">
        <is>
          <t>in-3d72a98c5477215b</t>
        </is>
      </c>
      <c r="B250" t="inlineStr">
        <is>
          <t>Applied Scientist, Alexa Smart Home</t>
        </is>
      </c>
      <c r="C250" t="inlineStr">
        <is>
          <t>Amazon.com</t>
        </is>
      </c>
      <c r="D250" t="inlineStr">
        <is>
          <t>indeed</t>
        </is>
      </c>
      <c r="E250">
        <f>HYPERLINK("https://www.indeed.com/viewjob?jk=3d72a98c5477215b", "https://www.indeed.com/viewjob?jk=3d72a98c5477215b")</f>
        <v/>
      </c>
      <c r="F250">
        <f>HYPERLINK("https://www.amazon.jobs/jobs/3169205/applied-scientist-alexa-smart-home?cmpid=DA_INAD200785B", "https://www.amazon.jobs/jobs/3169205/applied-scientist-alexa-smart-home?cmpid=DA_INAD200785B")</f>
        <v/>
      </c>
      <c r="G250" t="inlineStr">
        <is>
          <t>Sunnyvale, CA, US</t>
        </is>
      </c>
      <c r="H250" s="3" t="n">
        <v>46033</v>
      </c>
      <c r="I25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51">
      <c r="A251" t="inlineStr">
        <is>
          <t>in-c5408623b2a52aab</t>
        </is>
      </c>
      <c r="B251" t="inlineStr">
        <is>
          <t>Applied Scientist, Alexa Smart Home</t>
        </is>
      </c>
      <c r="C251" t="inlineStr">
        <is>
          <t>Amazon.com</t>
        </is>
      </c>
      <c r="D251" t="inlineStr">
        <is>
          <t>indeed</t>
        </is>
      </c>
      <c r="E251">
        <f>HYPERLINK("https://www.indeed.com/viewjob?jk=c5408623b2a52aab", "https://www.indeed.com/viewjob?jk=c5408623b2a52aab")</f>
        <v/>
      </c>
      <c r="F251">
        <f>HYPERLINK("https://www.amazon.jobs/jobs/3169205/applied-scientist-alexa-smart-home?cmpid=DA_INAD200785B", "https://www.amazon.jobs/jobs/3169205/applied-scientist-alexa-smart-home?cmpid=DA_INAD200785B")</f>
        <v/>
      </c>
      <c r="G251" t="inlineStr">
        <is>
          <t>Seattle, WA, US</t>
        </is>
      </c>
      <c r="H251" s="3" t="n">
        <v>46033</v>
      </c>
      <c r="I25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52">
      <c r="A252" t="inlineStr">
        <is>
          <t>in-a020b765f7ec60ee</t>
        </is>
      </c>
      <c r="B252" t="inlineStr">
        <is>
          <t>ML Engineer, GO-AI Technology &amp; Development Team</t>
        </is>
      </c>
      <c r="C252" t="inlineStr">
        <is>
          <t>Amazon.com</t>
        </is>
      </c>
      <c r="D252" t="inlineStr">
        <is>
          <t>indeed</t>
        </is>
      </c>
      <c r="E252">
        <f>HYPERLINK("https://www.indeed.com/viewjob?jk=a020b765f7ec60ee", "https://www.indeed.com/viewjob?jk=a020b765f7ec60ee")</f>
        <v/>
      </c>
      <c r="F252">
        <f>HYPERLINK("https://www.amazon.jobs/jobs/3173298/ml-engineer-goai-technology--development-team?cmpid=DA_INAD200785B", "https://www.amazon.jobs/jobs/3173298/ml-engineer-goai-technology--development-team?cmpid=DA_INAD200785B")</f>
        <v/>
      </c>
      <c r="G252" t="inlineStr">
        <is>
          <t>Boston, MA, US</t>
        </is>
      </c>
      <c r="H252" s="3" t="n">
        <v>45998</v>
      </c>
      <c r="I25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3">
      <c r="A253" t="inlineStr">
        <is>
          <t>in-3df3f27a20cdb91f</t>
        </is>
      </c>
      <c r="B253" t="inlineStr">
        <is>
          <t>ML Engineer, GO-AI Technology &amp; Development Team</t>
        </is>
      </c>
      <c r="C253" t="inlineStr">
        <is>
          <t>Amazon.com</t>
        </is>
      </c>
      <c r="D253" t="inlineStr">
        <is>
          <t>indeed</t>
        </is>
      </c>
      <c r="E253">
        <f>HYPERLINK("https://www.indeed.com/viewjob?jk=3df3f27a20cdb91f", "https://www.indeed.com/viewjob?jk=3df3f27a20cdb91f")</f>
        <v/>
      </c>
      <c r="F253">
        <f>HYPERLINK("https://www.amazon.jobs/jobs/3173298/ml-engineer-goai-technology--development-team?cmpid=DA_INAD200785B", "https://www.amazon.jobs/jobs/3173298/ml-engineer-goai-technology--development-team?cmpid=DA_INAD200785B")</f>
        <v/>
      </c>
      <c r="G253" t="inlineStr">
        <is>
          <t>Westborough, MA, US</t>
        </is>
      </c>
      <c r="H253" s="3" t="n">
        <v>45998</v>
      </c>
      <c r="I25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4">
      <c r="A254" t="inlineStr">
        <is>
          <t>in-49fcd98fe03d8855</t>
        </is>
      </c>
      <c r="B254" t="inlineStr">
        <is>
          <t>ML Engineer, GO-AI Technology &amp; Development Team</t>
        </is>
      </c>
      <c r="C254" t="inlineStr">
        <is>
          <t>Amazon.com</t>
        </is>
      </c>
      <c r="D254" t="inlineStr">
        <is>
          <t>indeed</t>
        </is>
      </c>
      <c r="E254">
        <f>HYPERLINK("https://www.indeed.com/viewjob?jk=49fcd98fe03d8855", "https://www.indeed.com/viewjob?jk=49fcd98fe03d8855")</f>
        <v/>
      </c>
      <c r="F254">
        <f>HYPERLINK("https://www.amazon.jobs/jobs/3173298/ml-engineer-goai-technology--development-team?cmpid=DA_INAD200785B", "https://www.amazon.jobs/jobs/3173298/ml-engineer-goai-technology--development-team?cmpid=DA_INAD200785B")</f>
        <v/>
      </c>
      <c r="G254" t="inlineStr">
        <is>
          <t>Reading, MA, US</t>
        </is>
      </c>
      <c r="H254" s="3" t="n">
        <v>45998</v>
      </c>
      <c r="I25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5">
      <c r="A255" t="inlineStr">
        <is>
          <t>in-c64fb7c0901ed50d</t>
        </is>
      </c>
      <c r="B255" t="inlineStr">
        <is>
          <t>ML Engineer, GO-AI Technology &amp; Development Team</t>
        </is>
      </c>
      <c r="C255" t="inlineStr">
        <is>
          <t>Amazon.com</t>
        </is>
      </c>
      <c r="D255" t="inlineStr">
        <is>
          <t>indeed</t>
        </is>
      </c>
      <c r="E255">
        <f>HYPERLINK("https://www.indeed.com/viewjob?jk=c64fb7c0901ed50d", "https://www.indeed.com/viewjob?jk=c64fb7c0901ed50d")</f>
        <v/>
      </c>
      <c r="F255">
        <f>HYPERLINK("https://www.amazon.jobs/jobs/3173298/ml-engineer-goai-technology--development-team?cmpid=DA_INAD200785B", "https://www.amazon.jobs/jobs/3173298/ml-engineer-goai-technology--development-team?cmpid=DA_INAD200785B")</f>
        <v/>
      </c>
      <c r="G255" t="inlineStr">
        <is>
          <t>Seattle, WA, US</t>
        </is>
      </c>
      <c r="H255" s="3" t="n">
        <v>45998</v>
      </c>
      <c r="I25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li-4326512782</t>
        </is>
      </c>
      <c r="B2" t="inlineStr">
        <is>
          <t>Lead Applied Scientist</t>
        </is>
      </c>
      <c r="C2" t="inlineStr">
        <is>
          <t>Thomson Reuters</t>
        </is>
      </c>
      <c r="D2" t="inlineStr">
        <is>
          <t>linkedin</t>
        </is>
      </c>
      <c r="E2" t="inlineStr"/>
      <c r="F2" t="inlineStr"/>
      <c r="G2" t="inlineStr">
        <is>
          <t>Ann Arbor, MI</t>
        </is>
      </c>
      <c r="H2" t="inlineStr"/>
      <c r="I2"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3">
      <c r="A3" t="inlineStr">
        <is>
          <t>li-4326356373</t>
        </is>
      </c>
      <c r="B3" t="inlineStr">
        <is>
          <t>Lead Applied Scientist, NLP</t>
        </is>
      </c>
      <c r="C3" t="inlineStr">
        <is>
          <t>Thomson Reuters</t>
        </is>
      </c>
      <c r="D3" t="inlineStr">
        <is>
          <t>linkedin</t>
        </is>
      </c>
      <c r="E3" t="inlineStr"/>
      <c r="F3" t="inlineStr"/>
      <c r="G3" t="inlineStr">
        <is>
          <t>Ann Arbor, MI</t>
        </is>
      </c>
      <c r="H3" t="inlineStr"/>
      <c r="I3"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4">
      <c r="A4" t="inlineStr">
        <is>
          <t>li-4326316431</t>
        </is>
      </c>
      <c r="B4" t="inlineStr">
        <is>
          <t>Lead Applied Scientist</t>
        </is>
      </c>
      <c r="C4" t="inlineStr">
        <is>
          <t>Thomson Reuters</t>
        </is>
      </c>
      <c r="D4" t="inlineStr">
        <is>
          <t>linkedin</t>
        </is>
      </c>
      <c r="E4" t="inlineStr"/>
      <c r="F4" t="inlineStr"/>
      <c r="G4" t="inlineStr">
        <is>
          <t>Frisco, TX</t>
        </is>
      </c>
      <c r="H4" t="inlineStr"/>
      <c r="I4"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
      <c r="A5" t="inlineStr">
        <is>
          <t>li-4371450633</t>
        </is>
      </c>
      <c r="B5" t="inlineStr">
        <is>
          <t>Machine Learning Engineer</t>
        </is>
      </c>
      <c r="C5" t="inlineStr">
        <is>
          <t>Red Hat</t>
        </is>
      </c>
      <c r="D5" t="inlineStr">
        <is>
          <t>linkedin</t>
        </is>
      </c>
      <c r="E5" t="inlineStr"/>
      <c r="F5" t="inlineStr"/>
      <c r="G5" t="inlineStr"/>
      <c r="H5" t="inlineStr"/>
      <c r="I5" t="inlineStr">
        <is>
          <t>**About The Company** 
 Red Hat is the world's leading provider of enterprise open source software solutions, renowned for its community\-powered approach to delivering high\-performing Linux, cloud, container, and Kubernetes technologies. Operating across more than 40 countries, Red Hat fosters a flexible work environment that includes in\-office, hybrid, and fully remote options, designed to accommodate the diverse needs of its global workforce. The company emphasizes innovation, collaboration, and inclusion, encouraging employees to bring forward their ideas regardless of tenure or title. As a pioneer in open source, Red Hat maintains a culture rooted in transparency and diversity, which drives its mission to solve complex problems and make a meaningful impact in the technology landscape.
**About The Role** 
 Red Hat is seeking a talented Machine Learning Engineer to join its AI Inference Engineering team, focusing on distributed vLLM infrastructure within the llm‑d project. This role places you at the forefront of AI innovation, where you will collaborate with a team of leading developers and maintainers of open\-source projects such as vLLM and LLM‑D. Your primary responsibility will be to develop and optimize scalable inference systems for large language models (LLMs) using Kubernetes\-native deployments. You will work on designing, developing, and testing new features, contributing to upstream communities, and enhancing the stability, resource utilization, and fault tolerance of inference infrastructure. This position offers an exciting opportunity to influence the future of AI deployment, working at the intersection of deep learning, distributed systems, and cloud\-native infrastructure, all within an open\-source environment that values continuous learning and innovation.
**Qualifications** 
* Proficiency in Python and/or GoLang or similar programming languages
* Experience with cloud\-native Kubernetes service mesh technologies such as Istio, Cilium, Envoy (WASM filters), and CNI
* Understanding of Layer 7 networking, HTTP/2, gRPC, API gateways, and reverse proxies
* Knowledge of serving runtime technologies for hosting LLMs, including vLLM, SGLang, TensorRT\-LLM
* Excellent written and verbal communication skills for effective team collaboration
* Ability to work independently in a fast\-paced, dynamic environment
* Optional but advantageous: proficiency in C, C\+\+, or Rust
* Familiarity with Kubernetes ecosystem, custom APIs, operators, and Gateway API inference extension
* Knowledge of high\-performance networking protocols such as UCX, RoCE, InfiniBand, RDMA
* Experience with GPU benchmarking, profiling tools like NVIDIA Nsight, and distributed tracing libraries such as OpenTelemetry
* Strong understanding of computer architecture, parallel processing, and distributed computing concepts
* Bachelor’s degree in computer science or related field (preferred but not mandatory)
* Active engagement in the ML research community through publications, conferences, or open source contributions (a plus)
**Responsibilities** 
* Design, develop, and test new features and solutions for Red Hat AI Inference platform
* Participate actively in upstream open\-source communities to drive innovation
* Develop and maintain distributed inference infrastructure leveraging Kubernetes APIs, operators, and Gateway Inference Extension API for scalable LLM deployments
* Implement system components in Go and/or Rust to integrate with vLLM and manage distributed inference workloads effectively
* Develop KV cache\-aware routing and scoring algorithms to optimize memory utilization and request distribution in large\-scale inference environments
* Enhance resource utilization, fault tolerance, and overall stability of the inference stack
* Develop and evaluate inference optimization algorithms to improve performance
* Engage in technical design discussions, sharing insights and recommendations
* Promote a culture of continuous improvement through knowledge sharing and technical mentorship
* Collaborate effectively with cross\-functional teams to meet engineering deliverables
* Provide timely and constructive code reviews to ensure high\-quality code standards
* Maintain clear communication to ensure visibility of development efforts across teams
**Benefits** 
* Comprehensive medical, dental, and vision coverage
* Flexible Spending Account (FSA) for healthcare and dependent care expenses
* Health Savings Account (HSA) for high deductible health plans
* Retirement 401(k) plan with employer matching contributions
* Paid time off and holidays to support work\-life balance
* Paid parental leave for all new parents
* Additional leave benefits including disability, paid family medical leave, and military leave
* Employee stock purchase plan, family planning reimbursement, tuition reimbursement
* Transportation expense accounts and employee assistance programs
 Equal Opportunity
 Red Hat is proud to be an equal opportunity workplace and an affirmative action employer. We review applications without regard to race, color, religion, sex, sexual orientation, gender identity, national origin, ancestry, citizenship, age, veteran status, genetic information, physical or mental disability, medical condition, marital status, or any other legally protected characteristic.</t>
        </is>
      </c>
    </row>
    <row r="6">
      <c r="A6" t="inlineStr">
        <is>
          <t>li-4371436926</t>
        </is>
      </c>
      <c r="B6" t="inlineStr">
        <is>
          <t>ML Engineer</t>
        </is>
      </c>
      <c r="C6" t="inlineStr">
        <is>
          <t>Waymo</t>
        </is>
      </c>
      <c r="D6" t="inlineStr">
        <is>
          <t>linkedin</t>
        </is>
      </c>
      <c r="E6" t="inlineStr"/>
      <c r="F6" t="inlineStr"/>
      <c r="G6" t="inlineStr"/>
      <c r="H6" t="inlineStr"/>
      <c r="I6" t="inlineStr">
        <is>
          <t>**About The Company**
 Waymo is a pioneering autonomous driving technology company dedicated to transforming mobility and enhancing safety on the roads. Established in 2009 as the Google Self\-Driving Car Project, Waymo has evolved into a leader in developing self\-driving solutions with a mission to be the world's most trusted driver. The company’s flagship innovation, the Waymo Driver, is the most experienced autonomous driver globally, enabling safer and more accessible transportation options. With a focus on saving lives and reducing traffic\-related fatalities, Waymo’s technology powers a fully autonomous ride\-hail service and is adaptable to various vehicle platforms and use cases. The company has accumulated extensive real\-world driving experience, having completed over ten million rider\-only trips and driven more than 100 million miles on public roads across multiple states, complemented by tens of billions of miles in simulation. Waymo’s commitment to innovation, safety, and reliability positions it at the forefront of autonomous driving advancements.
**About The Role**
 Waymo is seeking a talented and experienced Machine Learning Engineer to join the Mapping team, focusing on automating the creation of high\-definition maps that are critical for safe autonomous driving. In this role, you will design, develop, and deploy advanced machine learning models to streamline and scale the mapping process, enabling the Waymo Driver to operate more efficiently across diverse environments. You will work on cutting\-edge ML techniques, including Vision\-Language Models and Generative AI, to pioneer new solutions in mapping automation. This position offers an opportunity to own the entire model development lifecycle—from data collection and processing to training, evaluation, validation, and deployment—collaborating closely with cross\-functional teams to integrate research into scalable, production\-ready systems. Your contributions will directly impact Waymo’s mission to make autonomous driving safer and more accessible for everyone.
**Qualifications**
* 4\+ years of hands\-on experience in Machine Learning, with a focus on computer vision and/or deep learning
* Proficiency in at least one major deep learning framework such as TensorFlow, PyTorch, or JAX
* Strong understanding of machine learning model development lifecycle, including data mining, training, evaluation, and deployment
* B.S. degree in Computer Science, Electrical Engineering, or a related technical field, or equivalent practical experience
**Responsibilities**
* Design, train, and deploy machine learning models to automate the creation of high\-resolution maps for autonomous driving applications
* Apply and innovate using state\-of\-the\-art ML techniques, including Vision\-Language Models and Generative AI approaches, to improve mapping automation
* Own the end\-to\-end development process, from data collection and preprocessing to model evaluation, validation, and production deployment
* Collaborate with cross\-functional teams, including perception and AI foundation groups, to integrate cutting\-edge research into scalable solutions
* Continuously improve models based on performance metrics and real\-world testing, ensuring robustness and reliability
* Document methodologies, results, and best practices to facilitate knowledge sharing within the team
**Benefits**
* Competitive salary within the range of $204,000 to $259,000 USD, commensurate with experience and location
* Participation in Waymo’s discretionary annual bonus program and equity incentive plan
* Comprehensive health, dental, and vision insurance coverage
* Generous paid time off and holiday leave
* Opportunities for professional growth and development in a cutting\-edge technology environment
* Flexible work arrangements, including remote work options where applicable
* Access to innovative projects and collaboration with industry\-leading experts
 Equal Opportunity
 Waymo is an equal opportunity employer committed to fostering a diverse and inclusive workplace. We welcome applicants of all backgrounds, experiences, and identities to apply. All employment decisions are made without regard to race, color, religion, gender, sexual orientation, gender identity or expression, national origin, age, disability, or any other protected status. We believe that a diverse team drives innovation and excellence, and we are dedicated to creating an environment where everyone can thrive.</t>
        </is>
      </c>
    </row>
    <row r="7">
      <c r="A7" t="inlineStr">
        <is>
          <t>li-4371198670</t>
        </is>
      </c>
      <c r="B7" t="inlineStr">
        <is>
          <t>Machine Learning Engineer, Perception, Data &amp; Systems</t>
        </is>
      </c>
      <c r="C7" t="inlineStr">
        <is>
          <t>Waymo</t>
        </is>
      </c>
      <c r="D7" t="inlineStr">
        <is>
          <t>linkedin</t>
        </is>
      </c>
      <c r="E7" t="inlineStr"/>
      <c r="F7" t="inlineStr"/>
      <c r="G7" t="inlineStr">
        <is>
          <t>Mountain View, CA</t>
        </is>
      </c>
      <c r="H7" t="inlineStr"/>
      <c r="I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3\+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8">
      <c r="A8" t="inlineStr">
        <is>
          <t>li-4371481533</t>
        </is>
      </c>
      <c r="B8" t="inlineStr">
        <is>
          <t>AI / Machine Learning Engineer</t>
        </is>
      </c>
      <c r="C8" t="inlineStr">
        <is>
          <t>1Kosmos</t>
        </is>
      </c>
      <c r="D8" t="inlineStr">
        <is>
          <t>linkedin</t>
        </is>
      </c>
      <c r="E8" t="inlineStr"/>
      <c r="F8" t="inlineStr"/>
      <c r="G8" t="inlineStr">
        <is>
          <t>Iselin, NJ</t>
        </is>
      </c>
      <c r="H8" t="inlineStr"/>
      <c r="I8" t="inlineStr">
        <is>
          <t>Are you ready to shape the future of authentication? Join 1Kosmos and help lead the next wave in identity assurance and passwordless innovation.
 1Kosmos is driving the future of identity security, empowering organizations to eliminate passwords and establish trust at every step of the identity lifecycle. As a vibrant team of innovators, we develop advanced authentication solutions trusted by some of the world’s leading brands. Join us as we create a passwordless world and set new standards for digital identity assurance.
 We are looking for an
 **AI / Machine Learning Engineer** 
 to design, build, and deploy advanced computer vision and AI solutions. You will work on projects involving
 **image capture** 
 ,
 **data extraction** 
 , and
 **fraud detection** 
 , delivering high\-performance models that can run on both mobile devices and cloud environments.
 This role blends
 **R\&amp;D** 
 with production engineering—you’ll take ownership of the full ML lifecycle, from dataset creation and model training to deployment and performance optimization.
 Key Responsibilities
* Design and implement AI models for image classification, object detection, OCR, and feature extraction.
* Develop real\-time image quality assessment and capture guidance algorithms.
* Create and maintain data pipelines for collecting, cleaning, augmenting, and labeling datasets.
* Implement model optimization techniques for mobile (on\-device) and cloud inference.
* Apply fraud detection methods to identify tampering, forgeries, or replay attacks in visual data.
* Integrate ML models into production\-grade APIs and mobile SDKs.
* Monitor, evaluate, and continuously improve model accuracy and performance.
* Collaborate with product and engineering teams to align AI capabilities with business goals.
**Requirements**
* Bachelor’s or Master’s degree in Computer Science, AI/ML, or related field (or equivalent experience).
* 3\+ years of experience building and deploying ML models in production.
* Proficiency in Python and ML frameworks (PyTorch, TensorFlow, or similar).
* Experience with computer vision libraries (e.g., OpenCV) and OCR technologies.
* Strong understanding of deep learning architectures for image and text recognition.
* Familiarity with cloud platforms (AWS, GCP, or Azure) and API development.
* Strong problem\-solving skills and ability to work in fast\-paced environments.
* Based in the NJ / NY area; Hybrid working model.
 Preferred Qualifications
* Experience with model quantization and optimization for mobile deployment.
* Knowledge of synthetic data generation and data augmentation techniques.
* Background in security, liveness detection, or anomaly detection.
* Exposure to compliance and data privacy regulations (GDPR, CCPA).
* Contributions to open\-source ML projects or published research.
**Benefits**
* Cutting\-Edge Tech Stack: Build with decentralized identity protocols, FedRamp High, FIDO2\-certified cryptography, and NIST\-compliant biometric systems.
* Accelerated Growth: Receive annual stipends for certifications and attend key conferences like Identiverse or EIC.
* Ownership \&amp; Impact: We move fast and will enable you to make a big impact with large customers in US \&amp; Canada.
* Flexibility First: Unlimited PTO, and 2 days WFH</t>
        </is>
      </c>
    </row>
    <row r="9">
      <c r="A9" t="inlineStr">
        <is>
          <t>li-4371456949</t>
        </is>
      </c>
      <c r="B9" t="inlineStr">
        <is>
          <t>AI Engineer</t>
        </is>
      </c>
      <c r="C9" t="inlineStr">
        <is>
          <t>Concentrate AI</t>
        </is>
      </c>
      <c r="D9" t="inlineStr">
        <is>
          <t>linkedin</t>
        </is>
      </c>
      <c r="E9" t="inlineStr"/>
      <c r="F9" t="inlineStr"/>
      <c r="G9" t="inlineStr"/>
      <c r="H9" t="inlineStr"/>
      <c r="I9" t="inlineStr">
        <is>
          <t>Concentrate AI
  provides a unified, OpenAI\-compatible API to access, route, and manage LLMs. We save our customers time, cut costs, and reduce risk. We manage high\-volume AI traffic and logs.
 We’re seed\-stage, well\-funded, and in stealth. This role is fully remote in the US.
**The Role** 
 Build, run, and debug LLM applications on top of Concentrate. You’ll work on production workloads (customer\-facing and internal), stress test the platform, and share feedback and learnings with the product team.
 We move quickly, debate things, and work long hours. Frequent travel to NYC, Philadelphia, and SF.
**Key Areas of Responsibility:** 
* Build LLM\-powered services, workflows, and applications using Concentrate
* Integrate with real production applications and environments
* Design reliable interactions with LLMs (OpenAI, Anthropic, Gemini, OSS), including prompts, tool calling, evals, and guardrails
* Debug failures across models, APIs, and infrastructure
* Write code, scripts, and small tools to test system behavior at scale
* Reproduce bugs, isolate root causes, and clearly document findings
* Drive improvements to APIs, defaults, and overall developer experience
**What We’re Looking for** 
* Hands\-on experience integrating LLMs via APIs in production
* Always building tools, scripts, side projects, or experiments to test ideas and learn fast
* Strong Python; TypeScript is a plus
* Comfortable with REST APIs, async systems, and production debugging
* Bachelor’s degree in Computer Science from a highly selective, rigorous engineering program.
* Curious about model behavior under load, failure, and edge cases
* Familiarity with tool calling, agents, multi\-step workflows, or MCPs
* Strong code quality and technical judgment
* Comfortable operating in early\-stage environments with speed and ambiguity
* Clear async communication (Slack, written updates, concise docs)
* Fluent written and verbal English required for documentation, incident response, and technical and business presentations.
* Bonus: active open\-source contributor
**Comp** 
 : Base \+ bonus \+ meaningful equity
**Equal Opportunity \&amp; Fair Chance Notice** 
 Concentrate AI is an affirmative action and equal opportunity employer. We are committed to providing equal employment opportunities and do not discriminate in recruiting, hiring, training, promotion, or other employment practices on the basis of race, color, sex, age, religion, national origin, ancestry, protected veteran status, disability, sexual orientation, gender identity or expression, genetic information, or any other status protected by applicable law.
 Qualified applicants with arrest and conviction records will be considered in accordance with the San Francisco Fair Chance Ordinance and applicable state and local laws.
**California Privacy Notice** 
 California residents may contact privacy@concentrate.ai for additional information regarding how we collect, use, and disclose personal information during the job application process.
**Recruitment Agency Notice** 
 Concentrate AI does not accept unsolicited resumes from recruitment agencies and is not responsible for any fees related to unsolicited submissions.</t>
        </is>
      </c>
    </row>
    <row r="10">
      <c r="A10" t="inlineStr">
        <is>
          <t>li-4371453118</t>
        </is>
      </c>
      <c r="B10" t="inlineStr">
        <is>
          <t>AI Engineer</t>
        </is>
      </c>
      <c r="C10" t="inlineStr">
        <is>
          <t>GlobalPoint</t>
        </is>
      </c>
      <c r="D10" t="inlineStr">
        <is>
          <t>linkedin</t>
        </is>
      </c>
      <c r="E10" t="inlineStr"/>
      <c r="F10" t="inlineStr"/>
      <c r="G10" t="inlineStr">
        <is>
          <t>Charlotte, NC</t>
        </is>
      </c>
      <c r="H10" t="inlineStr"/>
      <c r="I10" t="inlineStr">
        <is>
          <t>**Long term**
**Charlotte, NC**
 Technical Leadership \&amp; System Architecture
* Lead the architecture and development of LLM\-driven applications, AI agents, and RAG\-based systems.
* Provide technical guidance, conduct code reviews, and mentor junior team members.
* Drive best practices in Python backend engineering, API development, and AI system design.
 Backend Engineering (Python)
* Build and maintain backend services using FastAPI or Flask.
* Develop scalable API endpoints for AI applications, embeddings, and retrieval systems.
* Ensure backend code quality, modularity, performance, and maintainability.
 LLMs, RAG, and AI Agent Development
* Build AI applications using: LangChain, LangGraph, Semantic Kernel, Haystack, LlamaIndex, AutoGen
* Develop autonomous or semi\-autonomous AI agents with tool calling and workflow graphs.
* Implement Retrieval\-Augmented Generation (RAG), embedding pipelines, chunking strategies, reranking, and grounding techniques.
* Work with OpenAI SDK and other LLM providers (Anthropic, Azure OpenAI, Cohere, etc.).
* Manage prompt engineering, prompt routing, safety guardrails, and evaluation metrics.
 Data \&amp; Vector Search Engineering
* Build data pipelines for indexing, embeddings, and retrieval workflows.
* Work with SQL databases (PostgreSQL, MySQL, etc.) for metadata and application storage.
* Work with vector databases such as: Redis, Postgres with pgvector, Elasticsearch, Neo4j, or others.
* Implement and optimize search workflows using FAISS or similar similarity search libraries.
 MLOps, Deployment \&amp; Observability
* Deploy AI services using Docker, container orchestration, and cloud environments.
* Implement monitoring for AI behavior, performance, error rates, and retrieval accuracy.
* Set up CI/CD pipelines for backend and AI components.
* Optimize inference cost, latency, and reliability.
 Cross\-Functional Collaboration
* Collaborate with product, data engineering, and business teams to understand requirements.
* Translate business problems into scalable AI architectures and deliver practical solutions.
* Communicate technical decisions, trade\-offs, and progress to stakeholders.
**Requirements**
* Bachelor’s/Master’s degree in Computer Science, AI/ML, Data Science, or related fields.
* 10\+ years of experience in Python backend development.
* Strong proficiency in FastAPI or Flask.
* Strong working knowledge of SQL databases (Postgres, MySQL, etc.).
* Hands\-on expertise with vector databases:
 Redis, Postgres/pgvector, Elasticsearch, or Neo4j.
* Practical experience with FAISS for similarity search.
* Hands\-on experience with modern LLM frameworks:
 LangChain, LangGraph, Semantic Kernel, Haystack, LlamaIndex, AutoGen.
**Strong Understanding Of**
* Embeddings \&amp; vector search
* RAG pipelines
* Retrieval optimization
* Chunking strategies
* Document loaders \&amp; indexing
* Experience building AI apps using OpenAI SDK or similar.
* Experience deploying APIs/services using Docker and cloud environments.
* Leadership experience: guiding teams, conducting reviews, driving architecture decisions.</t>
        </is>
      </c>
    </row>
    <row r="11">
      <c r="A11" t="inlineStr">
        <is>
          <t>li-4371192418</t>
        </is>
      </c>
      <c r="B11" t="inlineStr">
        <is>
          <t>Applied AI Engineer</t>
        </is>
      </c>
      <c r="C11" t="inlineStr">
        <is>
          <t>SOCOTEC</t>
        </is>
      </c>
      <c r="D11" t="inlineStr">
        <is>
          <t>linkedin</t>
        </is>
      </c>
      <c r="E11" t="inlineStr"/>
      <c r="F11" t="inlineStr"/>
      <c r="G11" t="inlineStr">
        <is>
          <t>New York, NY</t>
        </is>
      </c>
      <c r="H11" t="inlineStr"/>
      <c r="I11" t="inlineStr">
        <is>
          <t>**Description Du Poste** 
**Company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12">
      <c r="A12" t="inlineStr">
        <is>
          <t>li-4371194401</t>
        </is>
      </c>
      <c r="B12" t="inlineStr">
        <is>
          <t>Applied AI Engineer</t>
        </is>
      </c>
      <c r="C12" t="inlineStr">
        <is>
          <t>SOCOTEC</t>
        </is>
      </c>
      <c r="D12" t="inlineStr">
        <is>
          <t>linkedin</t>
        </is>
      </c>
      <c r="E12" t="inlineStr"/>
      <c r="F12" t="inlineStr"/>
      <c r="G12" t="inlineStr">
        <is>
          <t>Boston, MA</t>
        </is>
      </c>
      <c r="H12" t="inlineStr"/>
      <c r="I12" t="inlineStr">
        <is>
          <t>**Description Du Poste** 
**Company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13">
      <c r="A13" t="inlineStr">
        <is>
          <t>li-4371472104</t>
        </is>
      </c>
      <c r="B13" t="inlineStr">
        <is>
          <t>Machine Learning Engineer</t>
        </is>
      </c>
      <c r="C13" t="inlineStr">
        <is>
          <t>Goliath Partners</t>
        </is>
      </c>
      <c r="D13" t="inlineStr">
        <is>
          <t>linkedin</t>
        </is>
      </c>
      <c r="E13" t="inlineStr"/>
      <c r="F13" t="inlineStr"/>
      <c r="G13" t="inlineStr"/>
      <c r="H13" t="inlineStr"/>
      <c r="I13"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14">
      <c r="A14" t="inlineStr">
        <is>
          <t>li-4371448348</t>
        </is>
      </c>
      <c r="B14" t="inlineStr">
        <is>
          <t>AI/ML Engineer</t>
        </is>
      </c>
      <c r="C14" t="inlineStr">
        <is>
          <t>Onebridge</t>
        </is>
      </c>
      <c r="D14" t="inlineStr">
        <is>
          <t>linkedin</t>
        </is>
      </c>
      <c r="E14" t="inlineStr"/>
      <c r="F14" t="inlineStr"/>
      <c r="G14" t="inlineStr">
        <is>
          <t>Indianapolis, IN</t>
        </is>
      </c>
      <c r="H14" t="inlineStr"/>
      <c r="I14"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AI/ML Engineer to join our innovative and dynamic team.
**Employment Type:** 
 Full Time
**Location:** 
 Indianapolis, IN \- Onsite 3 days / week
**Industry:** 
 IT \&amp; Services.
**AI/ML Engineer** 
 \|
 **About You** 
 As an AI/ML Engineer, you are responsible for building the infrastructure, services, and tooling that bring machine learning models into scalable, production\-ready environments. You thrive at the intersection of software engineering and applied ML, designing systems that enable data scientists and researchers to deliver high‑impact models. You have a strong understanding of distributed systems, modern ML pipelines, and cloud\-native compute environments. You care deeply about building reliable, well\-tested, and maintainable machine learning systems. You are motivated by accelerating discovery and enabling teams to operationalize ML at scale.
**AI/ML Engineer** 
 \|
 **Day\-to\-Day** 
* Design, build, and maintain scalable ML pipelines, services, and infrastructure to support model training, deployment, and lifecycle management.
* Collaborate with data scientists to productionize models, ensuring strong performance, reliability, and seamless integration with research workflows.
* Implement containerized ML workloads and orchestrate them with Kubernetes to support training, inference, and scaling needs.
* Develop and maintain APIs and microservices that expose ML capabilities and facilitate cross‑platform interoperability.
* Monitor ML systems in production, analyzing performance, drift, and operational metrics to ensure model health and stability.
* Troubleshoot complex model deployment, data pipeline, and distributed‑system issues to ensure smooth operation of ML\-driven applications.
**AI/ML Engineer \| Skills \&amp; Experience** 
* 3\+ years of experience delivering ML or AI systems into production, with strong software engineering fundamentals.
* Proficiency in Python (preferred for ML workflows) and experience with at least one compiled language such as Go, Rust, Java, or C\+\+.
* Hands\-on experience deploying ML workloads using containers, Kubernetes, and cloud\-native infrastructure.
* Strong understanding of ML model deployment patterns, including REST/gRPC serving, batch inference, and real\-time inference architectures.
* Experience applying test\-driven development, automated testing, and CI/CD practices to ML systems and data pipelines.
* Solid understanding of distributed systems, including performance tuning, scaling strategies, and building reliable, high\-throughput ML services.</t>
        </is>
      </c>
    </row>
    <row r="15">
      <c r="A15" t="inlineStr">
        <is>
          <t>li-3981024426</t>
        </is>
      </c>
      <c r="B15" t="inlineStr">
        <is>
          <t>Machine Learning Engineer, Monetization Engineering</t>
        </is>
      </c>
      <c r="C15" t="inlineStr">
        <is>
          <t>Pinterest</t>
        </is>
      </c>
      <c r="D15" t="inlineStr">
        <is>
          <t>linkedin</t>
        </is>
      </c>
      <c r="E15" t="inlineStr"/>
      <c r="F15" t="inlineStr"/>
      <c r="G15" t="inlineStr">
        <is>
          <t>San Francisco, CA</t>
        </is>
      </c>
      <c r="H15" t="inlineStr"/>
      <c r="I1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6">
      <c r="A16" t="inlineStr">
        <is>
          <t>li-4371489341</t>
        </is>
      </c>
      <c r="B16" t="inlineStr">
        <is>
          <t>Generative AI Engineer</t>
        </is>
      </c>
      <c r="C16" t="inlineStr">
        <is>
          <t>Inherent Technologies</t>
        </is>
      </c>
      <c r="D16" t="inlineStr">
        <is>
          <t>linkedin</t>
        </is>
      </c>
      <c r="E16" t="inlineStr"/>
      <c r="F16" t="inlineStr"/>
      <c r="G16" t="inlineStr">
        <is>
          <t>Woonsocket, RI</t>
        </is>
      </c>
      <c r="H16" t="inlineStr"/>
      <c r="I16" t="inlineStr">
        <is>
          <t>**Position: Senior Generative AI Engineer (Python \&amp; LLMs)**
**Location: Woonsocket, RI \*Day 1 Onsite**
 Minimum of 2 years of hands\-on experience working with deep learning models in NLP, Python, Generative AI (GenAI), and AI\-related technologies.
 Overall 6\+ years of experience in software development, data analytics, or data science.
 Write efficient, well\-documented Python code for building, fine\-tuning, and deploying LLM\-based applications.
 Strong understanding of deep learning techniques, architectures, and best practices.
 Solid knowledge of large language models (LLMs) and their real\-world applications.
**Experience Delivering GenAI\-based Projects, Including**
 Prompt engineering techniques
 Vector databases for storing and retrieving model\-driven data
 Hands\-on experience with orchestration frameworks such as LangChain or similar tools.
**Demonstrated Python Expertise, With Strong Experience Using**
 TensorFlow
 PyTorch
 Hugging Face Transformers
 Implementation and optimization of deep learning models for use cases such as:
 Text classification
 Sentiment analysis
 Summarization
**Familiarity With Rapid Application Development Frameworks, Including**
 Streamlit
 FastAPI
 Flask
 Experience deploying and scaling machine learning models on cloud platforms such as Azure or GCP.
 Knowledge of agentic architectures and multi\-agent patterns (e.g., AutoGen or similar frameworks).
 Healthcare domain knowledge preferred.
 Desirable Skills: Skills: Digital : Python\~AI \&amp; Gen AI \- Products \&amp; Tools
 Experience Required: 10 \&amp; Above</t>
        </is>
      </c>
    </row>
    <row r="17">
      <c r="A17" t="inlineStr">
        <is>
          <t>li-4371155592</t>
        </is>
      </c>
      <c r="B17" t="inlineStr">
        <is>
          <t>Junior ML Engineer</t>
        </is>
      </c>
      <c r="C17" t="inlineStr">
        <is>
          <t>Emonics LLC</t>
        </is>
      </c>
      <c r="D17" t="inlineStr">
        <is>
          <t>linkedin</t>
        </is>
      </c>
      <c r="E17" t="inlineStr"/>
      <c r="F17" t="inlineStr"/>
      <c r="G17" t="inlineStr">
        <is>
          <t>Los Angeles, CA</t>
        </is>
      </c>
      <c r="H17" t="inlineStr"/>
      <c r="I17" t="inlineStr">
        <is>
          <t>Job description
 About the role
 We are looking for a Generative AI Engineer to help build applications powered by large language models (LLMs). You will help create prompt workflows, retrieval\-augmented generation (RAG) pipelines, and AI features that deliver business value safely and reliably.
 What you will do
 • Build GenAI prototypes and production features using LLM APIs and open\-source models
 • Develop prompt strategies and evaluate outputs for quality and consistency
 • Implement RAG using vector databases and document pipelines
 • Create automated tests and evaluation approaches for GenAI responses
 • Work on responsible AI practices (privacy, safety, bias mitigation)
 What you are looking for
 • Strong Python skills and comfort with APIs
 • Understanding of NLP fundamentals and basic ML concepts
 • Ability to write clean code and iterate quickly
 Nice to have
 • Familiarity with LangChain or LlamaIndex (or similar orchestration tools)
 • Experience with vector databases (Pinecone, Weaviate, FAISS, Chroma)
 • Basic knowledge of embeddings, token limits, context windows, and prompt injection risks
 • Cloud and Docker exposure</t>
        </is>
      </c>
    </row>
    <row r="18">
      <c r="A18" t="inlineStr">
        <is>
          <t>li-4371460104</t>
        </is>
      </c>
      <c r="B18" t="inlineStr">
        <is>
          <t>Gen AI/ML Engineer</t>
        </is>
      </c>
      <c r="C18" t="inlineStr">
        <is>
          <t>Wissen Technology</t>
        </is>
      </c>
      <c r="D18" t="inlineStr">
        <is>
          <t>linkedin</t>
        </is>
      </c>
      <c r="E18" t="inlineStr"/>
      <c r="F18" t="inlineStr"/>
      <c r="G18" t="inlineStr">
        <is>
          <t>Alpharetta, GA</t>
        </is>
      </c>
      <c r="H18" t="inlineStr"/>
      <c r="I18" t="inlineStr">
        <is>
          <t>**Gen AI/ML Engineer , Wissen Technology** 
 ,
 **Alpharetta, GA** 
 The Wissen team continues to expand its footprint in the Canada \&amp; USA. More openings to come as we continue to grow the team!
 Please read below for a brilliant career opportunity.
**Role: Gen AI/ML Engineer** 
**Title: Associate** 
**Location: Alpharetta, GA (Day 1 Onsite/Hybrid)** 
**Mode of Work: 3 days per week onsite required** 
**Required experience: 1\+ Years Required** 
 We are looking for an
 **Gen AI/ML Engineer** 
 to design, build, and deploy machine learning models and AI\-driven solutions. The ideal candidate has experience with data processing, model development, and production deployment.
**Key Responsibilities:** 
* Assist in designing, developing, and training machine learning models.
* Implement ML pipelines and support model evaluation, optimization, and deployment.
* Work with data preprocessing tools to clean, transform, and prepare datasets.
* Collaborate with senior engineers and cross\-functional teams to implement ML solutions.
* Document model behavior, experiments, and results.
* Support research activities by exploring new techniques, tools, and frameworks.
**Mandatory Skills:** 
* Proficiency in
 **Python** 
 .
* Working knowledge of
 **TensorFlow or PyTorch** 
 .
* Strong understanding of
 **machine learning algorithms** 
 and concepts.
**Preferred Skills:** 
* Exposure to data preprocessing tools like
 **Pandas** 
 and
 **NumPy** 
 .
* Basic understanding of
 **cloud AI services** 
 (AWS, Azure, or GCP).
**Benefits:** 
* 401K
* Healthcare insurance for you and your family (medical, dental, vision).
* Short / Long term disability insurance.
* Life Insurance.
* Accidental death \&amp; disability Insurance.
* 3 weeks of Paid Time Off.
* Support and fee coverage for immigration needs.
* Remote office set up stipend.
* Support for industry certifications.
* Additional cash incentives.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Perform other duties as needed
**Your Education and Experience:** 
 · We value candidates who can execute on our vision and help us build an industry\-leading organization. Rather than requiring a specific certification or number of years of experience, we ask that you be able to demonstrate your skills in the areas outlined above.
 · Graduate\-level degree in computer science, engineering, or related technical field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organizations in the Banking \&amp; Finance, Telecom, and Healthcare domains. We help clients build world\-class products.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stems from the talented professionals we attract. Committed to fostering their growth and providing top\-tier career opportunities, Wissen ensures an outstanding experience and value for our clients and employees. We serve diverse industries, including Banking, E\-commerce, Telecom, Healthcare, Manufacturing, and Energy.
**About Wissen Technology:** 
 Website : www.wissen.com
 LinkedIn: https://www.linkedin.com/company/wissen\-technology
 Wissen Leadership : https://www.wissen.com/company/wissen\-technology\-leadership
 Wissen Live : https://www.linkedin.com/company/wissen\-technology/posts/feedView\=All
 Wissen Thought Leadership : https://www.wissen.com/articles/
 Employee Speak:
 https://www.ambitionbox.com/overview/wissen\-technology\-overview
 https://www.glassdoor.com/Reviews/Wissen\-Infotech\-Reviews\-E287365\.htm
 Great Place to Work:
 https://www.wissen.com/blog/wissen\-is\-a\-great\-place\-to\-work\-says\-the\-great\-place\-to\-work\-institute\-…
 https://www.linkedin.com/posts/wissen\-infotech\_wissen\-leadership\-wissenites\-activity\-69354595461317…
 About Wissen Interview Process:
 https://www.wissen.com/blog/we\-work\-on\-highly\-complex\-technology\-projects\-here\-is\-how\-it\-changes\-wh…
 Latest in Wissen in CIO Insider :
 https://www.cioinsiderindia.com/vendor/wissen\-technology\-setting\-new\-benchmarks\-in\-technology\-consu…
 Job Type: Full\-time
 Schedule:
* Monday to Friday</t>
        </is>
      </c>
    </row>
    <row r="19">
      <c r="A19" t="inlineStr">
        <is>
          <t>li-4363223476</t>
        </is>
      </c>
      <c r="B19" t="inlineStr">
        <is>
          <t>AI Engineer</t>
        </is>
      </c>
      <c r="C19" t="inlineStr">
        <is>
          <t>Mortenson</t>
        </is>
      </c>
      <c r="D19" t="inlineStr">
        <is>
          <t>linkedin</t>
        </is>
      </c>
      <c r="E19" t="inlineStr"/>
      <c r="F19" t="inlineStr"/>
      <c r="G19" t="inlineStr">
        <is>
          <t>Minneapolis, MN</t>
        </is>
      </c>
      <c r="H19" t="inlineStr"/>
      <c r="I19" t="inlineStr">
        <is>
          <t>**Summary**
 Mortenson is currently seeking an AI Engineer that will play a key role in developing, testing, and deploying AI solutions that enhance decision\-making, automate workflows, and unlock new value across the enterprise and with project teams. This role will integrate models and AI solutions into enterprise systems and field applications, working closely with cross\-functional teams, to ensure alignment between business needs and data architecture, defining data models for specific focus areas.
**Responsibilities**
* Test and evaluate AI solutions and functionalities within and beyond enterprise solutions
* Translate business requirements into business\-ready AI solutions
* Collaborate with business partners, presenting goals, objective and findings to non\-technical audiences to promote innovation aligned with R\&amp;D efforts of the organization
* Work with structured and unstructured data from construction platforms (eg. Procore, Autodesk)
* Partner with Data Solutions to apply reusable components and pipelines to support and implement scalable AI solutions for team members, supporting domain experts across ITS and operations
* Ensure AI solutions meet Mortenson’s standards for security, privacy, and responsible use
* Effectively work and build relationships with those of diverse backgrounds and organizational levels
* (If applicable) All other duties as assigned
**Qualifications**
* Bachelor’s or Master’s in Computer Science, Data Science, Engineering or related field.
* 2\+ years in experience in AI/ML engineering or applied data science
* Prior work in construction, architecture, engineering, or real estate development, preferred
* Experience with LLMs, multimodal models, or generative AI (eg. Azure AI Foundry, Google Vertex)
* Familiarity with agent frameworks, agentic workflows, and knowledge graph, preferred
* Strong proficiency in Python, ML frameworks, PowerBI, and data tools
* Exposure to enterprise construction platforms or solutions (eg. Procore, Autodesk, Oracle)
* Active listening skills and effective communication including an openness to diverse input and feedback
* Ability to travel up to 15%
* Driver’s license required
**A Few Benefits Offered Include**
 (for Non\-Craft \&amp; Non\-Union Craft working 25\+ hours / week)
*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 Gym Membership Discount Program
 The base pay range for this role is $85,300 \- $128,00\. (Actual range is higher for the following office locations: Denver, CO and Chicago, IL – 5%, Seattle, WA, and Portland, OR – 10%, Washington, D.C. – 12\.5%). If applicable: This position is eligible for Mortenson’s incentive plan.
 Base pay is positioned within the range based on several factors including an individual’s knowledge, skills, and experience, with consideration given to internal equity.
**Please Make Note**
* Visa sponsorship is not offered for this position.
* Our postings are typically open a minimum of 5 days and an average of 44 days.
**About Mortenson**
 As a top builder, developer, and EPC (Engineering, Procurement, and Construction), our expertise spans markets like sports, renewable energy, data centers, healthcare, and more. We are builders at heart, working to ensure the built environment has a lasting positive impact.
 Let’s Redefine Possible®
 Equal Employment Opportunity
 Your uniqueness brings new and creative perspectives to the team. Mortenson is committed to providing equal opportunities of employment (EOE) to all individuals, regardless of your race, religion, gender, national origin, age, veteran status, disability, marital status or any other legally protected category.
 Other Items to Note
* Mortenson reserves the right to hire any individual without legal or financial obligation on unwanted solicitations. No agency emails, calls, or solicitations are accepted without a valid agreement.
* Must be currently legally authorized to work in the U.S. without sponsorship for employment visa status (e.g., H1B status, 0\-1, TN, CPT, OPT, etc.). We are unable to sponsor or take over sponsorship of an employment Visa at this time.</t>
        </is>
      </c>
    </row>
    <row r="20">
      <c r="A20" t="inlineStr">
        <is>
          <t>li-4371476682</t>
        </is>
      </c>
      <c r="B20" t="inlineStr">
        <is>
          <t>Machine Learning Engineer ll</t>
        </is>
      </c>
      <c r="C20" t="inlineStr">
        <is>
          <t>Cohere Health</t>
        </is>
      </c>
      <c r="D20" t="inlineStr">
        <is>
          <t>linkedin</t>
        </is>
      </c>
      <c r="E20" t="inlineStr"/>
      <c r="F20" t="inlineStr"/>
      <c r="G20" t="inlineStr"/>
      <c r="H20" t="inlineStr"/>
      <c r="I20" t="inlineStr">
        <is>
          <t>**Opportunity Overview**
 We are looking for a Machine Learning Engineer ll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 Perform in\-depth analysis of healthcare data to independently design, develop, and deliver clinical ML models.
* Build reliable and scalable production machine learning systems
* Work on feature engineering, statistical analysis, developing novel ML techniques, understanding performance, and improving model run time.
* Work cross\-functionally across diverse stakeholders, including product managers, statisticians, clinicians, and clinical analysts.
**What You’ll Need**
* You have 2\-4 years full time professional experience in Machine Learning
* You have an MS in computer science, machine learning, computational linguistics, statistics, mathematics or similar field
* You have hands on experience building with modern language models, including context\-engineering LLMs or fine\-tuning SLMs
* You understand scientific best practice in experimental design and can independently perform data collection, measurement, and interpretation of results
* You have experience configuring, training, evaluating, deploying, and maintaining models in a production setting
* Advanced proficiency in Python and familiarity with ML frameworks such as PyTorch.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$120,000 \- $140,000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Live Coding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21">
      <c r="A21" t="inlineStr">
        <is>
          <t>li-4361947951</t>
        </is>
      </c>
      <c r="B21" t="inlineStr">
        <is>
          <t>Senior Machine Learning Engineer – Model Training and Customization</t>
        </is>
      </c>
      <c r="C21" t="inlineStr">
        <is>
          <t>Red Hat</t>
        </is>
      </c>
      <c r="D21" t="inlineStr">
        <is>
          <t>linkedin</t>
        </is>
      </c>
      <c r="E21" t="inlineStr"/>
      <c r="F21" t="inlineStr"/>
      <c r="G21" t="inlineStr">
        <is>
          <t>Boston, MA</t>
        </is>
      </c>
      <c r="H21" t="inlineStr"/>
      <c r="I21" t="inlineStr">
        <is>
          <t>**Job Summary**
 Come be a part of Red Hat's charge to democratize AI with open source! Red Hat's Global Engineering Team is looking for a Senior Machine Learning Engineer to join our newly formed AI Engineering organization. This role will be located within the AI Innovation team, which conducts customer\- and science\-driven research to drive innovation for Red Hat's customers. The team focuses on a pattern of "research → open\-source software → product" as the way we operate our engineering work. This role will be focused on building the core logic and enhancements for our model fine\-tuning and post\-training libraries.
 In this role, you will work directly with research scientists and open source AI communities to build and improve implementations of novel training methods, ranging from SFT, continual learning, and offline preference tuning to online reinforcement learning methods like GRPO and RLHF. You will develop working relationships across multiple teams, contributing to both upstream open source projects and our internal Training Hub.
 The ideal candidate will be a highly collaborative individual with a passion for working on complex ML projects in an open organization where contributions are valued and expected from all levels. As this is a fast\-moving area of opportunity for Red Hat, the ability to communicate productively and effectively with team members, stakeholders, and Red Hat leadership is critical. Success in this role would be delivering robust, scalable training libraries that bridge cutting\-edge research with production needs.
 This position reports directly to the Manager of AI Innovation. This position may require occasional travel to partner collaboratively in our Boston, MA office multiple times per quarter. Successful applicants must reside in a state where Red Hat is registered to do business.
**Primary Job Responsibilities (what You’ll Do)**
 Develop core libraries for various model post\-training methods and innovations.
 Work directly on upstream, open source projects and engage with community needs and contributions.
 Contribute to core post\-training algorithm research and engineering, introducing new methods both to community efforts and our own Training Hub.
 Understand and adapt novel architectures and techniques to work with various post\-training algorithms, across distributed training frameworks.
 Optimize, enhance, and improve robustness and usability of both existing and in\-flight projects, working closely with researchers to validate prototype logic.
 Maintain and expand library feature pool, and address core algorithm bugs and blockers.
 Work closely with software engineers on interface and testing designs.
 Participate in code reviews and collaborate on best practices within the engineering team.
 Document system designs, processes, and model performance for transparency and future reference.
 Report on project status, challenges, and results to stakeholders.
**Required Skills (what You’ll Bring)**
 Bachelor's degree in computer science or equivalent.
 3\+ years of experience in Python development.
 Significant background in AI/ML projects or coursework (neural networks, deep learning, language models, reinforcement learning).
 Experience in research engineering, machine learning engineering, or applied ML roles.
 Strong experience with common model architecture development and adapter frameworks (e.g. PyTorch, Transformers, PEFT, etc.).
 Familiarity with distributed training frameworks (e.g. FSDP, DeepSpeed) and inference runtimes (e.g. vLLM).
 Experience in open\-source projects and collaborative development workflows.
 Existing background in software development or engineering, building robust and consumable libraries and implementations.
 Experience with unit testing, integration testing, and performance testing.
 Strong self\-motivation and organizational skills.
 Excellent written and verbal communication skills.
 Positive attitude and willingness to share ideas openly.
**Bonus Qualifications**
 Masters or PhD in Machine Learning (ML) / Natural Language Processing (NLP).
 Experience with MLOps and deployment systems (e.g., Kubeflow, MLflow, Kubernetes, CI/CD pipelines).
 Experience writing functional, end\-to\-end or coverage tests in Python.
 Experience with GitHub Actions, GitHub automation, or CI/CD practices.
 Experience reading/writing, publishing, and/or implementing research papers.
 Experience in Red Hat products.
 Experience in large language models.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2">
      <c r="A22" t="inlineStr">
        <is>
          <t>li-4371157572</t>
        </is>
      </c>
      <c r="B22" t="inlineStr">
        <is>
          <t>Machine Learning Engineer, Entry Level</t>
        </is>
      </c>
      <c r="C22" t="inlineStr">
        <is>
          <t>Emonics LLC</t>
        </is>
      </c>
      <c r="D22" t="inlineStr">
        <is>
          <t>linkedin</t>
        </is>
      </c>
      <c r="E22" t="inlineStr"/>
      <c r="F22" t="inlineStr"/>
      <c r="G22" t="inlineStr">
        <is>
          <t>Chicago, IL</t>
        </is>
      </c>
      <c r="H22" t="inlineStr"/>
      <c r="I22" t="inlineStr">
        <is>
          <t>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row>
    <row r="23">
      <c r="A23" t="inlineStr">
        <is>
          <t>li-4371482455</t>
        </is>
      </c>
      <c r="B23" t="inlineStr">
        <is>
          <t>Senior Machine Learning Engineer, Relevance and Personalization</t>
        </is>
      </c>
      <c r="C23" t="inlineStr">
        <is>
          <t>Airbnb</t>
        </is>
      </c>
      <c r="D23" t="inlineStr">
        <is>
          <t>linkedin</t>
        </is>
      </c>
      <c r="E23" t="inlineStr"/>
      <c r="F23" t="inlineStr"/>
      <c r="G23" t="inlineStr"/>
      <c r="H23" t="inlineStr"/>
      <c r="I2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Relevance and Personalization team at Airbnb is responsible for search and recommendation across the entire Airbnb digital platform. Be a leader in the team working on critical, impactful projects with focus on developing end\-to\-end ranking algorithms and ecosystems for optimizing multiple critical business objectives.
**The Difference You Will Make**
 We build cutting\-edge AI technologies across the end\-to\-end search ranking product stack w.r.t. data pipelines, feature and model innovations, serving and experimentation efficiency, leveraging rich signals from various types of data (structured, sequential, image, text, etc) at Airbnb. We collaborate closely with teams across Airbnb to develop the ranking solutions and support a healthy marketplace for hosts and guests to further Airbnb’s mission of creating a world where people can Belong Anywhere. Some past publications from the team can be found here: https://sites.google.com/view/airbnb\-relevance\-publications/home
**A Typical Day**
* Work with large scale structured and unstructured data, build and continuously improve cutting edge Machine Learning models for Airbnb product, business and operational use cases.
*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 Hands\-on develop, productionize, and operate Machine Learning models and pipelines at scale, including both batch and real\-time use cases.
* Leverage third\-party and in\-house Machine Learning tools \&amp; infrastructure to develop reusable, highly differentiating and high\-performing Machine Learning systems, enable fast model development, low\-latency serving and ease of model quality upkeep.
* Example projects include: feature platform, model interpretability, hyperparameter optimization, concept drift detection.
**Your Expertise**
* 5\+ years of industry experience in applied Machine Learning, inclusive MS or PhD in relevant fields
* Strong programming (Scala / Python / Java / C\+\+ or equivalent) and data engineering skills
* Deep understanding of Machine Learning best practices (eg. training/serving skew minimization, A/B test, feature engineering, feature/model selection), algorithms (eg. neural networks/deep learning, optimization) and domains (eg. natural language processing, computer vision, personalization, search and recommendation, marketplace optimization, anomaly detection)
* Experience with 3 or more of these technologies: Tensorflow, PyTorch, Kubernetes, Spark, Airflow (or equivalent), Kafka (or equivalent), data warehouse (eg. Hive)
* Industry experience building end\-to\-end Machine Learning infrastructure and/or building and productionizing Machine Learning models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$191,000—$225,000 USD</t>
        </is>
      </c>
    </row>
    <row r="24">
      <c r="A24" t="inlineStr">
        <is>
          <t>li-4371194369</t>
        </is>
      </c>
      <c r="B24" t="inlineStr">
        <is>
          <t>Senior AI/ ML Engineer</t>
        </is>
      </c>
      <c r="C24" t="inlineStr">
        <is>
          <t>Universal Orlando Resort</t>
        </is>
      </c>
      <c r="D24" t="inlineStr">
        <is>
          <t>linkedin</t>
        </is>
      </c>
      <c r="E24" t="inlineStr"/>
      <c r="F24" t="inlineStr"/>
      <c r="G24" t="inlineStr">
        <is>
          <t>Orlando, FL</t>
        </is>
      </c>
      <c r="H24" t="inlineStr"/>
      <c r="I24" t="inlineStr">
        <is>
          <t>****JOB SUMMARY:****
 The Senior AI/ML Engineer role will design and build custom AI\-powered applications end\-to\-end, from prototype to production, focused on delivering measurable business value. The Senior AI/ML Engineer will engineer full AI systems that integrate model capabilities into real products: robust API endpoints, agentic or AI workflow orchestration, scalable backend services, and well\-designed data models. Hands\-on in implementation, deeply involved in system quality and reliability, and eager to mentor junior engineers while raising the team’s engineering bar.
****MAJOR RESPONSIBILITIES:****
**AI Development**
* Architect and implement end\-to\-end AI solutions, including backend services, APIs, databases, and model integration layers.
* Develop and maintain API endpoints (REST/GraphQL) that reliably serve AI capabilities to internal and external consumers.
* Design and implement backend database schemas (relational and/or NoSQL) and data access patterns optimized for AI workloads and application needs.
* Build scalable AI infrastructure patterns (job queues, caching, streaming, async workers) to support low\-latency and high\-throughput use cases.
* Apply secure engineering practices including authentication/authorization, secrets management, threat modeling, and PII handling.
**Engineer AI \&amp; Agentic Workflows**
* Implement AI pipelines including Retrieval\-Augmented Generation (RAG), tool/function calling, structured output, and agentic workflows.
* Choose appropriate model strategies: prompt\-based, RAG, fine\-tuning, or hybrid approaches based on cost, latency, and quality requirements.
* Evaluate and integrate foundation models (open\-source and commercial) with attention to licensing, security, privacy, and performance.
**AI Evaluation**
* Define and implement evaluation frameworks to measure AI system quality (accuracy, relevance, grounding, hallucination rates, safety, latency, cost).
* Create automated test suites for prompts/workflows and regression testing for model and data changes.
* Monitor production systems for drift, degradation, and reliability issues; establish observability (logs, traces, metrics) and incident response practices.
**Collaboration and Mentorship**
* Partner with Product, Data Science, Data Engineering, DevOps and Platform teams to translate requirements into robust technical solutions.
* Mentor junior engineers through code reviews, technical guidance, and best\-practice sharing.
* Lead by example in engineering rigor, craftsmanship, and pragmatic decision\-making.
* Understands and actively participates in Environmental, Health \&amp; Safety responsibilities by following established UO policy, procedures, training and team member involvement activities.
* Performs other duties as assigned.
****EDUCATION:****
* Bachelor’s degree in computer science, Engineering, Data Science, or a related field is required.
* An advanced degree (Masters or PhD) in a relevant field is strongly preferred, emphasizing computer science, machine learning, robotics, or business management.
****EXPERIENCE:****
* 5\+ years in software engineering and/or applied AI/ML roles, with demonstrated delivery of production systems.
****ADDITIONAL INFORMATION:****
* AI/ML Expertise: Strong working knowledge of modern ML/GenAI tools (e.g., PyTorch/TensorFlow, Hugging Face, LangChain/LlamaIndex or similar).
* Backend Engineering: Proven ability to build and maintain backend services and APIs (Python/TypeScript/Java/Go or similar).
* Data \&amp; Storage: Experience designing database schemas and working with relational and/or NoSQL databases; familiarity with vector databases is a plus.
* Cloud Proficiency: Proficient in at least one major cloud provider (AWS, GCP, or Azure), including deployment and managed services.
* Evaluation Discipline: Demonstrated experience measuring AI system quality with repeatable evaluation methods and production monitoring.
* Scaling Mindset: Ability to design systems for performance, reliability, and maintainability at scale.
* Communication: Strong written and verbal communication skills; able to explain tradeoffs clearly to technical and non\-technical stakeholders.
* Mentorship: Eagerness and ability to mentor junior engineers and elevate team practices.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2025 Universal Studios. All rights reserved. EOE</t>
        </is>
      </c>
    </row>
    <row r="25">
      <c r="A25" t="inlineStr">
        <is>
          <t>li-4371460226</t>
        </is>
      </c>
      <c r="B25" t="inlineStr">
        <is>
          <t>Applied AI Engineer</t>
        </is>
      </c>
      <c r="C25" t="inlineStr">
        <is>
          <t>SOCOTEC USA</t>
        </is>
      </c>
      <c r="D25" t="inlineStr">
        <is>
          <t>linkedin</t>
        </is>
      </c>
      <c r="E25" t="inlineStr"/>
      <c r="F25" t="inlineStr"/>
      <c r="G25" t="inlineStr">
        <is>
          <t>New York, NY</t>
        </is>
      </c>
      <c r="H25" t="inlineStr"/>
      <c r="I25"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26">
      <c r="A26" t="inlineStr">
        <is>
          <t>li-4371194720</t>
        </is>
      </c>
      <c r="B26" t="inlineStr">
        <is>
          <t>AI/ML Engineer</t>
        </is>
      </c>
      <c r="C26" t="inlineStr">
        <is>
          <t>Programmers.io</t>
        </is>
      </c>
      <c r="D26" t="inlineStr">
        <is>
          <t>linkedin</t>
        </is>
      </c>
      <c r="E26" t="inlineStr"/>
      <c r="F26" t="inlineStr"/>
      <c r="G26" t="inlineStr">
        <is>
          <t>Charlotte, NC</t>
        </is>
      </c>
      <c r="H26" t="inlineStr"/>
      <c r="I26" t="inlineStr">
        <is>
          <t>**Job Description:**
* 6\+ years in AI/ML engineering, data science, or advanced analytics.
* Hands\-on experience developing AI POCs and prototypes.
* Strong knowledge of ML frameworks (TensorFlow, PyTorch, Hugging Face, LangChain, etc.).
* Familiarity with generative AI, Agentic AI, NLP, AI/ML frameworks and automation strategies.
* Experience with cloud AI services and APIs.
**Skills:** 
* Strong AI/ML model development capabilities, Python/SQL skills and rapid prototyping ability.
* Ability to move quickly from ideation to functional demonstration.
* Strong analytical, problem\-solving, and storytelling skills.
* Comfort with ambiguity and iterative experimentation.
* Education: Bachelor’s or Master’s in Computer Science, Data Science, Engineering, or related field.</t>
        </is>
      </c>
    </row>
    <row r="27">
      <c r="A27" t="inlineStr">
        <is>
          <t>li-4211913542</t>
        </is>
      </c>
      <c r="B27" t="inlineStr">
        <is>
          <t>Machine Learning Engineer - 3D Sensor Simulation</t>
        </is>
      </c>
      <c r="C27" t="inlineStr">
        <is>
          <t>Zoox</t>
        </is>
      </c>
      <c r="D27" t="inlineStr">
        <is>
          <t>linkedin</t>
        </is>
      </c>
      <c r="E27" t="inlineStr"/>
      <c r="F27" t="inlineStr"/>
      <c r="G27" t="inlineStr">
        <is>
          <t>Foster City, CA</t>
        </is>
      </c>
      <c r="H27" t="inlineStr"/>
      <c r="I27" t="inlineStr">
        <is>
          <t>The 3D Simulation group at Zoox is looking for 3D Machine Learning engineers to simulate sensors (cameras, lidar, radar), combining GenAI/ML and modern 3D graphics techniques to close the gap between simulation and reality. You will have access to the best sensor data in the world and an incredible infrastructure for testing and validating your algorithms. Collaborate with Sensor Sim, Perception, and V\&amp;V teams to evaluate and iteratively improve the fidelity of sensor simulation. The 3D Sensor Simulation team’s work is at the core of creating high\-fidelity synthetic data for training and testing AV AI, as well as real\-time sensor data for hardware\-in\-the\-loop simulation.
**In This Role, You Will**
* Research, implement, and optimize state of the art 3D rendering of sensor data, leveraging GenAI/ML and 3D graphics.
* Develop realism metrics with V\&amp;V to show measurable impact of your improved sensor fidelity.
* Collaborate with Perception and Safety teams to improve realism of sensor simulation for high fidelity synthetic data.
* Improve rendering and ML inference tooling for generating realistic data at scale.
**Qualifications**
* 2\+ years of industry experience, and/or PhD, developing neural rendering techniques like Gaussian Splatting, NeRFs, or 3D reconstruction
* 2\+ years of experience developing software with Python and/or modern C\+\+
* Expertise with machine learning frameworks PyTorch or Tensorflow
* Familiarity with 3D graphics algorithms, such as 3D geometry and camera models
* Strong mathematical skills and understanding of 3D linear algebra and probabilistic techniques
**Bonus Qualifications**
* Master's or PhD in computer science, mathematics, physics, or related field
* Experience with generative models for 3D content pipelines using applications like Houdini, Maya, or Blender.
* Experience in 3D rendering for simulation, games, cloud computing, or VFX
 $176,000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
      <c r="A28" t="inlineStr">
        <is>
          <t>li-4363271114</t>
        </is>
      </c>
      <c r="B28" t="inlineStr">
        <is>
          <t>Audio Machine Learning Engineer Co-op</t>
        </is>
      </c>
      <c r="C28" t="inlineStr">
        <is>
          <t>Bose Corporation</t>
        </is>
      </c>
      <c r="D28" t="inlineStr">
        <is>
          <t>linkedin</t>
        </is>
      </c>
      <c r="E28" t="inlineStr"/>
      <c r="F28" t="inlineStr"/>
      <c r="G28" t="inlineStr">
        <is>
          <t>Framingham, MA</t>
        </is>
      </c>
      <c r="H28" t="inlineStr"/>
      <c r="I28"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**THE ROLE**
 At Bose, we use machine learning across a diverse set of problems ranging from speech enhancement (e.g., Bose PinPoint) to audio perception. As an ML Engineer Co\-op at Bose, you will help build our next generation of wearable and speaker products empowered by deep learning.
**Responsibilities**
* Build desktop and embedded software prototypes to demonstrate new ML\-powered audio features on our wearables
* Design, train, and evaluate deep learning algorithms with a focus on low\-latency, on\-device audio tasks
* Research, implement, and benchmark state\-of\-the\-art approaches in audio ML, speech enhancement, keyword spotting, and audio signal processing
* Collaborate across hardware, firmware, and UX teams to define requirements and inform product roadmaps
**Minimum Qualifications**
* Currently pursuing a M.S. or Ph.D. in Computer Science, Electrical Engineering, Machine Learning, or a related field
* 3\+ years of Python and C/C\+\+ experience
* Strong experience implementing deep neural networks with PyTorch, TensorFlow, or similar frameworks
* Proven cross\-group and cross\-culture collaboration skills
* Creative problem\-solver with demonstrated ability to work independently
**Preferred Qualifications**
* Prior internship or work experience as a Software/ML engineer
* Publication record in ML or audio signal processing venues
* Solid background in digital signal processing and embedded systems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$40\.00\-$51\.25 per hour.The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29">
      <c r="A29" t="inlineStr">
        <is>
          <t>li-4371306033</t>
        </is>
      </c>
      <c r="B29" t="inlineStr">
        <is>
          <t>AI/ML Engineer</t>
        </is>
      </c>
      <c r="C29" t="inlineStr">
        <is>
          <t>Programmers.io</t>
        </is>
      </c>
      <c r="D29" t="inlineStr">
        <is>
          <t>linkedin</t>
        </is>
      </c>
      <c r="E29" t="inlineStr"/>
      <c r="F29" t="inlineStr"/>
      <c r="G29" t="inlineStr">
        <is>
          <t>Charlotte, NC</t>
        </is>
      </c>
      <c r="H29" t="inlineStr"/>
      <c r="I29" t="inlineStr">
        <is>
          <t>**Job Role: AI/ML Engineer** 
**Location: Charlotte, NC (Hybrid \- 3 Days onsite/week)** 
**Duration: Full\-Time** 
**Job Description:** 
* 6\+ years in AI/ML engineering, data science, or advanced analytics.
* Hands\-on experience developing AI POCs and prototypes.
* Strong knowledge of ML frameworks (TensorFlow, PyTorch, Hugging Face, LangChain, etc.).
* Familiarity with generative AI, Agentic AI, NLP, AI/ML frameworks and automation strategies.
* Experience with cloud AI services and APIs.
**Skills:** 
* Strong AI/ML model development capabilities, Python/SQL skills and rapid prototyping ability.
* Ability to move quickly from ideation to functional demonstration.
* Strong analytical, problem\-solving, and storytelling skills.
* Comfort with ambiguity and iterative experimentation.
* Education: Bachelor’s or Master’s in Computer Science, Data Science, Engineering, or related field.</t>
        </is>
      </c>
    </row>
    <row r="30">
      <c r="A30" t="inlineStr">
        <is>
          <t>li-4371182049</t>
        </is>
      </c>
      <c r="B30" t="inlineStr">
        <is>
          <t>AI Engineer</t>
        </is>
      </c>
      <c r="C30" t="inlineStr">
        <is>
          <t>Confie</t>
        </is>
      </c>
      <c r="D30" t="inlineStr">
        <is>
          <t>linkedin</t>
        </is>
      </c>
      <c r="E30" t="inlineStr"/>
      <c r="F30" t="inlineStr"/>
      <c r="G30" t="inlineStr"/>
      <c r="H30" t="inlineStr"/>
      <c r="I30" t="inlineStr">
        <is>
          <t>***Pay Range:***
* *$110000 \- $140000 / year*
**Our Perks:**
* Generous PTO plans, sick pay and health benefits
* Annual bonus based on employment standing\*
* Work from home and hybrid model employment
* Confie Enablement Fund/ Scholarship Program
* I\-Care Recognition Program
* Corporate Social Responsibility Program
* Diversity, Equity and Inclusion Initiatives
* Confie Hub and Discount Programs (Gym Membership)
**Purpose**
 Responsible for designing, developing, and deploying production\-grade AI solutions including autonomous agents, generative AI applications, and RAG\-based systems. You will leverage large language models (LLMs), agentic frameworks, and advanced machine learning techniques to automate workflows, improve customer experiences, and drive business innovation.
**Essential Duties \&amp; Responsibilities**
 Design and deploy autonomous AI agents using frameworks like LangGraph, AutoGen, CrewAI, or OpenAI Assistants API for multi\-step reasoning and task execution.
 Implement function calling, tool use, and API integrations enabling LLMs to interact with enterprise systems, databases, and external applications.
 Design agent memory systems including conversational memory, long\-term knowledge retention, and context management strategies.
 Build advanced RAG systems with vector databases, hybrid search (dense \+ sparse retrieval), and reranking for domain\-specific chatbots and knowledge retrieval.
 Develop generative AI solutions for text generation, summarization, audio\-to\-text transcription, and call center conversation insights using LLMs.
 Develop advanced prompting strategies including chain\-of\-thought reasoning, few\-shot learning, and structured output generation.
 Integrate with AI platforms including Snowflake Cortex, OpenAI, Azure AI Studio, AWS Bedrock, and Anthropic Claude.
 Implement AI observability, guardrails, and evaluation frameworks (RAGAs, TruLens, DeepEval) to ensure quality, safety, and reliability.
 Conduct experiments and fine\-tune models using techniques like LoRA and QLoRA to optimize performance for domain\-specific use cases.
 Deploy production solutions using containerization (Docker, Kubernetes), CI/CD pipelines, and cloud\-native architectures.
 Continuously monitor the performance of AI solutions and implement improvements.
 Create high\-level and detailed design documentation for AI solutions, including architecture diagrams and technology selection rationale.
 Collaborate with cross\-functional teams to identify and prioritize high\-impact AI opportunities that drive significant business value.
 Mentor and provide guidance to junior team members; participate in code reviews and maintain high\-quality engineering standards.
 Keep updated with advances in AI technology and find opportunities to upgrade existing solutions.
 Adhere to best practices in data privacy and security when working with sensitive data.
**Qualifications and Education Requirements**
 Minimum of 3 years of professional experience in AI engineering or related roles.
 3\+ years experience developing AI/ML solutions on platforms such as Snowflake, Azure, AWS , OpenAI, Databricks, or similar.
 2\+ years hands\-on experience with Generative AI including LLM application development, RAG systems, and production deployments.
 Experience with agentic AI frameworks (LangGraph, AutoGen, CrewAI, OpenAI Assistants API) and multi\-agent orchestration.
 Proficiency in Python, LangChain/LlamaIndex, and vector databases (Pinecone, Weaviate, Chroma, pgvector, Snowflake).
 Expertise in prompt engineering including chain\-of\-thought, few\-shot learning, and structured outputs (JSON mode, function calling).
 Experience with evaluation frameworks for Generative AI (RAGAs, TruLens, DeepEval) in the context of text generation.
 Understanding of AI safety concepts including guardrails, content filtering, hallucination mitigation, and red\-teaming.
 Experience with data preprocessing, feature engineering, and model evaluation techniques.
 Solid understanding of software engineering principles and best practices.
 Experience bringing GenAI projects through production and implementation with measurable business impact.
**Soft Skills**
 Strong analytical and problem\-solving skills.
 Excellent communication skills with ability to articulate complex technical concepts to both technical and non\-technical stakeholders.
 Highly motivated and self\-driven with ability to work independently and in collaborative team environments.
 Ability to think creatively about applying AI to solve business problems.
 Effective time management and organizational skills to manage multiple projects simultaneously.
 Continuous learning mindset and ability to adapt to new technologies in the fast\-evolving AI landscape.
**Preferred Skills**
 Bachelor's or Master's degree in Computer Science, Data Science, or a related field is preferred.
 Relevant certifications in AI/ML platforms (AWS, Azure, Google Cloud) or related areas are a plus.
 Familiarity with the call center environments and operational insurance platforms is preferred
**Other Duties**
 This job description is not designed to cover or contain a comprehensive listing of activities, duties, or responsibilities that are required of the employee for this job. Duties, responsibilities, and activities may change at any time with or without notice
**Notice**
 As permitted by applicable law and from time\-to\-time, Confie may use a computer system that has elements of artificial intelligence to help make decisions about your employment, including recruitment, hiring, renewal of employment, or the terms and conditions of your employment. Employees with questions about Confie’s use of these computer systems should contact Human Resources at employeerelations@confie.com</t>
        </is>
      </c>
    </row>
    <row r="31">
      <c r="A31" t="inlineStr">
        <is>
          <t>li-4371449969</t>
        </is>
      </c>
      <c r="B31" t="inlineStr">
        <is>
          <t>Applied AI Engineer</t>
        </is>
      </c>
      <c r="C31" t="inlineStr">
        <is>
          <t>SOCOTEC USA</t>
        </is>
      </c>
      <c r="D31" t="inlineStr">
        <is>
          <t>linkedin</t>
        </is>
      </c>
      <c r="E31" t="inlineStr"/>
      <c r="F31" t="inlineStr"/>
      <c r="G31" t="inlineStr">
        <is>
          <t>Boston, MA</t>
        </is>
      </c>
      <c r="H31" t="inlineStr"/>
      <c r="I31"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32">
      <c r="A32" t="inlineStr">
        <is>
          <t>li-4371195720</t>
        </is>
      </c>
      <c r="B32" t="inlineStr">
        <is>
          <t>Senior Machine Learning Engineer, Perception, Data &amp; Systems</t>
        </is>
      </c>
      <c r="C32" t="inlineStr">
        <is>
          <t>Waymo</t>
        </is>
      </c>
      <c r="D32" t="inlineStr">
        <is>
          <t>linkedin</t>
        </is>
      </c>
      <c r="E32" t="inlineStr"/>
      <c r="F32" t="inlineStr"/>
      <c r="G32" t="inlineStr">
        <is>
          <t>Mountain View, CA</t>
        </is>
      </c>
      <c r="H32" t="inlineStr"/>
      <c r="I3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6\+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3">
      <c r="A33" t="inlineStr">
        <is>
          <t>li-4326356989</t>
        </is>
      </c>
      <c r="B33" t="inlineStr">
        <is>
          <t>Machine Learning Engineer</t>
        </is>
      </c>
      <c r="C33" t="inlineStr">
        <is>
          <t>Recruiting from Scratch</t>
        </is>
      </c>
      <c r="D33" t="inlineStr">
        <is>
          <t>linkedin</t>
        </is>
      </c>
      <c r="E33" t="inlineStr"/>
      <c r="F33" t="inlineStr"/>
      <c r="G33" t="inlineStr">
        <is>
          <t>San Francisco, CA</t>
        </is>
      </c>
      <c r="H33" t="inlineStr"/>
      <c r="I33"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34">
      <c r="A34" t="inlineStr">
        <is>
          <t>li-4371302222</t>
        </is>
      </c>
      <c r="B34" t="inlineStr">
        <is>
          <t>AI Engineer</t>
        </is>
      </c>
      <c r="C34" t="inlineStr">
        <is>
          <t>CURE Auto Insurance (Citizens United Reciprocal Exchange)</t>
        </is>
      </c>
      <c r="D34" t="inlineStr">
        <is>
          <t>linkedin</t>
        </is>
      </c>
      <c r="E34" t="inlineStr"/>
      <c r="F34" t="inlineStr"/>
      <c r="G34" t="inlineStr">
        <is>
          <t>Princeton, NJ</t>
        </is>
      </c>
      <c r="H34" t="inlineStr"/>
      <c r="I34" t="inlineStr">
        <is>
          <t>AI Engineer 
 CURE Auto Insurance is a leading direct writer of auto insurance in New Jersey, Pennsylvania, and Michigan. CURE offers a great working environment, competitive salary, and comprehensive benefits package which includes health and dental coverage, life and disability insurance, 401k with generous company match, and much more!
 We are seeking an experienced AI Engineer to design, implement, and deploy cutting\-edge artificial intelligence and machine learning solutions into our production environment. This role requires a strong foundation in software engineering, understanding of ML principles, and experience with scalable data infrastructure.
 Required Qualifications:
* Bachelor's or Master's degree in Computer Science, Engineering, or a related technical field.
* 2\+ years of progressive experience or knowledge in Machine Learning and Generative AI solutions.
* Expertise in Python or Java for developing large\-scale, robust applications.
* Strong knowledge of Machine Learning algorithms and Deep Learning concepts.
* Knowledge or experience with ML frameworks like TensorFlow and PyTorch.
* Foundation in statistical knowledge, including probability, hypothesis testing, and linear algebra.
* Experience with Vector Databases and implementing Retrieval\-Augmented Generation (RAG) systems.
* Ability to build and maintain APIs/microservices for model serving.
* Familiarity with cloud platforms (e.g., AWS, GCP, Azure) and containerization (Docker, Kubernetes).
* Experience with CI/CD and production deployment is a plus.
* Perform other duties as assigned.
 Benefits
* Comprehensive health benefits including medical, dental and vision coverage
* Generous paid time off (PTO days, sick days, and holidays)
* Flexible spending options with FSA \&amp; HSA plans
* Life and AD\&amp;D insurance
* 401(k) with company match
* Voluntary benefits such as legal services, pet insurance, and identity \&amp; fraud protection
* 24/7 Employee Assistance Program (EAP) for employees and their families
* Health \&amp; wellness perks including gym discounts, wellness reimbursements, and reward programs
* Fun, engaging in\-office events that support our culture
 Physical Actions/Environment: Required job duties consist of prompt and regular attendance, ability to frequently move about the office to coordinate work with others; standing, sitting and typing for extended periods; and lifting and/or carrying up to 5 lbs. Ability to frequently communicate with others in\-person, on the phone/virtually, and in writing. Ability to read, understand, process and evaluate large amounts of technical information and make related, informed decisions. 
 Starting Salary: $90,000 \- $120,000
 Schedule: We offer flexible work hours between 8:00 AM and 5:00 PM, and employees can choose a schedule that works best for them—8:00 AM–4:00 PM, 8:30 AM–4:30 PM, or 9:00 AM–5:00 PM. While we aim to support individual preferences, final schedules may be adjusted based on business needs to ensure great coverage and teamwork.
 We offer a hybrid work schedule: team members work onsite 4 days per week and have the flexibility to work remotely 1 day per week.
 Location: Princeton, NJ
 We recruit, hire, employ, train and promote, and compensate individuals based on job\-related qualifications and abilities. We respect the dignity and worth of each individual and are committed to an employment environment that is free from all forms of employment discrimination. 
 CURE Auto Insurance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pregnancy,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Disclaimer: This job description reflects management's assignment of essential functions; it does not prescribe or restrict the tasks that may be assigned.  This job description may be subject to change at any time.
 Applicants must be authorized to work for ANY employer in the U.S. We are unable to sponsor or take over sponsorship of an employment Visa at this time.</t>
        </is>
      </c>
    </row>
    <row r="35">
      <c r="A35" t="inlineStr">
        <is>
          <t>li-4371312060</t>
        </is>
      </c>
      <c r="B35" t="inlineStr">
        <is>
          <t>Applied Machine Learning Engineer Expert</t>
        </is>
      </c>
      <c r="C35" t="inlineStr">
        <is>
          <t>Allstate</t>
        </is>
      </c>
      <c r="D35" t="inlineStr">
        <is>
          <t>linkedin</t>
        </is>
      </c>
      <c r="E35" t="inlineStr"/>
      <c r="F35" t="inlineStr"/>
      <c r="G35" t="inlineStr"/>
      <c r="H35" t="inlineStr"/>
      <c r="I35"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expert role will be responsible for multiple major technical aspects and forward engineering in the field of machine learning, information retrieval, artificial intelligence, natural language processing, and ontology engineering technologies. Plays a key role in the vision and realization of cutting\-edge technical capabilities into business applications and solutions.
 We are looking for a
 **Generative AI Software Engineer** 
 to join our team and help build next\-generation AI\-driven solutions. This role blends
 **traditional Software engineering** 
 with
 **cutting\-edge AI integration** 
 , enabling innovative digital products and services. You will work closely with cross\-functional teams to design, develop, and deploy secure, scalable applications and integrate advanced AI models into production environments.
**Key Responsibilities**
**Sofware Engineering**
* Build secure, scalable, and high\-performance microservices and applications using Java Spring Boot / Python.
* Design and maintain RESTful APIs and microservices architecture with asynchronous processing.
* Deploy and manage applications on cloud platforms, preferably Microsoft Azure.
**AI Integration \&amp; Development**
* Integrate and deploy Generative AI models (e.g., OpenAI, Hugging Face, LangChain) into production environments.
* Optimize LLMs for specific use cases and implement RAG (Retrieval\-Augmented Generation) pipelines.
* Work with embedding models, vector databases, and prompt engineering techniques.
* Explore multi\-modal AI systems and agentic AI frameworks for advanced capabilities.
**Modern Development Practices**
* Leverage tools like GitHub Copilot and agentic AI for code reviews, unit testing, and pull requests.
* Leverage APM tools like DataDog to enhance Observability posture for your application.
* Collaborate with platform consultants, product engineers, and digital product managers to integrate AI solutions.
**MLOps \&amp; Model Deployment**
* Implement best practices for model deployment, scaling, versioning, and monitoring.
* Develop and maintain scalable data pipelines for ingestion, processing, and feature engineering.
* Ensure compliance with ethical AI standards and data governance as per Allstate standards.
**Required Qualifications**
* 3\+ years of backend development experience using Java Spring Boot / Python.
* Strong understanding of RESTful APIs, microservices architecture, and asynchronous processing.
* Hands\-on experience with Docker, Kubernetes, and CI/CD pipelines.
* Experience working with Generative AI APIs and/or open\-source models.
* Knowledge of LangChain, LLM orchestration, and prompt engineering.
**Preferred Skills**
* Exposure to multi\-modal AI systems and agentic AI frameworks.
* Experience with MLOps workflows and cloud deployment (Azure/AI Foundry preferred).
* Strong problem\-solving and debugging skills.
**Nice to Have**
* Knowledge of ethical AI practices and compliance frameworks.
 Familiarity with
 **data preprocessing** 
 ,
 **token management** 
 , and
 **embedding generation**
**Skills**
 AI Frameworks, Artificial Intelligence (AI), Large Language Model (LLM) Fine\-Tuning, Large Language Models (LLMs), Machine Learning (ML)
**Compensation**
 Compensation offered for this role is 169,600\.00 \- 237,400\.00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36">
      <c r="A36" t="inlineStr">
        <is>
          <t>li-4346803447</t>
        </is>
      </c>
      <c r="B36" t="inlineStr">
        <is>
          <t>Senior AI Engineer</t>
        </is>
      </c>
      <c r="C36" t="inlineStr">
        <is>
          <t>Drata</t>
        </is>
      </c>
      <c r="D36" t="inlineStr">
        <is>
          <t>linkedin</t>
        </is>
      </c>
      <c r="E36" t="inlineStr"/>
      <c r="F36" t="inlineStr"/>
      <c r="G36" t="inlineStr">
        <is>
          <t>San Francisco, CA</t>
        </is>
      </c>
      <c r="H36" t="inlineStr"/>
      <c r="I36"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where you’ll feel at home here.
**Why Join The Drata Team?**
 The best way to understand the Driver’s Mindset is to see it in action. We’re an award\-winning, mission\-driven team of
 **600\+ people worldwide** 
 , united by a culture that values trust, speed, and continuous growth.
* See the Speed: Watch our CEO, Adam Markowitz, discuss the hyper\-growth journey, from $0 to $100M ARR in just four years
* Hear the Voice of the Team: Explore our "Life at Drata" page for employee testimonials on our collaborative and the growth opportunities available.
* Experience the Impact: See why we are consistently recognized on Fortune's Best Workplaces lists.
* Connect with Us on Socials: LinkedIn \- follow us for company updates, employee stories, and career news.
**Job Summary**
 Drata is advancing the frontier of compliance automation by integrating intelligent AI capabilities into its platform. We are seeking a Senior AI Engineer to help design, build, and scale robust, high\-impact AI systems that improve operational efficiency, enhance decision\-making, and support trust\-critical enterprise workflows.
 This role focuses on solving complex, real\-world problems with agentic AI, LLMs, and intelligent reasoning systems, including automating questionnaire answering and other compliance\-related workflows. You will work on creating generalizable AI solutions that can be applied across multiple products and domains, collaborating with cross\-functional teams to bring cutting\-edge research into production\-ready systems.
 As a Senior AI Engineer, you will own the end\-to\-end design, implementation, and evolution of AI\-driven systems embedded directly into Drata’s core platform. Your work will focus on building generalizable, reusable AI capabilities rather than one\-off features, enabling multiple product surfaces and workflows across compliance and security.
**What You'll Do**
**Build Agentic \&amp; Intelligent AI Systems**
* Design and implement LLM\-powered systems capable of multi\-step reasoning, evidence grounding, and decision support in high\-trust domains.
* Develop agentic workflows that combine retrieval, tool use, structured reasoning, and human oversight.
* Create interactive AI experiences that allow users to engage naturally with complex compliance and risk data.
**Automated Reasoning Over Regulations \&amp; Evidence**
* Build AI systems that reason over structured and unstructured data to support regulatory interpretation, control alignment, and evidence validation.
* Ensure AI outputs are traceable, explainable, and auditable, meeting the expectations of enterprise customers and auditors.
**Production\-Grade AI Architecture**
* Architect and deploy scalable LLM \+ retrieval \+ agent systems in production environments.
* Optimize for latency, cost, reliability, and evaluation in real\-world enterprise workloads.
* Partner with platform, security, product teams, and other application development teams with diverse skill sets to operationalize AI safely and effectively.
**Responsible \&amp; Trustworthy AI**
* Embed human\-in\-the\-loop workflows, confidence thresholds, and safety guardrails into AI systems.
* Ensure privacy\-preserving data handling, robust failure modes, and transparent behavior aligned with Drata’s trust principles.
**What You'll Bring**
* Experience: 7\+ years of hands\-on software engineering experience; 2\+ years specifically in ML/AI engineering.
* Programming Languages: Proficiency in Python; TypeScript experience is a plus, especially for production AI system integrations.
* Retrieval \&amp; Vector Stores: Familiarity with vector databases (Pinecone, Chroma, FAISS, etc.) and RAG system design.
* LLM \&amp; AI Systems: Proven experience building and shipping LLM\-based applications in production, including embeddings, RAG, agent frameworks, prompt engineering, and evaluation.
* Production Expertise: Track record of taking AI systems from concept to production, designing scalable, maintainable solutions.
* Problem Solving: Ability to decompose complex tasks into agentic workflows and reason over high\-stakes, structured, and unstructured data.
* Collaboration: Experience working cross\-functionally with product, compliance, security, engineering teams, and partnering with other application development teams with diverse skill sets.
**Bonus Qualifications**
* Experience in compliance, security, risk, or audit domains.
* Familiarity with Snowflake\-based analytics, knowledge graphs, or enterprise data platforms.
* Experience partnering with non\-technical stakeholders such as compliance or GRC teams.
**This role defines how AI is responsibly embedded into a trust\-critical enterprise platform. Your work will:**
* Establish foundational agentic AI capabilities that power multiple present and future product experiences.
* Enable customers to derive accurate, explainable insights from complex compliance and security data.
* Set the technical and ethical standard for applying modern AI in regulated, high\-stakes environments.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$192,000 \- $259,800\.*
*A variety of factors are considered when determining someone’s leveling and compensation–including a candidate’s professional background and experience. These ranges may be modified in the future and final offer amounts may vary from the amounts listed above.*</t>
        </is>
      </c>
    </row>
    <row r="37">
      <c r="A37" t="inlineStr">
        <is>
          <t>li-4371482456</t>
        </is>
      </c>
      <c r="B37" t="inlineStr">
        <is>
          <t>Staff Machine Learning Engineer, Relevance and Personalization</t>
        </is>
      </c>
      <c r="C37" t="inlineStr">
        <is>
          <t>Airbnb</t>
        </is>
      </c>
      <c r="D37" t="inlineStr">
        <is>
          <t>linkedin</t>
        </is>
      </c>
      <c r="E37" t="inlineStr"/>
      <c r="F37" t="inlineStr"/>
      <c r="G37" t="inlineStr"/>
      <c r="H37" t="inlineStr"/>
      <c r="I3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Relevance and Personalization team at Airbnb is responsible for search and recommendation across the entire Airbnb digital platform. Be a leader in the team working on critical, impactful projects with focus on developing end\-to\-end ranking algorithms and ecosystems for optimizing multiple critical business objectives.
**The Difference You Will Make**
 We build cutting\-edge AI technologies across the end\-to\-end search ranking product stack w.r.t. data pipelines, feature and model innovations, serving and experimentation efficiency, leveraging rich signals from various types of data (structured, sequential, image, text, etc) at Airbnb. We collaborate closely with teams across Airbnb to develop the ranking solutions and support a healthy marketplace for hosts and guests to further Airbnb’s mission of creating a world where people can Belong Anywhere. Some past publications from the team can be found here: https://sites.google.com/view/airbnb\-relevance\-publications/home
**A Typical Day**
* Work with large scale structured and unstructured data, build and continuously improve cutting edge Machine Learning models for Airbnb product, business and operational use cases.
*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 Hands\-on develop, productionize, and operate Machine Learning models and pipelines at scale, including both batch and real\-time use cases.
* Leverage third\-party and in\-house Machine Learning tools \&amp; infrastructure to develop reusable, highly differentiating and high\-performing Machine Learning systems, enable fast model development, low\-latency serving and ease of model quality upkeep.
* Example projects include: feature platform, model interpretability, hyperparameter optimization, concept drift detection.
**Your Expertise**
* 9\+ years of industry experience in applied Machine Learning, inclusive MS or PhD in relevant fields.
* Strong programming (Scala / Python / Java / C\+\+ or equivalent) and data engineering skills.
* Deep understanding of Machine Learning best practices (eg. training/serving skew minimization, A/B test, feature engineering, feature/model selection), algorithms (eg. neural networks/deep learning, optimization) and domains (eg. natural language processing, computer vision, personalization, search and recommendation, marketplace optimization, anomaly detection).
* Experience with 3 or more of these technologies: Tensorflow, PyTorch, Kubernetes, Spark, Airflow (or equivalent), Kafka (or equivalent), data warehouse (eg. Hive).
* Industry experience building end\-to\-end Machine Learning infrastructure and/or building and productionizing Machine Learning models.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$212,000—$265,000 USD</t>
        </is>
      </c>
    </row>
    <row r="38">
      <c r="A38" t="inlineStr">
        <is>
          <t>li-4371608191</t>
        </is>
      </c>
      <c r="B38" t="inlineStr">
        <is>
          <t>Machine Learning Engineer</t>
        </is>
      </c>
      <c r="C38" t="inlineStr">
        <is>
          <t>Enormous Enterprise LLC</t>
        </is>
      </c>
      <c r="D38" t="inlineStr">
        <is>
          <t>linkedin</t>
        </is>
      </c>
      <c r="E38" t="inlineStr"/>
      <c r="F38" t="inlineStr"/>
      <c r="G38" t="inlineStr">
        <is>
          <t>Alpharetta, GA</t>
        </is>
      </c>
      <c r="H38" t="inlineStr"/>
      <c r="I38" t="inlineStr">
        <is>
          <t>**Company**
 Enormous Enterprise LLC
 Location:
 Alpharetta, GA, 30009
**Pay**
 DOE
**Posted**
 February 11, 2026
 Apply
**Description**
 Machine Learning Engineer
 Remote Role : Alpharetta Georgia 30009
 W2 Candidates : with minimum validity of 12 months
**Must Have**
 Need good clinical and claims knowledge
 7\+ years of healthcare exp
 4\+ years of experience in machine learning, NLP, or deep learning
 They are working on AI evidence engine
 focused on LLM
 2 rounds of Zoom interview then offer.
 What You’ll Do
* Develop, fine\-tune, and optimize LLMs and modern deep learning models
* Write high\-quality prompts, instructions, and training examples to shape model behavior
* Design, implement, and maintain instruction orchestration and evaluation workflows for LLM\-based systems
* Build and maintain training pipelines, datasets, and evaluation workflows
* Design and execute functional and automated tests to validate AI outputs and system behavior
* Analyze model performance, identify failure patterns (e.g., accuracy gaps, hallucinations, edge cases), and drive improvements
* Collaborate with engineering and product teams (and review partner or vendor work) to deploy and iterate on AI features
* Contribute to the ongoing maintenance and improvement of existing AI systems
 What We’re Looking For
* 7\+ years of experience in machine learning, NLP, or deep learning
* Hands\-on experience with LLMs (GPT, LLaMA, Mistral, or similar) in applied or production contexts
* Healthcare data experience is required, including working knowledge of:
* Strong Python skills; experience with PyTorch or TensorFlow
* Familiarity with HuggingFace tools and modern model\-training workflows
* Experience evaluating AI output quality, hallucination behavior, reliability, and consistency
* Experience designing automated evaluation, regression testing, or benchmarking pipelines for AI systems
* Ability to work with minimal direction, take ownership of problem areas, and operate effectively in ambiguous problem spaces
* Excellent communication skills for writing prompts, instructions, technical documentation, and evaluation artifacts
* Experience optimizing LLM and deep learning workloads on AWS, including model training, GPU utilization, and cost\-efficient inference deployments
 Apply</t>
        </is>
      </c>
    </row>
    <row r="39">
      <c r="A39" t="inlineStr">
        <is>
          <t>li-4336714179</t>
        </is>
      </c>
      <c r="B39" t="inlineStr">
        <is>
          <t>Senior Machine Learning Engineer</t>
        </is>
      </c>
      <c r="C39" t="inlineStr">
        <is>
          <t>SageSure</t>
        </is>
      </c>
      <c r="D39" t="inlineStr">
        <is>
          <t>linkedin</t>
        </is>
      </c>
      <c r="E39" t="inlineStr"/>
      <c r="F39" t="inlineStr"/>
      <c r="G39" t="inlineStr">
        <is>
          <t>Jersey City, NJ</t>
        </is>
      </c>
      <c r="H39" t="inlineStr"/>
      <c r="I39" t="inlineStr">
        <is>
          <t>**Overview:**
 If you're looking for the stability of a profitable, growing company with the entrepreneurial spirit of a startup, we’re hiring. SageSure , a leader in catastrophe\-exposed property insurance, is seeking a Machine Learning Engineer . As a Senior Machine Learning Engineer, you'll play a crucial role in optimizing orchestration processes and ensuring fast and efficient model deployment and delivery. You'll work closely with Software Engineers and Data scientists to streamline machine learning pipelines and implement best practices for managing and deploying ML models.
**What you’d be doing:**
* Design and implement robust, scalable, and efficient data pipelines for training machine learning models.
* Develop prediction pipelines to ensure seamless integration of trained models into production environments.
* Create APIs and microservices to facilitate communication between machine learning models and other software modules.
* Design, build, and manage model deployment strategies to ensure reliability, scalability, and security in production environments.
* Implement monitoring and logging solutions to track model performance, data quality, and system health in real\-time.
* Optimize orchestration processes to ensure efficient deployment and management of ML models.
* Implement cost\-saving strategies to minimize infrastructure expenses while maximizing performance.
* Collaborate with cross\-functional teams to identify bottlenecks and implement solutions to improve workflow efficiency.
**We’re looking for someone who has:**
* Bachelor’s degree in Computer Science, Engineering, Mathematics, or a related technical field.
* 5\-7 years of experience as an MLOps Engineer or similar role, with a proven track record of optimizing machine learning pipelines and infrastructure.
* Proficiency in cloud computing platforms (e.g., AWS, Azure, GCP) and containerization technologies (e.g., Docker, Kubernetes).
* Experience with orchestration tools and frameworks such as Airflow, Kubeflow, or MLflow.
* Experience with machine learning frameworks such as TensorFlow, PyTorch, or Scikit\-Learn.
* Experience in deploying machine learning models in production environments and managing model lifecycle.
* Excellent problem\-solving skills and ability to work independently as well as part of a team.
* Strong communication skills and ability to collaborate effectively with cross\-functional teams.
**Data at SageSure**
 At SageSure, data isn’t just a function—it’s a force for innovation. Our Data organization brings together Data Science, Business Intelligence, and Data Management to power smarter decisions and deliver meaningful impact across the business. From predictive modeling to scalable data ecosystems and actionable insights, we turn complex information into clarity that drives real results.
 We’re building a team of curious, collaborative problem\-solvers who are passionate about using data to make a difference. Whether you’re advancing machine learning capabilities, strengthening data governance, or uncovering insights that shape strategy, you’ll play a critical role in defining how SageSure uses data to lead the future of insurance.
**About SageSure:**
 Named among the Best Places to Work in Insurance by Business Insurance for four years in a row (2020\-2023\), SageSure is one of the largest managing general underwriters (MGU) focused on catastrophe\-exposed markets in the US. Since its founding in 2009, SageSure has experienced exceptional growth while generating underwriting profits for carrier partners through hurricanes, wildfires, and hail. Available in 16 states, SageSure offers more than 50 competitively priced home, flood, earthquake, and commercial products on behalf of its highly rated carrier partners. Today, SageSure manages more than $1\.9 billion of inforce premium and helps protect 640,000 policyholders.
 SageSure has more than 1000 employees working remotely or in\-office across nine offices: Cheshire, Connecticut; Chicago, Illinois; Cincinnati, Ohio; Houston, Texas; Jersey City, New Jersey; Mountain View, California; Marlton, New Jersey; Tallahassee, Florida; and Seattle, Washington.
 SageSure offers generous health benefits and perks, including tuition reimbursement, wellness allowance, paid volunteer time off, a matching 401K plan, and more.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t>
        </is>
      </c>
    </row>
    <row r="40">
      <c r="A40" t="inlineStr">
        <is>
          <t>li-4371475182</t>
        </is>
      </c>
      <c r="B40" t="inlineStr">
        <is>
          <t>Senior Machine Learning Engineer, AI Automation</t>
        </is>
      </c>
      <c r="C40" t="inlineStr">
        <is>
          <t>Unity</t>
        </is>
      </c>
      <c r="D40" t="inlineStr">
        <is>
          <t>linkedin</t>
        </is>
      </c>
      <c r="E40" t="inlineStr"/>
      <c r="F40" t="inlineStr"/>
      <c r="G40" t="inlineStr">
        <is>
          <t>New York, NY</t>
        </is>
      </c>
      <c r="H40" t="inlineStr"/>
      <c r="I40" t="inlineStr">
        <is>
          <t>**The opportunity**
 At Unity, we are building a world\-class ad\-tech ecosystem that connects billions of users with games and experiences they love. The Advertiser Growth team is at the heart of this mission, owning the online ads delivery stack, including auction, pacing, and bidding systems.
 As a Senior Machine Learning Engineer, you will be a key contributor to modernizing our core infrastructure and building the backend systems for next\-generation AI agents that revolutionize campaign experience. This role offers the chance to solve complex system challenges at massive scale while directly influencing Unity’s revenue growth.
**What You'll Be Doing**
* Design and deploy intelligent agentic systems that integrate large language models (LLMs) with enterprise data, tools, and workflows using frameworks like LangChain, LlamaIndex, and Semantic Kernel.
* Develop Retrieval\-Augmented Generation (RAG) applications using tools like Azure AI Search, vector databases, and secure enterprise connectors to deliver contextual insights.
* Build and iterate on conversational agents that solve real\-world problems, meet stakeholder needs, and deliver measurable business value.
* Deliver high\-impact features by collaborating across teams, leading through ambiguity, and aligning technical solutions with business goals.
* Drive quality and performance through automated testing, monitoring, and data\-driven evaluation of success criteria, user adoption, and operational efficiency.
* Mentor teammates and contribute to a culture of innovation, technical excellence, and continuous learning.
**What We're Looking For**
* You have a Bachelor’s/Master’s level degree in computer science or relevant engineering\-related field or equivalent experience.
* You have 8\-10\+ years of software engineering experience, including 1\-2\+ years working on AI\-powered systems or products.
* You have a good foundational knowledge of or hands\-on experience with LLM orchestration frameworks (e.g., LangChain, LlamaIndex, Semantic Kernel) and prompt engineering using LLM APIs.
* Deep GenAI Knowledge: Expertise in LLM integration, prompt engineering, and the technical trade\-offs of different model architectures for specific ad\-tech use cases.
* RAG \&amp; Data Engineering: Hands\-on experience with vector stores (e.g., Pinecone, Milvus, Weaviate), embedding models, and data orchestration for context\-aware AI.
* MCP Protocol Mastery: Familiarity with the Model Context Protocol (MCP) to build interoperable "plug\-and\-play" connections between AI models and local or remote data sources.
* Scalable Backend Foundations: Strong proficiency in Java, Go, or Python, with a background in building large\-scale distributed systems and real\-time data pipelines (Kafka, Flink, or Spark).
* Experimental Mindset: A "zero\-to\-one" approach to engineering, comfortable with rapid prototyping and iterative testing in a fast\-paced environment.
**You might also have**
* Ad\-Tech Domain Context: Understanding of auction mechanics, bidding algorithms, or advertiser delivery funnels.
**Additional Information**
*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$148,700—$223,100 USD</t>
        </is>
      </c>
    </row>
    <row r="41">
      <c r="A41" t="inlineStr">
        <is>
          <t>li-4371600574</t>
        </is>
      </c>
      <c r="B41" t="inlineStr">
        <is>
          <t>Staff AI Engineer - Paige</t>
        </is>
      </c>
      <c r="C41" t="inlineStr">
        <is>
          <t>Pave</t>
        </is>
      </c>
      <c r="D41" t="inlineStr">
        <is>
          <t>linkedin</t>
        </is>
      </c>
      <c r="E41" t="inlineStr"/>
      <c r="F41" t="inlineStr"/>
      <c r="G41" t="inlineStr">
        <is>
          <t>New York, NY</t>
        </is>
      </c>
      <c r="H41" t="inlineStr"/>
      <c r="I41"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Paige Team @ Pave
 Paige is Pave's AI compensation analyst — an agentic system that sits on top of the world's largest proprietary compensation dataset and Pave's existing workflow engine. Think: autonomous agents that can reason over structured compensation data and execute multi\-step workflows (market pricing, cycle planning, attrition analysis) across Pave's platform. In this role, you'll shape the technical vision and execution of Paige, working with a team of engineers and data scientists to build the product end\-to\-end and take it to market. This role requires deep AI expertise, strong product intuition, and a founder mentality.
**What You'll Bring**
* 7\+ years of experience building production systems, with deep hands\-on expertise in LLMs, agentic architectures, retrieval systems, and evaluation frameworks
* Strong product intuition. You identify customer problems that AI can uniquely solve and partner with Product to shape what gets built, not just how
* Proven track record leading 0→1 technical initiatives with high ambiguity, driving them from concept to production
* Pragmatic engineering judgment: you know when to move fast and when to invest in quality
* Ability to drive technical alignment across teams. You'll be defining primitives and patterns that other engineers build on, so you need to bring people along
* Founder mentality with bias toward action, ownership, and urgency; you're energized by the challenge of bringing a new AI product to market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$221,000 \- $299,000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42">
      <c r="A42" t="inlineStr">
        <is>
          <t>li-4363241970</t>
        </is>
      </c>
      <c r="B42" t="inlineStr">
        <is>
          <t>Senior AI Engineer</t>
        </is>
      </c>
      <c r="C42" t="inlineStr">
        <is>
          <t>Milliman</t>
        </is>
      </c>
      <c r="D42" t="inlineStr">
        <is>
          <t>linkedin</t>
        </is>
      </c>
      <c r="E42" t="inlineStr"/>
      <c r="F42" t="inlineStr"/>
      <c r="G42" t="inlineStr">
        <is>
          <t>Appleton, WI</t>
        </is>
      </c>
      <c r="H42" t="inlineStr"/>
      <c r="I42"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3">
      <c r="A43" t="inlineStr">
        <is>
          <t>li-4363125575</t>
        </is>
      </c>
      <c r="B43" t="inlineStr">
        <is>
          <t>Senior AI Engineer</t>
        </is>
      </c>
      <c r="C43" t="inlineStr">
        <is>
          <t>Milliman</t>
        </is>
      </c>
      <c r="D43" t="inlineStr">
        <is>
          <t>linkedin</t>
        </is>
      </c>
      <c r="E43" t="inlineStr"/>
      <c r="F43" t="inlineStr"/>
      <c r="G43" t="inlineStr">
        <is>
          <t>South Burlington, VT</t>
        </is>
      </c>
      <c r="H43" t="inlineStr"/>
      <c r="I43"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4">
      <c r="A44" t="inlineStr">
        <is>
          <t>li-4363049334</t>
        </is>
      </c>
      <c r="B44" t="inlineStr">
        <is>
          <t>Lead AI &amp; Machine Learning Engineer - IntelliScript (Remote)</t>
        </is>
      </c>
      <c r="C44" t="inlineStr">
        <is>
          <t>Milliman</t>
        </is>
      </c>
      <c r="D44" t="inlineStr">
        <is>
          <t>linkedin</t>
        </is>
      </c>
      <c r="E44" t="inlineStr"/>
      <c r="F44" t="inlineStr"/>
      <c r="G44" t="inlineStr">
        <is>
          <t>Brookfield, WI</t>
        </is>
      </c>
      <c r="H44" t="inlineStr"/>
      <c r="I44"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Milliman, Inc. is recognized as a top firm that provides data, products, and professional services to the insurance industry. IntelliScript is a practice within Milliman that provides health and life insurers with real\-time data and underwriting decision support tools via software\-as\-a\-service (SaaS). IntelliScript offers an innovative suite of products which interpret and deliver electronic medical data (such as prescription histories, diagnoses, treatment data, etc.) to help our clients make effective underwriting and pricing decisions. Our company offers a unique entrepreneurial culture that also promotes work/life balance. IntelliScript has enjoyed consistent growth and is the leader in the markets we serve.
 This role will serve as a hands\-on individual contributor with a strong emphasis on coding, platform delivery, and technical reviews. You will report to the Manager, AI \&amp; Machine Learning Engineering, and play a critical role in advancing our Models as a Service (MAAS) initiative, helping to modernize our AI and machine learning model delivery platform.
 The role will contribute to complex data science projects requiring ML engineering expertise and knowledge of medical claims and Electronic Health Records (EHR). Leveraging expertise in GenAI, ML engineering, software development, and data science, you will deepen their understanding of current product capabilities and develop innovative solutions—such as advanced summarization and agentic workflows—to enhance them.
 The Lead AI \&amp; Machine Learning Engineer will be responsible for developing, deploying, and industrializing sophisticated GenAI and machine learning solutions for healthcare, insurance and adjacent markets.
**Key Responsibilities Include**
* ML engineering efforts within the Models\-as\-a\-Service (MAAS) platform, ensuring high\-quality and scalable model delivery
* Providing technical guidance, reviews, and mentorship to junior team members
* Collaborating closely with the data science team, MAAS product owner, AI architect, and Manager, AI \&amp; Machine Learning Engineering to drive model and feature delivery from ideation through deployment
* Ensuring the success of model\-driven products across both technical and operational dimensions
* Hands\-on technical contribution to support the growth of MAAS and/or Data Science initiatives
**What You Will Be Doing**
 The key area of responsibility in the role of Lead AI \&amp; Machine Learning Engineer is to work as part of our MAAS Team and in conjunction with our data science and product teams, contribute to various aspects of AI \&amp; Machine Learning across our practice:
* Lead end\-to\-end development, deployment, and maintenance of AI infrastructure and applications, from proof\-of\-concept to production and ongoing maintenance, ensuring seamless integration with IT, Product, and other departments
* Collaborate closely with the Product Owner for Models as a Service, the AI architect, and other stakeholders to align technical and product objectives
* Provide technical proficiency in AI/ML engineering and data science, including selection and optimization of frameworks, libraries, and tools
* Development of MLOps, LLMOps, and AIOps solutions across the organization
* Serve as a ML Engineer with deep expertise in driving innovative product features from concept to commercial reality
* Peer review, audit, and enhance models and code developed by team members to ensure high standards and continual improvement
**What We Need**
* 10\+ years of machine learning engineering, GenAI, and data science experience in one of the following industries: healthcare, insurance, clinical trials, or similar fields
* Experience working with machine learning engineering and data science projects across the full life cycle from identifying customer need, to completing proof of concepts, to model building and validation, to implementation
* Ability to contribute to cross\-functional teams
* Expert level knowledge of Python and SQL
* Experience with other programming languages: R, PySpark
* Ability to understand / read other programming languages: C\#, Rust
* Expert with cloud\-based analytical solutions and distributed computing (Databricks)
* Expert with converting on\-premise solutions into cloud ready applications
* Ability to create CI/CD workflows using Github and IaC technology (e.g. Terraform)
* Expert with APIs, AWS Cloud Services and associated services (Lambda, Step Functions, AWS Batch etc..), and git
* Strong programming aptitude (debugging, package design, dependency management, testing)
* Understand how to build and design varying inference solutions (single and batch scoring)
**What You Bring To The Table**
* Excellent communication skills, in person and through phone / email
* Ability to understand and translate technical specs or model results in communication with clients and IntelliScript Lead management
* Proven ability to understand client analytical needs, translate them into an action plan, then execute and deliver
* Customer\-centric approach to finding solutions
* Focused on results and able to explain findings in a way that answers business problems
* Constructive, “can do” approach to overcoming obstacles
* Can quickly learn new techniques and technologies
* Proactive in identifying process improvements
* Strong work ethic, willing to pitch in wherever needed
* Ability to manage projects and timelines, including directing the work of others
**Wish List**
* Degree in a relevant field (computer science, data science, statistics, mathematics, applied math, actuarial science, economics, etc.)
* Experience working in a HIPAA / PHI / PCI compliant environment
**Location**
 The expected application deadline for this job is April 30, 2026\. This position is open to remote work. Applicants must be willing to travel to the Milliman office in Brookfield, WI as needed and travel nationwide for meetings, conferences, and team events.
**Compensation**
 The overall salary range for this role is $147,400 \- $279,680\.
**For Candidates Residing In**
* Alaska, California, Connecticut, Illinois, Maryland, Massachusetts, New Jersey, New York City, Pennsylvania, Virginia, Washington, or the District of Columbia the salary range is $169,510 \- $279,680\.
* All other locations the salary range is $147,400 \- $243,200\.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5">
      <c r="A45" t="inlineStr">
        <is>
          <t>li-4363251614</t>
        </is>
      </c>
      <c r="B45" t="inlineStr">
        <is>
          <t>Senior AI &amp; Machine Learning Engineer - IntelliScript (Remote)</t>
        </is>
      </c>
      <c r="C45" t="inlineStr">
        <is>
          <t>Milliman</t>
        </is>
      </c>
      <c r="D45" t="inlineStr">
        <is>
          <t>linkedin</t>
        </is>
      </c>
      <c r="E45" t="inlineStr"/>
      <c r="F45" t="inlineStr"/>
      <c r="G45" t="inlineStr">
        <is>
          <t>Brookfield, WI</t>
        </is>
      </c>
      <c r="H45" t="inlineStr"/>
      <c r="I45"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Milliman, Inc. is recognized as a top firm that provides data, products, and professional services to the insurance industry. IntelliScript is a practice within Milliman that provides health and life insurers with real\-time data and underwriting decision support tools via software\-as\-a\-service (SaaS). IntelliScript offers an innovative suite of products which interpret and deliver electronic medical data (such as prescription histories, diagnoses, treatment data, etc.) to help our clients make effective underwriting and pricing decisions. Our company offers a unique entrepreneurial culture that also promotes work/life balance. IntelliScript has enjoyed consistent growth and is the leader in the markets we serve.
 This role will serve as a hands\-on individual contributor with a strong emphasis on coding, platform delivery, and technical reviews. You will report to the Manager, AI \&amp; Machine Learning Engineering, and play a critical role in advancing our Models as a Service (MAAS) initiative, helping to modernize our AI and machine learning model delivery platform.
 The role will contribute to complex data science projects requiring ML engineering expertise and knowledge of medical claims and Electronic Health Records (EHR). Leveraging expertise in GenAI, ML engineering, software development, and data science, you will deepen their understanding of current product capabilities and develop innovative solutions—such as advanced summarization and agentic workflows—to enhance them.
 The Senior AI \&amp; Machine Learning Engineer will be responsible for developing, deploying, and industrializing sophisticated GenAI and machine learning solutions for healthcare, insurance and adjacent markets.
**Key Responsibilities Include**
* ML engineering efforts within the Models\-as\-a\-Service (MAAS) platform, ensuring high\-quality and scalable model delivery
* Providing technical guidance, reviews, and mentorship to junior team members
* Collaborating closely with the data science team, MAAS product owner, AI architect, and Manager, AI \&amp; Machine Learning Engineering to drive model and feature delivery from ideation through deployment
* Ensuring the success of model\-driven products across both technical and operational dimensions
* Hands\-on technical contribution to support the growth of MAAS and/or data science initiatives
**What You Will Be Doing**
 The key area of responsibility in the role of Senior AI \&amp; Machine Learning Engineer is to work as part of our MAAS Team and in conjunction with our data science and product teams, contribute to various aspects of AI \&amp; Machine Learning across our practice:
* Lead end\-to\-end development, deployment, and maintenance of AI infrastructure and applications, from proof\-of\-concept to production and ongoing maintenance, ensuring seamless integration with IT, Product, and other departments
* Collaborate closely with the Product Owner for Models as a Service, the AI architect, and other stakeholders to align technical and product objectives
* Provide technical proficiency in AI/ML engineering and data science, including selection and optimization of frameworks, libraries, and tools
* Development of MLOps, LLMOps, and AIOps solutions across the organization
* Serve as a ML Engineer with deep expertise in driving innovative product features from concept to commercial reality
* Peer review, audit, and enhance models and code developed by team members to ensure high standards and continual improvement
**What We Need**
* 7\+ years of machine learning engineering, GenAI, and data science experience in one of the following industries: healthcare, insurance, clinical trials, or similar fields
* Experience working with machine learning engineering and data science projects across the full life cycle from identifying customer need, to completing proof of concepts, to model building and validation, to implementation
* Ability to contribute to cross\-functional teams
* Expert level knowledge of Python and SQL
* Experience with other programming languages: R, PySpark
* Ability to understand / read other programming languages: C\#, Rust
* Expert with cloud\-based analytical solutions and distributed computing (Databricks)
* Experience with converting on\-premise solutions into cloud ready applications
* Ability to create CI/CD workflows using Github and IaC technology (e.g. Terraform)
* Experience with APIs, AWS Cloud Services and associated services (Lambda, Step Functions, AWS Batch etc..), and git
* Strong programming aptitude (debugging, package design, dependency management, testing)
* Understand how to build and design varying inference solutions (single and batch scoring)
**What You Bring To The Table**
* Excellent communication skills, in person and through phone / email
* Ability to understand and translate technical specs or model results in communication with clients and IntelliScript Lead management
* Proven ability to understand client analytical needs, translate them into an action plan, then execute and deliver
* Customer\-centric approach to finding solutions
* Focused on results and able to explain findings in a way that answers business problems
* Constructive, “can do” approach to overcoming obstacles
* Can quickly learn new techniques and technologies
* Proactive in identifying process improvements
* Strong work ethic, willing to pitch in wherever needed
* Ability to manage projects and timelines, including directing the work of others
**Wish List**
* 7\+ years experience in Machine Learning Engineering, Data Engineering, or Software Engineering
* 7\+ years experience in Data Science or a supportive role
* Degree in a relevant field (computer science, data science, statistics, mathematics, applied math, actuarial science, economics, etc.)
* Experience working in a HIPAA / PHI / PCI compliant environment
**Location**
 The expected application deadline for this job is April 30, 2026\. This position is open to remote work. Applicants must be willing to travel to the Milliman office in Brookfield, WI as needed and travel nationwide for meetings, conferences, and team events.
**Compensation**
 The overall salary range for this role is $117,500 \- $222,985\.
**For Candidates Residing In**
* Alaska, California, Connecticut, Illinois, Maryland, Massachusetts, New Jersey, New York City, Pennsylvania, Virginia, Washington, or the District of Columbia the salary range is $135,125 \- $222,985\.
* All other locations the salary range is $117,500 \- $193,900\.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6">
      <c r="A46" t="inlineStr">
        <is>
          <t>li-4371482120</t>
        </is>
      </c>
      <c r="B46" t="inlineStr">
        <is>
          <t>Senior AI Engineer</t>
        </is>
      </c>
      <c r="C46" t="inlineStr">
        <is>
          <t>ZoomInfo</t>
        </is>
      </c>
      <c r="D46" t="inlineStr">
        <is>
          <t>linkedin</t>
        </is>
      </c>
      <c r="E46" t="inlineStr"/>
      <c r="F46" t="inlineStr"/>
      <c r="G46" t="inlineStr"/>
      <c r="H46" t="inlineStr"/>
      <c r="I46"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As a
 **Senior AI Engineer** 
 on our
 **Advertising, Company Intelligence, and Intent** 
 team, you’ll help design and implement the core systems that power our real\-time marketing platform. From high\-throughput ad infrastructure to large\-scale identity resolution and intelligent systems enhanced by LLMs, push the boundaries of scale, intelligence, and speed—and deliver real\-world business impact.
 You’ll be joining a team with a broad range of ambitious, technically deep projects—from APIs that process tens of billions of events per day, to new buyer intent algorithms powered by LLMs, to a unified B2B identity graph. Depending on your strengths and interests, you’ll be matched to the initiatives where you can have the greatest impact.
 This is a high\-growth, high\-ownership environment operating at the edge of what’s possible in modern software engineering, data infrastructure, and applied AI.
**What You'll Do**
* Design and build distributed systems that process, enrich, and respond to billions of behavioral events per day in real time
* Develop high\-performance APIs and services that support advertising, identity, and intent features across the Marketing Platform
* Leverage machine learning and large language models (LLMs) to analyze behavioral data, classify content, extract signals, and enable intelligent decision\-making
* Build intelligent agents using frameworks like LangGraph or MCP to reason over data and power user\-facing insights
* Design and operate data pipelines using tools like Kafka, Kinesis, and ClickHouse to support both streaming and batch workloads
* Drive quality, performance, scalability, and observability across all systems you own
* Collaborate cross\-functionally with product managers, data scientists, and engineers to deliver customer\-facing features and internal tooling
* Contribute to technical leadership and mentorship of teammates.
**What You Bring**
* 7\+ years of backend, data, or infrastructure engineering experience, or equivalent impact and leadership.
* Distributed systems engineering (e.g., building low latency high and throughput APIs, scalable microservices, event processing pipelines)
* Big data infrastructure (e.g., streaming, warehousing, low\-latency storage at scale)
* Applied AI/ML, including use of LLMs for extraction, classification, or reasoning tasks.
* Proficiency in one or more core languages: Java, Go, Python
* Solid grasp of SQL and large\-scale data modeling
* Familiarity with databases and tools such as: ClickHouse, DynamoDB, Bigtable, Memcached, Kafka, Kinesis, Firehose, Airflow, Snowflake
* Comfortable using LLMs as part of your development workflow—whether via tools like Copilot, Cursor, ChatGPT, Claude, or others—to boost productivity, explore architecture ideas, and rapidly prototype.
* Skilled at designing and implementing LLM\-powered systems such as RAG pipelines, agent frameworks (e.g., LangGraph), or intelligent workflows that reason across large datasets in real time.
**Bonus Points**
* Experience in ad tech, real\-time bidding (RTB), or programmatic systems
* Background in identity resolution, attribution, or behavioral analytics at scale
* Contributions to open source in ML, infrastructure, or data tooling
* Strong product instincts and a passion for building tools that drive meaningful outcomes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$152,950—$240,350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47">
      <c r="A47" t="inlineStr">
        <is>
          <t>li-4371310054</t>
        </is>
      </c>
      <c r="B47" t="inlineStr">
        <is>
          <t>Staff Machine Learning Engineer</t>
        </is>
      </c>
      <c r="C47" t="inlineStr">
        <is>
          <t>Whisker</t>
        </is>
      </c>
      <c r="D47" t="inlineStr">
        <is>
          <t>linkedin</t>
        </is>
      </c>
      <c r="E47" t="inlineStr"/>
      <c r="F47" t="inlineStr"/>
      <c r="G47" t="inlineStr">
        <is>
          <t>Auburn Hills, MI</t>
        </is>
      </c>
      <c r="H47" t="inlineStr"/>
      <c r="I47" t="inlineStr">
        <is>
          <t>**Description**
 Whisker is redefining what it means to live with cats—designing intelligent systems that remove friction, elevate the everyday, and celebrate the quiet brilliance of feline companionship. Today, Litter\-Robot leads the category. Tomorrow, an entire ecosystem that expands what’s possible for cats and the people who love them. We believe the future is feline. And we’re imagining that future today.
 We work onsite 4\+ days a week, with our team based in Auburn Hills, Michigan, and Juneau, Wisconsin. Our team of 700\+ passionate pet people thrives on collaboration, innovation, and the occasional office cameo from a four\-legged friend.
**What You’ll Do** 
 :
 The Staff Machine Learning Engineer will lead the design, development, and deployment of production\-grade AI and machine learning models, owning the end\-to\-end lifecycle from data ingestion and feature engineering through training, evaluation, inference, and continuous improvement in production. This role is responsible for defining scalable, secure, and high\-performance AI architectures, including MLOps, automated CI/CD, model monitoring, and governance to ensure reliable real\-world impact. The Staff Machine Learning Engineer will provide deep technical leadership and mentorship to engineering and data science teams, setting standards and best practices for building, operating, and scaling AI\-powered systems across the organization.
**Essential Duties and Responsibilities:**
*This list of duties and responsibilities is not all\-inclusive and may be expanded to include other duties and responsibilities as deemed necessary.*
* Leads the end\-to\-end architecture of production AI systems, including data pipelines, feature engineering, model training, evaluation, deployment, and inference, ensuring scalability, performance, and alignment with Whisker’s business objectives
* Builds and ships AI models, contributing hands\-on code across data preparation, model development, training workflows, and inference services, setting a high bar for production\-quality AI engineering
* Partners closely with product, data, and engineering leaders to translate business and customer needs into applied AI solutions, balancing model accuracy, latency, cost, and operational reliability
* Provides technical leadership and mentorship across AI, data science, and software engineering teams, establishing best practices for model development, MLOps, testing, deployment, and ongoing model maintenance
* Evaluates, prototypes, and recommends emerging AI and ML technologies, frameworks, and tooling that accelerate model development, improve production robustness, and advance Whisker’s AI capabilities
* Ensures the integrity, security, and reliability of AI systems, including data governance, model versioning, monitoring, drift detection, and responsible AI practices throughout the lifecycle
* Owns the full AI development lifecycle, from problem framing and experimentation through production deployment, monitoring, iteration, and continuous improvement of AI\-powered products
* Conducts regular code reviews and provides constructive feedback to ensure code quality
* Designs, develop, lead implementation of robust, scalable security solutions across multiple platforms
* Will perform additional responsibilities when required
**Requirements**
**What You’ll Bring** 
 :
**Requirements \&amp; Qualifications:**
* Bachelor’s, Master’s degree or PhD in Computer Science, Software Engineering, or a related field
* 15\+ years of professional experience in Software Engineering
* 5\+ years of proven experience as a software architect, demonstrating successful design, release and delivery of complex, scalable systems.
* Technical expertise in the following areas:
+ 5\+ years of experience with Amazon S3
+ 5\+ years of experience with DynamoDB
+ 4\+ years of experience with AWS Lambda
+ 3\+ years of experience with IoT Core
+ 2\+ years of experience with Timestream
* In\-depth understanding of software design principles, patterns, and best practices
* Expertise in Java, Python, or C\+\+, particularly for complex, function\-oriented software that interfaces with IoT devices
* Experience supporting medium to large\-scale, highly available, service\-oriented, distributed production systems
* Proficiency with object\-oriented programming concepts, patterns and problem decomposition
* Experience with cloud platforms, microservices architecture, and a strong grasp of system integration.
* Excellent problem\-solving skills and the ability to address technical challenges in a dynamic environment.
* Strong leadership, communication, and interpersonal skills.
* Proficient in using architecture modeling and design tools.
* Ability to communicate complex technical concepts effectively to both technical and non\-technical stakeholders.
* Project management skills with a track record of successfully driving projects to completion.
* A passion for staying updated on industry trends and continuously improving technical expertise.
* Maintains confidentiality of proprietary information
* Ability to maintain a professional atmosphere in a fast\-paced environment with numerous interactions and interruptions
* Ability to establish and maintain cooperative working relationships with Team Members and colleagues
* Comfortable with office pets (cats, dogs)
**Not Required but Nice to Have!**
* Experience with CloudWatch, AppSync, Relational Databases, Kinesis Stream, CloudTrail, API Gateway, Cognito or VPC
**Benefits \&amp; Perks:**
 Join a tenacious, inventive company that empowers team members to chart their own path, lead by grounding decisions in the “why”, and has a strong sense of empathy and openness to new perspectives. Be a part of exciting growth, work with incredible people, and create tomorrow’s pet products—plus a whole lot of extras. You will also be provided with:
* Premium Medical/Dental/Vision insurance
* Paid parental leave
* Whisker Parents Program
* 1 day "pawternity" leave for new pet adoption
* Pet Insurance Discount
* 401K match
* Flexible spending accounts
* Company\-paid short\-term disability and life insurance
* Employee Assistance Program (EAP)
* Generous paid time off
* 14 Paid Holidays
* Top of the line equipment
* Pet\-friendly office
* Whisker products and swag
* Continuing education Support
* On\-site gym with Peloton
* Referral program
**Statement of Inclusivity:**
 We believe different perspectives make Whisker better and strive to create a place where everyone has equal opportunities to thrive.
 Please ensure to regularly check your email spam folder for any communication from Whisker to avoid missing important updates regarding your application status.
 \#onsite1</t>
        </is>
      </c>
    </row>
    <row r="48">
      <c r="A48" t="inlineStr">
        <is>
          <t>li-4367330016</t>
        </is>
      </c>
      <c r="B48" t="inlineStr">
        <is>
          <t>Senior Generative &amp; Agentic AI Engineer</t>
        </is>
      </c>
      <c r="C48" t="inlineStr">
        <is>
          <t>CriticalRiver Inc.</t>
        </is>
      </c>
      <c r="D48" t="inlineStr">
        <is>
          <t>linkedin</t>
        </is>
      </c>
      <c r="E48" t="inlineStr"/>
      <c r="F48" t="inlineStr"/>
      <c r="G48" t="inlineStr">
        <is>
          <t>Pleasanton, CA</t>
        </is>
      </c>
      <c r="H48" t="inlineStr"/>
      <c r="I48" t="inlineStr">
        <is>
          <t>**CriticalRiver Inc. \| Full\-Time** 
**Pleasanton, CA (Hybrid work)** 
 CriticalRiver is seeking a
 **Generative \&amp; Agentic AI Engineer** 
 to lead the design and delivery of next\-generation AI solutions for our global clients. In this role, you’ll define AI strategy, architect intelligent systems, and mentor a team building real\-world generative and agentic AI applications.
**What you will do:** 
* Define and drive the strategy for generative and agentic AI initiatives
* Architect and build multi\-agent systems, RAG pipelines, and custom LLM solutions
* Lead and mentor a high\-performing AI engineering team
* Hands\-on development, fine\-tuning, and deployment of AI models and agents
* Evaluate and implement AI platforms and frameworks (LangGraph, LlamaIndex, Hugging Face, OpenAI, Google Vertex AI, Azure AI, Claude)
**What you will bring:** 
* Senior/lead experience in AI/ML with strong focus on NLP and LLMs
* Hands\-on expertise in generative AI, agent orchestration, prompt engineering, guardrails, and RAG
* Experience building autonomous or multi\-agent systems (LangGraph, CrewAI, ADK, or similar)
* Strong Python skills and experience with PyTorch/TensorFlow
* Ability to prototype AI\-driven business use cases using tools like Cursor, Copilot, Claude Code, Bolt, or V0
* Strong leadership and communication skills
**Nice to Have** 
* Experience with international (US/EU) clients
* Cloud GenAI experience (Google Gemini, AWS Bedrock, Azure OpenAI)
* Open\-source contributions or published AI work</t>
        </is>
      </c>
    </row>
    <row r="49">
      <c r="A49" t="inlineStr">
        <is>
          <t>li-4226658663</t>
        </is>
      </c>
      <c r="B49" t="inlineStr">
        <is>
          <t>Senior/Staff Machine Learning Engineer, 3D Simulation</t>
        </is>
      </c>
      <c r="C49" t="inlineStr">
        <is>
          <t>Zoox</t>
        </is>
      </c>
      <c r="D49" t="inlineStr">
        <is>
          <t>linkedin</t>
        </is>
      </c>
      <c r="E49" t="inlineStr"/>
      <c r="F49" t="inlineStr"/>
      <c r="G49" t="inlineStr">
        <is>
          <t>Foster City, CA</t>
        </is>
      </c>
      <c r="H49" t="inlineStr"/>
      <c r="I49" t="inlineStr">
        <is>
          <t>The 3D Simulation group at Zoox is looking for machine learning engineers to bring the latest research in 3D vision to improve diversity and blur the line between simulation and reality. You will have access to the best sensor data in the world and an incredible infrastructure for testing and validating your algorithms. Our ML group is working on generating rich and diverse 3D environments, humans, and environmental conditions, and you will be able to contribute to all of these.
**In This Role, You Will**
* Research, implement, and optimize state of the art machine learning approaches to improve simulation variation and fidelity
* Collaborate with ML Researchers, Technical Artists and Simulation engineers to bring new ML techniques to our production simulator
* Build scalable, useable cloud pipelines for machine learning solutions in 3D simulation
* Improve rendering and tooling for generating realistic data at scale
**Qualifications**
* 7\+ years of experience with programming and algorithm design
* Fluency in Python and C\+\+
* Experience building and extending radiance field ML models
* Publications or production experience in human\-centric 3D vision, 3D reconstruction, or style transfer
* Strong mathematical skills and understanding of probabilistic techniques
**Bonus Qualifications**
* Bachelor's, Master's or PhD in computer science, mathematics, physics, or related field
* Publications in your field (CVPR, ICCV, RSS, ICRA preferred)
* Experience with generative models for 3D or video content
* Experience automating 3D content pipelines using applications like Houdini, Maya, or Blender
* Experience in distributed systems and cloud computing platforms
* Experience in generative camera, lidar, radar, or LWIR
 $242,000 \- $333,000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0">
      <c r="A50" t="inlineStr">
        <is>
          <t>li-4371179774</t>
        </is>
      </c>
      <c r="B50" t="inlineStr">
        <is>
          <t>AI Engineer - Austin, TX; Fort Mills, SC (Hybrid) - Max Pay rate - $50/Hour on W2</t>
        </is>
      </c>
      <c r="C50" t="inlineStr">
        <is>
          <t>Jobs via Dice</t>
        </is>
      </c>
      <c r="D50" t="inlineStr">
        <is>
          <t>linkedin</t>
        </is>
      </c>
      <c r="E50" t="inlineStr"/>
      <c r="F50" t="inlineStr"/>
      <c r="G50" t="inlineStr">
        <is>
          <t>Austin, TX</t>
        </is>
      </c>
      <c r="H50" t="inlineStr"/>
      <c r="I50" t="inlineStr">
        <is>
          <t>Dice is the leading career destination for tech experts at every stage of their careers. Our client, Wise Skulls Corp., is seeking the following. Apply via Dice today!
**Job Title: AI Engineer
 Location: Austin, TX; Fort Mills, SC (Hybrid)
 Duration: 6\+ Months
 Implementation Partner: Infosys
 End Client: To be disclosed**
**JD:**
* 5\+ Years of experience
* Hands\-on experience with
+ AWS
+ ETL
+ Python Automation
* Prior hands\-on experience in AI projects would be preferred</t>
        </is>
      </c>
    </row>
    <row r="51">
      <c r="A51" t="inlineStr">
        <is>
          <t>li-4371188559</t>
        </is>
      </c>
      <c r="B51" t="inlineStr">
        <is>
          <t>Glean AI Engineer(Python/Node.JS/Typescript)-Remote</t>
        </is>
      </c>
      <c r="C51" t="inlineStr">
        <is>
          <t>Jobs via Dice</t>
        </is>
      </c>
      <c r="D51" t="inlineStr">
        <is>
          <t>linkedin</t>
        </is>
      </c>
      <c r="E51" t="inlineStr"/>
      <c r="F51" t="inlineStr"/>
      <c r="G51" t="inlineStr"/>
      <c r="H51" t="inlineStr"/>
      <c r="I51" t="inlineStr">
        <is>
          <t>Dice is the leading career destination for tech experts at every stage of their careers. Our client, mProgen, is seeking the following. Apply via Dice today!
 We re looking for developers who can build AI agents across Glean and Slack. Specifically, we need folks who can take enterprise workflows (IT, HR, MFG, Supply Chain, etc.) and turn them into operational agents using LLMs, RAG, and API integrations.
 Core skills needed:
 Building Glean agents (conversational flows, task automation, RAG patterns, tool calling)
 Building Slack agents using Bolt, workflows, functions, events, and API integrations
 Strong Python/Node/TS engineering background
 Experience with LLM frameworks (LangChain, LangGraph, or equivalent)
 Ability to create a reusable agent boilerplate for multi\-step reasoning
 Integrating with enterprise systems (Workday, Jira, Salesforce, ServiceNow, etc.)
 Understanding of security, governance, and logging requirements at enterprise scale</t>
        </is>
      </c>
    </row>
    <row r="52">
      <c r="A52" t="inlineStr">
        <is>
          <t>li-4323180047</t>
        </is>
      </c>
      <c r="B52" t="inlineStr">
        <is>
          <t>[2026] Senior Machine Learning Engineer, Multimodal AI, Computer Vision and Graphics - PhD Early Career</t>
        </is>
      </c>
      <c r="C52" t="inlineStr">
        <is>
          <t>Roblox</t>
        </is>
      </c>
      <c r="D52" t="inlineStr">
        <is>
          <t>linkedin</t>
        </is>
      </c>
      <c r="E52" t="inlineStr"/>
      <c r="F52" t="inlineStr"/>
      <c r="G52" t="inlineStr">
        <is>
          <t>San Mateo, CA</t>
        </is>
      </c>
      <c r="H52" t="inlineStr"/>
      <c r="I5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At Roblox, computer vision and graphics power the way our global community discovers, creates, and interacts on our virtual platform. This role involves building cutting\-edge models to interpret and analyze every form of content—experiences, text, images, videos, and 3D avatars. Your work will directly influence core systems that drive the
 **next generation of** 
 creation, search, recommendations, and trust \&amp; safety initiatives across our massive ecosystem.
 We’re looking for PhD candidates passionate about the intersection of computer vision, graphics, and generative modeling. You’ll work on applied research and engineering projects with direct production impact — enabling new ways for creators and players to bring ideas to life.
**Teams Hiring for This Role**
* Content Understanding: Develop large\-scale computer vision and multimodal models that classify, organize, and recommend 3D and visual content to improve user discovery, personalization, and safety.
* Account Identity : focuses on various aspects of user Identity from bot detection, alternate account detection graph, to age estimation based on behavioral and facial features.
**You Will**
* Lead the research and development of deep learning models for visual content understanding and 3D content generation (image/video/3D scenes, avatars, and assets).
* Design and implement foundation models for visual and 3D\-based creation, search, and recommendations, ensuring a high level of fidelity, relevance, and ranking.
* Break down complex product requirements into iterative deliverable stages, moving applied research into high\-scale production systems.
* Implement innovative visual and multi\-modal models that power core Roblox functions (e.g., world creation, avatar systems, search, and recommendations).
* Build high precision facial age estimation across demographics from ground up including various fraud detection techniques for a robust and safe user identity system.
**You Have**
* Possessing or pursuing a PhD in computer science, engineering, or a related field, with a thesis aligned to Roblox’s research areas.
* Expertise in one or more areas: computer vision, multimodal learning, 3D Graphics, or large\-scale representation learning.
* Experience developing and training deep learning models using modern frameworks (PyTorch, TensorFlow, JAX).
* A strong research track record, evidenced by multiple publications and presentations in top\-tier, peer\-reviewed venues.
* Proficiency in one or more programming languages (e.g., Python, C\+\+, Go, Java) and experience building and optimizing large\-scale systems.
 Apply now to be considered for anticipated positions.
 You may redact age, date of birth, and dates of attendance/graduation from your resume if you prefer.
 As you apply, you can find more information about our process by signing up for Speak\_. You'll gain access to our practice assessment, comprehensive guides, FAQs, and modules designed to help you ace the hiring process.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3">
      <c r="A53" t="inlineStr">
        <is>
          <t>li-4371463584</t>
        </is>
      </c>
      <c r="B53" t="inlineStr">
        <is>
          <t>Sr. Distinguished Machine Learning Engineer</t>
        </is>
      </c>
      <c r="C53" t="inlineStr">
        <is>
          <t>Capital One</t>
        </is>
      </c>
      <c r="D53" t="inlineStr">
        <is>
          <t>linkedin</t>
        </is>
      </c>
      <c r="E53" t="inlineStr"/>
      <c r="F53" t="inlineStr"/>
      <c r="G53" t="inlineStr">
        <is>
          <t>McLean, VA</t>
        </is>
      </c>
      <c r="H53" t="inlineStr"/>
      <c r="I53" t="inlineStr">
        <is>
          <t>**Overview:**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ML models and software components that solve challenging business problems in the financial services industry, working in collaboration with the Product, Architecture, Engineering, and Data Science teams
* Drive the creation and evolution of ML models and software that enable state\-of\-the\-art intelligent systems
* Lead large\-scale ML initiatives with the customer in mind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7 years of experience programming in C, C\+\+, Python, or Scala
* At least 4 years of experience with the full ML development lifecycle using modern technology in a business critical setting
**Preferred Qualifications:**
* Master's Degree
* 3\+ years of experience designing, implementing, and scaling production\-ready data pipelines that feed ML models
* 3\+ years of experience using Dask, RAPIDS, or in High Performance Computing
* 3\+ years of experience with the PyData ecosystem (NumPy, Pandas, and Scikit\-learn)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Machine Learning Engineer
 Plano, TX: $286,200 \- $326,700 for Sr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4">
      <c r="A54" t="inlineStr">
        <is>
          <t>li-4371177855</t>
        </is>
      </c>
      <c r="B54" t="inlineStr">
        <is>
          <t>Python AI Engineer_ONSITE@Charlotte,NC</t>
        </is>
      </c>
      <c r="C54" t="inlineStr">
        <is>
          <t>Jobs via Dice</t>
        </is>
      </c>
      <c r="D54" t="inlineStr">
        <is>
          <t>linkedin</t>
        </is>
      </c>
      <c r="E54" t="inlineStr"/>
      <c r="F54" t="inlineStr"/>
      <c r="G54" t="inlineStr">
        <is>
          <t>Charlotte, NC</t>
        </is>
      </c>
      <c r="H54" t="inlineStr"/>
      <c r="I54" t="inlineStr">
        <is>
          <t>Dice is the leading career destination for tech experts at every stage of their careers. Our client, BURGEON IT SERVICES LLC, is seeking the following. Apply via Dice today!
**Job Title: Python AI Engineer** 
**Work Location \&amp; Reporting Address: CharlotteNC28273 (Onsite)**
**Contract duration: 6 Months**
**Must Have Skills:**
 Python
 Natural Language Processing
 RAG
**Nice to have skills:**
 Lang Smith
**Detailed Job Description:**
 Proficiency in Python, ML, NLP, and text data analysis Hands on experience with API creation, RAG, Vector databases, LLM prompt engineering, LLM evaluation Familiarity with MLOps tools and practices
 Monitoring and evaluation tools like Lang Smith LLM deployment libraries like Lite LLM, LLM Guardrails, and more CICD, model versioning, and model deployment best practices Knowledge of or willingness to learn Kubernetes and cloud services AWS, Google Cloud Platform ,Azure</t>
        </is>
      </c>
    </row>
    <row r="55">
      <c r="A55" t="inlineStr">
        <is>
          <t>li-4371191452</t>
        </is>
      </c>
      <c r="B55" t="inlineStr">
        <is>
          <t>Agentic AI Engineer</t>
        </is>
      </c>
      <c r="C55" t="inlineStr">
        <is>
          <t>Jobs via Dice</t>
        </is>
      </c>
      <c r="D55" t="inlineStr">
        <is>
          <t>linkedin</t>
        </is>
      </c>
      <c r="E55" t="inlineStr"/>
      <c r="F55" t="inlineStr"/>
      <c r="G55" t="inlineStr">
        <is>
          <t>Charlotte, NC</t>
        </is>
      </c>
      <c r="H55" t="inlineStr"/>
      <c r="I55" t="inlineStr">
        <is>
          <t>Dice is the leading career destination for tech experts at every stage of their careers. Our client, RIIM, is seeking the following. Apply via Dice today!
**Title: Agentic AI Engineer (Proper AI/ML)**
**Location: Charlotte,NC ( 3 days onsite)**
**Duration: 12\+ months**
**Job Description**
 4\+ years of software engineering experience or equivalent with strong CS fundamentals
 Hands\-on experience building with LLMs and modern Al app stack (agents, RAG, tool/function calling).
 Strong proficiency in Python and building back\-end services/APls.</t>
        </is>
      </c>
    </row>
    <row r="56">
      <c r="A56" t="inlineStr">
        <is>
          <t>li-4365045966</t>
        </is>
      </c>
      <c r="B56" t="inlineStr">
        <is>
          <t>Senior AI Applied Scientist</t>
        </is>
      </c>
      <c r="C56" t="inlineStr">
        <is>
          <t>Microsoft</t>
        </is>
      </c>
      <c r="D56" t="inlineStr">
        <is>
          <t>linkedin</t>
        </is>
      </c>
      <c r="E56">
        <f>HYPERLINK("https://www.linkedin.com/jobs/view/4365045966", "https://www.linkedin.com/jobs/view/4365045966")</f>
        <v/>
      </c>
      <c r="F56">
        <f>HYPERLINK("https://apply.careers.microsoft.com/careers/job/1970393556621453?utm_source=linkedin&amp;domain=microsoft.com&amp;src=LinkedIn&amp;urlHash=8OwP", "https://apply.careers.microsoft.com/careers/job/1970393556621453?utm_source=linkedin&amp;domain=microsoft.com&amp;src=LinkedIn&amp;urlHash=8OwP")</f>
        <v/>
      </c>
      <c r="G56" t="inlineStr">
        <is>
          <t>Redmond, WA</t>
        </is>
      </c>
      <c r="H56" t="inlineStr"/>
      <c r="I56" t="inlineStr">
        <is>
          <t>**Overview**
 As a Senior AI Applied Scientist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 Embody our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of experience with generative AI OR LLM/ML algorithms.
* 1\+ research and implement state\-of\-the\-art using foundation models, prompt engineering, RAG, graphs, multi\-agent architectures, as well as classical machine learning techniques.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3\+ years of experience publishing in peer\-reviewed venues or filing patents.
* Experience presenting at conferences or industry events.
* 3\+ years of experience conducting research in academic or industry settings.
* 1\+ year of experience developing and deploying live production systems.
* 1\+ years of experience working with Generative AI models and ML stacks.
* Experience across the product lifecycle from ideation to shipping.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\#BIC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li-4326512782</t>
        </is>
      </c>
      <c r="B57" t="inlineStr">
        <is>
          <t>Lead Applied Scientist</t>
        </is>
      </c>
      <c r="C57" t="inlineStr">
        <is>
          <t>Thomson Reuters</t>
        </is>
      </c>
      <c r="D57" t="inlineStr">
        <is>
          <t>linkedin</t>
        </is>
      </c>
      <c r="E57">
        <f>HYPERLINK("https://www.linkedin.com/jobs/view/4326512782", "https://www.linkedin.com/jobs/view/4326512782")</f>
        <v/>
      </c>
      <c r="F57" t="inlineStr"/>
      <c r="G57" t="inlineStr">
        <is>
          <t>Ann Arbor, MI</t>
        </is>
      </c>
      <c r="H57" t="inlineStr"/>
      <c r="I57"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8">
      <c r="A58" t="inlineStr">
        <is>
          <t>li-4326356373</t>
        </is>
      </c>
      <c r="B58" t="inlineStr">
        <is>
          <t>Lead Applied Scientist, NLP</t>
        </is>
      </c>
      <c r="C58" t="inlineStr">
        <is>
          <t>Thomson Reuters</t>
        </is>
      </c>
      <c r="D58" t="inlineStr">
        <is>
          <t>linkedin</t>
        </is>
      </c>
      <c r="E58">
        <f>HYPERLINK("https://www.linkedin.com/jobs/view/4326356373", "https://www.linkedin.com/jobs/view/4326356373")</f>
        <v/>
      </c>
      <c r="F58" t="inlineStr"/>
      <c r="G58" t="inlineStr">
        <is>
          <t>Ann Arbor, MI</t>
        </is>
      </c>
      <c r="H58" t="inlineStr"/>
      <c r="I58"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9">
      <c r="A59" t="inlineStr">
        <is>
          <t>li-4371450633</t>
        </is>
      </c>
      <c r="B59" t="inlineStr">
        <is>
          <t>Machine Learning Engineer</t>
        </is>
      </c>
      <c r="C59" t="inlineStr">
        <is>
          <t>Red Hat</t>
        </is>
      </c>
      <c r="D59" t="inlineStr">
        <is>
          <t>linkedin</t>
        </is>
      </c>
      <c r="E59">
        <f>HYPERLINK("https://www.linkedin.com/jobs/view/4371450633", "https://www.linkedin.com/jobs/view/4371450633")</f>
        <v/>
      </c>
      <c r="F59">
        <f>HYPERLINK("https://www.wiraa.com/job-description/usEC60945D022637594D04C73BF8469647?source=Linkedin&amp;urlHash=uBQo", "https://www.wiraa.com/job-description/usEC60945D022637594D04C73BF8469647?source=Linkedin&amp;urlHash=uBQo")</f>
        <v/>
      </c>
      <c r="G59" t="inlineStr"/>
      <c r="H59" t="inlineStr"/>
      <c r="I59" t="inlineStr">
        <is>
          <t>**About The Company** 
 Red Hat is the world's leading provider of enterprise open source software solutions, renowned for its community\-powered approach to delivering high\-performing Linux, cloud, container, and Kubernetes technologies. Operating across more than 40 countries, Red Hat fosters a flexible work environment that includes in\-office, hybrid, and fully remote options, designed to accommodate the diverse needs of its global workforce. The company emphasizes innovation, collaboration, and inclusion, encouraging employees to bring forward their ideas regardless of tenure or title. As a pioneer in open source, Red Hat maintains a culture rooted in transparency and diversity, which drives its mission to solve complex problems and make a meaningful impact in the technology landscape.
**About The Role** 
 Red Hat is seeking a talented Machine Learning Engineer to join its AI Inference Engineering team, focusing on distributed vLLM infrastructure within the llm‑d project. This role places you at the forefront of AI innovation, where you will collaborate with a team of leading developers and maintainers of open\-source projects such as vLLM and LLM‑D. Your primary responsibility will be to develop and optimize scalable inference systems for large language models (LLMs) using Kubernetes\-native deployments. You will work on designing, developing, and testing new features, contributing to upstream communities, and enhancing the stability, resource utilization, and fault tolerance of inference infrastructure. This position offers an exciting opportunity to influence the future of AI deployment, working at the intersection of deep learning, distributed systems, and cloud\-native infrastructure, all within an open\-source environment that values continuous learning and innovation.
**Qualifications** 
* Proficiency in Python and/or GoLang or similar programming languages
* Experience with cloud\-native Kubernetes service mesh technologies such as Istio, Cilium, Envoy (WASM filters), and CNI
* Understanding of Layer 7 networking, HTTP/2, gRPC, API gateways, and reverse proxies
* Knowledge of serving runtime technologies for hosting LLMs, including vLLM, SGLang, TensorRT\-LLM
* Excellent written and verbal communication skills for effective team collaboration
* Ability to work independently in a fast\-paced, dynamic environment
* Optional but advantageous: proficiency in C, C\+\+, or Rust
* Familiarity with Kubernetes ecosystem, custom APIs, operators, and Gateway API inference extension
* Knowledge of high\-performance networking protocols such as UCX, RoCE, InfiniBand, RDMA
* Experience with GPU benchmarking, profiling tools like NVIDIA Nsight, and distributed tracing libraries such as OpenTelemetry
* Strong understanding of computer architecture, parallel processing, and distributed computing concepts
* Bachelor’s degree in computer science or related field (preferred but not mandatory)
* Active engagement in the ML research community through publications, conferences, or open source contributions (a plus)
**Responsibilities** 
* Design, develop, and test new features and solutions for Red Hat AI Inference platform
* Participate actively in upstream open\-source communities to drive innovation
* Develop and maintain distributed inference infrastructure leveraging Kubernetes APIs, operators, and Gateway Inference Extension API for scalable LLM deployments
* Implement system components in Go and/or Rust to integrate with vLLM and manage distributed inference workloads effectively
* Develop KV cache\-aware routing and scoring algorithms to optimize memory utilization and request distribution in large\-scale inference environments
* Enhance resource utilization, fault tolerance, and overall stability of the inference stack
* Develop and evaluate inference optimization algorithms to improve performance
* Engage in technical design discussions, sharing insights and recommendations
* Promote a culture of continuous improvement through knowledge sharing and technical mentorship
* Collaborate effectively with cross\-functional teams to meet engineering deliverables
* Provide timely and constructive code reviews to ensure high\-quality code standards
* Maintain clear communication to ensure visibility of development efforts across teams
**Benefits** 
* Comprehensive medical, dental, and vision coverage
* Flexible Spending Account (FSA) for healthcare and dependent care expenses
* Health Savings Account (HSA) for high deductible health plans
* Retirement 401(k) plan with employer matching contributions
* Paid time off and holidays to support work\-life balance
* Paid parental leave for all new parents
* Additional leave benefits including disability, paid family medical leave, and military leave
* Employee stock purchase plan, family planning reimbursement, tuition reimbursement
* Transportation expense accounts and employee assistance programs
 Equal Opportunity
 Red Hat is proud to be an equal opportunity workplace and an affirmative action employer. We review applications without regard to race, color, religion, sex, sexual orientation, gender identity, national origin, ancestry, citizenship, age, veteran status, genetic information, physical or mental disability, medical condition, marital status, or any other legally protected characteristic.</t>
        </is>
      </c>
    </row>
    <row r="60">
      <c r="A60" t="inlineStr">
        <is>
          <t>li-4371436926</t>
        </is>
      </c>
      <c r="B60" t="inlineStr">
        <is>
          <t>ML Engineer</t>
        </is>
      </c>
      <c r="C60" t="inlineStr">
        <is>
          <t>Waymo</t>
        </is>
      </c>
      <c r="D60" t="inlineStr">
        <is>
          <t>linkedin</t>
        </is>
      </c>
      <c r="E60">
        <f>HYPERLINK("https://www.linkedin.com/jobs/view/4371436926", "https://www.linkedin.com/jobs/view/4371436926")</f>
        <v/>
      </c>
      <c r="F60" t="inlineStr"/>
      <c r="G60" t="inlineStr"/>
      <c r="H60" t="inlineStr"/>
      <c r="I60" t="inlineStr">
        <is>
          <t>**About The Company**
 Waymo is a pioneering autonomous driving technology company dedicated to transforming mobility and enhancing safety on the roads. Established in 2009 as the Google Self\-Driving Car Project, Waymo has evolved into a leader in developing self\-driving solutions with a mission to be the world's most trusted driver. The company’s flagship innovation, the Waymo Driver, is the most experienced autonomous driver globally, enabling safer and more accessible transportation options. With a focus on saving lives and reducing traffic\-related fatalities, Waymo’s technology powers a fully autonomous ride\-hail service and is adaptable to various vehicle platforms and use cases. The company has accumulated extensive real\-world driving experience, having completed over ten million rider\-only trips and driven more than 100 million miles on public roads across multiple states, complemented by tens of billions of miles in simulation. Waymo’s commitment to innovation, safety, and reliability positions it at the forefront of autonomous driving advancements.
**About The Role**
 Waymo is seeking a talented and experienced Machine Learning Engineer to join the Mapping team, focusing on automating the creation of high\-definition maps that are critical for safe autonomous driving. In this role, you will design, develop, and deploy advanced machine learning models to streamline and scale the mapping process, enabling the Waymo Driver to operate more efficiently across diverse environments. You will work on cutting\-edge ML techniques, including Vision\-Language Models and Generative AI, to pioneer new solutions in mapping automation. This position offers an opportunity to own the entire model development lifecycle—from data collection and processing to training, evaluation, validation, and deployment—collaborating closely with cross\-functional teams to integrate research into scalable, production\-ready systems. Your contributions will directly impact Waymo’s mission to make autonomous driving safer and more accessible for everyone.
**Qualifications**
* 4\+ years of hands\-on experience in Machine Learning, with a focus on computer vision and/or deep learning
* Proficiency in at least one major deep learning framework such as TensorFlow, PyTorch, or JAX
* Strong understanding of machine learning model development lifecycle, including data mining, training, evaluation, and deployment
* B.S. degree in Computer Science, Electrical Engineering, or a related technical field, or equivalent practical experience
**Responsibilities**
* Design, train, and deploy machine learning models to automate the creation of high\-resolution maps for autonomous driving applications
* Apply and innovate using state\-of\-the\-art ML techniques, including Vision\-Language Models and Generative AI approaches, to improve mapping automation
* Own the end\-to\-end development process, from data collection and preprocessing to model evaluation, validation, and production deployment
* Collaborate with cross\-functional teams, including perception and AI foundation groups, to integrate cutting\-edge research into scalable solutions
* Continuously improve models based on performance metrics and real\-world testing, ensuring robustness and reliability
* Document methodologies, results, and best practices to facilitate knowledge sharing within the team
**Benefits**
* Competitive salary within the range of $204,000 to $259,000 USD, commensurate with experience and location
* Participation in Waymo’s discretionary annual bonus program and equity incentive plan
* Comprehensive health, dental, and vision insurance coverage
* Generous paid time off and holiday leave
* Opportunities for professional growth and development in a cutting\-edge technology environment
* Flexible work arrangements, including remote work options where applicable
* Access to innovative projects and collaboration with industry\-leading experts
 Equal Opportunity
 Waymo is an equal opportunity employer committed to fostering a diverse and inclusive workplace. We welcome applicants of all backgrounds, experiences, and identities to apply. All employment decisions are made without regard to race, color, religion, gender, sexual orientation, gender identity or expression, national origin, age, disability, or any other protected status. We believe that a diverse team drives innovation and excellence, and we are dedicated to creating an environment where everyone can thrive.</t>
        </is>
      </c>
    </row>
    <row r="61">
      <c r="A61" t="inlineStr">
        <is>
          <t>li-4371198670</t>
        </is>
      </c>
      <c r="B61" t="inlineStr">
        <is>
          <t>Machine Learning Engineer, Perception, Data &amp; Systems</t>
        </is>
      </c>
      <c r="C61" t="inlineStr">
        <is>
          <t>Waymo</t>
        </is>
      </c>
      <c r="D61" t="inlineStr">
        <is>
          <t>linkedin</t>
        </is>
      </c>
      <c r="E61">
        <f>HYPERLINK("https://www.linkedin.com/jobs/view/4371198670", "https://www.linkedin.com/jobs/view/4371198670")</f>
        <v/>
      </c>
      <c r="F61" t="inlineStr"/>
      <c r="G61" t="inlineStr">
        <is>
          <t>Mountain View, CA</t>
        </is>
      </c>
      <c r="H61" t="inlineStr"/>
      <c r="I6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In this hybrid role you will report to a Technical Lead Manager.
**You Will**
* Create foundation scale data sets and training recipes, develop methods and recipes for human and machine labeling of foundation scale data sets.
* Create methods and recipes for continuous data intake, selection and incremental updates of large models, develop methods for data mining and recipes for automated data collection/model update flywheels.
* Develop methods and recipes for evaluating real\-world performance of models, and detecting regressions in model updates.
* Develop and maintain ground\-truth free performance metrics.
**You Have**
* Bachelors in Computer Science or a similar discipline, or an equivalent amount of deep learning experience
* 3\+ years experience in Machine Learning and/or Computer Vision
* Experience with Python
* Experience with ML frameworks like PyTorch or JAX
**We Prefer**
* Experience in application and optimization of data mining and/or labeling for a production ML system
* Experience in Autonomous Vehicle or related industries
* MS or PhD Degree in Machine Learning, Robotics, Computer Science or a similar discipline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62">
      <c r="A62" t="inlineStr">
        <is>
          <t>li-4371481533</t>
        </is>
      </c>
      <c r="B62" t="inlineStr">
        <is>
          <t>AI / Machine Learning Engineer</t>
        </is>
      </c>
      <c r="C62" t="inlineStr">
        <is>
          <t>1Kosmos</t>
        </is>
      </c>
      <c r="D62" t="inlineStr">
        <is>
          <t>linkedin</t>
        </is>
      </c>
      <c r="E62">
        <f>HYPERLINK("https://www.linkedin.com/jobs/view/4371481533", "https://www.linkedin.com/jobs/view/4371481533")</f>
        <v/>
      </c>
      <c r="F62">
        <f>HYPERLINK("https://www.adzuna.com/details/5353091526?v=B0714CCF7AFB8A667016EB4A4D566414E4B99EB4&amp;frd=9e7a7ef86fde30ec0ef2c4d062e1dc2e&amp;ccd=28b8791e2343b0813db4fe858015ab74&amp;r=21244077&amp;utm_source=linkedin7&amp;utm_medium=organic&amp;chnlid=1931&amp;title=AI%20%2F%20Machine%20Learning%20Engineer&amp;a=e&amp;urlHash=-F5u", "https://www.adzuna.com/details/5353091526?v=B0714CCF7AFB8A667016EB4A4D566414E4B99EB4&amp;frd=9e7a7ef86fde30ec0ef2c4d062e1dc2e&amp;ccd=28b8791e2343b0813db4fe858015ab74&amp;r=21244077&amp;utm_source=linkedin7&amp;utm_medium=organic&amp;chnlid=1931&amp;title=AI%20%2F%20Machine%20Learning%20Engineer&amp;a=e&amp;urlHash=-F5u")</f>
        <v/>
      </c>
      <c r="G62" t="inlineStr">
        <is>
          <t>Iselin, NJ</t>
        </is>
      </c>
      <c r="H62" t="inlineStr"/>
      <c r="I62" t="inlineStr">
        <is>
          <t>Are you ready to shape the future of authentication? Join 1Kosmos and help lead the next wave in identity assurance and passwordless innovation.
 1Kosmos is driving the future of identity security, empowering organizations to eliminate passwords and establish trust at every step of the identity lifecycle. As a vibrant team of innovators, we develop advanced authentication solutions trusted by some of the world’s leading brands. Join us as we create a passwordless world and set new standards for digital identity assurance.
 We are looking for an
 **AI / Machine Learning Engineer** 
 to design, build, and deploy advanced computer vision and AI solutions. You will work on projects involving
 **image capture** 
 ,
 **data extraction** 
 , and
 **fraud detection** 
 , delivering high\-performance models that can run on both mobile devices and cloud environments.
 This role blends
 **R\&amp;D** 
 with production engineering—you’ll take ownership of the full ML lifecycle, from dataset creation and model training to deployment and performance optimization.
 Key Responsibilities
* Design and implement AI models for image classification, object detection, OCR, and feature extraction.
* Develop real\-time image quality assessment and capture guidance algorithms.
* Create and maintain data pipelines for collecting, cleaning, augmenting, and labeling datasets.
* Implement model optimization techniques for mobile (on\-device) and cloud inference.
* Apply fraud detection methods to identify tampering, forgeries, or replay attacks in visual data.
* Integrate ML models into production\-grade APIs and mobile SDKs.
* Monitor, evaluate, and continuously improve model accuracy and performance.
* Collaborate with product and engineering teams to align AI capabilities with business goals.
**Requirements**
* Bachelor’s or Master’s degree in Computer Science, AI/ML, or related field (or equivalent experience).
* 3\+ years of experience building and deploying ML models in production.
* Proficiency in Python and ML frameworks (PyTorch, TensorFlow, or similar).
* Experience with computer vision libraries (e.g., OpenCV) and OCR technologies.
* Strong understanding of deep learning architectures for image and text recognition.
* Familiarity with cloud platforms (AWS, GCP, or Azure) and API development.
* Strong problem\-solving skills and ability to work in fast\-paced environments.
* Based in the NJ / NY area; Hybrid working model.
 Preferred Qualifications
* Experience with model quantization and optimization for mobile deployment.
* Knowledge of synthetic data generation and data augmentation techniques.
* Background in security, liveness detection, or anomaly detection.
* Exposure to compliance and data privacy regulations (GDPR, CCPA).
* Contributions to open\-source ML projects or published research.
**Benefits**
* Cutting\-Edge Tech Stack: Build with decentralized identity protocols, FedRamp High, FIDO2\-certified cryptography, and NIST\-compliant biometric systems.
* Accelerated Growth: Receive annual stipends for certifications and attend key conferences like Identiverse or EIC.
* Ownership \&amp; Impact: We move fast and will enable you to make a big impact with large customers in US \&amp; Canada.
* Flexibility First: Unlimited PTO, and 2 days WFH</t>
        </is>
      </c>
    </row>
    <row r="63">
      <c r="A63" t="inlineStr">
        <is>
          <t>li-4371456949</t>
        </is>
      </c>
      <c r="B63" t="inlineStr">
        <is>
          <t>AI Engineer</t>
        </is>
      </c>
      <c r="C63" t="inlineStr">
        <is>
          <t>Concentrate AI</t>
        </is>
      </c>
      <c r="D63" t="inlineStr">
        <is>
          <t>linkedin</t>
        </is>
      </c>
      <c r="E63">
        <f>HYPERLINK("https://www.linkedin.com/jobs/view/4371456949", "https://www.linkedin.com/jobs/view/4371456949")</f>
        <v/>
      </c>
      <c r="F63" t="inlineStr"/>
      <c r="G63" t="inlineStr"/>
      <c r="H63" t="inlineStr"/>
      <c r="I63" t="inlineStr">
        <is>
          <t>Concentrate AI
  provides a unified, OpenAI\-compatible API to access, route, and manage LLMs. We save our customers time, cut costs, and reduce risk. We manage high\-volume AI traffic and logs.
 We’re seed\-stage, well\-funded, and in stealth. This role is fully remote in the US.
**The Role** 
 Build, run, and debug LLM applications on top of Concentrate. You’ll work on production workloads (customer\-facing and internal), stress test the platform, and share feedback and learnings with the product team.
 We move quickly, debate things, and work long hours. Frequent travel to NYC, Philadelphia, and SF.
**Key Areas of Responsibility:** 
* Build LLM\-powered services, workflows, and applications using Concentrate
* Integrate with real production applications and environments
* Design reliable interactions with LLMs (OpenAI, Anthropic, Gemini, OSS), including prompts, tool calling, evals, and guardrails
* Debug failures across models, APIs, and infrastructure
* Write code, scripts, and small tools to test system behavior at scale
* Reproduce bugs, isolate root causes, and clearly document findings
* Drive improvements to APIs, defaults, and overall developer experience
**What We’re Looking for** 
* Hands\-on experience integrating LLMs via APIs in production
* Always building tools, scripts, side projects, or experiments to test ideas and learn fast
* Strong Python; TypeScript is a plus
* Comfortable with REST APIs, async systems, and production debugging
* Bachelor’s degree in Computer Science from a highly selective, rigorous engineering program.
* Curious about model behavior under load, failure, and edge cases
* Familiarity with tool calling, agents, multi\-step workflows, or MCPs
* Strong code quality and technical judgment
* Comfortable operating in early\-stage environments with speed and ambiguity
* Clear async communication (Slack, written updates, concise docs)
* Fluent written and verbal English required for documentation, incident response, and technical and business presentations.
* Bonus: active open\-source contributor
**Comp** 
 : Base \+ bonus \+ meaningful equity
**Equal Opportunity \&amp; Fair Chance Notice** 
 Concentrate AI is an affirmative action and equal opportunity employer. We are committed to providing equal employment opportunities and do not discriminate in recruiting, hiring, training, promotion, or other employment practices on the basis of race, color, sex, age, religion, national origin, ancestry, protected veteran status, disability, sexual orientation, gender identity or expression, genetic information, or any other status protected by applicable law.
 Qualified applicants with arrest and conviction records will be considered in accordance with the San Francisco Fair Chance Ordinance and applicable state and local laws.
**California Privacy Notice** 
 California residents may contact privacy@concentrate.ai for additional information regarding how we collect, use, and disclose personal information during the job application process.
**Recruitment Agency Notice** 
 Concentrate AI does not accept unsolicited resumes from recruitment agencies and is not responsible for any fees related to unsolicited submissions.</t>
        </is>
      </c>
    </row>
    <row r="64">
      <c r="A64" t="inlineStr">
        <is>
          <t>li-4371453118</t>
        </is>
      </c>
      <c r="B64" t="inlineStr">
        <is>
          <t>AI Engineer</t>
        </is>
      </c>
      <c r="C64" t="inlineStr">
        <is>
          <t>GlobalPoint</t>
        </is>
      </c>
      <c r="D64" t="inlineStr">
        <is>
          <t>linkedin</t>
        </is>
      </c>
      <c r="E64">
        <f>HYPERLINK("https://www.linkedin.com/jobs/view/4371453118", "https://www.linkedin.com/jobs/view/4371453118")</f>
        <v/>
      </c>
      <c r="F64" t="inlineStr"/>
      <c r="G64" t="inlineStr">
        <is>
          <t>Charlotte, NC</t>
        </is>
      </c>
      <c r="H64" t="inlineStr"/>
      <c r="I64" t="inlineStr">
        <is>
          <t>**Long term**
**Charlotte, NC**
 Technical Leadership \&amp; System Architecture
* Lead the architecture and development of LLM\-driven applications, AI agents, and RAG\-based systems.
* Provide technical guidance, conduct code reviews, and mentor junior team members.
* Drive best practices in Python backend engineering, API development, and AI system design.
 Backend Engineering (Python)
* Build and maintain backend services using FastAPI or Flask.
* Develop scalable API endpoints for AI applications, embeddings, and retrieval systems.
* Ensure backend code quality, modularity, performance, and maintainability.
 LLMs, RAG, and AI Agent Development
* Build AI applications using: LangChain, LangGraph, Semantic Kernel, Haystack, LlamaIndex, AutoGen
* Develop autonomous or semi\-autonomous AI agents with tool calling and workflow graphs.
* Implement Retrieval\-Augmented Generation (RAG), embedding pipelines, chunking strategies, reranking, and grounding techniques.
* Work with OpenAI SDK and other LLM providers (Anthropic, Azure OpenAI, Cohere, etc.).
* Manage prompt engineering, prompt routing, safety guardrails, and evaluation metrics.
 Data \&amp; Vector Search Engineering
* Build data pipelines for indexing, embeddings, and retrieval workflows.
* Work with SQL databases (PostgreSQL, MySQL, etc.) for metadata and application storage.
* Work with vector databases such as: Redis, Postgres with pgvector, Elasticsearch, Neo4j, or others.
* Implement and optimize search workflows using FAISS or similar similarity search libraries.
 MLOps, Deployment \&amp; Observability
* Deploy AI services using Docker, container orchestration, and cloud environments.
* Implement monitoring for AI behavior, performance, error rates, and retrieval accuracy.
* Set up CI/CD pipelines for backend and AI components.
* Optimize inference cost, latency, and reliability.
 Cross\-Functional Collaboration
* Collaborate with product, data engineering, and business teams to understand requirements.
* Translate business problems into scalable AI architectures and deliver practical solutions.
* Communicate technical decisions, trade\-offs, and progress to stakeholders.
**Requirements**
* Bachelor’s/Master’s degree in Computer Science, AI/ML, Data Science, or related fields.
* 10\+ years of experience in Python backend development.
* Strong proficiency in FastAPI or Flask.
* Strong working knowledge of SQL databases (Postgres, MySQL, etc.).
* Hands\-on expertise with vector databases:
 Redis, Postgres/pgvector, Elasticsearch, or Neo4j.
* Practical experience with FAISS for similarity search.
* Hands\-on experience with modern LLM frameworks:
 LangChain, LangGraph, Semantic Kernel, Haystack, LlamaIndex, AutoGen.
**Strong Understanding Of**
* Embeddings \&amp; vector search
* RAG pipelines
* Retrieval optimization
* Chunking strategies
* Document loaders \&amp; indexing
* Experience building AI apps using OpenAI SDK or similar.
* Experience deploying APIs/services using Docker and cloud environments.
* Leadership experience: guiding teams, conducting reviews, driving architecture decisions.</t>
        </is>
      </c>
    </row>
    <row r="65">
      <c r="A65" t="inlineStr">
        <is>
          <t>li-4371192418</t>
        </is>
      </c>
      <c r="B65" t="inlineStr">
        <is>
          <t>Applied AI Engineer</t>
        </is>
      </c>
      <c r="C65" t="inlineStr">
        <is>
          <t>SOCOTEC</t>
        </is>
      </c>
      <c r="D65" t="inlineStr">
        <is>
          <t>linkedin</t>
        </is>
      </c>
      <c r="E65">
        <f>HYPERLINK("https://www.linkedin.com/jobs/view/4371192418", "https://www.linkedin.com/jobs/view/4371192418")</f>
        <v/>
      </c>
      <c r="F65" t="inlineStr"/>
      <c r="G65" t="inlineStr">
        <is>
          <t>New York, NY</t>
        </is>
      </c>
      <c r="H65" t="inlineStr"/>
      <c r="I65" t="inlineStr">
        <is>
          <t>**Description Du Poste** 
**Company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66">
      <c r="A66" t="inlineStr">
        <is>
          <t>li-4371194401</t>
        </is>
      </c>
      <c r="B66" t="inlineStr">
        <is>
          <t>Applied AI Engineer</t>
        </is>
      </c>
      <c r="C66" t="inlineStr">
        <is>
          <t>SOCOTEC</t>
        </is>
      </c>
      <c r="D66" t="inlineStr">
        <is>
          <t>linkedin</t>
        </is>
      </c>
      <c r="E66">
        <f>HYPERLINK("https://www.linkedin.com/jobs/view/4371194401", "https://www.linkedin.com/jobs/view/4371194401")</f>
        <v/>
      </c>
      <c r="F66" t="inlineStr"/>
      <c r="G66" t="inlineStr">
        <is>
          <t>Boston, MA</t>
        </is>
      </c>
      <c r="H66" t="inlineStr"/>
      <c r="I66" t="inlineStr">
        <is>
          <t>**Description Du Poste** 
**Company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67">
      <c r="A67" t="inlineStr">
        <is>
          <t>li-4371472104</t>
        </is>
      </c>
      <c r="B67" t="inlineStr">
        <is>
          <t>Machine Learning Engineer</t>
        </is>
      </c>
      <c r="C67" t="inlineStr">
        <is>
          <t>Goliath Partners</t>
        </is>
      </c>
      <c r="D67" t="inlineStr">
        <is>
          <t>linkedin</t>
        </is>
      </c>
      <c r="E67">
        <f>HYPERLINK("https://www.linkedin.com/jobs/view/4371472104", "https://www.linkedin.com/jobs/view/4371472104")</f>
        <v/>
      </c>
      <c r="F67" t="inlineStr"/>
      <c r="G67" t="inlineStr"/>
      <c r="H67" t="inlineStr"/>
      <c r="I67"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68">
      <c r="A68" t="inlineStr">
        <is>
          <t>li-4371448348</t>
        </is>
      </c>
      <c r="B68" t="inlineStr">
        <is>
          <t>AI/ML Engineer</t>
        </is>
      </c>
      <c r="C68" t="inlineStr">
        <is>
          <t>Onebridge</t>
        </is>
      </c>
      <c r="D68" t="inlineStr">
        <is>
          <t>linkedin</t>
        </is>
      </c>
      <c r="E68">
        <f>HYPERLINK("https://www.linkedin.com/jobs/view/4371448348", "https://www.linkedin.com/jobs/view/4371448348")</f>
        <v/>
      </c>
      <c r="F68" t="inlineStr"/>
      <c r="G68" t="inlineStr">
        <is>
          <t>Indianapolis, IN</t>
        </is>
      </c>
      <c r="H68" t="inlineStr"/>
      <c r="I68"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AI/ML Engineer to join our innovative and dynamic team.
**Employment Type:** 
 Full Time
**Location:** 
 Indianapolis, IN \- Onsite 3 days / week
**Industry:** 
 IT \&amp; Services.
**AI/ML Engineer** 
 \|
 **About You** 
 As an AI/ML Engineer, you are responsible for building the infrastructure, services, and tooling that bring machine learning models into scalable, production\-ready environments. You thrive at the intersection of software engineering and applied ML, designing systems that enable data scientists and researchers to deliver high‑impact models. You have a strong understanding of distributed systems, modern ML pipelines, and cloud\-native compute environments. You care deeply about building reliable, well\-tested, and maintainable machine learning systems. You are motivated by accelerating discovery and enabling teams to operationalize ML at scale.
**AI/ML Engineer** 
 \|
 **Day\-to\-Day** 
* Design, build, and maintain scalable ML pipelines, services, and infrastructure to support model training, deployment, and lifecycle management.
* Collaborate with data scientists to productionize models, ensuring strong performance, reliability, and seamless integration with research workflows.
* Implement containerized ML workloads and orchestrate them with Kubernetes to support training, inference, and scaling needs.
* Develop and maintain APIs and microservices that expose ML capabilities and facilitate cross‑platform interoperability.
* Monitor ML systems in production, analyzing performance, drift, and operational metrics to ensure model health and stability.
* Troubleshoot complex model deployment, data pipeline, and distributed‑system issues to ensure smooth operation of ML\-driven applications.
**AI/ML Engineer \| Skills \&amp; Experience** 
* 3\+ years of experience delivering ML or AI systems into production, with strong software engineering fundamentals.
* Proficiency in Python (preferred for ML workflows) and experience with at least one compiled language such as Go, Rust, Java, or C\+\+.
* Hands\-on experience deploying ML workloads using containers, Kubernetes, and cloud\-native infrastructure.
* Strong understanding of ML model deployment patterns, including REST/gRPC serving, batch inference, and real\-time inference architectures.
* Experience applying test\-driven development, automated testing, and CI/CD practices to ML systems and data pipelines.
* Solid understanding of distributed systems, including performance tuning, scaling strategies, and building reliable, high\-throughput ML services.</t>
        </is>
      </c>
    </row>
    <row r="69">
      <c r="A69" t="inlineStr">
        <is>
          <t>li-3981024426</t>
        </is>
      </c>
      <c r="B69" t="inlineStr">
        <is>
          <t>Machine Learning Engineer, Monetization Engineering</t>
        </is>
      </c>
      <c r="C69" t="inlineStr">
        <is>
          <t>Pinterest</t>
        </is>
      </c>
      <c r="D69" t="inlineStr">
        <is>
          <t>linkedin</t>
        </is>
      </c>
      <c r="E69">
        <f>HYPERLINK("https://www.linkedin.com/jobs/view/3981024426", "https://www.linkedin.com/jobs/view/3981024426")</f>
        <v/>
      </c>
      <c r="F69">
        <f>HYPERLINK("https://www.pinterestcareers.com/jobs/6121543/machine-learning-engineer-monetization-engineering/?source=linkedin_limited_listing&amp;utm_source=linkedin_limited_listing&amp;urlHash=HHlR", "https://www.pinterestcareers.com/jobs/6121543/machine-learning-engineer-monetization-engineering/?source=linkedin_limited_listing&amp;utm_source=linkedin_limited_listing&amp;urlHash=HHlR")</f>
        <v/>
      </c>
      <c r="G69" t="inlineStr">
        <is>
          <t>San Francisco, CA</t>
        </is>
      </c>
      <c r="H69" t="inlineStr"/>
      <c r="I6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70">
      <c r="A70" t="inlineStr">
        <is>
          <t>li-4371489341</t>
        </is>
      </c>
      <c r="B70" t="inlineStr">
        <is>
          <t>Generative AI Engineer</t>
        </is>
      </c>
      <c r="C70" t="inlineStr">
        <is>
          <t>Inherent Technologies</t>
        </is>
      </c>
      <c r="D70" t="inlineStr">
        <is>
          <t>linkedin</t>
        </is>
      </c>
      <c r="E70">
        <f>HYPERLINK("https://www.linkedin.com/jobs/view/4371489341", "https://www.linkedin.com/jobs/view/4371489341")</f>
        <v/>
      </c>
      <c r="F70" t="inlineStr"/>
      <c r="G70" t="inlineStr">
        <is>
          <t>Woonsocket, RI</t>
        </is>
      </c>
      <c r="H70" t="inlineStr"/>
      <c r="I70" t="inlineStr">
        <is>
          <t>**Position: Senior Generative AI Engineer (Python \&amp; LLMs)**
**Location: Woonsocket, RI \*Day 1 Onsite**
 Minimum of 2 years of hands\-on experience working with deep learning models in NLP, Python, Generative AI (GenAI), and AI\-related technologies.
 Overall 6\+ years of experience in software development, data analytics, or data science.
 Write efficient, well\-documented Python code for building, fine\-tuning, and deploying LLM\-based applications.
 Strong understanding of deep learning techniques, architectures, and best practices.
 Solid knowledge of large language models (LLMs) and their real\-world applications.
**Experience Delivering GenAI\-based Projects, Including**
 Prompt engineering techniques
 Vector databases for storing and retrieving model\-driven data
 Hands\-on experience with orchestration frameworks such as LangChain or similar tools.
**Demonstrated Python Expertise, With Strong Experience Using**
 TensorFlow
 PyTorch
 Hugging Face Transformers
 Implementation and optimization of deep learning models for use cases such as:
 Text classification
 Sentiment analysis
 Summarization
**Familiarity With Rapid Application Development Frameworks, Including**
 Streamlit
 FastAPI
 Flask
 Experience deploying and scaling machine learning models on cloud platforms such as Azure or GCP.
 Knowledge of agentic architectures and multi\-agent patterns (e.g., AutoGen or similar frameworks).
 Healthcare domain knowledge preferred.
 Desirable Skills: Skills: Digital : Python\~AI \&amp; Gen AI \- Products \&amp; Tools
 Experience Required: 10 \&amp; Above</t>
        </is>
      </c>
    </row>
    <row r="71">
      <c r="A71" t="inlineStr">
        <is>
          <t>li-4371155592</t>
        </is>
      </c>
      <c r="B71" t="inlineStr">
        <is>
          <t>Junior ML Engineer</t>
        </is>
      </c>
      <c r="C71" t="inlineStr">
        <is>
          <t>Emonics LLC</t>
        </is>
      </c>
      <c r="D71" t="inlineStr">
        <is>
          <t>linkedin</t>
        </is>
      </c>
      <c r="E71">
        <f>HYPERLINK("https://www.linkedin.com/jobs/view/4371155592", "https://www.linkedin.com/jobs/view/4371155592")</f>
        <v/>
      </c>
      <c r="F71" t="inlineStr"/>
      <c r="G71" t="inlineStr">
        <is>
          <t>Los Angeles, CA</t>
        </is>
      </c>
      <c r="H71" t="inlineStr"/>
      <c r="I71" t="inlineStr">
        <is>
          <t>Job description
 About the role
 We are looking for a Generative AI Engineer to help build applications powered by large language models (LLMs). You will help create prompt workflows, retrieval\-augmented generation (RAG) pipelines, and AI features that deliver business value safely and reliably.
 What you will do
 • Build GenAI prototypes and production features using LLM APIs and open\-source models
 • Develop prompt strategies and evaluate outputs for quality and consistency
 • Implement RAG using vector databases and document pipelines
 • Create automated tests and evaluation approaches for GenAI responses
 • Work on responsible AI practices (privacy, safety, bias mitigation)
 What you are looking for
 • Strong Python skills and comfort with APIs
 • Understanding of NLP fundamentals and basic ML concepts
 • Ability to write clean code and iterate quickly
 Nice to have
 • Familiarity with LangChain or LlamaIndex (or similar orchestration tools)
 • Experience with vector databases (Pinecone, Weaviate, FAISS, Chroma)
 • Basic knowledge of embeddings, token limits, context windows, and prompt injection risks
 • Cloud and Docker exposure</t>
        </is>
      </c>
    </row>
    <row r="72">
      <c r="A72" t="inlineStr">
        <is>
          <t>li-4371460104</t>
        </is>
      </c>
      <c r="B72" t="inlineStr">
        <is>
          <t>Gen AI/ML Engineer</t>
        </is>
      </c>
      <c r="C72" t="inlineStr">
        <is>
          <t>Wissen Technology</t>
        </is>
      </c>
      <c r="D72" t="inlineStr">
        <is>
          <t>linkedin</t>
        </is>
      </c>
      <c r="E72">
        <f>HYPERLINK("https://www.linkedin.com/jobs/view/4371460104", "https://www.linkedin.com/jobs/view/4371460104")</f>
        <v/>
      </c>
      <c r="F72" t="inlineStr"/>
      <c r="G72" t="inlineStr">
        <is>
          <t>Alpharetta, GA</t>
        </is>
      </c>
      <c r="H72" t="inlineStr"/>
      <c r="I72" t="inlineStr">
        <is>
          <t>**Gen AI/ML Engineer , Wissen Technology** 
 ,
 **Alpharetta, GA** 
 The Wissen team continues to expand its footprint in the Canada \&amp; USA. More openings to come as we continue to grow the team!
 Please read below for a brilliant career opportunity.
**Role: Gen AI/ML Engineer** 
**Title: Associate** 
**Location: Alpharetta, GA (Day 1 Onsite/Hybrid)** 
**Mode of Work: 3 days per week onsite required** 
**Required experience: 1\+ Years Required** 
 We are looking for an
 **Gen AI/ML Engineer** 
 to design, build, and deploy machine learning models and AI\-driven solutions. The ideal candidate has experience with data processing, model development, and production deployment.
**Key Responsibilities:** 
* Assist in designing, developing, and training machine learning models.
* Implement ML pipelines and support model evaluation, optimization, and deployment.
* Work with data preprocessing tools to clean, transform, and prepare datasets.
* Collaborate with senior engineers and cross\-functional teams to implement ML solutions.
* Document model behavior, experiments, and results.
* Support research activities by exploring new techniques, tools, and frameworks.
**Mandatory Skills:** 
* Proficiency in
 **Python** 
 .
* Working knowledge of
 **TensorFlow or PyTorch** 
 .
* Strong understanding of
 **machine learning algorithms** 
 and concepts.
**Preferred Skills:** 
* Exposure to data preprocessing tools like
 **Pandas** 
 and
 **NumPy** 
 .
* Basic understanding of
 **cloud AI services** 
 (AWS, Azure, or GCP).
**Benefits:** 
* 401K
* Healthcare insurance for you and your family (medical, dental, vision).
* Short / Long term disability insurance.
* Life Insurance.
* Accidental death \&amp; disability Insurance.
* 3 weeks of Paid Time Off.
* Support and fee coverage for immigration needs.
* Remote office set up stipend.
* Support for industry certifications.
* Additional cash incentives.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Perform other duties as needed
**Your Education and Experience:** 
 · We value candidates who can execute on our vision and help us build an industry\-leading organization. Rather than requiring a specific certification or number of years of experience, we ask that you be able to demonstrate your skills in the areas outlined above.
 · Graduate\-level degree in computer science, engineering, or related technical field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organizations in the Banking \&amp; Finance, Telecom, and Healthcare domains. We help clients build world\-class products.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stems from the talented professionals we attract. Committed to fostering their growth and providing top\-tier career opportunities, Wissen ensures an outstanding experience and value for our clients and employees. We serve diverse industries, including Banking, E\-commerce, Telecom, Healthcare, Manufacturing, and Energy.
**About Wissen Technology:** 
 Website : www.wissen.com
 LinkedIn: https://www.linkedin.com/company/wissen\-technology
 Wissen Leadership : https://www.wissen.com/company/wissen\-technology\-leadership
 Wissen Live : https://www.linkedin.com/company/wissen\-technology/posts/feedView\=All
 Wissen Thought Leadership : https://www.wissen.com/articles/
 Employee Speak:
 https://www.ambitionbox.com/overview/wissen\-technology\-overview
 https://www.glassdoor.com/Reviews/Wissen\-Infotech\-Reviews\-E287365\.htm
 Great Place to Work:
 https://www.wissen.com/blog/wissen\-is\-a\-great\-place\-to\-work\-says\-the\-great\-place\-to\-work\-institute\-…
 https://www.linkedin.com/posts/wissen\-infotech\_wissen\-leadership\-wissenites\-activity\-69354595461317…
 About Wissen Interview Process:
 https://www.wissen.com/blog/we\-work\-on\-highly\-complex\-technology\-projects\-here\-is\-how\-it\-changes\-wh…
 Latest in Wissen in CIO Insider :
 https://www.cioinsiderindia.com/vendor/wissen\-technology\-setting\-new\-benchmarks\-in\-technology\-consu…
 Job Type: Full\-time
 Schedule:
* Monday to Friday</t>
        </is>
      </c>
    </row>
    <row r="73">
      <c r="A73" t="inlineStr">
        <is>
          <t>li-4363223476</t>
        </is>
      </c>
      <c r="B73" t="inlineStr">
        <is>
          <t>AI Engineer</t>
        </is>
      </c>
      <c r="C73" t="inlineStr">
        <is>
          <t>Mortenson</t>
        </is>
      </c>
      <c r="D73" t="inlineStr">
        <is>
          <t>linkedin</t>
        </is>
      </c>
      <c r="E73">
        <f>HYPERLINK("https://www.linkedin.com/jobs/view/4363223476", "https://www.linkedin.com/jobs/view/4363223476")</f>
        <v/>
      </c>
      <c r="F73">
        <f>HYPERLINK("https://fa-esgu-saasfaprod1.fa.ocs.oraclecloud.com:443/hcmUI/CandidateExperience/en/job/20464?utm_source=linkedin&amp;utm_medium=jobboard&amp;urlHash=8o43", "https://fa-esgu-saasfaprod1.fa.ocs.oraclecloud.com:443/hcmUI/CandidateExperience/en/job/20464?utm_source=linkedin&amp;utm_medium=jobboard&amp;urlHash=8o43")</f>
        <v/>
      </c>
      <c r="G73" t="inlineStr">
        <is>
          <t>Minneapolis, MN</t>
        </is>
      </c>
      <c r="H73" t="inlineStr"/>
      <c r="I73" t="inlineStr">
        <is>
          <t>**Summary**
 Mortenson is currently seeking an AI Engineer that will play a key role in developing, testing, and deploying AI solutions that enhance decision\-making, automate workflows, and unlock new value across the enterprise and with project teams. This role will integrate models and AI solutions into enterprise systems and field applications, working closely with cross\-functional teams, to ensure alignment between business needs and data architecture, defining data models for specific focus areas.
**Responsibilities**
* Test and evaluate AI solutions and functionalities within and beyond enterprise solutions
* Translate business requirements into business\-ready AI solutions
* Collaborate with business partners, presenting goals, objective and findings to non\-technical audiences to promote innovation aligned with R\&amp;D efforts of the organization
* Work with structured and unstructured data from construction platforms (eg. Procore, Autodesk)
* Partner with Data Solutions to apply reusable components and pipelines to support and implement scalable AI solutions for team members, supporting domain experts across ITS and operations
* Ensure AI solutions meet Mortenson’s standards for security, privacy, and responsible use
* Effectively work and build relationships with those of diverse backgrounds and organizational levels
* (If applicable) All other duties as assigned
**Qualifications**
* Bachelor’s or Master’s in Computer Science, Data Science, Engineering or related field.
* 2\+ years in experience in AI/ML engineering or applied data science
* Prior work in construction, architecture, engineering, or real estate development, preferred
* Experience with LLMs, multimodal models, or generative AI (eg. Azure AI Foundry, Google Vertex)
* Familiarity with agent frameworks, agentic workflows, and knowledge graph, preferred
* Strong proficiency in Python, ML frameworks, PowerBI, and data tools
* Exposure to enterprise construction platforms or solutions (eg. Procore, Autodesk, Oracle)
* Active listening skills and effective communication including an openness to diverse input and feedback
* Ability to travel up to 15%
* Driver’s license required
**A Few Benefits Offered Include**
 (for Non\-Craft \&amp; Non\-Union Craft working 25\+ hours / week)
*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 Gym Membership Discount Program
 The base pay range for this role is $85,300 \- $128,00\. (Actual range is higher for the following office locations: Denver, CO and Chicago, IL – 5%, Seattle, WA, and Portland, OR – 10%, Washington, D.C. – 12\.5%). If applicable: This position is eligible for Mortenson’s incentive plan.
 Base pay is positioned within the range based on several factors including an individual’s knowledge, skills, and experience, with consideration given to internal equity.
**Please Make Note**
* Visa sponsorship is not offered for this position.
* Our postings are typically open a minimum of 5 days and an average of 44 days.
**About Mortenson**
 As a top builder, developer, and EPC (Engineering, Procurement, and Construction), our expertise spans markets like sports, renewable energy, data centers, healthcare, and more. We are builders at heart, working to ensure the built environment has a lasting positive impact.
 Let’s Redefine Possible®
 Equal Employment Opportunity
 Your uniqueness brings new and creative perspectives to the team. Mortenson is committed to providing equal opportunities of employment (EOE) to all individuals, regardless of your race, religion, gender, national origin, age, veteran status, disability, marital status or any other legally protected category.
 Other Items to Note
* Mortenson reserves the right to hire any individual without legal or financial obligation on unwanted solicitations. No agency emails, calls, or solicitations are accepted without a valid agreement.
* Must be currently legally authorized to work in the U.S. without sponsorship for employment visa status (e.g., H1B status, 0\-1, TN, CPT, OPT, etc.). We are unable to sponsor or take over sponsorship of an employment Visa at this time.</t>
        </is>
      </c>
    </row>
    <row r="74">
      <c r="A74" t="inlineStr">
        <is>
          <t>li-4371476682</t>
        </is>
      </c>
      <c r="B74" t="inlineStr">
        <is>
          <t>Machine Learning Engineer ll</t>
        </is>
      </c>
      <c r="C74" t="inlineStr">
        <is>
          <t>Cohere Health</t>
        </is>
      </c>
      <c r="D74" t="inlineStr">
        <is>
          <t>linkedin</t>
        </is>
      </c>
      <c r="E74">
        <f>HYPERLINK("https://www.linkedin.com/jobs/view/4371476682", "https://www.linkedin.com/jobs/view/4371476682")</f>
        <v/>
      </c>
      <c r="F74" t="inlineStr"/>
      <c r="G74" t="inlineStr"/>
      <c r="H74" t="inlineStr"/>
      <c r="I74" t="inlineStr">
        <is>
          <t>**Opportunity Overview**
 We are looking for a Machine Learning Engineer ll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 Perform in\-depth analysis of healthcare data to independently design, develop, and deliver clinical ML models.
* Build reliable and scalable production machine learning systems
* Work on feature engineering, statistical analysis, developing novel ML techniques, understanding performance, and improving model run time.
* Work cross\-functionally across diverse stakeholders, including product managers, statisticians, clinicians, and clinical analysts.
**What You’ll Need**
* You have 2\-4 years full time professional experience in Machine Learning
* You have an MS in computer science, machine learning, computational linguistics, statistics, mathematics or similar field
* You have hands on experience building with modern language models, including context\-engineering LLMs or fine\-tuning SLMs
* You understand scientific best practice in experimental design and can independently perform data collection, measurement, and interpretation of results
* You have experience configuring, training, evaluating, deploying, and maintaining models in a production setting
* Advanced proficiency in Python and familiarity with ML frameworks such as PyTorch.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$120,000 \- $140,000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Live Coding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75">
      <c r="A75" t="inlineStr">
        <is>
          <t>li-4361947951</t>
        </is>
      </c>
      <c r="B75" t="inlineStr">
        <is>
          <t>Senior Machine Learning Engineer – Model Training and Customization</t>
        </is>
      </c>
      <c r="C75" t="inlineStr">
        <is>
          <t>Red Hat</t>
        </is>
      </c>
      <c r="D75" t="inlineStr">
        <is>
          <t>linkedin</t>
        </is>
      </c>
      <c r="E75">
        <f>HYPERLINK("https://www.linkedin.com/jobs/view/4361947951", "https://www.linkedin.com/jobs/view/4361947951")</f>
        <v/>
      </c>
      <c r="F75" t="inlineStr"/>
      <c r="G75" t="inlineStr">
        <is>
          <t>Boston, MA</t>
        </is>
      </c>
      <c r="H75" t="inlineStr"/>
      <c r="I75" t="inlineStr">
        <is>
          <t>**Job Summary**
 Come be a part of Red Hat's charge to democratize AI with open source! Red Hat's Global Engineering Team is looking for a Senior Machine Learning Engineer to join our newly formed AI Engineering organization. This role will be located within the AI Innovation team, which conducts customer\- and science\-driven research to drive innovation for Red Hat's customers. The team focuses on a pattern of "research → open\-source software → product" as the way we operate our engineering work. This role will be focused on building the core logic and enhancements for our model fine\-tuning and post\-training libraries.
 In this role, you will work directly with research scientists and open source AI communities to build and improve implementations of novel training methods, ranging from SFT, continual learning, and offline preference tuning to online reinforcement learning methods like GRPO and RLHF. You will develop working relationships across multiple teams, contributing to both upstream open source projects and our internal Training Hub.
 The ideal candidate will be a highly collaborative individual with a passion for working on complex ML projects in an open organization where contributions are valued and expected from all levels. As this is a fast\-moving area of opportunity for Red Hat, the ability to communicate productively and effectively with team members, stakeholders, and Red Hat leadership is critical. Success in this role would be delivering robust, scalable training libraries that bridge cutting\-edge research with production needs.
 This position reports directly to the Manager of AI Innovation. This position may require occasional travel to partner collaboratively in our Boston, MA office multiple times per quarter. Successful applicants must reside in a state where Red Hat is registered to do business.
**Primary Job Responsibilities (what You’ll Do)**
 Develop core libraries for various model post\-training methods and innovations.
 Work directly on upstream, open source projects and engage with community needs and contributions.
 Contribute to core post\-training algorithm research and engineering, introducing new methods both to community efforts and our own Training Hub.
 Understand and adapt novel architectures and techniques to work with various post\-training algorithms, across distributed training frameworks.
 Optimize, enhance, and improve robustness and usability of both existing and in\-flight projects, working closely with researchers to validate prototype logic.
 Maintain and expand library feature pool, and address core algorithm bugs and blockers.
 Work closely with software engineers on interface and testing designs.
 Participate in code reviews and collaborate on best practices within the engineering team.
 Document system designs, processes, and model performance for transparency and future reference.
 Report on project status, challenges, and results to stakeholders.
**Required Skills (what You’ll Bring)**
 Bachelor's degree in computer science or equivalent.
 3\+ years of experience in Python development.
 Significant background in AI/ML projects or coursework (neural networks, deep learning, language models, reinforcement learning).
 Experience in research engineering, machine learning engineering, or applied ML roles.
 Strong experience with common model architecture development and adapter frameworks (e.g. PyTorch, Transformers, PEFT, etc.).
 Familiarity with distributed training frameworks (e.g. FSDP, DeepSpeed) and inference runtimes (e.g. vLLM).
 Experience in open\-source projects and collaborative development workflows.
 Existing background in software development or engineering, building robust and consumable libraries and implementations.
 Experience with unit testing, integration testing, and performance testing.
 Strong self\-motivation and organizational skills.
 Excellent written and verbal communication skills.
 Positive attitude and willingness to share ideas openly.
**Bonus Qualifications**
 Masters or PhD in Machine Learning (ML) / Natural Language Processing (NLP).
 Experience with MLOps and deployment systems (e.g., Kubeflow, MLflow, Kubernetes, CI/CD pipelines).
 Experience writing functional, end\-to\-end or coverage tests in Python.
 Experience with GitHub Actions, GitHub automation, or CI/CD practices.
 Experience reading/writing, publishing, and/or implementing research papers.
 Experience in Red Hat products.
 Experience in large language models.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76">
      <c r="A76" t="inlineStr">
        <is>
          <t>li-4371157572</t>
        </is>
      </c>
      <c r="B76" t="inlineStr">
        <is>
          <t>Machine Learning Engineer, Entry Level</t>
        </is>
      </c>
      <c r="C76" t="inlineStr">
        <is>
          <t>Emonics LLC</t>
        </is>
      </c>
      <c r="D76" t="inlineStr">
        <is>
          <t>linkedin</t>
        </is>
      </c>
      <c r="E76">
        <f>HYPERLINK("https://www.linkedin.com/jobs/view/4371157572", "https://www.linkedin.com/jobs/view/4371157572")</f>
        <v/>
      </c>
      <c r="F76" t="inlineStr"/>
      <c r="G76" t="inlineStr">
        <is>
          <t>Chicago, IL</t>
        </is>
      </c>
      <c r="H76" t="inlineStr"/>
      <c r="I76" t="inlineStr">
        <is>
          <t>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row>
    <row r="77">
      <c r="A77" t="inlineStr">
        <is>
          <t>li-4371482455</t>
        </is>
      </c>
      <c r="B77" t="inlineStr">
        <is>
          <t>Senior Machine Learning Engineer, Relevance and Personalization</t>
        </is>
      </c>
      <c r="C77" t="inlineStr">
        <is>
          <t>Airbnb</t>
        </is>
      </c>
      <c r="D77" t="inlineStr">
        <is>
          <t>linkedin</t>
        </is>
      </c>
      <c r="E77">
        <f>HYPERLINK("https://www.linkedin.com/jobs/view/4371482455", "https://www.linkedin.com/jobs/view/4371482455")</f>
        <v/>
      </c>
      <c r="F77">
        <f>HYPERLINK("https://careers.airbnb.com/positions/7258033?gh_src=34ewj2&amp;urlHash=eLg3", "https://careers.airbnb.com/positions/7258033?gh_src=34ewj2&amp;urlHash=eLg3")</f>
        <v/>
      </c>
      <c r="G77" t="inlineStr"/>
      <c r="H77" t="inlineStr"/>
      <c r="I7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Relevance and Personalization team at Airbnb is responsible for search and recommendation across the entire Airbnb digital platform. Be a leader in the team working on critical, impactful projects with focus on developing end\-to\-end ranking algorithms and ecosystems for optimizing multiple critical business objectives.
**The Difference You Will Make**
 We build cutting\-edge AI technologies across the end\-to\-end search ranking product stack w.r.t. data pipelines, feature and model innovations, serving and experimentation efficiency, leveraging rich signals from various types of data (structured, sequential, image, text, etc) at Airbnb. We collaborate closely with teams across Airbnb to develop the ranking solutions and support a healthy marketplace for hosts and guests to further Airbnb’s mission of creating a world where people can Belong Anywhere. Some past publications from the team can be found here: https://sites.google.com/view/airbnb\-relevance\-publications/home
**A Typical Day**
* Work with large scale structured and unstructured data, build and continuously improve cutting edge Machine Learning models for Airbnb product, business and operational use cases.
*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 Hands\-on develop, productionize, and operate Machine Learning models and pipelines at scale, including both batch and real\-time use cases.
* Leverage third\-party and in\-house Machine Learning tools \&amp; infrastructure to develop reusable, highly differentiating and high\-performing Machine Learning systems, enable fast model development, low\-latency serving and ease of model quality upkeep.
* Example projects include: feature platform, model interpretability, hyperparameter optimization, concept drift detection.
**Your Expertise**
* 5\+ years of industry experience in applied Machine Learning, inclusive MS or PhD in relevant fields
* Strong programming (Scala / Python / Java / C\+\+ or equivalent) and data engineering skills
* Deep understanding of Machine Learning best practices (eg. training/serving skew minimization, A/B test, feature engineering, feature/model selection), algorithms (eg. neural networks/deep learning, optimization) and domains (eg. natural language processing, computer vision, personalization, search and recommendation, marketplace optimization, anomaly detection)
* Experience with 3 or more of these technologies: Tensorflow, PyTorch, Kubernetes, Spark, Airflow (or equivalent), Kafka (or equivalent), data warehouse (eg. Hive)
* Industry experience building end\-to\-end Machine Learning infrastructure and/or building and productionizing Machine Learning models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$191,000—$225,000 USD</t>
        </is>
      </c>
    </row>
    <row r="78">
      <c r="A78" t="inlineStr">
        <is>
          <t>li-4371194369</t>
        </is>
      </c>
      <c r="B78" t="inlineStr">
        <is>
          <t>Senior AI/ ML Engineer</t>
        </is>
      </c>
      <c r="C78" t="inlineStr">
        <is>
          <t>Universal Orlando Resort</t>
        </is>
      </c>
      <c r="D78" t="inlineStr">
        <is>
          <t>linkedin</t>
        </is>
      </c>
      <c r="E78">
        <f>HYPERLINK("https://www.linkedin.com/jobs/view/4371194369", "https://www.linkedin.com/jobs/view/4371194369")</f>
        <v/>
      </c>
      <c r="F78">
        <f>HYPERLINK("https://careers.pageuppeople.com/851/cw/en-us/job/656458/senior-ai-ml-engineer&amp;urlHash=Xkju", "https://careers.pageuppeople.com/851/cw/en-us/job/656458/senior-ai-ml-engineer&amp;urlHash=Xkju")</f>
        <v/>
      </c>
      <c r="G78" t="inlineStr">
        <is>
          <t>Orlando, FL</t>
        </is>
      </c>
      <c r="H78" t="inlineStr"/>
      <c r="I78" t="inlineStr">
        <is>
          <t>****JOB SUMMARY:****
 The Senior AI/ML Engineer role will design and build custom AI\-powered applications end\-to\-end, from prototype to production, focused on delivering measurable business value. The Senior AI/ML Engineer will engineer full AI systems that integrate model capabilities into real products: robust API endpoints, agentic or AI workflow orchestration, scalable backend services, and well\-designed data models. Hands\-on in implementation, deeply involved in system quality and reliability, and eager to mentor junior engineers while raising the team’s engineering bar.
****MAJOR RESPONSIBILITIES:****
**AI Development**
* Architect and implement end\-to\-end AI solutions, including backend services, APIs, databases, and model integration layers.
* Develop and maintain API endpoints (REST/GraphQL) that reliably serve AI capabilities to internal and external consumers.
* Design and implement backend database schemas (relational and/or NoSQL) and data access patterns optimized for AI workloads and application needs.
* Build scalable AI infrastructure patterns (job queues, caching, streaming, async workers) to support low\-latency and high\-throughput use cases.
* Apply secure engineering practices including authentication/authorization, secrets management, threat modeling, and PII handling.
**Engineer AI \&amp; Agentic Workflows**
* Implement AI pipelines including Retrieval\-Augmented Generation (RAG), tool/function calling, structured output, and agentic workflows.
* Choose appropriate model strategies: prompt\-based, RAG, fine\-tuning, or hybrid approaches based on cost, latency, and quality requirements.
* Evaluate and integrate foundation models (open\-source and commercial) with attention to licensing, security, privacy, and performance.
**AI Evaluation**
* Define and implement evaluation frameworks to measure AI system quality (accuracy, relevance, grounding, hallucination rates, safety, latency, cost).
* Create automated test suites for prompts/workflows and regression testing for model and data changes.
* Monitor production systems for drift, degradation, and reliability issues; establish observability (logs, traces, metrics) and incident response practices.
**Collaboration and Mentorship**
* Partner with Product, Data Science, Data Engineering, DevOps and Platform teams to translate requirements into robust technical solutions.
* Mentor junior engineers through code reviews, technical guidance, and best\-practice sharing.
* Lead by example in engineering rigor, craftsmanship, and pragmatic decision\-making.
* Understands and actively participates in Environmental, Health \&amp; Safety responsibilities by following established UO policy, procedures, training and team member involvement activities.
* Performs other duties as assigned.
****EDUCATION:****
* Bachelor’s degree in computer science, Engineering, Data Science, or a related field is required.
* An advanced degree (Masters or PhD) in a relevant field is strongly preferred, emphasizing computer science, machine learning, robotics, or business management.
****EXPERIENCE:****
* 5\+ years in software engineering and/or applied AI/ML roles, with demonstrated delivery of production systems.
****ADDITIONAL INFORMATION:****
* AI/ML Expertise: Strong working knowledge of modern ML/GenAI tools (e.g., PyTorch/TensorFlow, Hugging Face, LangChain/LlamaIndex or similar).
* Backend Engineering: Proven ability to build and maintain backend services and APIs (Python/TypeScript/Java/Go or similar).
* Data \&amp; Storage: Experience designing database schemas and working with relational and/or NoSQL databases; familiarity with vector databases is a plus.
* Cloud Proficiency: Proficient in at least one major cloud provider (AWS, GCP, or Azure), including deployment and managed services.
* Evaluation Discipline: Demonstrated experience measuring AI system quality with repeatable evaluation methods and production monitoring.
* Scaling Mindset: Ability to design systems for performance, reliability, and maintainability at scale.
* Communication: Strong written and verbal communication skills; able to explain tradeoffs clearly to technical and non\-technical stakeholders.
* Mentorship: Eagerness and ability to mentor junior engineers and elevate team practices.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2025 Universal Studios. All rights reserved. EOE</t>
        </is>
      </c>
    </row>
    <row r="79">
      <c r="A79" t="inlineStr">
        <is>
          <t>li-4371460226</t>
        </is>
      </c>
      <c r="B79" t="inlineStr">
        <is>
          <t>Applied AI Engineer</t>
        </is>
      </c>
      <c r="C79" t="inlineStr">
        <is>
          <t>SOCOTEC USA</t>
        </is>
      </c>
      <c r="D79" t="inlineStr">
        <is>
          <t>linkedin</t>
        </is>
      </c>
      <c r="E79">
        <f>HYPERLINK("https://www.linkedin.com/jobs/view/4371460226", "https://www.linkedin.com/jobs/view/4371460226")</f>
        <v/>
      </c>
      <c r="F79" t="inlineStr"/>
      <c r="G79" t="inlineStr">
        <is>
          <t>New York, NY</t>
        </is>
      </c>
      <c r="H79" t="inlineStr"/>
      <c r="I79"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80">
      <c r="A80" t="inlineStr">
        <is>
          <t>li-4371194720</t>
        </is>
      </c>
      <c r="B80" t="inlineStr">
        <is>
          <t>AI/ML Engineer</t>
        </is>
      </c>
      <c r="C80" t="inlineStr">
        <is>
          <t>Programmers.io</t>
        </is>
      </c>
      <c r="D80" t="inlineStr">
        <is>
          <t>linkedin</t>
        </is>
      </c>
      <c r="E80">
        <f>HYPERLINK("https://www.linkedin.com/jobs/view/4371194720", "https://www.linkedin.com/jobs/view/4371194720")</f>
        <v/>
      </c>
      <c r="F80" t="inlineStr"/>
      <c r="G80" t="inlineStr">
        <is>
          <t>Charlotte, NC</t>
        </is>
      </c>
      <c r="H80" t="inlineStr"/>
      <c r="I80" t="inlineStr">
        <is>
          <t>**Job Description:**
* 6\+ years in AI/ML engineering, data science, or advanced analytics.
* Hands\-on experience developing AI POCs and prototypes.
* Strong knowledge of ML frameworks (TensorFlow, PyTorch, Hugging Face, LangChain, etc.).
* Familiarity with generative AI, Agentic AI, NLP, AI/ML frameworks and automation strategies.
* Experience with cloud AI services and APIs.
**Skills:** 
* Strong AI/ML model development capabilities, Python/SQL skills and rapid prototyping ability.
* Ability to move quickly from ideation to functional demonstration.
* Strong analytical, problem\-solving, and storytelling skills.
* Comfort with ambiguity and iterative experimentation.
* Education: Bachelor’s or Master’s in Computer Science, Data Science, Engineering, or related field.</t>
        </is>
      </c>
    </row>
    <row r="81">
      <c r="A81" t="inlineStr">
        <is>
          <t>li-4211913542</t>
        </is>
      </c>
      <c r="B81" t="inlineStr">
        <is>
          <t>Machine Learning Engineer - 3D Sensor Simulation</t>
        </is>
      </c>
      <c r="C81" t="inlineStr">
        <is>
          <t>Zoox</t>
        </is>
      </c>
      <c r="D81" t="inlineStr">
        <is>
          <t>linkedin</t>
        </is>
      </c>
      <c r="E81">
        <f>HYPERLINK("https://www.linkedin.com/jobs/view/4211913542", "https://www.linkedin.com/jobs/view/4211913542")</f>
        <v/>
      </c>
      <c r="F81" t="inlineStr"/>
      <c r="G81" t="inlineStr">
        <is>
          <t>Foster City, CA</t>
        </is>
      </c>
      <c r="H81" t="inlineStr"/>
      <c r="I81" t="inlineStr">
        <is>
          <t>The 3D Simulation group at Zoox is looking for 3D Machine Learning engineers to simulate sensors (cameras, lidar, radar), combining GenAI/ML and modern 3D graphics techniques to close the gap between simulation and reality. You will have access to the best sensor data in the world and an incredible infrastructure for testing and validating your algorithms. Collaborate with Sensor Sim, Perception, and V\&amp;V teams to evaluate and iteratively improve the fidelity of sensor simulation. The 3D Sensor Simulation team’s work is at the core of creating high\-fidelity synthetic data for training and testing AV AI, as well as real\-time sensor data for hardware\-in\-the\-loop simulation.
**In This Role, You Will**
* Research, implement, and optimize state of the art 3D rendering of sensor data, leveraging GenAI/ML and 3D graphics.
* Develop realism metrics with V\&amp;V to show measurable impact of your improved sensor fidelity.
* Collaborate with Perception and Safety teams to improve realism of sensor simulation for high fidelity synthetic data.
* Improve rendering and ML inference tooling for generating realistic data at scale.
**Qualifications**
* 2\+ years of industry experience, and/or PhD, developing neural rendering techniques like Gaussian Splatting, NeRFs, or 3D reconstruction
* 2\+ years of experience developing software with Python and/or modern C\+\+
* Expertise with machine learning frameworks PyTorch or Tensorflow
* Familiarity with 3D graphics algorithms, such as 3D geometry and camera models
* Strong mathematical skills and understanding of 3D linear algebra and probabilistic techniques
**Bonus Qualifications**
* Master's or PhD in computer science, mathematics, physics, or related field
* Experience with generative models for 3D content pipelines using applications like Houdini, Maya, or Blender.
* Experience in 3D rendering for simulation, games, cloud computing, or VFX
 $176,000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2">
      <c r="A82" t="inlineStr">
        <is>
          <t>li-4363271114</t>
        </is>
      </c>
      <c r="B82" t="inlineStr">
        <is>
          <t>Audio Machine Learning Engineer Co-op</t>
        </is>
      </c>
      <c r="C82" t="inlineStr">
        <is>
          <t>Bose Corporation</t>
        </is>
      </c>
      <c r="D82" t="inlineStr">
        <is>
          <t>linkedin</t>
        </is>
      </c>
      <c r="E82">
        <f>HYPERLINK("https://www.linkedin.com/jobs/view/4363271114", "https://www.linkedin.com/jobs/view/4363271114")</f>
        <v/>
      </c>
      <c r="F82" t="inlineStr"/>
      <c r="G82" t="inlineStr">
        <is>
          <t>Framingham, MA</t>
        </is>
      </c>
      <c r="H82" t="inlineStr"/>
      <c r="I82"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**THE ROLE**
 At Bose, we use machine learning across a diverse set of problems ranging from speech enhancement (e.g., Bose PinPoint) to audio perception. As an ML Engineer Co\-op at Bose, you will help build our next generation of wearable and speaker products empowered by deep learning.
**Responsibilities**
* Build desktop and embedded software prototypes to demonstrate new ML\-powered audio features on our wearables
* Design, train, and evaluate deep learning algorithms with a focus on low\-latency, on\-device audio tasks
* Research, implement, and benchmark state\-of\-the\-art approaches in audio ML, speech enhancement, keyword spotting, and audio signal processing
* Collaborate across hardware, firmware, and UX teams to define requirements and inform product roadmaps
**Minimum Qualifications**
* Currently pursuing a M.S. or Ph.D. in Computer Science, Electrical Engineering, Machine Learning, or a related field
* 3\+ years of Python and C/C\+\+ experience
* Strong experience implementing deep neural networks with PyTorch, TensorFlow, or similar frameworks
* Proven cross\-group and cross\-culture collaboration skills
* Creative problem\-solver with demonstrated ability to work independently
**Preferred Qualifications**
* Prior internship or work experience as a Software/ML engineer
* Publication record in ML or audio signal processing venues
* Solid background in digital signal processing and embedded systems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$40\.00\-$51\.25 per hour.The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83">
      <c r="A83" t="inlineStr">
        <is>
          <t>li-4371306033</t>
        </is>
      </c>
      <c r="B83" t="inlineStr">
        <is>
          <t>AI/ML Engineer</t>
        </is>
      </c>
      <c r="C83" t="inlineStr">
        <is>
          <t>Programmers.io</t>
        </is>
      </c>
      <c r="D83" t="inlineStr">
        <is>
          <t>linkedin</t>
        </is>
      </c>
      <c r="E83">
        <f>HYPERLINK("https://www.linkedin.com/jobs/view/4371306033", "https://www.linkedin.com/jobs/view/4371306033")</f>
        <v/>
      </c>
      <c r="F83" t="inlineStr"/>
      <c r="G83" t="inlineStr">
        <is>
          <t>Charlotte, NC</t>
        </is>
      </c>
      <c r="H83" t="inlineStr"/>
      <c r="I83" t="inlineStr">
        <is>
          <t>**Job Role: AI/ML Engineer** 
**Location: Charlotte, NC (Hybrid \- 3 Days onsite/week)** 
**Duration: Full\-Time** 
**Job Description:** 
* 6\+ years in AI/ML engineering, data science, or advanced analytics.
* Hands\-on experience developing AI POCs and prototypes.
* Strong knowledge of ML frameworks (TensorFlow, PyTorch, Hugging Face, LangChain, etc.).
* Familiarity with generative AI, Agentic AI, NLP, AI/ML frameworks and automation strategies.
* Experience with cloud AI services and APIs.
**Skills:** 
* Strong AI/ML model development capabilities, Python/SQL skills and rapid prototyping ability.
* Ability to move quickly from ideation to functional demonstration.
* Strong analytical, problem\-solving, and storytelling skills.
* Comfort with ambiguity and iterative experimentation.
* Education: Bachelor’s or Master’s in Computer Science, Data Science, Engineering, or related field.</t>
        </is>
      </c>
    </row>
    <row r="84">
      <c r="A84" t="inlineStr">
        <is>
          <t>li-4371182049</t>
        </is>
      </c>
      <c r="B84" t="inlineStr">
        <is>
          <t>AI Engineer</t>
        </is>
      </c>
      <c r="C84" t="inlineStr">
        <is>
          <t>Confie</t>
        </is>
      </c>
      <c r="D84" t="inlineStr">
        <is>
          <t>linkedin</t>
        </is>
      </c>
      <c r="E84">
        <f>HYPERLINK("https://www.linkedin.com/jobs/view/4371182049", "https://www.linkedin.com/jobs/view/4371182049")</f>
        <v/>
      </c>
      <c r="F84" t="inlineStr"/>
      <c r="G84" t="inlineStr"/>
      <c r="H84" t="inlineStr"/>
      <c r="I84" t="inlineStr">
        <is>
          <t>***Pay Range:***
* *$110000 \- $140000 / year*
**Our Perks:**
* Generous PTO plans, sick pay and health benefits
* Annual bonus based on employment standing\*
* Work from home and hybrid model employment
* Confie Enablement Fund/ Scholarship Program
* I\-Care Recognition Program
* Corporate Social Responsibility Program
* Diversity, Equity and Inclusion Initiatives
* Confie Hub and Discount Programs (Gym Membership)
**Purpose**
 Responsible for designing, developing, and deploying production\-grade AI solutions including autonomous agents, generative AI applications, and RAG\-based systems. You will leverage large language models (LLMs), agentic frameworks, and advanced machine learning techniques to automate workflows, improve customer experiences, and drive business innovation.
**Essential Duties \&amp; Responsibilities**
 Design and deploy autonomous AI agents using frameworks like LangGraph, AutoGen, CrewAI, or OpenAI Assistants API for multi\-step reasoning and task execution.
 Implement function calling, tool use, and API integrations enabling LLMs to interact with enterprise systems, databases, and external applications.
 Design agent memory systems including conversational memory, long\-term knowledge retention, and context management strategies.
 Build advanced RAG systems with vector databases, hybrid search (dense \+ sparse retrieval), and reranking for domain\-specific chatbots and knowledge retrieval.
 Develop generative AI solutions for text generation, summarization, audio\-to\-text transcription, and call center conversation insights using LLMs.
 Develop advanced prompting strategies including chain\-of\-thought reasoning, few\-shot learning, and structured output generation.
 Integrate with AI platforms including Snowflake Cortex, OpenAI, Azure AI Studio, AWS Bedrock, and Anthropic Claude.
 Implement AI observability, guardrails, and evaluation frameworks (RAGAs, TruLens, DeepEval) to ensure quality, safety, and reliability.
 Conduct experiments and fine\-tune models using techniques like LoRA and QLoRA to optimize performance for domain\-specific use cases.
 Deploy production solutions using containerization (Docker, Kubernetes), CI/CD pipelines, and cloud\-native architectures.
 Continuously monitor the performance of AI solutions and implement improvements.
 Create high\-level and detailed design documentation for AI solutions, including architecture diagrams and technology selection rationale.
 Collaborate with cross\-functional teams to identify and prioritize high\-impact AI opportunities that drive significant business value.
 Mentor and provide guidance to junior team members; participate in code reviews and maintain high\-quality engineering standards.
 Keep updated with advances in AI technology and find opportunities to upgrade existing solutions.
 Adhere to best practices in data privacy and security when working with sensitive data.
**Qualifications and Education Requirements**
 Minimum of 3 years of professional experience in AI engineering or related roles.
 3\+ years experience developing AI/ML solutions on platforms such as Snowflake, Azure, AWS , OpenAI, Databricks, or similar.
 2\+ years hands\-on experience with Generative AI including LLM application development, RAG systems, and production deployments.
 Experience with agentic AI frameworks (LangGraph, AutoGen, CrewAI, OpenAI Assistants API) and multi\-agent orchestration.
 Proficiency in Python, LangChain/LlamaIndex, and vector databases (Pinecone, Weaviate, Chroma, pgvector, Snowflake).
 Expertise in prompt engineering including chain\-of\-thought, few\-shot learning, and structured outputs (JSON mode, function calling).
 Experience with evaluation frameworks for Generative AI (RAGAs, TruLens, DeepEval) in the context of text generation.
 Understanding of AI safety concepts including guardrails, content filtering, hallucination mitigation, and red\-teaming.
 Experience with data preprocessing, feature engineering, and model evaluation techniques.
 Solid understanding of software engineering principles and best practices.
 Experience bringing GenAI projects through production and implementation with measurable business impact.
**Soft Skills**
 Strong analytical and problem\-solving skills.
 Excellent communication skills with ability to articulate complex technical concepts to both technical and non\-technical stakeholders.
 Highly motivated and self\-driven with ability to work independently and in collaborative team environments.
 Ability to think creatively about applying AI to solve business problems.
 Effective time management and organizational skills to manage multiple projects simultaneously.
 Continuous learning mindset and ability to adapt to new technologies in the fast\-evolving AI landscape.
**Preferred Skills**
 Bachelor's or Master's degree in Computer Science, Data Science, or a related field is preferred.
 Relevant certifications in AI/ML platforms (AWS, Azure, Google Cloud) or related areas are a plus.
 Familiarity with the call center environments and operational insurance platforms is preferred
**Other Duties**
 This job description is not designed to cover or contain a comprehensive listing of activities, duties, or responsibilities that are required of the employee for this job. Duties, responsibilities, and activities may change at any time with or without notice
**Notice**
 As permitted by applicable law and from time\-to\-time, Confie may use a computer system that has elements of artificial intelligence to help make decisions about your employment, including recruitment, hiring, renewal of employment, or the terms and conditions of your employment. Employees with questions about Confie’s use of these computer systems should contact Human Resources at employeerelations@confie.com</t>
        </is>
      </c>
    </row>
    <row r="85">
      <c r="A85" t="inlineStr">
        <is>
          <t>li-4371449969</t>
        </is>
      </c>
      <c r="B85" t="inlineStr">
        <is>
          <t>Applied AI Engineer</t>
        </is>
      </c>
      <c r="C85" t="inlineStr">
        <is>
          <t>SOCOTEC USA</t>
        </is>
      </c>
      <c r="D85" t="inlineStr">
        <is>
          <t>linkedin</t>
        </is>
      </c>
      <c r="E85">
        <f>HYPERLINK("https://www.linkedin.com/jobs/view/4371449969", "https://www.linkedin.com/jobs/view/4371449969")</f>
        <v/>
      </c>
      <c r="F85">
        <f>HYPERLINK("https://jobs.smartrecruiters.com/Socotec/744000108800466-applied-ai-engineer?trid=2d92f286-613b-4daf-9dfa-6340ffbecf73&amp;urlHash=qZfu", "https://jobs.smartrecruiters.com/Socotec/744000108800466-applied-ai-engineer?trid=2d92f286-613b-4daf-9dfa-6340ffbecf73&amp;urlHash=qZfu")</f>
        <v/>
      </c>
      <c r="G85" t="inlineStr">
        <is>
          <t>Boston, MA</t>
        </is>
      </c>
      <c r="H85" t="inlineStr"/>
      <c r="I85" t="inlineStr">
        <is>
          <t>**Company Description**
 SOCOTEC is a provider of niche consulting services within the architecture, engineering and construction industries focusing on high\-performance buildings and specialty structures. Through an integrated, holistic approach, our professionals provide solutions for building envelope, energy efficiency, sustainability, code advisory and construction advisory projects
 SOCOTEC’s combination of expertise, experience and methods are increasingly recognized as best\-in\-class fueling significant growth.
 SOCOTEC is proud to announce that it has been officially certified as a Great Place to Work by the renowned global authority on workplace culture, Great Place to Work®.
**Job Description**
 As an Applied AI Engineer at SOCOTEC, you will be responsible for designing, developing, and deploying AI models that enhance our chatbot program and other AI\-driven solutions. You will collaborate with cross\-functional teams, including data scientists, software engineers, and business stakeholders, to integrate advanced AI technologies that address real\-world challenges within our industry. You will focus on building scalable, efficient, and accurate machine learning pipelines while staying at the forefront of the latest AI advancements.
* Developing AI Models: Design and implement machine learning models tailored to natural language processing (NLP) and other AI applications within our chatbot and enterprise systems.
* Collaborating with Cross\-Functional Teams: Work closely with product managers, data scientists, and software engineers to translate business requirements into intelligent AI\-driven solutions.
* Building and Maintaining AI Pipelines: Create and optimize end\-to\-end machine learning pipelines, from data preprocessing to model deployment, ensuring scalability and performance.
* Optimizing Model Performance: Continuously fine\-tune and improve the accuracy, speed, and robustness of AI models, leveraging techniques like hyperparameter tuning and model optimization.
* Implementing Best Practices in AI/ML Development: Ensure the reliability and quality of AI models by following best practices for training, testing, and model evaluation.
* Integrating AI Solutions: Work closely with backend engineers to integrate AI models into production environments using tools like LangChain and cloud services.
* Staying Updated with AI/ML Trends: Keep up with the latest developments in AI, machine learning, and natural language processing, applying new techniques to improve our technology stack.
* Documentation: Provide detailed documentation of AI workflows, models, and algorithms to facilitate collaboration and ensure long\-term maintainability.
* Perform all duties as assigned by your manager
**Qualifications**
* Proficiency in Python and experience with AI/ML libraries such as Scikit\-learn, TensorFlow, PyTorch, and Hugging Face.
* Strong understanding of natural language processing (NLP) and experience building chatbot or conversational AI systems.
* Hands\-on experience with AI model development, including data preprocessing, model training, evaluation, and deployment.
* Familiarity with AI/ML tools like Jupyter Notebook and cloud platforms such as AWS, GCP, or Azure.
* Experience with version control systems (e.g., Git, GitHub) and agile development methodologies.
* Ability to optimize model performance and scale AI solutions for production use.
* Experience with frameworks like LangChain for building conversational AI workflows.
* The ideal candidate should have at least 2\-5 years of experience
**Preferred Qualifications**
* Familiarity with reinforcement learning, transfer learning, or other advanced AI techniques.
* Knowledge of model monitoring, A/B testing, and continuous improvement strategies for AI systems.
* Experience with containerization tools like Docker for deploying AI solutions.
* Passion for exploring and implementing the latest advancements in AI technology.
 We are seeking a creative and detail\-oriented individual who is passionate about building and deploying AI\-driven solutions. If you thrive in a collaborative environment and are excited about shaping the future of AI at SOCOTEC, we encourage you to apply.
**Additional Information**
 For more information, please visit www.socotec.us
 Job Type: Full\-Time, onsite 4 days a week
 Salary: $90k\-$150k
 All your information will be kept confidential according to EEO guidelines.
 Socotec is an equal opportunity employer committed to diversity and inclusion in the workplace.
 SOCOTEC is an Equal Opportunity Employer.</t>
        </is>
      </c>
    </row>
    <row r="86">
      <c r="A86" t="inlineStr">
        <is>
          <t>li-4371601662</t>
        </is>
      </c>
      <c r="B86" t="inlineStr">
        <is>
          <t>Sr AI Developer/Agentic AI Engineer</t>
        </is>
      </c>
      <c r="C86" t="inlineStr">
        <is>
          <t>Accord Technologies Inc</t>
        </is>
      </c>
      <c r="D86" t="inlineStr">
        <is>
          <t>linkedin</t>
        </is>
      </c>
      <c r="E86">
        <f>HYPERLINK("https://www.linkedin.com/jobs/view/4371601662", "https://www.linkedin.com/jobs/view/4371601662")</f>
        <v/>
      </c>
      <c r="F86" t="inlineStr"/>
      <c r="G86" t="inlineStr">
        <is>
          <t>Charlotte, NC</t>
        </is>
      </c>
      <c r="H86" t="inlineStr"/>
      <c r="I86" t="inlineStr">
        <is>
          <t>**Sr AI Developer/Agentic AI Engineer
 Charlotte, NC (Need Onsite day 1,** 
****hybrid 3 days from office).
 Inperson interview needed.**
 Position type: W2 contract**
**Job Description**
 We are building an agentic Al platform to transform commercial banking customer service. The Al developer will design, build, and operate LLM\-powered agents that interpret inbound servicing requests (e.g., email / case intake), retrieve grounded knowledge, and execute approved workflows through secure too/API integrations \- with enterprise\-grade controls, observability, and human\-in\-the\-loop patterns. This role sits within a cross\-functional team with Product, Operations, Technology, and Risk partners and focuses on delivering production\-ready agentic Al capabilities for regulated financial services
**Responsibilities**
**Agentic Al Solution Development**
* ﻿﻿Build and enhance LLM/agent orchestration (Planner/supervisor patterns, tool\-using agents, routing, guardrails).
* ﻿﻿Implement intent classification information extraction validation and decision logic for servicing workflows
* ﻿﻿Developed tool calling integrations to downstream systems (CRM, workflow engine, core banking services, case management)
* ﻿﻿Implement human\-in\-the\-loop workflows (review, approval, escalation, override) based on confidence/risk thresholds
**Knowledge and grounding (RAG)**
* ﻿﻿Design and implement retrieval\-augmented generation (RAG) for policy procedure grounding and resolution guidance
* ﻿﻿Build knowledge ingestion pipelines with refresh/versioning
* Improve answer quality via chunking strategies, embeddings re ranking and context management
**Quality, Safety and Evaluation**
* ﻿﻿Define and run evaluation frameworks: golden datasets, scenario tests, regression tests, and automated scoring.
* ﻿﻿Reduce hallucinations and risk by implementing prompt policies, constraints, structured outputs, and verification steps.
* ﻿﻿Partner with risk slash compliance to ensure traceability, audit logs, explain ability requirements are met.
**Production Readiness and Operations**
* ﻿﻿Implement observability for agents (latency, cost, tool failures, drift, quality signals, escalation rates).
* ﻿﻿Support CI/CD for agent prompts and configurations (versioning, approvals, rollback).
* ﻿﻿Collaborate with platform and security teams on secrets management, access controls, PIl protections, and safe deployments.
**Requirements**
* 8\+ years of software engineering experience or equivalent with strong CS fundamentals
* Very strong experience on Agentic AI Development.
* ﻿﻿Hands\-on experience building with LLMs and modern Al app stack (agents, RAG, tool/function calling).
* ﻿﻿Strong proficiency in Python and building back\-end services/APls.
* ﻿﻿Experience with at least one: LangChain/ LangGraph, Llamalndex, Semantic Kernel or equivalent frameworks.
* ﻿﻿Experience with vector databases and search (e.g., Pinecone, Weaviate, Milvus, OpenSearch/Elastic, )
* ﻿﻿Experience deploying services in cloud environments (AWS/Azure/GP) with basic DevOps practices)
* ﻿﻿Strong understanding of security and privacy principles (PIl handling, least privilege, audit logging)
* Preferred Qualifications
* ﻿﻿Experience in financial services or other regulated domains (risk controls, compliance audit readiness)
* ﻿﻿Experience integrating with enterprise workflows (e.g., ServiceNow, Custom workflow engines, BPM/RPA)
* ﻿﻿Familiarity with model evaluation approaches (LLM\-as\-judge, rubric scoring, retrieval evals, offline/online testing)
* ﻿﻿Experience with messaging/eventing (Kafka/SQS), email ingestion pipelines, and document processing
* ﻿﻿Exposure to MRM concerns and governance (model cards, risk assessments, validation processes)</t>
        </is>
      </c>
    </row>
    <row r="87">
      <c r="A87" t="inlineStr">
        <is>
          <t>li-4371604517</t>
        </is>
      </c>
      <c r="B87" t="inlineStr">
        <is>
          <t>Machine Learning Engineer</t>
        </is>
      </c>
      <c r="C87" t="inlineStr">
        <is>
          <t>Prodege, LLC</t>
        </is>
      </c>
      <c r="D87" t="inlineStr">
        <is>
          <t>linkedin</t>
        </is>
      </c>
      <c r="E87">
        <f>HYPERLINK("https://www.linkedin.com/jobs/view/4371604517", "https://www.linkedin.com/jobs/view/4371604517")</f>
        <v/>
      </c>
      <c r="F87">
        <f>HYPERLINK("https://prodege.wd108.myworkdayjobs.com/Prodege_Careers/job/Remote-USA/Machine-Learning-Engineer_R-100069?source=LinkedIn&amp;urlHash=bM0t", "https://prodege.wd108.myworkdayjobs.com/Prodege_Careers/job/Remote-USA/Machine-Learning-Engineer_R-100069?source=LinkedIn&amp;urlHash=bM0t")</f>
        <v/>
      </c>
      <c r="G87" t="inlineStr">
        <is>
          <t>California, United States</t>
        </is>
      </c>
      <c r="H87" t="inlineStr"/>
      <c r="I87" t="inlineStr">
        <is>
          <t>**Job Description**
****Strategic Imperative:****
 The
 **Machine Learning Engineer** 
 designs, builds, and productionizes end\-to\-end AI/ML systems that measurably improve business outcomes. This role owns the technical lifecycle of models from data and features through deployment, monitoring, and continuous improvement. You will ship reliable, well\-tested services that move KPIs in areas such as ranking, recommendations, yield optimization, fraud detection, and intelligent routing, while also contributing to emerging AI initiatives including LLMs and agentic systems.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**Primary Objectives**
* End\-to\-End ML Systems: Build automated, scalable workflows for data ingestion, feature engineering, training, evaluation, and inference.
* Feature Platforms: Develop and maintain high\-quality feature stores for batch and real\-time use cases.
* Production ML: Package and deploy models as APIs, microservices, or streaming/batch jobs in collaboration with software and data engineering.
* Monitoring and Experimentation: Implement telemetry, data drift detection, performance tracking, and A/B testing to ensure reliability and impact.
* Collaboration: Partner closely with Product, Data, and Engineering to translate business problems into measurable ML solutions.
* Engineering Excellence: Write clean, maintainable, testable code; participate in code reviews; follow strong CI/CD and version control practices.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****End\-to\-End ML Systems****
* Design, validate, and scale ML models including classification, regression, ranking, recommendations, NLP, and optimization systems.
* Build and maintain end\-to\-end ML pipelines for training and inference in both batch and streaming environments.
* Run and analyze experiments to improve model performance and business outcomes.
****Feature Platforms****
* Own feature quality, consistency, and governance across products and services.
* Ensure features are reliable for both offline training and online inference.
* Partner with data engineering on feature pipeline reliability, freshness, and availability.
****Production ML****
* Deploy models via RESTful APIs, containerized services, or scheduled jobs, with appropriate reliability safeguards.
* Work with software and data engineering to integrate models into production systems.
* Ensure deployments are reproducible, versioned, and compatible with CI/CD practices.
****Monitoring and Experimentation****
* Instrument production systems with comprehensive monitoring for data drift, latency, prediction quality, and business impact.
* Define success metrics and guardrails for model performance in production.
* Identify degradation, diagnose root causes, and implement fixes in a timely way.
****Cross\-Functional Collaboration****
* Collaborate with stakeholders to define success metrics, communicate progress, and manage risks transparently.
* Translate business requirements into technical ML deliverables.
* Align model design with product roadmaps and engineering constraints.
****Engineering Excellence****
* Write well\-structured, modular, and testable Python code.
* Participate in peer code reviews and uphold team standards.
* Document systems, assumptions, and design decisions clearly.
* Follow version control, testing, and deployment best practices.
****Emerging AI Contributions****
* Build or integrate retrieval\-augmented generation systems using embeddings and vector stores.
* Experiment with prompt design, evaluation frameworks, and fine\-tuning where appropriate.
* Apply guardrails, monitoring, and safety controls to LLM\-powered features.
****Team Development****
* Mentor junior engineers when applicable.
* Share learnings, patterns, and reusable components across teams.
* Contribute to shared tooling and best practices.
****NOTE:** 
 Depending on location or product team, the role may emphasize one of the following without changing level or title:**
* AI Platform focus: deeper ownership of shared feature stores, experimentation frameworks, and ML infrastructure.
* Product focus: closer partnership with product teams to optimize ranking, recommendations, or marketplace yield.
* LLM focus: greater time on RAG systems, agentic workflows, and model fine\-tuning.
* Data\-heavy focus: more work on streaming pipelines and real\-time inference.
****What does SUCCESS look like?****
 You consistently ship ML capabilities that are reliable, observable, and impactful. Your work improves measurable KPIs such as accuracy, latency, conversion, revenue lift, or fraud reduction. You balance rigor with pragmatism, document your systems clearly, and help the team move faster through thoughtful experimentation and strong collaboration.
****The MUST Haves:****
 (
 *ex: job cannot be done without these skills, education, experience, certifications, licenses* 
 )
* Bachelor’s degree in Computer Science, Engineering, Mathematics, or related field, or equivalent experience.
* 3\+ years of hands\-on ML engineering experience delivering models to production.
* Strong Python and working SQL; solid software engineering fundamentals including testing, modular design, and version control.
* Experience with classical ML such as tree\-based models, linear/logistic models, and model evaluation.
* Working knowledge of a deep learning framework such as PyTorch or TensorFlow.
* Experience building data and feature pipelines for training and inference.
* Experience deploying models via APIs, microservices, or batch/streaming systems.
* Demonstrated ability to improve models through iteration, tuning, or redesign.
* Clear written and verbal communication; ability to partner effectively across teams.
****The Nice to Haves:****
 (ex:
 *preferred additional skills, education, experience, certifications, licenses* 
 )
* Master’s degree or PhD in AI, Machine Learning, or a quantitative field.
* Experience with ranking or recommendation systems at scale.
* Experience with distributed computing frameworks such as Spark, Ray, or Flink.
* Cloud experience on AWS, Azure, or GCP plus MLOps tooling such as MLflow or model registries.
* Familiarity with Docker/Kubernetes.
* Exposure to LLM tooling including Hugging Face, embeddings, RAG, or agent frameworks.
* Additional languages such as Java, Scala, or Rust.
**Pay Transparency**
 The anticipated base salary range for this position is $160,000 to $185,000\.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88">
      <c r="A88" t="inlineStr">
        <is>
          <t>li-4326356989</t>
        </is>
      </c>
      <c r="B88" t="inlineStr">
        <is>
          <t>Machine Learning Engineer</t>
        </is>
      </c>
      <c r="C88" t="inlineStr">
        <is>
          <t>Recruiting from Scratch</t>
        </is>
      </c>
      <c r="D88" t="inlineStr">
        <is>
          <t>linkedin</t>
        </is>
      </c>
      <c r="E88">
        <f>HYPERLINK("https://www.linkedin.com/jobs/view/4326356989", "https://www.linkedin.com/jobs/view/4326356989")</f>
        <v/>
      </c>
      <c r="F88" t="inlineStr"/>
      <c r="G88" t="inlineStr">
        <is>
          <t>San Francisco, CA</t>
        </is>
      </c>
      <c r="H88" t="inlineStr"/>
      <c r="I88"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89">
      <c r="A89" t="inlineStr">
        <is>
          <t>li-4371302222</t>
        </is>
      </c>
      <c r="B89" t="inlineStr">
        <is>
          <t>AI Engineer</t>
        </is>
      </c>
      <c r="C89" t="inlineStr">
        <is>
          <t>CURE Auto Insurance (Citizens United Reciprocal Exchange)</t>
        </is>
      </c>
      <c r="D89" t="inlineStr">
        <is>
          <t>linkedin</t>
        </is>
      </c>
      <c r="E89">
        <f>HYPERLINK("https://www.linkedin.com/jobs/view/4371302222", "https://www.linkedin.com/jobs/view/4371302222")</f>
        <v/>
      </c>
      <c r="F89">
        <f>HYPERLINK("https://workforcenow.adp.com/mascsr/default/mdf/recruitment/recruitment.html?cid=0bb476b4-b567-4a78-a2b3-4c373966e282&amp;ccId=19000101_000001&amp;jobId=933773&amp;source=LR&amp;lang=en_US&amp;urlHash=O_Vd", "https://workforcenow.adp.com/mascsr/default/mdf/recruitment/recruitment.html?cid=0bb476b4-b567-4a78-a2b3-4c373966e282&amp;ccId=19000101_000001&amp;jobId=933773&amp;source=LR&amp;lang=en_US&amp;urlHash=O_Vd")</f>
        <v/>
      </c>
      <c r="G89" t="inlineStr">
        <is>
          <t>Princeton, NJ</t>
        </is>
      </c>
      <c r="H89" t="inlineStr"/>
      <c r="I89" t="inlineStr">
        <is>
          <t>AI Engineer 
 CURE Auto Insurance is a leading direct writer of auto insurance in New Jersey, Pennsylvania, and Michigan. CURE offers a great working environment, competitive salary, and comprehensive benefits package which includes health and dental coverage, life and disability insurance, 401k with generous company match, and much more!
 We are seeking an experienced AI Engineer to design, implement, and deploy cutting\-edge artificial intelligence and machine learning solutions into our production environment. This role requires a strong foundation in software engineering, understanding of ML principles, and experience with scalable data infrastructure.
 Required Qualifications:
* Bachelor's or Master's degree in Computer Science, Engineering, or a related technical field.
* 2\+ years of progressive experience or knowledge in Machine Learning and Generative AI solutions.
* Expertise in Python or Java for developing large\-scale, robust applications.
* Strong knowledge of Machine Learning algorithms and Deep Learning concepts.
* Knowledge or experience with ML frameworks like TensorFlow and PyTorch.
* Foundation in statistical knowledge, including probability, hypothesis testing, and linear algebra.
* Experience with Vector Databases and implementing Retrieval\-Augmented Generation (RAG) systems.
* Ability to build and maintain APIs/microservices for model serving.
* Familiarity with cloud platforms (e.g., AWS, GCP, Azure) and containerization (Docker, Kubernetes).
* Experience with CI/CD and production deployment is a plus.
* Perform other duties as assigned.
 Benefits
* Comprehensive health benefits including medical, dental and vision coverage
* Generous paid time off (PTO days, sick days, and holidays)
* Flexible spending options with FSA \&amp; HSA plans
* Life and AD\&amp;D insurance
* 401(k) with company match
* Voluntary benefits such as legal services, pet insurance, and identity \&amp; fraud protection
* 24/7 Employee Assistance Program (EAP) for employees and their families
* Health \&amp; wellness perks including gym discounts, wellness reimbursements, and reward programs
* Fun, engaging in\-office events that support our culture
 Physical Actions/Environment: Required job duties consist of prompt and regular attendance, ability to frequently move about the office to coordinate work with others; standing, sitting and typing for extended periods; and lifting and/or carrying up to 5 lbs. Ability to frequently communicate with others in\-person, on the phone/virtually, and in writing. Ability to read, understand, process and evaluate large amounts of technical information and make related, informed decisions. 
 Starting Salary: $90,000 \- $120,000
 Schedule: We offer flexible work hours between 8:00 AM and 5:00 PM, and employees can choose a schedule that works best for them—8:00 AM–4:00 PM, 8:30 AM–4:30 PM, or 9:00 AM–5:00 PM. While we aim to support individual preferences, final schedules may be adjusted based on business needs to ensure great coverage and teamwork.
 We offer a hybrid work schedule: team members work onsite 4 days per week and have the flexibility to work remotely 1 day per week.
 Location: Princeton, NJ
 We recruit, hire, employ, train and promote, and compensate individuals based on job\-related qualifications and abilities. We respect the dignity and worth of each individual and are committed to an employment environment that is free from all forms of employment discrimination. 
 CURE Auto Insurance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pregnancy,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Disclaimer: This job description reflects management's assignment of essential functions; it does not prescribe or restrict the tasks that may be assigned.  This job description may be subject to change at any time.
 Applicants must be authorized to work for ANY employer in the U.S. We are unable to sponsor or take over sponsorship of an employment Visa at this time.</t>
        </is>
      </c>
    </row>
    <row r="90">
      <c r="A90" t="inlineStr">
        <is>
          <t>li-4371312060</t>
        </is>
      </c>
      <c r="B90" t="inlineStr">
        <is>
          <t>Applied Machine Learning Engineer Expert</t>
        </is>
      </c>
      <c r="C90" t="inlineStr">
        <is>
          <t>Allstate</t>
        </is>
      </c>
      <c r="D90" t="inlineStr">
        <is>
          <t>linkedin</t>
        </is>
      </c>
      <c r="E90">
        <f>HYPERLINK("https://www.linkedin.com/jobs/view/4371312060", "https://www.linkedin.com/jobs/view/4371312060")</f>
        <v/>
      </c>
      <c r="F90">
        <f>HYPERLINK("https://allstateinsurance.contacthr.com/151000967?utm_source=LILimitedListings&amp;source=linkedinjobpostings&amp;urlHash=STS4", "https://allstateinsurance.contacthr.com/151000967?utm_source=LILimitedListings&amp;source=linkedinjobpostings&amp;urlHash=STS4")</f>
        <v/>
      </c>
      <c r="G90" t="inlineStr"/>
      <c r="H90" t="inlineStr"/>
      <c r="I90"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expert role will be responsible for multiple major technical aspects and forward engineering in the field of machine learning, information retrieval, artificial intelligence, natural language processing, and ontology engineering technologies. Plays a key role in the vision and realization of cutting\-edge technical capabilities into business applications and solutions.
 We are looking for a
 **Generative AI Software Engineer** 
 to join our team and help build next\-generation AI\-driven solutions. This role blends
 **traditional Software engineering** 
 with
 **cutting\-edge AI integration** 
 , enabling innovative digital products and services. You will work closely with cross\-functional teams to design, develop, and deploy secure, scalable applications and integrate advanced AI models into production environments.
**Key Responsibilities**
**Sofware Engineering**
* Build secure, scalable, and high\-performance microservices and applications using Java Spring Boot / Python.
* Design and maintain RESTful APIs and microservices architecture with asynchronous processing.
* Deploy and manage applications on cloud platforms, preferably Microsoft Azure.
**AI Integration \&amp; Development**
* Integrate and deploy Generative AI models (e.g., OpenAI, Hugging Face, LangChain) into production environments.
* Optimize LLMs for specific use cases and implement RAG (Retrieval\-Augmented Generation) pipelines.
* Work with embedding models, vector databases, and prompt engineering techniques.
* Explore multi\-modal AI systems and agentic AI frameworks for advanced capabilities.
**Modern Development Practices**
* Leverage tools like GitHub Copilot and agentic AI for code reviews, unit testing, and pull requests.
* Leverage APM tools like DataDog to enhance Observability posture for your application.
* Collaborate with platform consultants, product engineers, and digital product managers to integrate AI solutions.
**MLOps \&amp; Model Deployment**
* Implement best practices for model deployment, scaling, versioning, and monitoring.
* Develop and maintain scalable data pipelines for ingestion, processing, and feature engineering.
* Ensure compliance with ethical AI standards and data governance as per Allstate standards.
**Required Qualifications**
* 3\+ years of backend development experience using Java Spring Boot / Python.
* Strong understanding of RESTful APIs, microservices architecture, and asynchronous processing.
* Hands\-on experience with Docker, Kubernetes, and CI/CD pipelines.
* Experience working with Generative AI APIs and/or open\-source models.
* Knowledge of LangChain, LLM orchestration, and prompt engineering.
**Preferred Skills**
* Exposure to multi\-modal AI systems and agentic AI frameworks.
* Experience with MLOps workflows and cloud deployment (Azure/AI Foundry preferred).
* Strong problem\-solving and debugging skills.
**Nice to Have**
* Knowledge of ethical AI practices and compliance frameworks.
 Familiarity with
 **data preprocessing** 
 ,
 **token management** 
 , and
 **embedding generation**
**Skills**
 AI Frameworks, Artificial Intelligence (AI), Large Language Model (LLM) Fine\-Tuning, Large Language Models (LLMs), Machine Learning (ML)
**Compensation**
 Compensation offered for this role is 169,600\.00 \- 237,400\.00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91">
      <c r="A91" t="inlineStr">
        <is>
          <t>li-4363243025</t>
        </is>
      </c>
      <c r="B91" t="inlineStr">
        <is>
          <t>Staff AI/ML Engineer</t>
        </is>
      </c>
      <c r="C91" t="inlineStr">
        <is>
          <t>Crocs, Inc.</t>
        </is>
      </c>
      <c r="D91" t="inlineStr">
        <is>
          <t>linkedin</t>
        </is>
      </c>
      <c r="E91">
        <f>HYPERLINK("https://www.linkedin.com/jobs/view/4363243025", "https://www.linkedin.com/jobs/view/4363243025")</f>
        <v/>
      </c>
      <c r="F91">
        <f>HYPERLINK("https://careers.crocs.com/job/Broomfield-Staff-AIML-Engineer-CO-80021/1364059700/?utm_source=LINKEDIN&amp;utm_medium=referrer&amp;urlHash=HknS", "https://careers.crocs.com/job/Broomfield-Staff-AIML-Engineer-CO-80021/1364059700/?utm_source=LINKEDIN&amp;utm_medium=referrer&amp;urlHash=HknS")</f>
        <v/>
      </c>
      <c r="G91" t="inlineStr">
        <is>
          <t>Broomfield, CO</t>
        </is>
      </c>
      <c r="H91" t="inlineStr"/>
      <c r="I91" t="inlineStr">
        <is>
          <t>At Crocs, Inc., every career offers a chance to make a real impact. No two journeys look the same. And that's exactly how we like it. Whether you’re welcoming customers into our stores, collaborating with global teams at our headquarters, or keeping operations moving at our distribution centers, your impact is real and valued. At Crocs, Inc. you’re not expected to fit a mold. You’re encouraged to break it and create something better.
**Overview**
 The
 **Staff AI/ML Engineer** 
 role at Crocs Inc. is a technical leadership position within the Global Information Technology team. This role is crucial to ensuring the design, rapid prototyping, building and deployment of AI \&amp; ML applications across Crocs Inc. The ideal candidate will have a strong background in building and deploying large scale AI \&amp; ML applications within commercial/enterprise settings. The candidate will also have versatile experience working with classical AI/ML, deep learning frameworks, as well as GenAI (foundation \&amp; domain models). They will focus on critical imperatives driving our business growth. This role is essential in ensuring the successful delivery of high value AI/ML use cases with material business/enterprise impact.
****What You'll Do****
* Thought Leadership: Operate as a trusted technical expert within Crocs Inc. on AI/ML technology and applications, including AI/ML embedded in SaaS or other 3rd party software.
* Architectural Leadership: Lead the architecture and design of AI/ML applications and AI/ML components integrated into other enterprise applications.
* Application Development: Hands\-on development of rapid prototypes, as well as scaled AI/ML applications, ensuring the technology systems are scalable, reliable and built for growth.
* Collaboration: Work closely with multi\-functional teams including IT and various business teams to identify, refine and prioritize high impact AI/ML use cases across the enterprise.
* Communicate to Multiple Levels: Develop architecture and process diagrams and communicate in ways that can be consumed by different levels of the organization with varying degrees of detail to ensure alignment up and down with the same understanding.
* Documentation: Develop and maintain solution architectural documentation that describes current and future technology state, including data flow diagrams, system architecture diagrams, and technical specifications.
* International Outlook: Design and implement scalable solutions that support both US and international operations. Collaborate with multi\-functional teams to understand and address regional needs and challenges.
* Global Compliance and Standards: Ensure all systems and processes adhere to global industry standards and regulatory requirements, particularly concerning data security and privacy.
* Mentorship: Provide guidance and mentorship to junior team members, including external vendor resources, fostering a culture of continuous learning and improvement.
* Risk Mitigation: Identify and mitigate risks across the end\-to\-end solution where subject matter expertise required
* Relationship Management: Develop strong relationships with regional leaders, external partners, and vendors.
****What You'll Bring to the Table****
* Bachelor’s or graduate (master’s or PhD) degree in a quantitative discipline (e.g., Computer Science, Engineering, Physics, Operations Research, etc.)
* 7\+ years of experience with a bachelor’s OR 5\+ years of experience with a master’s OR 2\+ years of experience with a PhD. Professional experience in AI or machine learning roles, which may include AI/ML software engineering roles
* Proven experience in designing, implementing and deploying scaled AI/ML enterprise applications, with functional applications in some of the following: AI assistants \&amp; custom GPTs, demand forecasting, supply chain optimization, white space \&amp; assortment optimization, macro\-space optimization, pricing, promotions \&amp; markdown optimization, NLP \&amp; NLU, product recommendation, targeted marketing \&amp; personalization, simulations, labor forecasting \&amp; staffing optimization, routing \&amp; network optimization, intelligent automation \&amp; decisioning, etc.
* Expertise in AI/ML algorithms including deep learning frameworks (TensorFlow, PyTorch, etc.)
* Deep expertise in Python. Additional programming languages (such as Spark, Rust, etc.) a plus
* Strong knowledge of large language models, GenAI, and RAG frameworks
* Familiarity with retail or apparel business is a plus
* Excellent problem\-solving skills with a strategic attitude
* Ability to work in a fast\-paced, dynamic environment with multiple priorities.
* Exposure to AI ethics and compliant use of data
* Effective communication skills to provide complex technical information to both technical and non\-technical personnel
* Ability to partner with suppliers, business customers, and IT staff on multi\-functional projects and service improvements
* Skills and proven ability to analyze complex problems and break them down into logical, actionable parts
* Excellent analytical skills
 The Company is an Equal Opportunity Employer committed to a diverse and inclusive work environment. We accept applications on an ongoing basis.
 All qualified applicants will receive consideration for employment without regard to race, color, religion, sex, sexual orientation, gender identity, national origin, or disability, or any other classification protected by law.
 Title: Staff AI/ML Engineer
 Salary or Pay Range: $180,000 \- $190,000
 Pay offered will vary based on job\-related factors such as location, experience, training, skills, and abilities.
 At Crocs, Inc. we believe in the power of a blend of in\-person and virtual collaboration to drive creativity and strengthen relationships. Your participation in this flexible schedule plays a key role in building a connected and successful team. In\-office requirements vary by our work personas: Resident (5 days), Collaborator (4 days), Connector (2\-3 days), Explorer (fully remote). This role has been aligned to the Collaborator persona.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The application window is 45 days, but applicants are encouraged to apply as soon as possible after the posting date in order to ensure optimal consideration. The posting will be removed if the job is filled before the application window deadline.
 Job Category: Corporate</t>
        </is>
      </c>
    </row>
    <row r="92">
      <c r="A92" t="inlineStr">
        <is>
          <t>li-4346803447</t>
        </is>
      </c>
      <c r="B92" t="inlineStr">
        <is>
          <t>Senior AI Engineer</t>
        </is>
      </c>
      <c r="C92" t="inlineStr">
        <is>
          <t>Drata</t>
        </is>
      </c>
      <c r="D92" t="inlineStr">
        <is>
          <t>linkedin</t>
        </is>
      </c>
      <c r="E92">
        <f>HYPERLINK("https://www.linkedin.com/jobs/view/4346803447", "https://www.linkedin.com/jobs/view/4346803447")</f>
        <v/>
      </c>
      <c r="F92" t="inlineStr"/>
      <c r="G92" t="inlineStr">
        <is>
          <t>San Francisco, CA</t>
        </is>
      </c>
      <c r="H92" t="inlineStr"/>
      <c r="I92"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where you’ll feel at home here.
**Why Join The Drata Team?**
 The best way to understand the Driver’s Mindset is to see it in action. We’re an award\-winning, mission\-driven team of
 **600\+ people worldwide** 
 , united by a culture that values trust, speed, and continuous growth.
* See the Speed: Watch our CEO, Adam Markowitz, discuss the hyper\-growth journey, from $0 to $100M ARR in just four years
* Hear the Voice of the Team: Explore our "Life at Drata" page for employee testimonials on our collaborative and the growth opportunities available.
* Experience the Impact: See why we are consistently recognized on Fortune's Best Workplaces lists.
* Connect with Us on Socials: LinkedIn \- follow us for company updates, employee stories, and career news.
**Job Summary**
 Drata is advancing the frontier of compliance automation by integrating intelligent AI capabilities into its platform. We are seeking a Senior AI Engineer to help design, build, and scale robust, high\-impact AI systems that improve operational efficiency, enhance decision\-making, and support trust\-critical enterprise workflows.
 This role focuses on solving complex, real\-world problems with agentic AI, LLMs, and intelligent reasoning systems, including automating questionnaire answering and other compliance\-related workflows. You will work on creating generalizable AI solutions that can be applied across multiple products and domains, collaborating with cross\-functional teams to bring cutting\-edge research into production\-ready systems.
 As a Senior AI Engineer, you will own the end\-to\-end design, implementation, and evolution of AI\-driven systems embedded directly into Drata’s core platform. Your work will focus on building generalizable, reusable AI capabilities rather than one\-off features, enabling multiple product surfaces and workflows across compliance and security.
**What You'll Do**
**Build Agentic \&amp; Intelligent AI Systems**
* Design and implement LLM\-powered systems capable of multi\-step reasoning, evidence grounding, and decision support in high\-trust domains.
* Develop agentic workflows that combine retrieval, tool use, structured reasoning, and human oversight.
* Create interactive AI experiences that allow users to engage naturally with complex compliance and risk data.
**Automated Reasoning Over Regulations \&amp; Evidence**
* Build AI systems that reason over structured and unstructured data to support regulatory interpretation, control alignment, and evidence validation.
* Ensure AI outputs are traceable, explainable, and auditable, meeting the expectations of enterprise customers and auditors.
**Production\-Grade AI Architecture**
* Architect and deploy scalable LLM \+ retrieval \+ agent systems in production environments.
* Optimize for latency, cost, reliability, and evaluation in real\-world enterprise workloads.
* Partner with platform, security, product teams, and other application development teams with diverse skill sets to operationalize AI safely and effectively.
**Responsible \&amp; Trustworthy AI**
* Embed human\-in\-the\-loop workflows, confidence thresholds, and safety guardrails into AI systems.
* Ensure privacy\-preserving data handling, robust failure modes, and transparent behavior aligned with Drata’s trust principles.
**What You'll Bring**
* Experience: 7\+ years of hands\-on software engineering experience; 2\+ years specifically in ML/AI engineering.
* Programming Languages: Proficiency in Python; TypeScript experience is a plus, especially for production AI system integrations.
* Retrieval \&amp; Vector Stores: Familiarity with vector databases (Pinecone, Chroma, FAISS, etc.) and RAG system design.
* LLM \&amp; AI Systems: Proven experience building and shipping LLM\-based applications in production, including embeddings, RAG, agent frameworks, prompt engineering, and evaluation.
* Production Expertise: Track record of taking AI systems from concept to production, designing scalable, maintainable solutions.
* Problem Solving: Ability to decompose complex tasks into agentic workflows and reason over high\-stakes, structured, and unstructured data.
* Collaboration: Experience working cross\-functionally with product, compliance, security, engineering teams, and partnering with other application development teams with diverse skill sets.
**Bonus Qualifications**
* Experience in compliance, security, risk, or audit domains.
* Familiarity with Snowflake\-based analytics, knowledge graphs, or enterprise data platforms.
* Experience partnering with non\-technical stakeholders such as compliance or GRC teams.
**This role defines how AI is responsibly embedded into a trust\-critical enterprise platform. Your work will:**
* Establish foundational agentic AI capabilities that power multiple present and future product experiences.
* Enable customers to derive accurate, explainable insights from complex compliance and security data.
* Set the technical and ethical standard for applying modern AI in regulated, high\-stakes environments.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$192,000 \- $259,800\.*
*A variety of factors are considered when determining someone’s leveling and compensation–including a candidate’s professional background and experience. These ranges may be modified in the future and final offer amounts may vary from the amounts listed above.*</t>
        </is>
      </c>
    </row>
    <row r="93">
      <c r="A93" t="inlineStr">
        <is>
          <t>li-4371482456</t>
        </is>
      </c>
      <c r="B93" t="inlineStr">
        <is>
          <t>Staff Machine Learning Engineer, Relevance and Personalization</t>
        </is>
      </c>
      <c r="C93" t="inlineStr">
        <is>
          <t>Airbnb</t>
        </is>
      </c>
      <c r="D93" t="inlineStr">
        <is>
          <t>linkedin</t>
        </is>
      </c>
      <c r="E93">
        <f>HYPERLINK("https://www.linkedin.com/jobs/view/4371482456", "https://www.linkedin.com/jobs/view/4371482456")</f>
        <v/>
      </c>
      <c r="F93">
        <f>HYPERLINK("https://careers.airbnb.com/positions/7450356?gh_src=34ewj2&amp;urlHash=kF5a", "https://careers.airbnb.com/positions/7450356?gh_src=34ewj2&amp;urlHash=kF5a")</f>
        <v/>
      </c>
      <c r="G93" t="inlineStr"/>
      <c r="H93" t="inlineStr"/>
      <c r="I9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Relevance and Personalization team at Airbnb is responsible for search and recommendation across the entire Airbnb digital platform. Be a leader in the team working on critical, impactful projects with focus on developing end\-to\-end ranking algorithms and ecosystems for optimizing multiple critical business objectives.
**The Difference You Will Make**
 We build cutting\-edge AI technologies across the end\-to\-end search ranking product stack w.r.t. data pipelines, feature and model innovations, serving and experimentation efficiency, leveraging rich signals from various types of data (structured, sequential, image, text, etc) at Airbnb. We collaborate closely with teams across Airbnb to develop the ranking solutions and support a healthy marketplace for hosts and guests to further Airbnb’s mission of creating a world where people can Belong Anywhere. Some past publications from the team can be found here: https://sites.google.com/view/airbnb\-relevance\-publications/home
**A Typical Day**
* Work with large scale structured and unstructured data, build and continuously improve cutting edge Machine Learning models for Airbnb product, business and operational use cases.
*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 Hands\-on develop, productionize, and operate Machine Learning models and pipelines at scale, including both batch and real\-time use cases.
* Leverage third\-party and in\-house Machine Learning tools \&amp; infrastructure to develop reusable, highly differentiating and high\-performing Machine Learning systems, enable fast model development, low\-latency serving and ease of model quality upkeep.
* Example projects include: feature platform, model interpretability, hyperparameter optimization, concept drift detection.
**Your Expertise**
* 9\+ years of industry experience in applied Machine Learning, inclusive MS or PhD in relevant fields.
* Strong programming (Scala / Python / Java / C\+\+ or equivalent) and data engineering skills.
* Deep understanding of Machine Learning best practices (eg. training/serving skew minimization, A/B test, feature engineering, feature/model selection), algorithms (eg. neural networks/deep learning, optimization) and domains (eg. natural language processing, computer vision, personalization, search and recommendation, marketplace optimization, anomaly detection).
* Experience with 3 or more of these technologies: Tensorflow, PyTorch, Kubernetes, Spark, Airflow (or equivalent), Kafka (or equivalent), data warehouse (eg. Hive).
* Industry experience building end\-to\-end Machine Learning infrastructure and/or building and productionizing Machine Learning models.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$212,000—$265,000 USD</t>
        </is>
      </c>
    </row>
    <row r="94">
      <c r="A94" t="inlineStr">
        <is>
          <t>li-4371608191</t>
        </is>
      </c>
      <c r="B94" t="inlineStr">
        <is>
          <t>Machine Learning Engineer</t>
        </is>
      </c>
      <c r="C94" t="inlineStr">
        <is>
          <t>Enormous Enterprise LLC</t>
        </is>
      </c>
      <c r="D94" t="inlineStr">
        <is>
          <t>linkedin</t>
        </is>
      </c>
      <c r="E94">
        <f>HYPERLINK("https://www.linkedin.com/jobs/view/4371608191", "https://www.linkedin.com/jobs/view/4371608191")</f>
        <v/>
      </c>
      <c r="F94" t="inlineStr"/>
      <c r="G94" t="inlineStr">
        <is>
          <t>Alpharetta, GA</t>
        </is>
      </c>
      <c r="H94" t="inlineStr"/>
      <c r="I94" t="inlineStr">
        <is>
          <t>**Company**
 Enormous Enterprise LLC
 Location:
 Alpharetta, GA, 30009
**Pay**
 DOE
**Posted**
 February 11, 2026
 Apply
**Description**
 Machine Learning Engineer
 Remote Role : Alpharetta Georgia 30009
 W2 Candidates : with minimum validity of 12 months
**Must Have**
 Need good clinical and claims knowledge
 7\+ years of healthcare exp
 4\+ years of experience in machine learning, NLP, or deep learning
 They are working on AI evidence engine
 focused on LLM
 2 rounds of Zoom interview then offer.
 What You’ll Do
* Develop, fine\-tune, and optimize LLMs and modern deep learning models
* Write high\-quality prompts, instructions, and training examples to shape model behavior
* Design, implement, and maintain instruction orchestration and evaluation workflows for LLM\-based systems
* Build and maintain training pipelines, datasets, and evaluation workflows
* Design and execute functional and automated tests to validate AI outputs and system behavior
* Analyze model performance, identify failure patterns (e.g., accuracy gaps, hallucinations, edge cases), and drive improvements
* Collaborate with engineering and product teams (and review partner or vendor work) to deploy and iterate on AI features
* Contribute to the ongoing maintenance and improvement of existing AI systems
 What We’re Looking For
* 7\+ years of experience in machine learning, NLP, or deep learning
* Hands\-on experience with LLMs (GPT, LLaMA, Mistral, or similar) in applied or production contexts
* Healthcare data experience is required, including working knowledge of:
* Strong Python skills; experience with PyTorch or TensorFlow
* Familiarity with HuggingFace tools and modern model\-training workflows
* Experience evaluating AI output quality, hallucination behavior, reliability, and consistency
* Experience designing automated evaluation, regression testing, or benchmarking pipelines for AI systems
* Ability to work with minimal direction, take ownership of problem areas, and operate effectively in ambiguous problem spaces
* Excellent communication skills for writing prompts, instructions, technical documentation, and evaluation artifacts
* Experience optimizing LLM and deep learning workloads on AWS, including model training, GPU utilization, and cost\-efficient inference deployments
 Apply</t>
        </is>
      </c>
    </row>
    <row r="95">
      <c r="A95" t="inlineStr">
        <is>
          <t>li-4336714179</t>
        </is>
      </c>
      <c r="B95" t="inlineStr">
        <is>
          <t>Senior Machine Learning Engineer</t>
        </is>
      </c>
      <c r="C95" t="inlineStr">
        <is>
          <t>SageSure</t>
        </is>
      </c>
      <c r="D95" t="inlineStr">
        <is>
          <t>linkedin</t>
        </is>
      </c>
      <c r="E95">
        <f>HYPERLINK("https://www.linkedin.com/jobs/view/4336714179", "https://www.linkedin.com/jobs/view/4336714179")</f>
        <v/>
      </c>
      <c r="F95" t="inlineStr"/>
      <c r="G95" t="inlineStr">
        <is>
          <t>Jersey City, NJ</t>
        </is>
      </c>
      <c r="H95" t="inlineStr"/>
      <c r="I95" t="inlineStr">
        <is>
          <t>**Overview:**
 If you're looking for the stability of a profitable, growing company with the entrepreneurial spirit of a startup, we’re hiring. SageSure , a leader in catastrophe\-exposed property insurance, is seeking a Machine Learning Engineer . As a Senior Machine Learning Engineer, you'll play a crucial role in optimizing orchestration processes and ensuring fast and efficient model deployment and delivery. You'll work closely with Software Engineers and Data scientists to streamline machine learning pipelines and implement best practices for managing and deploying ML models.
**What you’d be doing:**
* Design and implement robust, scalable, and efficient data pipelines for training machine learning models.
* Develop prediction pipelines to ensure seamless integration of trained models into production environments.
* Create APIs and microservices to facilitate communication between machine learning models and other software modules.
* Design, build, and manage model deployment strategies to ensure reliability, scalability, and security in production environments.
* Implement monitoring and logging solutions to track model performance, data quality, and system health in real\-time.
* Optimize orchestration processes to ensure efficient deployment and management of ML models.
* Implement cost\-saving strategies to minimize infrastructure expenses while maximizing performance.
* Collaborate with cross\-functional teams to identify bottlenecks and implement solutions to improve workflow efficiency.
**We’re looking for someone who has:**
* Bachelor’s degree in Computer Science, Engineering, Mathematics, or a related technical field.
* 5\-7 years of experience as an MLOps Engineer or similar role, with a proven track record of optimizing machine learning pipelines and infrastructure.
* Proficiency in cloud computing platforms (e.g., AWS, Azure, GCP) and containerization technologies (e.g., Docker, Kubernetes).
* Experience with orchestration tools and frameworks such as Airflow, Kubeflow, or MLflow.
* Experience with machine learning frameworks such as TensorFlow, PyTorch, or Scikit\-Learn.
* Experience in deploying machine learning models in production environments and managing model lifecycle.
* Excellent problem\-solving skills and ability to work independently as well as part of a team.
* Strong communication skills and ability to collaborate effectively with cross\-functional teams.
**Data at SageSure**
 At SageSure, data isn’t just a function—it’s a force for innovation. Our Data organization brings together Data Science, Business Intelligence, and Data Management to power smarter decisions and deliver meaningful impact across the business. From predictive modeling to scalable data ecosystems and actionable insights, we turn complex information into clarity that drives real results.
 We’re building a team of curious, collaborative problem\-solvers who are passionate about using data to make a difference. Whether you’re advancing machine learning capabilities, strengthening data governance, or uncovering insights that shape strategy, you’ll play a critical role in defining how SageSure uses data to lead the future of insurance.
**About SageSure:**
 Named among the Best Places to Work in Insurance by Business Insurance for four years in a row (2020\-2023\), SageSure is one of the largest managing general underwriters (MGU) focused on catastrophe\-exposed markets in the US. Since its founding in 2009, SageSure has experienced exceptional growth while generating underwriting profits for carrier partners through hurricanes, wildfires, and hail. Available in 16 states, SageSure offers more than 50 competitively priced home, flood, earthquake, and commercial products on behalf of its highly rated carrier partners. Today, SageSure manages more than $1\.9 billion of inforce premium and helps protect 640,000 policyholders.
 SageSure has more than 1000 employees working remotely or in\-office across nine offices: Cheshire, Connecticut; Chicago, Illinois; Cincinnati, Ohio; Houston, Texas; Jersey City, New Jersey; Mountain View, California; Marlton, New Jersey; Tallahassee, Florida; and Seattle, Washington.
 SageSure offers generous health benefits and perks, including tuition reimbursement, wellness allowance, paid volunteer time off, a matching 401K plan, and more.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t>
        </is>
      </c>
    </row>
    <row r="96">
      <c r="A96" t="inlineStr">
        <is>
          <t>li-4371475182</t>
        </is>
      </c>
      <c r="B96" t="inlineStr">
        <is>
          <t>Senior Machine Learning Engineer, AI Automation</t>
        </is>
      </c>
      <c r="C96" t="inlineStr">
        <is>
          <t>Unity</t>
        </is>
      </c>
      <c r="D96" t="inlineStr">
        <is>
          <t>linkedin</t>
        </is>
      </c>
      <c r="E96">
        <f>HYPERLINK("https://www.linkedin.com/jobs/view/4371475182", "https://www.linkedin.com/jobs/view/4371475182")</f>
        <v/>
      </c>
      <c r="F96" t="inlineStr"/>
      <c r="G96" t="inlineStr">
        <is>
          <t>New York, NY</t>
        </is>
      </c>
      <c r="H96" t="inlineStr"/>
      <c r="I96" t="inlineStr">
        <is>
          <t>**The opportunity**
 At Unity, we are building a world\-class ad\-tech ecosystem that connects billions of users with games and experiences they love. The Advertiser Growth team is at the heart of this mission, owning the online ads delivery stack, including auction, pacing, and bidding systems.
 As a Senior Machine Learning Engineer, you will be a key contributor to modernizing our core infrastructure and building the backend systems for next\-generation AI agents that revolutionize campaign experience. This role offers the chance to solve complex system challenges at massive scale while directly influencing Unity’s revenue growth.
**What You'll Be Doing**
* Design and deploy intelligent agentic systems that integrate large language models (LLMs) with enterprise data, tools, and workflows using frameworks like LangChain, LlamaIndex, and Semantic Kernel.
* Develop Retrieval\-Augmented Generation (RAG) applications using tools like Azure AI Search, vector databases, and secure enterprise connectors to deliver contextual insights.
* Build and iterate on conversational agents that solve real\-world problems, meet stakeholder needs, and deliver measurable business value.
* Deliver high\-impact features by collaborating across teams, leading through ambiguity, and aligning technical solutions with business goals.
* Drive quality and performance through automated testing, monitoring, and data\-driven evaluation of success criteria, user adoption, and operational efficiency.
* Mentor teammates and contribute to a culture of innovation, technical excellence, and continuous learning.
**What We're Looking For**
* You have a Bachelor’s/Master’s level degree in computer science or relevant engineering\-related field or equivalent experience.
* You have 8\-10\+ years of software engineering experience, including 1\-2\+ years working on AI\-powered systems or products.
* You have a good foundational knowledge of or hands\-on experience with LLM orchestration frameworks (e.g., LangChain, LlamaIndex, Semantic Kernel) and prompt engineering using LLM APIs.
* Deep GenAI Knowledge: Expertise in LLM integration, prompt engineering, and the technical trade\-offs of different model architectures for specific ad\-tech use cases.
* RAG \&amp; Data Engineering: Hands\-on experience with vector stores (e.g., Pinecone, Milvus, Weaviate), embedding models, and data orchestration for context\-aware AI.
* MCP Protocol Mastery: Familiarity with the Model Context Protocol (MCP) to build interoperable "plug\-and\-play" connections between AI models and local or remote data sources.
* Scalable Backend Foundations: Strong proficiency in Java, Go, or Python, with a background in building large\-scale distributed systems and real\-time data pipelines (Kafka, Flink, or Spark).
* Experimental Mindset: A "zero\-to\-one" approach to engineering, comfortable with rapid prototyping and iterative testing in a fast\-paced environment.
**You might also have**
* Ad\-Tech Domain Context: Understanding of auction mechanics, bidding algorithms, or advertiser delivery funnels.
**Additional Information**
*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$148,700—$223,100 USD</t>
        </is>
      </c>
    </row>
    <row r="97">
      <c r="A97" t="inlineStr">
        <is>
          <t>li-4371462782</t>
        </is>
      </c>
      <c r="B97" t="inlineStr">
        <is>
          <t>Principal, AI/ML Engineer</t>
        </is>
      </c>
      <c r="C97" t="inlineStr">
        <is>
          <t>Fidelity Investments</t>
        </is>
      </c>
      <c r="D97" t="inlineStr">
        <is>
          <t>linkedin</t>
        </is>
      </c>
      <c r="E97">
        <f>HYPERLINK("https://www.linkedin.com/jobs/view/4371462782", "https://www.linkedin.com/jobs/view/4371462782")</f>
        <v/>
      </c>
      <c r="F97" t="inlineStr"/>
      <c r="G97" t="inlineStr">
        <is>
          <t>Boston, MA</t>
        </is>
      </c>
      <c r="H97" t="inlineStr"/>
      <c r="I97" t="inlineStr">
        <is>
          <t>**Job Description**
 The Role
 We're seeking an exceptional Principal AI/ML Engineer to join our high\-impact squad focused on transforming and growing our Financial Investment (FI) sales and platform business. In this role, you'll be at the intersection of cutting\-edge AI technology and business strategy, driving innovation through opportunity lead generation, intelligent product recommendations, coverage strategy optimization, and engagement experimentation.
 As a T\-shaped AI professional, you'll bring deep technical expertise while demonstrating strong business acumen and cross\-functional collaboration skills. Critically, we need someone who thinks in systems—understanding how each change ripples through the entire ecosystem—and who approaches every project with a production\-ready mindset from day one, not just building shiny demos.
 Key Responsibilities
 AI/ML Innovation \&amp; Implementation
* Design and deploy state\-of\-the\-art AI and ML solutions to accelerate FI business growth with production reliability and scalability as primary considerations
* Develop and optimize Large Language Model (LLM) applications for business use cases that integrate seamlessly into existing systems
* Implement context engineering strategies and prompt optimization techniques
* Build and maintain Retrieval\-Augmented Generation (RAG) systems for semantic search and knowledge retrieval
* Research and prototype emerging AI techniques, always evaluating for production viability and system\-wide impact
 Systems Thinking \&amp; Architecture
* Analyze and anticipate how AI implementations affect upstream and downstream systems, data flows, and user experiences
* Design solutions considering scalability, maintainability, observability, and failure modes from the outset
* Evaluate technical decisions through the lens of system\-wide performance, cost, and operational complexity
* Collaborate with platform, infrastructure, and application teams to ensure seamless integration
* Document system dependencies, data lineage, and architectural decisions for long\-term maintainability
 Business Partnership \&amp; Strategy
* Collaborate closely with business stakeholders to deeply understand challenges and translate them into technical solutions
* Define and monitor AI performance metrics aligned with business KPIs
* Balance innovation with pragmatism—prioritizing solutions that deliver measurable business value
 Data Engineering \&amp; Architecture
* Design and implement robust ETL pipelines for both structured and unstructured data
* Build scalable data infrastructure supporting real\-time and batch processing needs
* Perform exploratory data analysis to uncover insights and improvement opportunities
* Ensure data quality, governance, and security best practices
 Deployment \&amp; Operations
* Deploy and manage AI/ML models in cloud environments (AWS) with production SLAs in mind
* Establish monitoring systems for model performance, drift detection, and system health
* Optimize model serving infrastructure for latency, throughput, and cost
* Implement MLOps best practices for continuous integration and deployment
* Build with observability, debugging, and incident response capabilities from the start
**The Expertise And Skills You Bring**
 Education \&amp; Experience
* BS/MS in Engineering, Computer Science, Data Science, or related field
* 5\-8\+ years of software development experience with proven AI/ML project delivery in production environments
* Demonstrated ability to manage multiple concurrent projects in fast\-paced environments
 T\-Shaped Expertise Profile
**Deep Technical Skills (the Vertical Bar)**
* LLM \&amp; Modern AI: Hands\-on experience with Large Language Models, prompt engineering, context optimization, and fine\-tuning techniques
* AI/ML Engineering: Expert knowledge of statistical models, predictive modeling, time series analysis (regression, classification, clustering, dimension reduction)
* Programming: Advanced proficiency in Python with object\-oriented and functional programming paradigms
**Broad Cross\-Functional Skills (the Horizontal Bar)**
* Business Acumen: Ability to understand financial services domain and translate business needs into technical solutions
* Data Engineering: Production experience with ETL pipeline tools (Airflow, dbt) and big data technologies (Snowflake)
* Deployment \&amp; MLOps: Experience deploying and managing applications in cloud environments (AWS preferred)
* Collaboration: Strong communication skills to work effectively with technical and non\-technical stakeholders
 Technical Stack Experience
* Python Ecosystem: NumPy, Pandas, Scikit\-learn, Flask, Pip, Anaconda
* ML/AI Frameworks: Hugging Face, LangChain (or similar)
* Big Data Tools: Spark, Snowflake
* Cloud Platforms: AWS (SageMaker, Lambda, EC2, S3, etc.)
* Data Pipeline Tools: Airflow, dbt, or equivalent orchestration frameworks
* RAG \&amp; Vector Databases: Experience with semantic search, embeddings, and vector stores
 Core Competencies
**Production\-First Mindset**
* Builds production\-ready solutions from day one—not prototypes that need to be rebuilt
* Considers error handling, edge cases, monitoring, and operational concerns upfront
* Writes clean, maintainable, well\-tested code that others can understand and extend
* Prioritizes reliability, performance, and user experience over technical novelty
**Systems Thinking**
* Understands how changes propagate through complex systems and anticipates second\-order effects
* Considers data dependencies, API contracts, backward compatibility, and migration paths
* Evaluates trade\-offs holistically balancing technical debt, velocity, and long\-term sustainability
* Thinks about failure scenarios, rollback strategies, and graceful degradation
**The Team**
 Our team supports a variety of complex applications serving a diverse set of businesses and customers directly. The database environments are extremely critical to our success and vitality which in turn requires a unique technical aptitude.
 The base salary range for this position is $107,000\-216,000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**Certifications**
 Category:
 Information Technology</t>
        </is>
      </c>
    </row>
    <row r="98">
      <c r="A98" t="inlineStr">
        <is>
          <t>li-4362556689</t>
        </is>
      </c>
      <c r="B98" t="inlineStr">
        <is>
          <t>Applied AI Engineer</t>
        </is>
      </c>
      <c r="C98" t="inlineStr">
        <is>
          <t>Recruiting from Scratch</t>
        </is>
      </c>
      <c r="D98" t="inlineStr">
        <is>
          <t>linkedin</t>
        </is>
      </c>
      <c r="E98">
        <f>HYPERLINK("https://www.linkedin.com/jobs/view/4362556689", "https://www.linkedin.com/jobs/view/4362556689")</f>
        <v/>
      </c>
      <c r="F98" t="inlineStr"/>
      <c r="G98" t="inlineStr">
        <is>
          <t>New York, United States</t>
        </is>
      </c>
      <c r="H98" t="inlineStr"/>
      <c r="I98"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**Job Title:** 
 Applied AI Engineer
**Location:** 
 New York City (In\-office)
**Employment Type:** 
 Full\-time
**Salary:** 
 $210,000 – $230,000
**Company Overview** 
 We are an AI\-native health insurance startup rebuilding healthcare from the ground up. Today’s healthcare experience is expensive, confusing, and often so frustrating that people delay care. Our mission is to change that by creating a proactive, technology\-driven health plan that helps people navigate care, understand costs, and avoid financial fear.
 Our platform delivers continuous, personalized support for members—helping with benefits navigation, appointment scheduling, care decisions, and proactive health outreach. Backed by top\-tier investors and led by a deeply technical founding team, we are scaling quickly, covering tens of thousands of members and seeing strong demand across employers, brokers, and partners.
**Role** 
 As an
 **Applied AI Engineer** 
 , you will own the end\-to\-end development of AI\-native product experiences that redefine how people interact with their healthcare. This is a
 **high\-ownership, product\-facing role** 
 where you’ll ship production AI systems used daily by real users.
 You’ll work at the intersection of
 **LLMs, product engineering, and complex healthcare workflows** 
 , building systems that reason, act, and scale in production.
**What You’ll Work On** 
* **AI\-Powered Care Triage:** 
 Build intelligent experiences that help users understand symptoms and navigate to the right level of care (ER, Urgent Care, Primary Care), preventing unnecessary visits and reducing out\-of\-pocket costs.
* **Always\-On Care Partner:** 
 Develop conversational AI that helps users understand lab results, diagnoses, and treatment plans—providing 24/7 support with clarity and empathy.
* **Proactive Health Engine:** 
 Create systems that analyze claims and behavioral data to drive personalized outreach for screenings, medication adherence, and preventive care.
* **Core AI Platform:** 
 Advance internal AI capabilities across prompt orchestration, context engineering, retrieval systems, agent workflows, and evaluation frameworks.
**Qualifications required** 
* Experience shipping
 **production AI\-powered products** 
 end\-to\-end
* Strong product mindset with a track record of owning
 **0→1 features**
* Hands\-on experience building
 **LLM\-powered applications** 
 in production
* Strong backend experience with
 **Python** 
 and relational databases (
 **Postgres** 
 )
* Experience designing
 **LLM agents** 
 , workflows, or autonomous systems
* Pragmatic approach to
 **LLM safety, reliability, and evaluation** 
 (guardrails, red\-teaming, latency/cost tradeoffs)
* Comfortable operating in
 **fast\-paced, early\-stage environments** 
 with high ownership
* Fluency using
 **AI\-assisted engineering tools** 
 (e.g., Cursor, Copilot)
**Nice to Have** 
* Experience with
 **TypeScript and React**
* Familiarity deploying AI workloads on
 **AWS or similar cloud platforms**
* Background in healthcare, fintech, insurance, or other regulated domains
**What We Offer** 
* High ownership and autonomy from day one
* Direct responsibility for core AI product experiences
* A mission\-driven team working on meaningful, real\-world problems
* Close collaboration with product, engineering, and leadership
* Competitive compensation and meaningful equity
* Benefits including:
* 100% paid health insurance
* Free lunches in the office
* Commuter benefits
* Team offsites and retreats
**Compensation** 
* **Base Salary:** 
 $210,000 – $230,000
* **Additional:** 
 Performance bonus \+ equity
* Final compensation determined by experience, skill level, and interview performance
**Why This Role** 
* Build AI systems that materially improve people’s lives
* Work on real, complex problems—not demos or research prototypes
* Join early at a company with strong traction, clear momentum, and long\-term upside
* Apply frontier AI to healthcare instead of ads or engagement metrics
* Be part of a high\-velocity, ambitious, and collaborative in\-office team</t>
        </is>
      </c>
    </row>
    <row r="99">
      <c r="A99" t="inlineStr">
        <is>
          <t>li-4363241970</t>
        </is>
      </c>
      <c r="B99" t="inlineStr">
        <is>
          <t>Senior AI Engineer</t>
        </is>
      </c>
      <c r="C99" t="inlineStr">
        <is>
          <t>Milliman</t>
        </is>
      </c>
      <c r="D99" t="inlineStr">
        <is>
          <t>linkedin</t>
        </is>
      </c>
      <c r="E99">
        <f>HYPERLINK("https://www.linkedin.com/jobs/view/4363241970", "https://www.linkedin.com/jobs/view/4363241970")</f>
        <v/>
      </c>
      <c r="F99" t="inlineStr"/>
      <c r="G99" t="inlineStr">
        <is>
          <t>Appleton, WI</t>
        </is>
      </c>
      <c r="H99" t="inlineStr"/>
      <c r="I99"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100">
      <c r="A100" t="inlineStr">
        <is>
          <t>li-4363125575</t>
        </is>
      </c>
      <c r="B100" t="inlineStr">
        <is>
          <t>Senior AI Engineer</t>
        </is>
      </c>
      <c r="C100" t="inlineStr">
        <is>
          <t>Milliman</t>
        </is>
      </c>
      <c r="D100" t="inlineStr">
        <is>
          <t>linkedin</t>
        </is>
      </c>
      <c r="E100">
        <f>HYPERLINK("https://www.linkedin.com/jobs/view/4363125575", "https://www.linkedin.com/jobs/view/4363125575")</f>
        <v/>
      </c>
      <c r="F100" t="inlineStr"/>
      <c r="G100" t="inlineStr">
        <is>
          <t>South Burlington, VT</t>
        </is>
      </c>
      <c r="H100" t="inlineStr"/>
      <c r="I100"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101">
      <c r="A101" t="inlineStr">
        <is>
          <t>li-4363049334</t>
        </is>
      </c>
      <c r="B101" t="inlineStr">
        <is>
          <t>Lead AI &amp; Machine Learning Engineer - IntelliScript (Remote)</t>
        </is>
      </c>
      <c r="C101" t="inlineStr">
        <is>
          <t>Milliman</t>
        </is>
      </c>
      <c r="D101" t="inlineStr">
        <is>
          <t>linkedin</t>
        </is>
      </c>
      <c r="E101">
        <f>HYPERLINK("https://www.linkedin.com/jobs/view/4363049334", "https://www.linkedin.com/jobs/view/4363049334")</f>
        <v/>
      </c>
      <c r="F101" t="inlineStr"/>
      <c r="G101" t="inlineStr">
        <is>
          <t>Brookfield, WI</t>
        </is>
      </c>
      <c r="H101" t="inlineStr"/>
      <c r="I101"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Milliman, Inc. is recognized as a top firm that provides data, products, and professional services to the insurance industry. IntelliScript is a practice within Milliman that provides health and life insurers with real\-time data and underwriting decision support tools via software\-as\-a\-service (SaaS). IntelliScript offers an innovative suite of products which interpret and deliver electronic medical data (such as prescription histories, diagnoses, treatment data, etc.) to help our clients make effective underwriting and pricing decisions. Our company offers a unique entrepreneurial culture that also promotes work/life balance. IntelliScript has enjoyed consistent growth and is the leader in the markets we serve.
 This role will serve as a hands\-on individual contributor with a strong emphasis on coding, platform delivery, and technical reviews. You will report to the Manager, AI \&amp; Machine Learning Engineering, and play a critical role in advancing our Models as a Service (MAAS) initiative, helping to modernize our AI and machine learning model delivery platform.
 The role will contribute to complex data science projects requiring ML engineering expertise and knowledge of medical claims and Electronic Health Records (EHR). Leveraging expertise in GenAI, ML engineering, software development, and data science, you will deepen their understanding of current product capabilities and develop innovative solutions—such as advanced summarization and agentic workflows—to enhance them.
 The Lead AI \&amp; Machine Learning Engineer will be responsible for developing, deploying, and industrializing sophisticated GenAI and machine learning solutions for healthcare, insurance and adjacent markets.
**Key Responsibilities Include**
* ML engineering efforts within the Models\-as\-a\-Service (MAAS) platform, ensuring high\-quality and scalable model delivery
* Providing technical guidance, reviews, and mentorship to junior team members
* Collaborating closely with the data science team, MAAS product owner, AI architect, and Manager, AI \&amp; Machine Learning Engineering to drive model and feature delivery from ideation through deployment
* Ensuring the success of model\-driven products across both technical and operational dimensions
* Hands\-on technical contribution to support the growth of MAAS and/or Data Science initiatives
**What You Will Be Doing**
 The key area of responsibility in the role of Lead AI \&amp; Machine Learning Engineer is to work as part of our MAAS Team and in conjunction with our data science and product teams, contribute to various aspects of AI \&amp; Machine Learning across our practice:
* Lead end\-to\-end development, deployment, and maintenance of AI infrastructure and applications, from proof\-of\-concept to production and ongoing maintenance, ensuring seamless integration with IT, Product, and other departments
* Collaborate closely with the Product Owner for Models as a Service, the AI architect, and other stakeholders to align technical and product objectives
* Provide technical proficiency in AI/ML engineering and data science, including selection and optimization of frameworks, libraries, and tools
* Development of MLOps, LLMOps, and AIOps solutions across the organization
* Serve as a ML Engineer with deep expertise in driving innovative product features from concept to commercial reality
* Peer review, audit, and enhance models and code developed by team members to ensure high standards and continual improvement
**What We Need**
* 10\+ years of machine learning engineering, GenAI, and data science experience in one of the following industries: healthcare, insurance, clinical trials, or similar fields
* Experience working with machine learning engineering and data science projects across the full life cycle from identifying customer need, to completing proof of concepts, to model building and validation, to implementation
* Ability to contribute to cross\-functional teams
* Expert level knowledge of Python and SQL
* Experience with other programming languages: R, PySpark
* Ability to understand / read other programming languages: C\#, Rust
* Expert with cloud\-based analytical solutions and distributed computing (Databricks)
* Expert with converting on\-premise solutions into cloud ready applications
* Ability to create CI/CD workflows using Github and IaC technology (e.g. Terraform)
* Expert with APIs, AWS Cloud Services and associated services (Lambda, Step Functions, AWS Batch etc..), and git
* Strong programming aptitude (debugging, package design, dependency management, testing)
* Understand how to build and design varying inference solutions (single and batch scoring)
**What You Bring To The Table**
* Excellent communication skills, in person and through phone / email
* Ability to understand and translate technical specs or model results in communication with clients and IntelliScript Lead management
* Proven ability to understand client analytical needs, translate them into an action plan, then execute and deliver
* Customer\-centric approach to finding solutions
* Focused on results and able to explain findings in a way that answers business problems
* Constructive, “can do” approach to overcoming obstacles
* Can quickly learn new techniques and technologies
* Proactive in identifying process improvements
* Strong work ethic, willing to pitch in wherever needed
* Ability to manage projects and timelines, including directing the work of others
**Wish List**
* Degree in a relevant field (computer science, data science, statistics, mathematics, applied math, actuarial science, economics, etc.)
* Experience working in a HIPAA / PHI / PCI compliant environment
**Location**
 The expected application deadline for this job is April 30, 2026\. This position is open to remote work. Applicants must be willing to travel to the Milliman office in Brookfield, WI as needed and travel nationwide for meetings, conferences, and team events.
**Compensation**
 The overall salary range for this role is $147,400 \- $279,680\.
**For Candidates Residing In**
* Alaska, California, Connecticut, Illinois, Maryland, Massachusetts, New Jersey, New York City, Pennsylvania, Virginia, Washington, or the District of Columbia the salary range is $169,510 \- $279,680\.
* All other locations the salary range is $147,400 \- $243,200\.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102">
      <c r="A102" t="inlineStr">
        <is>
          <t>li-4363251614</t>
        </is>
      </c>
      <c r="B102" t="inlineStr">
        <is>
          <t>Senior AI &amp; Machine Learning Engineer - IntelliScript (Remote)</t>
        </is>
      </c>
      <c r="C102" t="inlineStr">
        <is>
          <t>Milliman</t>
        </is>
      </c>
      <c r="D102" t="inlineStr">
        <is>
          <t>linkedin</t>
        </is>
      </c>
      <c r="E102">
        <f>HYPERLINK("https://www.linkedin.com/jobs/view/4363251614", "https://www.linkedin.com/jobs/view/4363251614")</f>
        <v/>
      </c>
      <c r="F102">
        <f>HYPERLINK("https://recruiting2.ultipro.com/MIL1017/JobBoard/f54234e9-dfde-b183-fd20-4fbdb19cba7a/OpportunityDetail?opportunityId=f68842a9-91f0-44bf-9f00-5f7698cbb98c&amp;source=LinkedIn&amp;urlHash=2RXY", "https://recruiting2.ultipro.com/MIL1017/JobBoard/f54234e9-dfde-b183-fd20-4fbdb19cba7a/OpportunityDetail?opportunityId=f68842a9-91f0-44bf-9f00-5f7698cbb98c&amp;source=LinkedIn&amp;urlHash=2RXY")</f>
        <v/>
      </c>
      <c r="G102" t="inlineStr">
        <is>
          <t>Brookfield, WI</t>
        </is>
      </c>
      <c r="H102" t="inlineStr"/>
      <c r="I102"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Milliman, Inc. is recognized as a top firm that provides data, products, and professional services to the insurance industry. IntelliScript is a practice within Milliman that provides health and life insurers with real\-time data and underwriting decision support tools via software\-as\-a\-service (SaaS). IntelliScript offers an innovative suite of products which interpret and deliver electronic medical data (such as prescription histories, diagnoses, treatment data, etc.) to help our clients make effective underwriting and pricing decisions. Our company offers a unique entrepreneurial culture that also promotes work/life balance. IntelliScript has enjoyed consistent growth and is the leader in the markets we serve.
 This role will serve as a hands\-on individual contributor with a strong emphasis on coding, platform delivery, and technical reviews. You will report to the Manager, AI \&amp; Machine Learning Engineering, and play a critical role in advancing our Models as a Service (MAAS) initiative, helping to modernize our AI and machine learning model delivery platform.
 The role will contribute to complex data science projects requiring ML engineering expertise and knowledge of medical claims and Electronic Health Records (EHR). Leveraging expertise in GenAI, ML engineering, software development, and data science, you will deepen their understanding of current product capabilities and develop innovative solutions—such as advanced summarization and agentic workflows—to enhance them.
 The Senior AI \&amp; Machine Learning Engineer will be responsible for developing, deploying, and industrializing sophisticated GenAI and machine learning solutions for healthcare, insurance and adjacent markets.
**Key Responsibilities Include**
* ML engineering efforts within the Models\-as\-a\-Service (MAAS) platform, ensuring high\-quality and scalable model delivery
* Providing technical guidance, reviews, and mentorship to junior team members
* Collaborating closely with the data science team, MAAS product owner, AI architect, and Manager, AI \&amp; Machine Learning Engineering to drive model and feature delivery from ideation through deployment
* Ensuring the success of model\-driven products across both technical and operational dimensions
* Hands\-on technical contribution to support the growth of MAAS and/or data science initiatives
**What You Will Be Doing**
 The key area of responsibility in the role of Senior AI \&amp; Machine Learning Engineer is to work as part of our MAAS Team and in conjunction with our data science and product teams, contribute to various aspects of AI \&amp; Machine Learning across our practice:
* Lead end\-to\-end development, deployment, and maintenance of AI infrastructure and applications, from proof\-of\-concept to production and ongoing maintenance, ensuring seamless integration with IT, Product, and other departments
* Collaborate closely with the Product Owner for Models as a Service, the AI architect, and other stakeholders to align technical and product objectives
* Provide technical proficiency in AI/ML engineering and data science, including selection and optimization of frameworks, libraries, and tools
* Development of MLOps, LLMOps, and AIOps solutions across the organization
* Serve as a ML Engineer with deep expertise in driving innovative product features from concept to commercial reality
* Peer review, audit, and enhance models and code developed by team members to ensure high standards and continual improvement
**What We Need**
* 7\+ years of machine learning engineering, GenAI, and data science experience in one of the following industries: healthcare, insurance, clinical trials, or similar fields
* Experience working with machine learning engineering and data science projects across the full life cycle from identifying customer need, to completing proof of concepts, to model building and validation, to implementation
* Ability to contribute to cross\-functional teams
* Expert level knowledge of Python and SQL
* Experience with other programming languages: R, PySpark
* Ability to understand / read other programming languages: C\#, Rust
* Expert with cloud\-based analytical solutions and distributed computing (Databricks)
* Experience with converting on\-premise solutions into cloud ready applications
* Ability to create CI/CD workflows using Github and IaC technology (e.g. Terraform)
* Experience with APIs, AWS Cloud Services and associated services (Lambda, Step Functions, AWS Batch etc..), and git
* Strong programming aptitude (debugging, package design, dependency management, testing)
* Understand how to build and design varying inference solutions (single and batch scoring)
**What You Bring To The Table**
* Excellent communication skills, in person and through phone / email
* Ability to understand and translate technical specs or model results in communication with clients and IntelliScript Lead management
* Proven ability to understand client analytical needs, translate them into an action plan, then execute and deliver
* Customer\-centric approach to finding solutions
* Focused on results and able to explain findings in a way that answers business problems
* Constructive, “can do” approach to overcoming obstacles
* Can quickly learn new techniques and technologies
* Proactive in identifying process improvements
* Strong work ethic, willing to pitch in wherever needed
* Ability to manage projects and timelines, including directing the work of others
**Wish List**
* 7\+ years experience in Machine Learning Engineering, Data Engineering, or Software Engineering
* 7\+ years experience in Data Science or a supportive role
* Degree in a relevant field (computer science, data science, statistics, mathematics, applied math, actuarial science, economics, etc.)
* Experience working in a HIPAA / PHI / PCI compliant environment
**Location**
 The expected application deadline for this job is April 30, 2026\. This position is open to remote work. Applicants must be willing to travel to the Milliman office in Brookfield, WI as needed and travel nationwide for meetings, conferences, and team events.
**Compensation**
 The overall salary range for this role is $117,500 \- $222,985\.
**For Candidates Residing In**
* Alaska, California, Connecticut, Illinois, Maryland, Massachusetts, New Jersey, New York City, Pennsylvania, Virginia, Washington, or the District of Columbia the salary range is $135,125 \- $222,985\.
* All other locations the salary range is $117,500 \- $193,900\.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103">
      <c r="A103" t="inlineStr">
        <is>
          <t>li-4371482120</t>
        </is>
      </c>
      <c r="B103" t="inlineStr">
        <is>
          <t>Senior AI Engineer</t>
        </is>
      </c>
      <c r="C103" t="inlineStr">
        <is>
          <t>ZoomInfo</t>
        </is>
      </c>
      <c r="D103" t="inlineStr">
        <is>
          <t>linkedin</t>
        </is>
      </c>
      <c r="E103">
        <f>HYPERLINK("https://www.linkedin.com/jobs/view/4371482120", "https://www.linkedin.com/jobs/view/4371482120")</f>
        <v/>
      </c>
      <c r="F103">
        <f>HYPERLINK("https://www.zoominfo.com/careers?gh_jid=8287326002&amp;gh_src=d14a9e1e2&amp;urlHash=K9Td", "https://www.zoominfo.com/careers?gh_jid=8287326002&amp;gh_src=d14a9e1e2&amp;urlHash=K9Td")</f>
        <v/>
      </c>
      <c r="G103" t="inlineStr"/>
      <c r="H103" t="inlineStr"/>
      <c r="I103"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As a
 **Senior AI Engineer** 
 on our
 **Advertising, Company Intelligence, and Intent** 
 team, you’ll help design and implement the core systems that power our real\-time marketing platform. From high\-throughput ad infrastructure to large\-scale identity resolution and intelligent systems enhanced by LLMs, push the boundaries of scale, intelligence, and speed—and deliver real\-world business impact.
 You’ll be joining a team with a broad range of ambitious, technically deep projects—from APIs that process tens of billions of events per day, to new buyer intent algorithms powered by LLMs, to a unified B2B identity graph. Depending on your strengths and interests, you’ll be matched to the initiatives where you can have the greatest impact.
 This is a high\-growth, high\-ownership environment operating at the edge of what’s possible in modern software engineering, data infrastructure, and applied AI.
**What You'll Do**
* Design and build distributed systems that process, enrich, and respond to billions of behavioral events per day in real time
* Develop high\-performance APIs and services that support advertising, identity, and intent features across the Marketing Platform
* Leverage machine learning and large language models (LLMs) to analyze behavioral data, classify content, extract signals, and enable intelligent decision\-making
* Build intelligent agents using frameworks like LangGraph or MCP to reason over data and power user\-facing insights
* Design and operate data pipelines using tools like Kafka, Kinesis, and ClickHouse to support both streaming and batch workloads
* Drive quality, performance, scalability, and observability across all systems you own
* Collaborate cross\-functionally with product managers, data scientists, and engineers to deliver customer\-facing features and internal tooling
* Contribute to technical leadership and mentorship of teammates.
**What You Bring**
* 7\+ years of backend, data, or infrastructure engineering experience, or equivalent impact and leadership.
* Distributed systems engineering (e.g., building low latency high and throughput APIs, scalable microservices, event processing pipelines)
* Big data infrastructure (e.g., streaming, warehousing, low\-latency storage at scale)
* Applied AI/ML, including use of LLMs for extraction, classification, or reasoning tasks.
* Proficiency in one or more core languages: Java, Go, Python
* Solid grasp of SQL and large\-scale data modeling
* Familiarity with databases and tools such as: ClickHouse, DynamoDB, Bigtable, Memcached, Kafka, Kinesis, Firehose, Airflow, Snowflake
* Comfortable using LLMs as part of your development workflow—whether via tools like Copilot, Cursor, ChatGPT, Claude, or others—to boost productivity, explore architecture ideas, and rapidly prototype.
* Skilled at designing and implementing LLM\-powered systems such as RAG pipelines, agent frameworks (e.g., LangGraph), or intelligent workflows that reason across large datasets in real time.
**Bonus Points**
* Experience in ad tech, real\-time bidding (RTB), or programmatic systems
* Background in identity resolution, attribution, or behavioral analytics at scale
* Contributions to open source in ML, infrastructure, or data tooling
* Strong product instincts and a passion for building tools that drive meaningful outcomes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$152,950—$240,350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104">
      <c r="A104" t="inlineStr">
        <is>
          <t>li-4371310054</t>
        </is>
      </c>
      <c r="B104" t="inlineStr">
        <is>
          <t>Staff Machine Learning Engineer</t>
        </is>
      </c>
      <c r="C104" t="inlineStr">
        <is>
          <t>Whisker</t>
        </is>
      </c>
      <c r="D104" t="inlineStr">
        <is>
          <t>linkedin</t>
        </is>
      </c>
      <c r="E104">
        <f>HYPERLINK("https://www.linkedin.com/jobs/view/4371310054", "https://www.linkedin.com/jobs/view/4371310054")</f>
        <v/>
      </c>
      <c r="F104">
        <f>HYPERLINK("https://recruiting.paylocity.com/Recruiting/Jobs/Details/3913784&amp;urlHash=opD8", "https://recruiting.paylocity.com/Recruiting/Jobs/Details/3913784&amp;urlHash=opD8")</f>
        <v/>
      </c>
      <c r="G104" t="inlineStr">
        <is>
          <t>Auburn Hills, MI</t>
        </is>
      </c>
      <c r="H104" t="inlineStr"/>
      <c r="I104" t="inlineStr">
        <is>
          <t>**Description**
 Whisker is redefining what it means to live with cats—designing intelligent systems that remove friction, elevate the everyday, and celebrate the quiet brilliance of feline companionship. Today, Litter\-Robot leads the category. Tomorrow, an entire ecosystem that expands what’s possible for cats and the people who love them. We believe the future is feline. And we’re imagining that future today.
 We work onsite 4\+ days a week, with our team based in Auburn Hills, Michigan, and Juneau, Wisconsin. Our team of 700\+ passionate pet people thrives on collaboration, innovation, and the occasional office cameo from a four\-legged friend.
**What You’ll Do** 
 :
 The Staff Machine Learning Engineer will lead the design, development, and deployment of production\-grade AI and machine learning models, owning the end\-to\-end lifecycle from data ingestion and feature engineering through training, evaluation, inference, and continuous improvement in production. This role is responsible for defining scalable, secure, and high\-performance AI architectures, including MLOps, automated CI/CD, model monitoring, and governance to ensure reliable real\-world impact. The Staff Machine Learning Engineer will provide deep technical leadership and mentorship to engineering and data science teams, setting standards and best practices for building, operating, and scaling AI\-powered systems across the organization.
**Essential Duties and Responsibilities:**
*This list of duties and responsibilities is not all\-inclusive and may be expanded to include other duties and responsibilities as deemed necessary.*
* Leads the end\-to\-end architecture of production AI systems, including data pipelines, feature engineering, model training, evaluation, deployment, and inference, ensuring scalability, performance, and alignment with Whisker’s business objectives
* Builds and ships AI models, contributing hands\-on code across data preparation, model development, training workflows, and inference services, setting a high bar for production\-quality AI engineering
* Partners closely with product, data, and engineering leaders to translate business and customer needs into applied AI solutions, balancing model accuracy, latency, cost, and operational reliability
* Provides technical leadership and mentorship across AI, data science, and software engineering teams, establishing best practices for model development, MLOps, testing, deployment, and ongoing model maintenance
* Evaluates, prototypes, and recommends emerging AI and ML technologies, frameworks, and tooling that accelerate model development, improve production robustness, and advance Whisker’s AI capabilities
* Ensures the integrity, security, and reliability of AI systems, including data governance, model versioning, monitoring, drift detection, and responsible AI practices throughout the lifecycle
* Owns the full AI development lifecycle, from problem framing and experimentation through production deployment, monitoring, iteration, and continuous improvement of AI\-powered products
* Conducts regular code reviews and provides constructive feedback to ensure code quality
* Designs, develop, lead implementation of robust, scalable security solutions across multiple platforms
* Will perform additional responsibilities when required
**Requirements**
**What You’ll Bring** 
 :
**Requirements \&amp; Qualifications:**
* Bachelor’s, Master’s degree or PhD in Computer Science, Software Engineering, or a related field
* 15\+ years of professional experience in Software Engineering
* 5\+ years of proven experience as a software architect, demonstrating successful design, release and delivery of complex, scalable systems.
* Technical expertise in the following areas:
+ 5\+ years of experience with Amazon S3
+ 5\+ years of experience with DynamoDB
+ 4\+ years of experience with AWS Lambda
+ 3\+ years of experience with IoT Core
+ 2\+ years of experience with Timestream
* In\-depth understanding of software design principles, patterns, and best practices
* Expertise in Java, Python, or C\+\+, particularly for complex, function\-oriented software that interfaces with IoT devices
* Experience supporting medium to large\-scale, highly available, service\-oriented, distributed production systems
* Proficiency with object\-oriented programming concepts, patterns and problem decomposition
* Experience with cloud platforms, microservices architecture, and a strong grasp of system integration.
* Excellent problem\-solving skills and the ability to address technical challenges in a dynamic environment.
* Strong leadership, communication, and interpersonal skills.
* Proficient in using architecture modeling and design tools.
* Ability to communicate complex technical concepts effectively to both technical and non\-technical stakeholders.
* Project management skills with a track record of successfully driving projects to completion.
* A passion for staying updated on industry trends and continuously improving technical expertise.
* Maintains confidentiality of proprietary information
* Ability to maintain a professional atmosphere in a fast\-paced environment with numerous interactions and interruptions
* Ability to establish and maintain cooperative working relationships with Team Members and colleagues
* Comfortable with office pets (cats, dogs)
**Not Required but Nice to Have!**
* Experience with CloudWatch, AppSync, Relational Databases, Kinesis Stream, CloudTrail, API Gateway, Cognito or VPC
**Benefits \&amp; Perks:**
 Join a tenacious, inventive company that empowers team members to chart their own path, lead by grounding decisions in the “why”, and has a strong sense of empathy and openness to new perspectives. Be a part of exciting growth, work with incredible people, and create tomorrow’s pet products—plus a whole lot of extras. You will also be provided with:
* Premium Medical/Dental/Vision insurance
* Paid parental leave
* Whisker Parents Program
* 1 day "pawternity" leave for new pet adoption
* Pet Insurance Discount
* 401K match
* Flexible spending accounts
* Company\-paid short\-term disability and life insurance
* Employee Assistance Program (EAP)
* Generous paid time off
* 14 Paid Holidays
* Top of the line equipment
* Pet\-friendly office
* Whisker products and swag
* Continuing education Support
* On\-site gym with Peloton
* Referral program
**Statement of Inclusivity:**
 We believe different perspectives make Whisker better and strive to create a place where everyone has equal opportunities to thrive.
 Please ensure to regularly check your email spam folder for any communication from Whisker to avoid missing important updates regarding your application status.
 \#onsite1</t>
        </is>
      </c>
    </row>
    <row r="105">
      <c r="A105" t="inlineStr">
        <is>
          <t>li-4371459676</t>
        </is>
      </c>
      <c r="B105" t="inlineStr">
        <is>
          <t>Sr. Distinguished Machine Learning Engineer</t>
        </is>
      </c>
      <c r="C105" t="inlineStr">
        <is>
          <t>Capital One</t>
        </is>
      </c>
      <c r="D105" t="inlineStr">
        <is>
          <t>linkedin</t>
        </is>
      </c>
      <c r="E105">
        <f>HYPERLINK("https://www.linkedin.com/jobs/view/4371459676", "https://www.linkedin.com/jobs/view/4371459676")</f>
        <v/>
      </c>
      <c r="F105" t="inlineStr"/>
      <c r="G105" t="inlineStr">
        <is>
          <t>Plano, TX</t>
        </is>
      </c>
      <c r="H105" t="inlineStr"/>
      <c r="I105" t="inlineStr">
        <is>
          <t>**Overview:**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ML models and software components that solve challenging business problems in the financial services industry, working in collaboration with the Product, Architecture, Engineering, and Data Science teams
* Drive the creation and evolution of ML models and software that enable state\-of\-the\-art intelligent systems
* Lead large\-scale ML initiatives with the customer in mind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7 years of experience programming in C, C\+\+, Python, or Scala
* At least 4 years of experience with the full ML development lifecycle using modern technology in a business critical setting
**Preferred Qualifications:**
* Master's Degree
* 3\+ years of experience designing, implementing, and scaling production\-ready data pipelines that feed ML models
* 3\+ years of experience using Dask, RAPIDS, or in High Performance Computing
* 3\+ years of experience with the PyData ecosystem (NumPy, Pandas, and Scikit\-learn)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Machine Learning Engineer
 Plano, TX: $286,200 \- $326,700 for Sr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6">
      <c r="A106" t="inlineStr">
        <is>
          <t>li-4371177902</t>
        </is>
      </c>
      <c r="B106" t="inlineStr">
        <is>
          <t>LEAD AI/ML ENGINEER</t>
        </is>
      </c>
      <c r="C106" t="inlineStr">
        <is>
          <t>Jobs via Dice</t>
        </is>
      </c>
      <c r="D106" t="inlineStr">
        <is>
          <t>linkedin</t>
        </is>
      </c>
      <c r="E106">
        <f>HYPERLINK("https://www.linkedin.com/jobs/view/4371177902", "https://www.linkedin.com/jobs/view/4371177902")</f>
        <v/>
      </c>
      <c r="F106">
        <f>HYPERLINK("https://click.appcast.io/t/oY7I0M-V100xwLKY2Rko6ntASrbxMu2tZorMWo-CcE4=&amp;urlHash=Igm0", "https://click.appcast.io/t/oY7I0M-V100xwLKY2Rko6ntASrbxMu2tZorMWo-CcE4=&amp;urlHash=Igm0")</f>
        <v/>
      </c>
      <c r="G106" t="inlineStr">
        <is>
          <t>Arlington, TX</t>
        </is>
      </c>
      <c r="H106" t="inlineStr"/>
      <c r="I106" t="inlineStr">
        <is>
          <t>Dice is the leading career destination for tech experts at every stage of their careers. Our client, TechniPros, LLC, is seeking the following. Apply via Dice today!
 Role : Lead AI/ML Engineer(w2Position)
 Location : Remote
 Experience: 12\+yrs
 AI Project Execution \&amp; Delivery:
 Lead the end\-to\-end execution of high\-priority AI/ML projects, ensuring they are delivered on time, within budget, and to the highest technical standards.
 Translate the enterprise AI strategy and product roadmaps into detailed project plans, technical specifications, and actionable backlogs for engineering teams.
 Serve as the primary technical point of contact for project stakeholders, managing dependencies, mitigating risks, and communicating progress effectively.
 AI Governance \&amp; AIRB Facilitation:
 Manage the day\-to\-day operations of the AI Review Board (AIRB) submission process, acting as a hands\-on guide for Data Science and product teams.
 Facilitate the preparation of all required documentation for AIRB reviews, ensuring submissions are complete, clear, and proactively address potential ethical, compliance, and technical concerns.
 Implement and enforce the governance framework, ensuring teams adhere to established standards and best practices for responsible AI.
 Team Leadership \&amp; Technical Mentorship:
 Provide direct line management, technical leadership, and mentorship to a team of senior AI/ML Engineers and Data Scientists.
 Foster a culture of engineering excellence, collaboration, and continuous improvement within the team and enterprise.
 Conduct code reviews, design sessions, and technical deep dives to ensure the quality, scalability, and robustness of AI solutions.
 Hands\-on MLOps \&amp; Engineering Practice:
 Drive the practical implementation of the MLOps strategy, directly overseeing the construction and optimization of CI/CD pipelines for AI/ML systems using tools like GitHub Actions.
 Enforce rigorous engineering hygiene, including version control for code, data, and models (Git, DVC), and the application of Infrastructure as Code (IaC) principles.
 Lead the technical implementation of production monitoring solutions to track model performance, identify drift, and ensure the long\-term reliability of deployed AI systems.
 Required Qualifications:
 Proven AI/ML Leadership: 10\-15 years of experience in the AI/ML field, with at least 4\-5 years in a leadership or management role leading technical teams in the delivery of complex AI solutions.
 Experience with AI Governance: Direct, hands\-on experience successfully navigating an internal AI ethics, risk, or governance review process for multiple projects.
 Strong Project Management Skills: Demonstrated ability to manage complex technical projects from conception to deployment, with expertise in agile methodologies.
 Expertise in the ML Lifecycle: Deep, practical knowledge of the entire machine learning lifecycle, from data acquisition and feature engineering to model deployment and post\-launch monitoring.
 Hands\-on MLOps Experience: Proven experience building and managing CI/CD pipelines and MLOps workflows for machine learning.
 Thanks\&amp; Regards,
 Email id :
 PHN: \+1 .</t>
        </is>
      </c>
    </row>
    <row r="107">
      <c r="A107" t="inlineStr">
        <is>
          <t>li-4371179774</t>
        </is>
      </c>
      <c r="B107" t="inlineStr">
        <is>
          <t>AI Engineer - Austin, TX; Fort Mills, SC (Hybrid) - Max Pay rate - $50/Hour on W2</t>
        </is>
      </c>
      <c r="C107" t="inlineStr">
        <is>
          <t>Jobs via Dice</t>
        </is>
      </c>
      <c r="D107" t="inlineStr">
        <is>
          <t>linkedin</t>
        </is>
      </c>
      <c r="E107">
        <f>HYPERLINK("https://www.linkedin.com/jobs/view/4371179774", "https://www.linkedin.com/jobs/view/4371179774")</f>
        <v/>
      </c>
      <c r="F107" t="inlineStr"/>
      <c r="G107" t="inlineStr">
        <is>
          <t>Austin, TX</t>
        </is>
      </c>
      <c r="H107" t="inlineStr"/>
      <c r="I107" t="inlineStr">
        <is>
          <t>Dice is the leading career destination for tech experts at every stage of their careers. Our client, Wise Skulls Corp., is seeking the following. Apply via Dice today!
**Job Title: AI Engineer
 Location: Austin, TX; Fort Mills, SC (Hybrid)
 Duration: 6\+ Months
 Implementation Partner: Infosys
 End Client: To be disclosed**
**JD:**
* 5\+ Years of experience
* Hands\-on experience with
+ AWS
+ ETL
+ Python Automation
* Prior hands\-on experience in AI projects would be preferred</t>
        </is>
      </c>
    </row>
    <row r="108">
      <c r="A108" t="inlineStr">
        <is>
          <t>li-4371188559</t>
        </is>
      </c>
      <c r="B108" t="inlineStr">
        <is>
          <t>Glean AI Engineer(Python/Node.JS/Typescript)-Remote</t>
        </is>
      </c>
      <c r="C108" t="inlineStr">
        <is>
          <t>Jobs via Dice</t>
        </is>
      </c>
      <c r="D108" t="inlineStr">
        <is>
          <t>linkedin</t>
        </is>
      </c>
      <c r="E108">
        <f>HYPERLINK("https://www.linkedin.com/jobs/view/4371188559", "https://www.linkedin.com/jobs/view/4371188559")</f>
        <v/>
      </c>
      <c r="F108" t="inlineStr"/>
      <c r="G108" t="inlineStr"/>
      <c r="H108" t="inlineStr"/>
      <c r="I108" t="inlineStr">
        <is>
          <t>Dice is the leading career destination for tech experts at every stage of their careers. Our client, mProgen, is seeking the following. Apply via Dice today!
 We re looking for developers who can build AI agents across Glean and Slack. Specifically, we need folks who can take enterprise workflows (IT, HR, MFG, Supply Chain, etc.) and turn them into operational agents using LLMs, RAG, and API integrations.
 Core skills needed:
 Building Glean agents (conversational flows, task automation, RAG patterns, tool calling)
 Building Slack agents using Bolt, workflows, functions, events, and API integrations
 Strong Python/Node/TS engineering background
 Experience with LLM frameworks (LangChain, LangGraph, or equivalent)
 Ability to create a reusable agent boilerplate for multi\-step reasoning
 Integrating with enterprise systems (Workday, Jira, Salesforce, ServiceNow, etc.)
 Understanding of security, governance, and logging requirements at enterprise scale</t>
        </is>
      </c>
    </row>
    <row r="109">
      <c r="A109" t="inlineStr">
        <is>
          <t>li-4323180047</t>
        </is>
      </c>
      <c r="B109" t="inlineStr">
        <is>
          <t>[2026] Senior Machine Learning Engineer, Multimodal AI, Computer Vision and Graphics - PhD Early Career</t>
        </is>
      </c>
      <c r="C109" t="inlineStr">
        <is>
          <t>Roblox</t>
        </is>
      </c>
      <c r="D109" t="inlineStr">
        <is>
          <t>linkedin</t>
        </is>
      </c>
      <c r="E109">
        <f>HYPERLINK("https://www.linkedin.com/jobs/view/4323180047", "https://www.linkedin.com/jobs/view/4323180047")</f>
        <v/>
      </c>
      <c r="F109">
        <f>HYPERLINK("https://careers.roblox.com/jobs/7323437?gh_jid=7323437&amp;gh_src=da92d0c91&amp;urlHash=xKP8", "https://careers.roblox.com/jobs/7323437?gh_jid=7323437&amp;gh_src=da92d0c91&amp;urlHash=xKP8")</f>
        <v/>
      </c>
      <c r="G109" t="inlineStr">
        <is>
          <t>San Mateo, CA</t>
        </is>
      </c>
      <c r="H109" t="inlineStr"/>
      <c r="I109"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At Roblox, computer vision and graphics power the way our global community discovers, creates, and interacts on our virtual platform. This role involves building cutting\-edge models to interpret and analyze every form of content—experiences, text, images, videos, and 3D avatars. Your work will directly influence core systems that drive the
 **next generation of** 
 creation, search, recommendations, and trust \&amp; safety initiatives across our massive ecosystem.
 We’re looking for PhD candidates passionate about the intersection of computer vision, graphics, and generative modeling. You’ll work on applied research and engineering projects with direct production impact — enabling new ways for creators and players to bring ideas to life.
**Teams Hiring for This Role**
* Content Understanding: Develop large\-scale computer vision and multimodal models that classify, organize, and recommend 3D and visual content to improve user discovery, personalization, and safety.
* Account Identity : focuses on various aspects of user Identity from bot detection, alternate account detection graph, to age estimation based on behavioral and facial features.
**You Will**
* Lead the research and development of deep learning models for visual content understanding and 3D content generation (image/video/3D scenes, avatars, and assets).
* Design and implement foundation models for visual and 3D\-based creation, search, and recommendations, ensuring a high level of fidelity, relevance, and ranking.
* Break down complex product requirements into iterative deliverable stages, moving applied research into high\-scale production systems.
* Implement innovative visual and multi\-modal models that power core Roblox functions (e.g., world creation, avatar systems, search, and recommendations).
* Build high precision facial age estimation across demographics from ground up including various fraud detection techniques for a robust and safe user identity system.
**You Have**
* Possessing or pursuing a PhD in computer science, engineering, or a related field, with a thesis aligned to Roblox’s research areas.
* Expertise in one or more areas: computer vision, multimodal learning, 3D Graphics, or large\-scale representation learning.
* Experience developing and training deep learning models using modern frameworks (PyTorch, TensorFlow, JAX).
* A strong research track record, evidenced by multiple publications and presentations in top\-tier, peer\-reviewed venues.
* Proficiency in one or more programming languages (e.g., Python, C\+\+, Go, Java) and experience building and optimizing large\-scale systems.
 Apply now to be considered for anticipated positions.
 You may redact age, date of birth, and dates of attendance/graduation from your resume if you prefer.
 As you apply, you can find more information about our process by signing up for Speak\_. You'll gain access to our practice assessment, comprehensive guides, FAQs, and modules designed to help you ace the hiring process.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2026-02-11T21:20:14Z</dcterms:created>
  <dcterms:modified xsi:type="dcterms:W3CDTF">2026-02-11T21:20:15Z</dcterms:modified>
</cp:coreProperties>
</file>